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盘\其他\A费用\新建文件夹(1)\"/>
    </mc:Choice>
  </mc:AlternateContent>
  <bookViews>
    <workbookView windowWidth="28800" windowHeight="12375" tabRatio="945" activeTab="8"/>
  </bookViews>
  <sheets>
    <sheet name="使用说明" sheetId="1" r:id="rId1"/>
    <sheet name="参数设置" sheetId="2" r:id="rId2"/>
    <sheet name="月度汇率" sheetId="3" r:id="rId3"/>
    <sheet name="流水录入" sheetId="4" r:id="rId4"/>
    <sheet name="账户余额表" sheetId="5" r:id="rId5"/>
    <sheet name="月度汇报表" sheetId="12" r:id="rId6"/>
    <sheet name="收支分类报表" sheetId="13" r:id="rId7"/>
    <sheet name="资金日报表" sheetId="14" r:id="rId8"/>
    <sheet name="区间查询" sheetId="15" r:id="rId9"/>
    <sheet name="工商银行基本户-8888" sheetId="6" r:id="rId10"/>
    <sheet name="中国银行美元结算户-6688" sheetId="7" r:id="rId11"/>
    <sheet name="汇丰银行港币结算户-5566" sheetId="8" r:id="rId12"/>
    <sheet name="招商银行一般户-2388" sheetId="9" r:id="rId13"/>
    <sheet name="汇丰银行美元结算户-7788" sheetId="10" r:id="rId14"/>
    <sheet name="中国银行欧元结算户-9900" sheetId="11" r:id="rId15"/>
    <sheet name="核对表" sheetId="16" state="hidden" r:id="rId16"/>
  </sheets>
  <definedNames>
    <definedName name="_xlnm._FilterDatabase" localSheetId="3" hidden="1">流水录入!$A$5:$S$2005</definedName>
    <definedName name="本位币">参数设置!$B$4</definedName>
    <definedName name="管理年度">参数设置!$B$5</definedName>
    <definedName name="报表月份">参数设置!$B$6</definedName>
    <definedName name="重估基准日">参数设置!$B$7</definedName>
    <definedName name="账户银行">参数设置!$B$11:$B$40</definedName>
    <definedName name="账户名">参数设置!$C$11:$C$40</definedName>
    <definedName name="账户币种">参数设置!$E$11:$E$40</definedName>
    <definedName name="账户期初">参数设置!$G$11:$G$40</definedName>
    <definedName name="账户期初本位">参数设置!$I$11:$I$40</definedName>
    <definedName name="币种表">参数设置!$L$11:$L$18</definedName>
    <definedName name="类别表">参数设置!$O$11:$O$40</definedName>
    <definedName name="类别属性">参数设置!$P$11:$P$40</definedName>
    <definedName name="项目表">参数设置!$R$11:$R$50</definedName>
    <definedName name="单位表">参数设置!$T$11:$T$210</definedName>
    <definedName name="汇率月份">月度汇率!$A$6:$A$17</definedName>
    <definedName name="记账汇率区">月度汇率!$B$6:$I$17</definedName>
    <definedName name="汇率币种头">月度汇率!$B$5:$I$5</definedName>
    <definedName name="月末汇率区">月度汇率!$K$6:$R$17</definedName>
    <definedName name="流水日期">流水录入!$A$6:$A$2005</definedName>
    <definedName name="流水账户">流水录入!$B$6:$B$2005</definedName>
    <definedName name="流水币种">流水录入!$D$6:$D$2005</definedName>
    <definedName name="流水类别">流水录入!$E$6:$E$2005</definedName>
    <definedName name="流水属性">流水录入!$F$6:$F$2005</definedName>
    <definedName name="流水收入">流水录入!$G$6:$G$2005</definedName>
    <definedName name="流水支出">流水录入!$H$6:$H$2005</definedName>
    <definedName name="流水净额">流水录入!$K$6:$K$2005</definedName>
    <definedName name="流水本位">流水录入!$L$6:$L$2005</definedName>
    <definedName name="流水项目">流水录入!$P$6:$P$2005</definedName>
    <definedName name="流水单位">流水录入!$Q$6:$Q$2005</definedName>
    <definedName name="资金总额本位">账户余额表!$J$36</definedName>
    <definedName name="月报收入合计">月度汇报表!$B$18</definedName>
    <definedName name="月报支出合计">月度汇报表!$C$18</definedName>
    <definedName name="分类收入合计">收支分类报表!$O$5</definedName>
    <definedName name="分类支出合计">收支分类报表!$O$6</definedName>
    <definedName name="汇率填写数">月度汇率!$T$6:$T$17</definedName>
    <definedName name="外币流水数">月度汇率!$U$6:$U$17</definedName>
    <definedName name="汇率列计数">月度汇率!$B$18:$I$18</definedName>
    <definedName name="流水核对">流水录入!$S$6:$S$2005</definedName>
    <definedName name="档案核对">参数设置!$J$11:$J$40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<sst xmlns="http://schemas.openxmlformats.org/spreadsheetml/2006/main" count="796" uniqueCount="410">
  <si>
    <t>外汇资金台账 · 使用说明（本位币：人民币）</t>
  </si>
  <si>
    <t>一、三步就能用起来</t>
  </si>
  <si>
    <t>第 1 步</t>
  </si>
  <si>
    <t>【参数设置】</t>
  </si>
  <si>
    <t>把账户档案改成你们真实的账户：银行、账户名称（唯一）、币种、期初余额。外币账户把「期初汇率」也填上 —— 那是这笔期初余额当初入账的汇率。</t>
  </si>
  <si>
    <t>第 2 步</t>
  </si>
  <si>
    <t>【月度汇率】</t>
  </si>
  <si>
    <t>每月填一次当月记账汇率。只填你们在用的币种（美元、港币、欧元）就行。</t>
  </si>
  <si>
    <t>第 3 步</t>
  </si>
  <si>
    <t>【流水录入】</t>
  </si>
  <si>
    <t>每天在这一张录。选账户名称 → 银行、币种、汇率自动带出来；收入和支出分两列，只填一个。其余所有表全自动。</t>
  </si>
  <si>
    <t>二、表都干什么用</t>
  </si>
  <si>
    <t>表名</t>
  </si>
  <si>
    <t>谁用</t>
  </si>
  <si>
    <t>干什么</t>
  </si>
  <si>
    <t>参数设置</t>
  </si>
  <si>
    <t>管理员</t>
  </si>
  <si>
    <t>账户档案、币种、收支类别、项目、往来单位。这一页改了，后面全部跟着变。</t>
  </si>
  <si>
    <t>月度汇率</t>
  </si>
  <si>
    <t>财务</t>
  </si>
  <si>
    <t>每月一行。左边记账汇率（流水折人民币用），右边月末汇率（月末重估用，空着=用左边）。</t>
  </si>
  <si>
    <t>流水录入</t>
  </si>
  <si>
    <t>出纳</t>
  </si>
  <si>
    <t>★ 全套表唯一要填的一张。最后一列「核对」会自己挑毛病。</t>
  </si>
  <si>
    <t>银行子表（每账户一张）</t>
  </si>
  <si>
    <t>看</t>
  </si>
  <si>
    <t>自动从流水拆出来，不用填。表头 B2 是拆分依据。</t>
  </si>
  <si>
    <t>账户余额表</t>
  </si>
  <si>
    <t>每账户一行：期末原币、期末人民币、账面成本、汇兑损益；下面还有按币种小计。</t>
  </si>
  <si>
    <t>月度汇报表</t>
  </si>
  <si>
    <t>老板</t>
  </si>
  <si>
    <t>按月的人民币收入/支出/净流入/月末资金总额；下半张是报表月份的各账户明细。</t>
  </si>
  <si>
    <t>收支分类报表</t>
  </si>
  <si>
    <t>收支类别 × 12 个月，人民币。支出显示成正数，好读。</t>
  </si>
  <si>
    <t>资金日报表</t>
  </si>
  <si>
    <t>出纳/老板</t>
  </si>
  <si>
    <t>上半张按日走势（最多 31 天），下半张是某一天的出纳日报。</t>
  </si>
  <si>
    <t>区间查询</t>
  </si>
  <si>
    <t>任意起止日期 → 按类别、按项目、按币种、按往来单位四块。</t>
  </si>
  <si>
    <t>核对表</t>
  </si>
  <si>
    <t>所有人</t>
  </si>
  <si>
    <t>录完看这一张就够了。勾稽必须全 0，待办是数据没填齐。</t>
  </si>
  <si>
    <t>三、汇率是怎么取的（这是外汇台账的核心）</t>
  </si>
  <si>
    <t>优先级 1</t>
  </si>
  <si>
    <t>实际成交汇率</t>
  </si>
  <si>
    <t>流水里填了「实际成交汇率」就用它。购汇、结汇、银行有实际成交价的都填这个。</t>
  </si>
  <si>
    <t>优先级 2</t>
  </si>
  <si>
    <t>当月记账汇率</t>
  </si>
  <si>
    <t>按交易日期所在的月份，去【月度汇率】取。</t>
  </si>
  <si>
    <t>优先级 3</t>
  </si>
  <si>
    <t>往前最近一个月</t>
  </si>
  <si>
    <t>当月还没填？自动往前找最近一个填过的月份</t>
  </si>
  <si>
    <t>四、两套人民币口径，各算各的，千万别混着加</t>
  </si>
  <si>
    <t>账面人民币成本</t>
  </si>
  <si>
    <t>历史成本</t>
  </si>
  <si>
    <t>＝期初人民币成本 + 每一笔原币 × 该笔当时的汇率。钱进来时值多少就是多少，以后汇率怎么变都不动它。</t>
  </si>
  <si>
    <t>期末人民币(重估)</t>
  </si>
  <si>
    <t>现在值多少</t>
  </si>
  <si>
    <t>＝期末原币余额 × 期末汇率。</t>
  </si>
  <si>
    <t>汇兑损益</t>
  </si>
  <si>
    <t>两者之差</t>
  </si>
  <si>
    <t>＝重估 − 账面成本。外币放着不动，汇率涨了就是赚、跌了就是亏，这一栏就是那个数。</t>
  </si>
  <si>
    <t>五、内部转账不算收入也不算支出</t>
  </si>
  <si>
    <t>怎么录</t>
  </si>
  <si>
    <t>两头都录</t>
  </si>
  <si>
    <t>转出账户记一笔支出，转入账户记一笔收入，类别都选「内部转账」。购汇结汇选「购汇/结汇」，也是内部转账属性。</t>
  </si>
  <si>
    <t>报表里怎么处理</t>
  </si>
  <si>
    <t>单列，不进合计</t>
  </si>
  <si>
    <t>月度汇报表单列「内部转入 / 内部转出」两列；分类报表单列一行「内部转账净额」。收入合计、支出合计里都不含它。</t>
  </si>
  <si>
    <t>净额不是 0 怎么办</t>
  </si>
  <si>
    <t>那是换汇价差</t>
  </si>
  <si>
    <t>同币种之间调头寸净额应该是 0。购汇结汇跨币种，净额就是买卖价差，正常。</t>
  </si>
  <si>
    <t>六、加东西怎么加</t>
  </si>
  <si>
    <t>加一个账户</t>
  </si>
  <si>
    <t>两步</t>
  </si>
  <si>
    <t>① 在【参数设置】账户档案接着写一行；② 右键复制任意一张银行子表，改表名，把 B2 改成新账户名</t>
  </si>
  <si>
    <t>加一个币种</t>
  </si>
  <si>
    <t>一步</t>
  </si>
  <si>
    <t>在【参数设置】币种清单加一行，再去【月度汇率】填它的汇率。（汇率表预留了 8 个币种的列）</t>
  </si>
  <si>
    <t>加类别 / 项目 / 往来单位</t>
  </si>
  <si>
    <t xml:space="preserve">在【参数设置】对应清单接着写，所有报表自动跟着长。注意别写重复 </t>
  </si>
  <si>
    <t>预留行数</t>
  </si>
  <si>
    <t>流水预留 2000 行、账户 30 个。</t>
  </si>
  <si>
    <t>七、颜色和符号</t>
  </si>
  <si>
    <t>淡黄色格子</t>
  </si>
  <si>
    <t>要你填</t>
  </si>
  <si>
    <t>这是人工输入区。</t>
  </si>
  <si>
    <t>灰色格子</t>
  </si>
  <si>
    <t>公式自动算</t>
  </si>
  <si>
    <t>别手动改，改了就把公式顶掉了。</t>
  </si>
  <si>
    <t>※ 红字</t>
  </si>
  <si>
    <t>是错，必须改</t>
  </si>
  <si>
    <t>账户不在档案、收支同时填、类别不在清单……</t>
  </si>
  <si>
    <t>△ 琥珀字</t>
  </si>
  <si>
    <t>待补的数据</t>
  </si>
  <si>
    <t>汇率没填、内部转账没写对方账户……不影响公式，补齐了数才准。</t>
  </si>
  <si>
    <t>八、示例数据</t>
  </si>
  <si>
    <t>· 【流水录入】第 6 ~ 23 行是示例（原模板那 15 笔 + 3 笔补充），正式用之前整段选中删掉即可。删了之后所有报表会自动归零。</t>
  </si>
  <si>
    <t>· 【月度汇率】只填了 2026 年 8 月的美元 7.18、港币 0.92 ，其余月份都空着，等你填。</t>
  </si>
  <si>
    <t>· 示例里如果欧元汇率空着，你可以看到「△EUR 还没填汇率」的提示</t>
  </si>
  <si>
    <t>· 顺带说清楚：某个币种一个汇率都没填时，它的余额**进不了人民币合计数**（宁可不算，也不瞎算），那个账户的人民币几列会是空白而不是 0。</t>
  </si>
  <si>
    <t>· 示例账户里有 1 个欧元户、2 个美元户、1 个港币户、2 个人民币户</t>
  </si>
  <si>
    <t>参数设置 · 账户、币种、类别、项目都在这里维护</t>
  </si>
  <si>
    <t>淡黄色格子是要你填的，灰色是公式算的。账户名称必须唯一，建议写成「银行 + 用途 + 账号尾号」。这一页改了，后面所有表跟着变。</t>
  </si>
  <si>
    <t>本位币</t>
  </si>
  <si>
    <t>CNY</t>
  </si>
  <si>
    <t>所有汇报表都折算成它。改成别的币种，整套跟着走。</t>
  </si>
  <si>
    <t>管理年度</t>
  </si>
  <si>
    <t>【月度汇率】和各张年报按这个年度展开。</t>
  </si>
  <si>
    <t>报表月份</t>
  </si>
  <si>
    <t>汇报表默认看哪个月。填该月 1 号。</t>
  </si>
  <si>
    <t>期末重估基准日</t>
  </si>
  <si>
    <t>自动 = 报表月份的月末。外币余额按这一天的汇率重估。</t>
  </si>
  <si>
    <t>一、账户档案　——　加一个账户：在这里接着写一行，再复制一张银行子表改 B2</t>
  </si>
  <si>
    <t>二、币种</t>
  </si>
  <si>
    <t>三、收支类别（属性=内部转账的，不计入收入/支出合计）</t>
  </si>
  <si>
    <t>四、项目</t>
  </si>
  <si>
    <t>五、往来单位</t>
  </si>
  <si>
    <t>序号</t>
  </si>
  <si>
    <t>银行 ★</t>
  </si>
  <si>
    <t>账户名称 ★（唯一）</t>
  </si>
  <si>
    <t>账号（可不填）</t>
  </si>
  <si>
    <t>币种 ★</t>
  </si>
  <si>
    <t>账户类型</t>
  </si>
  <si>
    <t>期初余额(原币)</t>
  </si>
  <si>
    <t>期初汇率</t>
  </si>
  <si>
    <t>期初人民币成本</t>
  </si>
  <si>
    <t>核对</t>
  </si>
  <si>
    <t>币种代码</t>
  </si>
  <si>
    <t>币种名称</t>
  </si>
  <si>
    <t>收/支类别</t>
  </si>
  <si>
    <t>属性 ★</t>
  </si>
  <si>
    <t>项目 / 业务</t>
  </si>
  <si>
    <t>往来单位</t>
  </si>
  <si>
    <t>工商银行</t>
  </si>
  <si>
    <t>工商银行基本户-8888</t>
  </si>
  <si>
    <t>1202...8888</t>
  </si>
  <si>
    <t>基本户</t>
  </si>
  <si>
    <t>人民币</t>
  </si>
  <si>
    <t>销售回款</t>
  </si>
  <si>
    <t>收入</t>
  </si>
  <si>
    <t>项目A</t>
  </si>
  <si>
    <t>华东客户A</t>
  </si>
  <si>
    <t>中国银行</t>
  </si>
  <si>
    <t>中国银行美元结算户-6688</t>
  </si>
  <si>
    <t>4567...6688</t>
  </si>
  <si>
    <t>USD</t>
  </si>
  <si>
    <t>外币结算户</t>
  </si>
  <si>
    <t>美元</t>
  </si>
  <si>
    <t>其他业务收入</t>
  </si>
  <si>
    <t>出口业务</t>
  </si>
  <si>
    <t>Overseas Client A</t>
  </si>
  <si>
    <t>汇丰银行</t>
  </si>
  <si>
    <t>汇丰银行港币结算户-5566</t>
  </si>
  <si>
    <t>0048...5566</t>
  </si>
  <si>
    <t>HKD</t>
  </si>
  <si>
    <t>港币</t>
  </si>
  <si>
    <t>投资款</t>
  </si>
  <si>
    <t>进口业务</t>
  </si>
  <si>
    <t>Overseas Client C</t>
  </si>
  <si>
    <t>招商银行</t>
  </si>
  <si>
    <t>招商银行一般户-2388</t>
  </si>
  <si>
    <t>7712...2388</t>
  </si>
  <si>
    <t>一般户</t>
  </si>
  <si>
    <t>EUR</t>
  </si>
  <si>
    <t>欧元</t>
  </si>
  <si>
    <t>借款</t>
  </si>
  <si>
    <t>香港业务</t>
  </si>
  <si>
    <t>香港客户B</t>
  </si>
  <si>
    <t>汇丰银行美元结算户-7788</t>
  </si>
  <si>
    <t>0048...7788</t>
  </si>
  <si>
    <t>JPY</t>
  </si>
  <si>
    <t>日元</t>
  </si>
  <si>
    <t>利息收入</t>
  </si>
  <si>
    <t>欧洲业务</t>
  </si>
  <si>
    <t>欧洲客户D</t>
  </si>
  <si>
    <t>中国银行欧元结算户-9900</t>
  </si>
  <si>
    <t>4567...9900</t>
  </si>
  <si>
    <t>GBP</t>
  </si>
  <si>
    <t>英镑</t>
  </si>
  <si>
    <t>退款收回</t>
  </si>
  <si>
    <t>融资</t>
  </si>
  <si>
    <t>香港供应商A</t>
  </si>
  <si>
    <t>SGD</t>
  </si>
  <si>
    <t>新加坡元</t>
  </si>
  <si>
    <t>采购付款</t>
  </si>
  <si>
    <t>支出</t>
  </si>
  <si>
    <t>行政</t>
  </si>
  <si>
    <t>Overseas Supplier B</t>
  </si>
  <si>
    <t>AUD</t>
  </si>
  <si>
    <t>澳元</t>
  </si>
  <si>
    <t>工资</t>
  </si>
  <si>
    <t>税务</t>
  </si>
  <si>
    <t>欧洲供应商E</t>
  </si>
  <si>
    <t>运营费用</t>
  </si>
  <si>
    <t>海外服务</t>
  </si>
  <si>
    <t>员工薪酬</t>
  </si>
  <si>
    <t>税费</t>
  </si>
  <si>
    <t>内部调拨</t>
  </si>
  <si>
    <t>税务机关</t>
  </si>
  <si>
    <t>手续费</t>
  </si>
  <si>
    <t>其他业务</t>
  </si>
  <si>
    <t>银行借款</t>
  </si>
  <si>
    <t>利息支出</t>
  </si>
  <si>
    <t>股东A</t>
  </si>
  <si>
    <t>还款</t>
  </si>
  <si>
    <t>Service Provider</t>
  </si>
  <si>
    <t>资产购买</t>
  </si>
  <si>
    <t>香港办公室</t>
  </si>
  <si>
    <t>股利分配</t>
  </si>
  <si>
    <t>其他客户</t>
  </si>
  <si>
    <t>内部转账</t>
  </si>
  <si>
    <t>购汇/结汇</t>
  </si>
  <si>
    <t>月度汇率 · 每月填一次，填了就不用再动</t>
  </si>
  <si>
    <t>左边【记账汇率】是流水折人民币用的；右边【月末汇率】是月末重估用的，空着就自动用左边那个。某月没填？自动往前找最近一个填过的月份，并在核对表点名。</t>
  </si>
  <si>
    <t>记账汇率　——　流水按「交易日期所在月」自动匹配</t>
  </si>
  <si>
    <t>月末汇率　——　月末重估用；空着=用左边记账汇率</t>
  </si>
  <si>
    <t>月份</t>
  </si>
  <si>
    <t>这一列别删：给核对表数「哪几个月还没填」用的</t>
  </si>
  <si>
    <t>本月外币流水笔数</t>
  </si>
  <si>
    <t>全年填了几个月</t>
  </si>
  <si>
    <t>流水录入 · 全套表只有这一张要填</t>
  </si>
  <si>
    <t>选账户名称 → 银行、币种、汇率自动带出来；收入和支出分两列，只填一个。银行有实际成交价（购汇、结汇）就填「实际成交汇率」，它优先于当月记账汇率。最后一列「核对」会自己挑毛病，红字是错、琥珀字是待办。</t>
  </si>
  <si>
    <t>日期 ★</t>
  </si>
  <si>
    <t>账户名称 ★</t>
  </si>
  <si>
    <t>银行</t>
  </si>
  <si>
    <t>币种</t>
  </si>
  <si>
    <t>收/支类别 ★</t>
  </si>
  <si>
    <t>类别属性</t>
  </si>
  <si>
    <t>收入金额(原币)</t>
  </si>
  <si>
    <t>支出金额(原币)</t>
  </si>
  <si>
    <t>实际成交汇率
(选填)</t>
  </si>
  <si>
    <t>应用汇率</t>
  </si>
  <si>
    <t>原币净额</t>
  </si>
  <si>
    <t>折人民币</t>
  </si>
  <si>
    <t>账户余额(原币)</t>
  </si>
  <si>
    <t>账面人民币余额</t>
  </si>
  <si>
    <t>摘要</t>
  </si>
  <si>
    <t>项目/业务</t>
  </si>
  <si>
    <t>备注</t>
  </si>
  <si>
    <t>美元货款</t>
  </si>
  <si>
    <t>港币采购付款</t>
  </si>
  <si>
    <t>工资发放</t>
  </si>
  <si>
    <t>美元投资款</t>
  </si>
  <si>
    <t>税费缴纳</t>
  </si>
  <si>
    <t>美元采购款（银行实际成交价）</t>
  </si>
  <si>
    <t>港币销售回款</t>
  </si>
  <si>
    <t>短期借款到账</t>
  </si>
  <si>
    <t>美元服务费</t>
  </si>
  <si>
    <t>转至招商银行</t>
  </si>
  <si>
    <t>收到工商银行转入</t>
  </si>
  <si>
    <t>第二笔美元回款</t>
  </si>
  <si>
    <t>香港运营费</t>
  </si>
  <si>
    <t>欧元货款（欧元汇率还没填，看核对列）</t>
  </si>
  <si>
    <t>其他经营收入</t>
  </si>
  <si>
    <t>结汇：美元转出</t>
  </si>
  <si>
    <t>结汇：人民币到账</t>
  </si>
  <si>
    <t>账户余额表 · 每个账户一行，原币和人民币各算各的</t>
  </si>
  <si>
    <t>「账面人民币成本」= 期初成本 + 每笔按当时汇率折的人民币；「期末人民币(重估)」= 期末原币 × 期末汇率。两者之差就是汇兑损益 —— 这是外汇台账跟普通资金台账唯一的区别，别把两个口径混着加。</t>
  </si>
  <si>
    <t>账户名称</t>
  </si>
  <si>
    <t>累计收入(原币)</t>
  </si>
  <si>
    <t>累计支出(原币)</t>
  </si>
  <si>
    <t>期末余额(原币)</t>
  </si>
  <si>
    <t>期末汇率</t>
  </si>
  <si>
    <t>合计</t>
  </si>
  <si>
    <t/>
  </si>
  <si>
    <t>原币不同，不能相加</t>
  </si>
  <si>
    <t>「期末人民币合计」就是公司的资金总额（人民币口径）</t>
  </si>
  <si>
    <t>按币种小计　——　外币敞口一眼看完</t>
  </si>
  <si>
    <t>账户数</t>
  </si>
  <si>
    <t>占资金比重</t>
  </si>
  <si>
    <t>—</t>
  </si>
  <si>
    <t>月度汇报表 · 全部折成人民币</t>
  </si>
  <si>
    <t>收入/支出按「钱的方向」认（折人民币为正=收，为负=支），内部转账（账户之间调头寸、购汇结汇）单独两列列出来，不算进收入和支出</t>
  </si>
  <si>
    <t>一、按月汇总（人民币）</t>
  </si>
  <si>
    <t>收入(人民币)</t>
  </si>
  <si>
    <t>支出(人民币)</t>
  </si>
  <si>
    <t>净流入(人民币)</t>
  </si>
  <si>
    <t>内部转入</t>
  </si>
  <si>
    <t>内部转出</t>
  </si>
  <si>
    <t>月末资金总额(人民币账面)</t>
  </si>
  <si>
    <t>说明</t>
  </si>
  <si>
    <t>全年合计</t>
  </si>
  <si>
    <t>年末资金总额 = 12 月那一行</t>
  </si>
  <si>
    <t>二、报表月份 · 各账户（报表月份在【参数设置】B6 改）</t>
  </si>
  <si>
    <t>月初余额(原币)</t>
  </si>
  <si>
    <t>本月收入(原币)</t>
  </si>
  <si>
    <t>本月支出(原币)</t>
  </si>
  <si>
    <t>月末余额(原币)</t>
  </si>
  <si>
    <t>本月收入(人民币)</t>
  </si>
  <si>
    <t>本月支出(人民币)</t>
  </si>
  <si>
    <t>月末余额(人民币账面)</t>
  </si>
  <si>
    <t>原币不能加</t>
  </si>
  <si>
    <t>收支分类报表 · 按收支类别，全部折成人民币</t>
  </si>
  <si>
    <t>支出类别显示为正数（好读）。内部转账单独一行，不进收入/支出合计；它的净额如果不是 0，那就是购汇结汇的价差。</t>
  </si>
  <si>
    <t>属性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</si>
  <si>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</si>
  <si>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</si>
  <si>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</si>
  <si>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</si>
  <si>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</si>
  <si>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</si>
  <si>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</si>
  <si>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</si>
  <si>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</si>
  <si>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</si>
  <si>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</si>
  <si>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</si>
  <si>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占比</t>
  </si>
  <si>
    <t>收入合计</t>
  </si>
  <si>
    <t>支出合计</t>
  </si>
  <si>
    <t>内部转账净额</t>
  </si>
  <si>
    <t>经营净额</t>
  </si>
  <si>
    <t>收入−支出</t>
  </si>
  <si>
    <t>按类别明细　——　类别清单在【参数设置】维护，这里自动跟着走</t>
  </si>
  <si>
    <t>资金日报表 · 改上面两个日期就行</t>
  </si>
  <si>
    <t>上半张是按日走势（最多 31 天），下半张是某一天的出纳日报。收付都不含内部转账。账户余额列按原币显示，列头带币种。</t>
  </si>
  <si>
    <t>起始日期</t>
  </si>
  <si>
    <t>截止日期</t>
  </si>
  <si>
    <t>天数</t>
  </si>
  <si>
    <t>超过 31 天就按月分段查；月度数据直接看【月度汇报表】。</t>
  </si>
  <si>
    <t>一、按日走势（人民币，不含内部转账）</t>
  </si>
  <si>
    <t>日期</t>
  </si>
  <si>
    <t>当日收款(人民币)</t>
  </si>
  <si>
    <t>当日付款(人民币)</t>
  </si>
  <si>
    <t>当日净额</t>
  </si>
  <si>
    <t>当日资金总额(人民币账面)</t>
  </si>
  <si>
    <t>期间合计</t>
  </si>
  <si>
    <t>← 右边各列是当日余额，不能纵向相加</t>
  </si>
  <si>
    <t>二、某一天的出纳日报</t>
  </si>
  <si>
    <t>日报日期</t>
  </si>
  <si>
    <t>默认取上面的截止日期；要看别的天，直接把这格改成那一天。</t>
  </si>
  <si>
    <t>昨日余额(原币)</t>
  </si>
  <si>
    <t>本日收入(原币)</t>
  </si>
  <si>
    <t>本日支出(原币)</t>
  </si>
  <si>
    <t>本日余额(原币)</t>
  </si>
  <si>
    <t>汇率</t>
  </si>
  <si>
    <t>本日余额(人民币)</t>
  </si>
  <si>
    <t>区间查询 · 任意起止日期，全部折成人民币</t>
  </si>
  <si>
    <t>改上面两个日期就行。收入/支出都不含内部转账；内部转账单独列在右上角。</t>
  </si>
  <si>
    <t>收入总额</t>
  </si>
  <si>
    <t>支出总额</t>
  </si>
  <si>
    <t>一、按收支类别</t>
  </si>
  <si>
    <t>金额(人民币)</t>
  </si>
  <si>
    <t>小计</t>
  </si>
  <si>
    <t>收入+支出(取正)+内部转账</t>
  </si>
  <si>
    <t>二、按项目 / 业务</t>
  </si>
  <si>
    <t>净额</t>
  </si>
  <si>
    <t>占收入比</t>
  </si>
  <si>
    <t>三、按币种</t>
  </si>
  <si>
    <t>笔数</t>
  </si>
  <si>
    <t>四、按往来单位</t>
  </si>
  <si>
    <t>【工商银行基本户-8888】流水明细 · 自动从【流水录入】拆出来，不用填</t>
  </si>
  <si>
    <t>← 这格是拆分依据，别改。下面整块是一条公式的结果，在里面打字会把公式顶掉；要改数据去【流水录入】改。</t>
  </si>
  <si>
    <t>期初(原币)</t>
  </si>
  <si>
    <t>累计收入</t>
  </si>
  <si>
    <t>累计支出</t>
  </si>
  <si>
    <t>期末(原币)</t>
  </si>
  <si>
    <t>期末人民币</t>
  </si>
  <si>
    <t>【中国银行美元结算户-6688】流水明细 · 自动从【流水录入】拆出来，不用填</t>
  </si>
  <si>
    <t>【汇丰银行港币结算户-5566】流水明细 · 自动从【流水录入】拆出来，不用填</t>
  </si>
  <si>
    <t>【招商银行一般户-2388】流水明细 · 自动从【流水录入】拆出来，不用填</t>
  </si>
  <si>
    <t>【汇丰银行美元结算户-7788】流水明细 · 自动从【流水录入】拆出来，不用填</t>
  </si>
  <si>
    <t>【中国银行欧元结算户-9900】流水明细 · 自动从【流水录入】拆出来，不用填</t>
  </si>
  <si>
    <t>核对表 · 每次录完看一眼这张就够了</t>
  </si>
  <si>
    <t>【勾稽】是算法自检，必须全是 0，不是 0 就是表算错了要告诉我；【待办】是数据没填齐，你们自己补。</t>
  </si>
  <si>
    <t>类别</t>
  </si>
  <si>
    <t>检查项</t>
  </si>
  <si>
    <t>结果</t>
  </si>
  <si>
    <t>判断</t>
  </si>
  <si>
    <t>勾稽</t>
  </si>
  <si>
    <t>各账户「账面人民币成本」合计 = 期初成本 + 全部流水折人民币</t>
  </si>
  <si>
    <t>两边算法不同，必须分毫不差。不为 0 说明有账户名对不上。</t>
  </si>
  <si>
    <t>各账户「期末原币」合计 = 期初原币 + 全部流水原币净额</t>
  </si>
  <si>
    <t>同上。（跨币种相加没有意义，但这个恒等式成立）</t>
  </si>
  <si>
    <t>分类报表「收入合计」= 流水里属性为收入的折人民币合计</t>
  </si>
  <si>
    <t>不为 0 说明有收入类别没在【参数设置】登记。</t>
  </si>
  <si>
    <t>分类报表「支出合计」= 流水里属性为支出的折人民币合计</t>
  </si>
  <si>
    <t>支出在流水里是负数，所以这里是加。</t>
  </si>
  <si>
    <t>按币种小计的「折人民币」= 各账户「期末人民币」合计</t>
  </si>
  <si>
    <t>不为 0 说明有账户的币种不在【参数设置】的币种清单里，按币种那块会漏掉它。</t>
  </si>
  <si>
    <t>银行子表张数 = 账户档案里的账户数</t>
  </si>
  <si>
    <t>现在有 6 张子表。加了账户没加子表，这里就不是 0 —— 复制一张子表改 B2 即可。</t>
  </si>
  <si>
    <t>待办</t>
  </si>
  <si>
    <t>流水里的红字（※，是错，必须改）</t>
  </si>
  <si>
    <t>去【流水录入】最后一列看，红的都要改。</t>
  </si>
  <si>
    <t>流水里的琥珀字（△，是待补的数据）</t>
  </si>
  <si>
    <t>不影响公式，但补齐了数才准。</t>
  </si>
  <si>
    <t>账户档案里的红字（※）</t>
  </si>
  <si>
    <t>账户名重复、币种不对、期初没填。</t>
  </si>
  <si>
    <t>有外币流水、但当月记账汇率一个都没填的月份数</t>
  </si>
  <si>
    <t>这些月份的外币流水会去借用**更早**月份的汇率。去【月度汇率】补上。</t>
  </si>
  <si>
    <t>在用的外币里，全年一个汇率都没填的个数</t>
  </si>
  <si>
    <t>这些币种的流水折不出人民币，所有人民币报表都会少这一块。</t>
  </si>
  <si>
    <t>内部转账折人民币净额（购汇结汇的价差）</t>
  </si>
  <si>
    <t>同币种之间调头寸应该是 0；不是 0 的部分就是购汇/结汇的买卖价差，属于正常。</t>
  </si>
  <si>
    <t>内部转账「收」「支」笔数差</t>
  </si>
  <si>
    <t>内部转账要两头都录（转出账户记支出、转入账户记收入），不为 0 说明漏了一头。</t>
  </si>
  <si>
    <t>没填收支类别的流水笔数</t>
  </si>
  <si>
    <t>没类别的笔数不会进分类报表。</t>
  </si>
  <si>
    <t>账户数 −【资金日报表】按日走势预留的余额列数</t>
  </si>
  <si>
    <t>按日走势那块只排了 15 个账户的余额列，超出的看【账户余额表】</t>
  </si>
  <si>
    <t>流水已用行数 / 预留行数</t>
  </si>
  <si>
    <t>类别清单里的重复项</t>
  </si>
  <si>
    <t>重复会在分类报表里出现两行一样的，金额被算两遍</t>
  </si>
  <si>
    <t>项目清单里的重复项</t>
  </si>
  <si>
    <t>同上。</t>
  </si>
  <si>
    <t>汇兑损益合计（提示，不是错）</t>
  </si>
  <si>
    <t>＝期末按期末汇率重估 − 账面历史成本。外币余额越大、汇率波动越大，这个数越大。</t>
  </si>
  <si>
    <t>勾稽通过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</si>
</sst>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;;@"/>
    <numFmt numFmtId="177" formatCode="0.0000"/>
    <numFmt numFmtId="178" formatCode="yyyy/mm/dd"/>
    <numFmt numFmtId="179" formatCode="0.0%"/>
  </numFmts>
  <fonts count="35">
    <font>
      <sz val="11"/>
      <color theme="1"/>
      <name val="宋体"/>
      <charset val="134"/>
      <scheme val="minor"/>
    </font>
    <font>
      <b/>
      <sz val="15"/>
      <color rgb="FFFFFFFF"/>
      <name val="微软雅黑"/>
      <charset val="134"/>
    </font>
    <font>
      <sz val="9"/>
      <color rgb="FF8B5E00"/>
      <name val="微软雅黑"/>
      <charset val="134"/>
    </font>
    <font>
      <b/>
      <sz val="10"/>
      <color rgb="FFFFFFFF"/>
      <name val="微软雅黑"/>
      <charset val="134"/>
    </font>
    <font>
      <sz val="10"/>
      <color rgb="FF7F7F7F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8B5E00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C00000"/>
      <name val="微软雅黑"/>
      <charset val="134"/>
    </font>
    <font>
      <b/>
      <sz val="9"/>
      <color rgb="FFFFFFFF"/>
      <name val="微软雅黑"/>
      <charset val="134"/>
    </font>
    <font>
      <b/>
      <sz val="10"/>
      <name val="微软雅黑"/>
      <charset val="134"/>
    </font>
    <font>
      <sz val="9"/>
      <color rgb="FFFFFFFF"/>
      <name val="微软雅黑"/>
      <charset val="134"/>
    </font>
    <font>
      <sz val="10"/>
      <name val="微软雅黑"/>
      <charset val="134"/>
    </font>
    <font>
      <b/>
      <sz val="12"/>
      <color rgb="FFFFFFFF"/>
      <name val="微软雅黑"/>
      <charset val="134"/>
    </font>
    <font>
      <sz val="9"/>
      <color rgb="FF595959"/>
      <name val="微软雅黑"/>
      <charset val="134"/>
    </font>
    <font>
      <sz val="9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FFBE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14" borderId="9" applyNumberFormat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4" fontId="5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/>
    </xf>
    <xf numFmtId="1" fontId="5" fillId="6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177" fontId="4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78" fontId="8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179" fontId="4" fillId="5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178" fontId="8" fillId="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57" fontId="4" fillId="5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79" fontId="5" fillId="6" borderId="1" xfId="0" applyNumberFormat="1" applyFont="1" applyFill="1" applyBorder="1" applyAlignment="1">
      <alignment horizontal="center" vertical="center" wrapText="1"/>
    </xf>
    <xf numFmtId="178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 wrapText="1"/>
    </xf>
    <xf numFmtId="4" fontId="12" fillId="8" borderId="1" xfId="0" applyNumberFormat="1" applyFont="1" applyFill="1" applyBorder="1" applyAlignment="1">
      <alignment horizontal="center" vertical="center" wrapText="1"/>
    </xf>
    <xf numFmtId="177" fontId="12" fillId="8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78" fontId="4" fillId="5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b val="1"/>
        <color rgb="FFC00000"/>
      </font>
      <fill>
        <patternFill patternType="solid">
          <fgColor rgb="FFFFD7D7"/>
        </patternFill>
      </fill>
    </dxf>
    <dxf>
      <font>
        <b val="1"/>
        <color rgb="FFC00000"/>
      </font>
    </dxf>
    <dxf>
      <font>
        <color rgb="FF8B5E00"/>
      </font>
    </dxf>
    <dxf>
      <font>
        <color rgb="FFC00000"/>
      </font>
    </dxf>
    <dxf>
      <font>
        <b val="1"/>
        <color rgb="FF8B5E00"/>
      </font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  <pageSetUpPr fitToPage="1"/>
  </sheetPr>
  <dimension ref="A1:D53"/>
  <sheetViews>
    <sheetView showGridLines="0" workbookViewId="0">
      <selection activeCell="C17" sqref="C17:D17"/>
    </sheetView>
  </sheetViews>
  <sheetFormatPr defaultColWidth="9" defaultRowHeight="13.5" outlineLevelCol="3"/>
  <cols>
    <col min="1" max="1" width="20" customWidth="1"/>
    <col min="2" max="2" width="16" customWidth="1"/>
    <col min="3" max="3" width="74" customWidth="1"/>
    <col min="4" max="4" width="20" customWidth="1"/>
  </cols>
  <sheetData>
    <row r="1" ht="30" customHeight="1" spans="1:4">
      <c r="A1" s="57" t="s">
        <v>0</v>
      </c>
      <c r="B1" s="14"/>
      <c r="C1" s="14"/>
      <c r="D1" s="15"/>
    </row>
    <row r="3" ht="24" customHeight="1" spans="1:4">
      <c r="A3" s="58" t="s">
        <v>1</v>
      </c>
      <c r="B3" s="14"/>
      <c r="C3" s="14"/>
      <c r="D3" s="15"/>
    </row>
    <row r="4" ht="33" customHeight="1" spans="1:4">
      <c r="A4" s="59" t="s">
        <v>2</v>
      </c>
      <c r="B4" s="60" t="s">
        <v>3</v>
      </c>
      <c r="C4" s="61" t="s">
        <v>4</v>
      </c>
      <c r="D4" s="15"/>
    </row>
    <row r="5" ht="16.5" spans="1:4">
      <c r="A5" s="59" t="s">
        <v>5</v>
      </c>
      <c r="B5" s="60" t="s">
        <v>6</v>
      </c>
      <c r="C5" s="61" t="s">
        <v>7</v>
      </c>
      <c r="D5" s="15"/>
    </row>
    <row r="6" ht="16.5" spans="1:4">
      <c r="A6" s="59" t="s">
        <v>8</v>
      </c>
      <c r="B6" s="60" t="s">
        <v>9</v>
      </c>
      <c r="C6" s="61" t="s">
        <v>10</v>
      </c>
      <c r="D6" s="15"/>
    </row>
    <row r="8" ht="24" customHeight="1" spans="1:4">
      <c r="A8" s="58" t="s">
        <v>11</v>
      </c>
      <c r="B8" s="14"/>
      <c r="C8" s="14"/>
      <c r="D8" s="15"/>
    </row>
    <row r="9" ht="16.5" spans="1:4">
      <c r="A9" s="59" t="s">
        <v>12</v>
      </c>
      <c r="B9" s="60" t="s">
        <v>13</v>
      </c>
      <c r="C9" s="61" t="s">
        <v>14</v>
      </c>
      <c r="D9" s="15"/>
    </row>
    <row r="10" ht="16.5" spans="1:4">
      <c r="A10" s="59" t="s">
        <v>15</v>
      </c>
      <c r="B10" s="60" t="s">
        <v>16</v>
      </c>
      <c r="C10" s="61" t="s">
        <v>17</v>
      </c>
      <c r="D10" s="15"/>
    </row>
    <row r="11" ht="16.5" spans="1:4">
      <c r="A11" s="59" t="s">
        <v>18</v>
      </c>
      <c r="B11" s="60" t="s">
        <v>19</v>
      </c>
      <c r="C11" s="61" t="s">
        <v>20</v>
      </c>
      <c r="D11" s="15"/>
    </row>
    <row r="12" ht="16.5" spans="1:4">
      <c r="A12" s="59" t="s">
        <v>21</v>
      </c>
      <c r="B12" s="60" t="s">
        <v>22</v>
      </c>
      <c r="C12" s="61" t="s">
        <v>23</v>
      </c>
      <c r="D12" s="15"/>
    </row>
    <row r="13" ht="16.5" spans="1:4">
      <c r="A13" s="59" t="s">
        <v>24</v>
      </c>
      <c r="B13" s="60" t="s">
        <v>25</v>
      </c>
      <c r="C13" s="61" t="s">
        <v>26</v>
      </c>
      <c r="D13" s="15"/>
    </row>
    <row r="14" ht="16.5" spans="1:4">
      <c r="A14" s="59" t="s">
        <v>27</v>
      </c>
      <c r="B14" s="60" t="s">
        <v>19</v>
      </c>
      <c r="C14" s="61" t="s">
        <v>28</v>
      </c>
      <c r="D14" s="15"/>
    </row>
    <row r="15" ht="16.5" spans="1:4">
      <c r="A15" s="59" t="s">
        <v>29</v>
      </c>
      <c r="B15" s="60" t="s">
        <v>30</v>
      </c>
      <c r="C15" s="61" t="s">
        <v>31</v>
      </c>
      <c r="D15" s="15"/>
    </row>
    <row r="16" ht="16.5" spans="1:4">
      <c r="A16" s="59" t="s">
        <v>32</v>
      </c>
      <c r="B16" s="60" t="s">
        <v>30</v>
      </c>
      <c r="C16" s="61" t="s">
        <v>33</v>
      </c>
      <c r="D16" s="15"/>
    </row>
    <row r="17" ht="16.5" spans="1:4">
      <c r="A17" s="59" t="s">
        <v>34</v>
      </c>
      <c r="B17" s="60" t="s">
        <v>35</v>
      </c>
      <c r="C17" s="61" t="s">
        <v>36</v>
      </c>
      <c r="D17" s="15"/>
    </row>
    <row r="18" ht="16.5" spans="1:4">
      <c r="A18" s="59" t="s">
        <v>37</v>
      </c>
      <c r="B18" s="60" t="s">
        <v>19</v>
      </c>
      <c r="C18" s="61" t="s">
        <v>38</v>
      </c>
      <c r="D18" s="15"/>
    </row>
    <row r="19" ht="16.5" spans="1:4">
      <c r="A19" s="59" t="s">
        <v>39</v>
      </c>
      <c r="B19" s="60" t="s">
        <v>40</v>
      </c>
      <c r="C19" s="61" t="s">
        <v>41</v>
      </c>
      <c r="D19" s="15"/>
    </row>
    <row r="21" ht="24" customHeight="1" spans="1:4">
      <c r="A21" s="62" t="s">
        <v>42</v>
      </c>
      <c r="B21" s="14"/>
      <c r="C21" s="14"/>
      <c r="D21" s="15"/>
    </row>
    <row r="22" ht="16.5" spans="1:4">
      <c r="A22" s="59" t="s">
        <v>43</v>
      </c>
      <c r="B22" s="60" t="s">
        <v>44</v>
      </c>
      <c r="C22" s="61" t="s">
        <v>45</v>
      </c>
      <c r="D22" s="15"/>
    </row>
    <row r="23" ht="16.5" spans="1:4">
      <c r="A23" s="59" t="s">
        <v>46</v>
      </c>
      <c r="B23" s="60" t="s">
        <v>47</v>
      </c>
      <c r="C23" s="61" t="s">
        <v>48</v>
      </c>
      <c r="D23" s="15"/>
    </row>
    <row r="24" ht="16.5" spans="1:4">
      <c r="A24" s="59" t="s">
        <v>49</v>
      </c>
      <c r="B24" s="60" t="s">
        <v>50</v>
      </c>
      <c r="C24" s="61" t="s">
        <v>51</v>
      </c>
      <c r="D24" s="15"/>
    </row>
    <row r="26" ht="24" customHeight="1" spans="1:4">
      <c r="A26" s="62" t="s">
        <v>52</v>
      </c>
      <c r="B26" s="14"/>
      <c r="C26" s="14"/>
      <c r="D26" s="15"/>
    </row>
    <row r="27" ht="16.5" spans="1:4">
      <c r="A27" s="59" t="s">
        <v>53</v>
      </c>
      <c r="B27" s="60" t="s">
        <v>54</v>
      </c>
      <c r="C27" s="61" t="s">
        <v>55</v>
      </c>
      <c r="D27" s="15"/>
    </row>
    <row r="28" ht="16.5" spans="1:4">
      <c r="A28" s="59" t="s">
        <v>56</v>
      </c>
      <c r="B28" s="60" t="s">
        <v>57</v>
      </c>
      <c r="C28" s="61" t="s">
        <v>58</v>
      </c>
      <c r="D28" s="15"/>
    </row>
    <row r="29" ht="16.5" spans="1:4">
      <c r="A29" s="59" t="s">
        <v>59</v>
      </c>
      <c r="B29" s="60" t="s">
        <v>60</v>
      </c>
      <c r="C29" s="61" t="s">
        <v>61</v>
      </c>
      <c r="D29" s="15"/>
    </row>
    <row r="31" ht="24" customHeight="1" spans="1:4">
      <c r="A31" s="62" t="s">
        <v>62</v>
      </c>
      <c r="B31" s="14"/>
      <c r="C31" s="14"/>
      <c r="D31" s="15"/>
    </row>
    <row r="32" ht="16.5" spans="1:4">
      <c r="A32" s="59" t="s">
        <v>63</v>
      </c>
      <c r="B32" s="60" t="s">
        <v>64</v>
      </c>
      <c r="C32" s="61" t="s">
        <v>65</v>
      </c>
      <c r="D32" s="15"/>
    </row>
    <row r="33" ht="16.5" spans="1:4">
      <c r="A33" s="59" t="s">
        <v>66</v>
      </c>
      <c r="B33" s="60" t="s">
        <v>67</v>
      </c>
      <c r="C33" s="61" t="s">
        <v>68</v>
      </c>
      <c r="D33" s="15"/>
    </row>
    <row r="34" ht="16.5" spans="1:4">
      <c r="A34" s="59" t="s">
        <v>69</v>
      </c>
      <c r="B34" s="60" t="s">
        <v>70</v>
      </c>
      <c r="C34" s="61" t="s">
        <v>71</v>
      </c>
      <c r="D34" s="15"/>
    </row>
    <row r="36" ht="24" customHeight="1" spans="1:4">
      <c r="A36" s="58" t="s">
        <v>72</v>
      </c>
      <c r="B36" s="14"/>
      <c r="C36" s="14"/>
      <c r="D36" s="15"/>
    </row>
    <row r="37" ht="33" customHeight="1" spans="1:4">
      <c r="A37" s="59" t="s">
        <v>73</v>
      </c>
      <c r="B37" s="60" t="s">
        <v>74</v>
      </c>
      <c r="C37" s="61" t="s">
        <v>75</v>
      </c>
      <c r="D37" s="15"/>
    </row>
    <row r="38" ht="16.5" spans="1:4">
      <c r="A38" s="59" t="s">
        <v>76</v>
      </c>
      <c r="B38" s="60" t="s">
        <v>77</v>
      </c>
      <c r="C38" s="61" t="s">
        <v>78</v>
      </c>
      <c r="D38" s="15"/>
    </row>
    <row r="39" ht="16.5" spans="1:4">
      <c r="A39" s="59" t="s">
        <v>79</v>
      </c>
      <c r="B39" s="60" t="s">
        <v>77</v>
      </c>
      <c r="C39" s="61" t="s">
        <v>80</v>
      </c>
      <c r="D39" s="15"/>
    </row>
    <row r="40" ht="16.5" spans="1:4">
      <c r="A40" s="59" t="s">
        <v>81</v>
      </c>
      <c r="B40" s="60"/>
      <c r="C40" s="61" t="s">
        <v>82</v>
      </c>
      <c r="D40" s="15"/>
    </row>
    <row r="42" ht="24" customHeight="1" spans="1:4">
      <c r="A42" s="63" t="s">
        <v>83</v>
      </c>
      <c r="B42" s="14"/>
      <c r="C42" s="14"/>
      <c r="D42" s="15"/>
    </row>
    <row r="43" ht="16.5" spans="1:4">
      <c r="A43" s="59" t="s">
        <v>84</v>
      </c>
      <c r="B43" s="60" t="s">
        <v>85</v>
      </c>
      <c r="C43" s="61" t="s">
        <v>86</v>
      </c>
      <c r="D43" s="15"/>
    </row>
    <row r="44" ht="16.5" spans="1:4">
      <c r="A44" s="59" t="s">
        <v>87</v>
      </c>
      <c r="B44" s="60" t="s">
        <v>88</v>
      </c>
      <c r="C44" s="61" t="s">
        <v>89</v>
      </c>
      <c r="D44" s="15"/>
    </row>
    <row r="45" ht="16.5" spans="1:4">
      <c r="A45" s="59" t="s">
        <v>90</v>
      </c>
      <c r="B45" s="60" t="s">
        <v>91</v>
      </c>
      <c r="C45" s="61" t="s">
        <v>92</v>
      </c>
      <c r="D45" s="15"/>
    </row>
    <row r="46" ht="16.5" spans="1:4">
      <c r="A46" s="59" t="s">
        <v>93</v>
      </c>
      <c r="B46" s="60" t="s">
        <v>94</v>
      </c>
      <c r="C46" s="61" t="s">
        <v>95</v>
      </c>
      <c r="D46" s="15"/>
    </row>
    <row r="48" ht="24" customHeight="1" spans="1:4">
      <c r="A48" s="63" t="s">
        <v>96</v>
      </c>
      <c r="B48" s="14"/>
      <c r="C48" s="14"/>
      <c r="D48" s="15"/>
    </row>
    <row r="49" ht="18" customHeight="1" spans="1:4">
      <c r="A49" s="64" t="s">
        <v>97</v>
      </c>
      <c r="B49" s="14"/>
      <c r="C49" s="14"/>
      <c r="D49" s="15"/>
    </row>
    <row r="50" ht="18" customHeight="1" spans="1:4">
      <c r="A50" s="64" t="s">
        <v>98</v>
      </c>
      <c r="B50" s="14"/>
      <c r="C50" s="14"/>
      <c r="D50" s="15"/>
    </row>
    <row r="51" ht="18" customHeight="1" spans="1:4">
      <c r="A51" s="64" t="s">
        <v>99</v>
      </c>
      <c r="B51" s="14"/>
      <c r="C51" s="14"/>
      <c r="D51" s="15"/>
    </row>
    <row r="52" ht="18" customHeight="1" spans="1:4">
      <c r="A52" s="65" t="s">
        <v>100</v>
      </c>
      <c r="B52" s="14"/>
      <c r="C52" s="14"/>
      <c r="D52" s="15"/>
    </row>
    <row r="53" ht="18" customHeight="1" spans="1:4">
      <c r="A53" s="64" t="s">
        <v>101</v>
      </c>
      <c r="B53" s="14"/>
      <c r="C53" s="14"/>
      <c r="D53" s="15"/>
    </row>
  </sheetData>
  <mergeCells count="45">
    <mergeCell ref="A1:D1"/>
    <mergeCell ref="A3:D3"/>
    <mergeCell ref="C4:D4"/>
    <mergeCell ref="C5:D5"/>
    <mergeCell ref="C6:D6"/>
    <mergeCell ref="A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A21:D21"/>
    <mergeCell ref="C22:D22"/>
    <mergeCell ref="C23:D23"/>
    <mergeCell ref="C24:D24"/>
    <mergeCell ref="A26:D26"/>
    <mergeCell ref="C27:D27"/>
    <mergeCell ref="C28:D28"/>
    <mergeCell ref="C29:D29"/>
    <mergeCell ref="A31:D31"/>
    <mergeCell ref="C32:D32"/>
    <mergeCell ref="C33:D33"/>
    <mergeCell ref="C34:D34"/>
    <mergeCell ref="A36:D36"/>
    <mergeCell ref="C37:D37"/>
    <mergeCell ref="C38:D38"/>
    <mergeCell ref="C39:D39"/>
    <mergeCell ref="C40:D40"/>
    <mergeCell ref="A42:D42"/>
    <mergeCell ref="C43:D43"/>
    <mergeCell ref="C44:D44"/>
    <mergeCell ref="C45:D45"/>
    <mergeCell ref="C46:D46"/>
    <mergeCell ref="A48:D48"/>
    <mergeCell ref="A49:D49"/>
    <mergeCell ref="A50:D50"/>
    <mergeCell ref="A51:D51"/>
    <mergeCell ref="A52:D52"/>
    <mergeCell ref="A53:D53"/>
  </mergeCells>
  <pageMargins left="0.75" right="0.75" top="1" bottom="1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U210"/>
  <sheetViews>
    <sheetView showGridLines="0" workbookViewId="0">
      <pane ySplit="10" topLeftCell="A11" activePane="bottomLeft" state="frozen"/>
      <selection/>
      <selection pane="bottomLeft" activeCell="M13" sqref="M13"/>
    </sheetView>
  </sheetViews>
  <sheetFormatPr defaultColWidth="9" defaultRowHeight="13.5"/>
  <cols>
    <col min="1" max="1" width="11.75" customWidth="1"/>
    <col min="2" max="2" width="13" customWidth="1"/>
    <col min="3" max="3" width="24" customWidth="1"/>
    <col min="4" max="4" width="15" customWidth="1"/>
    <col min="5" max="5" width="9" customWidth="1"/>
    <col min="6" max="6" width="12" customWidth="1"/>
    <col min="7" max="7" width="15" customWidth="1"/>
    <col min="8" max="8" width="10" customWidth="1"/>
    <col min="9" max="9" width="16" customWidth="1"/>
    <col min="10" max="10" width="26" customWidth="1"/>
    <col min="12" max="12" width="10" customWidth="1"/>
    <col min="13" max="13" width="12" customWidth="1"/>
    <col min="15" max="15" width="14" customWidth="1"/>
    <col min="16" max="16" width="11" customWidth="1"/>
    <col min="18" max="18" width="15" customWidth="1"/>
    <col min="20" max="20" width="20" customWidth="1"/>
  </cols>
  <sheetData>
    <row r="1" ht="30" customHeight="1" spans="1:20">
      <c r="A1" s="1" t="s">
        <v>102</v>
      </c>
    </row>
    <row r="2" ht="24" customHeight="1" spans="1:20">
      <c r="A2" s="2" t="s">
        <v>103</v>
      </c>
    </row>
    <row r="4" ht="16.5" spans="1:20">
      <c r="A4" s="52" t="s">
        <v>104</v>
      </c>
      <c r="B4" s="53" t="s">
        <v>105</v>
      </c>
      <c r="C4" s="54" t="s">
        <v>106</v>
      </c>
    </row>
    <row r="5" ht="16.5" spans="1:20">
      <c r="A5" s="52" t="s">
        <v>107</v>
      </c>
      <c r="B5" s="53">
        <v>2026</v>
      </c>
      <c r="C5" s="54" t="s">
        <v>108</v>
      </c>
    </row>
    <row r="6" ht="16.5" spans="1:20">
      <c r="A6" s="52" t="s">
        <v>109</v>
      </c>
      <c r="B6" s="26">
        <v>46235</v>
      </c>
      <c r="C6" s="54" t="s">
        <v>110</v>
      </c>
    </row>
    <row r="7" ht="16.5" spans="1:20">
      <c r="A7" s="52" t="s">
        <v>111</v>
      </c>
      <c r="B7" s="51">
        <f>IF($B$6="","",EOMONTH($B$6,0))</f>
        <v>46265</v>
      </c>
      <c r="C7" s="54" t="s">
        <v>112</v>
      </c>
    </row>
    <row r="9" ht="22" customHeight="1" spans="1:20">
      <c r="A9" s="34" t="s">
        <v>113</v>
      </c>
      <c r="B9" s="14"/>
      <c r="C9" s="14"/>
      <c r="D9" s="14"/>
      <c r="E9" s="14"/>
      <c r="F9" s="14"/>
      <c r="G9" s="14"/>
      <c r="H9" s="14"/>
      <c r="I9" s="14"/>
      <c r="J9" s="15"/>
      <c r="L9" s="55" t="s">
        <v>114</v>
      </c>
      <c r="M9" s="15"/>
      <c r="O9" s="55" t="s">
        <v>115</v>
      </c>
      <c r="P9" s="15"/>
      <c r="R9" s="55" t="s">
        <v>116</v>
      </c>
      <c r="T9" s="55" t="s">
        <v>117</v>
      </c>
    </row>
    <row r="10" ht="30" customHeight="1" spans="1:20">
      <c r="A10" s="36" t="s">
        <v>118</v>
      </c>
      <c r="B10" s="36" t="s">
        <v>119</v>
      </c>
      <c r="C10" s="36" t="s">
        <v>120</v>
      </c>
      <c r="D10" s="36" t="s">
        <v>121</v>
      </c>
      <c r="E10" s="36" t="s">
        <v>122</v>
      </c>
      <c r="F10" s="36" t="s">
        <v>123</v>
      </c>
      <c r="G10" s="36" t="s">
        <v>124</v>
      </c>
      <c r="H10" s="36" t="s">
        <v>125</v>
      </c>
      <c r="I10" s="36" t="s">
        <v>126</v>
      </c>
      <c r="J10" s="36" t="s">
        <v>127</v>
      </c>
      <c r="L10" s="56" t="s">
        <v>128</v>
      </c>
      <c r="M10" s="56" t="s">
        <v>129</v>
      </c>
      <c r="O10" s="56" t="s">
        <v>130</v>
      </c>
      <c r="P10" s="56" t="s">
        <v>131</v>
      </c>
      <c r="R10" s="56" t="s">
        <v>132</v>
      </c>
      <c r="T10" s="56" t="s">
        <v>133</v>
      </c>
    </row>
    <row r="11" ht="16.5" spans="1:20">
      <c r="A11" s="12">
        <f>IF($C11="","",COUNTA($C$11:$C11))</f>
        <v>1</v>
      </c>
      <c r="B11" s="47" t="s">
        <v>134</v>
      </c>
      <c r="C11" s="47" t="s">
        <v>135</v>
      </c>
      <c r="D11" s="47" t="s">
        <v>136</v>
      </c>
      <c r="E11" s="47" t="s">
        <v>105</v>
      </c>
      <c r="F11" s="47" t="s">
        <v>137</v>
      </c>
      <c r="G11" s="48">
        <v>500000</v>
      </c>
      <c r="H11" s="49"/>
      <c r="I11" s="23">
        <f>IF($C11="","",IFERROR(ROUND(N($G11)*IF($H11&lt;&gt;"",$H11,IF($E11=本位币,1,IFERROR(LOOKUP(2,1/((汇率月份&lt;=重估基准日)*(INDEX(月末汇率区,0,MATCH($E11,汇率币种头,0))&lt;&gt;"")),INDEX(月末汇率区,0,MATCH($E11,汇率币种头,0))),IFERROR(LOOKUP(2,1/((汇率月份&lt;=重估基准日)*(INDEX(记账汇率区,0,MATCH($E11,汇率币种头,0))&lt;&gt;"")),INDEX(记账汇率区,0,MATCH($E11,汇率币种头,0))),"")))),2),""))</f>
        <v>500000</v>
      </c>
      <c r="J11" s="6" t="str">
        <f>IF($C11="","",IF(COUNTIF($C$11:$C$40,$C11)&gt;1,"※账户名称重复了，后面按名字取数会串",IF(AND($E11&lt;&gt;"",COUNTIF(币种表,$E11)=0),"※币种不在右边币种清单里",IF($G11="","※期初余额没填（没有就填 0）",IF(AND($E11&lt;&gt;本位币,$H11="",$I11=""),"△这个币种一个汇率都没填，期初人民币成本算不出来",IF(AND($E11&lt;&gt;本位币,$H11=""),"△没填期初汇率，先拿期末汇率折的",""))))))</f>
        <v/>
      </c>
      <c r="L11" s="47" t="s">
        <v>105</v>
      </c>
      <c r="M11" s="47" t="s">
        <v>138</v>
      </c>
      <c r="O11" s="47" t="s">
        <v>139</v>
      </c>
      <c r="P11" s="47" t="s">
        <v>140</v>
      </c>
      <c r="R11" s="47" t="s">
        <v>141</v>
      </c>
      <c r="T11" s="47" t="s">
        <v>142</v>
      </c>
    </row>
    <row r="12" ht="16.5" spans="1:20">
      <c r="A12" s="12">
        <f>IF($C12="","",COUNTA($C$11:$C12))</f>
        <v>2</v>
      </c>
      <c r="B12" s="47" t="s">
        <v>143</v>
      </c>
      <c r="C12" s="47" t="s">
        <v>144</v>
      </c>
      <c r="D12" s="47" t="s">
        <v>145</v>
      </c>
      <c r="E12" s="47" t="s">
        <v>146</v>
      </c>
      <c r="F12" s="47" t="s">
        <v>147</v>
      </c>
      <c r="G12" s="48">
        <v>800000</v>
      </c>
      <c r="H12" s="49">
        <v>7.15</v>
      </c>
      <c r="I12" s="23">
        <f>IF($C12="","",IFERROR(ROUND(N($G12)*IF($H12&lt;&gt;"",$H12,IF($E12=本位币,1,IFERROR(LOOKUP(2,1/((汇率月份&lt;=重估基准日)*(INDEX(月末汇率区,0,MATCH($E12,汇率币种头,0))&lt;&gt;"")),INDEX(月末汇率区,0,MATCH($E12,汇率币种头,0))),IFERROR(LOOKUP(2,1/((汇率月份&lt;=重估基准日)*(INDEX(记账汇率区,0,MATCH($E12,汇率币种头,0))&lt;&gt;"")),INDEX(记账汇率区,0,MATCH($E12,汇率币种头,0))),"")))),2),""))</f>
        <v>5720000</v>
      </c>
      <c r="J12" s="6" t="str">
        <f>IF($C12="","",IF(COUNTIF($C$11:$C$40,$C12)&gt;1,"※账户名称重复了，后面按名字取数会串",IF(AND($E12&lt;&gt;"",COUNTIF(币种表,$E12)=0),"※币种不在右边币种清单里",IF($G12="","※期初余额没填（没有就填 0）",IF(AND($E12&lt;&gt;本位币,$H12="",$I12=""),"△这个币种一个汇率都没填，期初人民币成本算不出来",IF(AND($E12&lt;&gt;本位币,$H12=""),"△没填期初汇率，先拿期末汇率折的",""))))))</f>
        <v/>
      </c>
      <c r="L12" s="47" t="s">
        <v>146</v>
      </c>
      <c r="M12" s="47" t="s">
        <v>148</v>
      </c>
      <c r="O12" s="47" t="s">
        <v>149</v>
      </c>
      <c r="P12" s="47" t="s">
        <v>140</v>
      </c>
      <c r="R12" s="47" t="s">
        <v>150</v>
      </c>
      <c r="T12" s="47" t="s">
        <v>151</v>
      </c>
    </row>
    <row r="13" ht="16.5" spans="1:20">
      <c r="A13" s="12">
        <f>IF($C13="","",COUNTA($C$11:$C13))</f>
        <v>3</v>
      </c>
      <c r="B13" s="47" t="s">
        <v>152</v>
      </c>
      <c r="C13" s="47" t="s">
        <v>153</v>
      </c>
      <c r="D13" s="47" t="s">
        <v>154</v>
      </c>
      <c r="E13" s="47" t="s">
        <v>155</v>
      </c>
      <c r="F13" s="47" t="s">
        <v>147</v>
      </c>
      <c r="G13" s="48">
        <v>300000</v>
      </c>
      <c r="H13" s="49">
        <v>0.915</v>
      </c>
      <c r="I13" s="23">
        <f>IF($C13="","",IFERROR(ROUND(N($G13)*IF($H13&lt;&gt;"",$H13,IF($E13=本位币,1,IFERROR(LOOKUP(2,1/((汇率月份&lt;=重估基准日)*(INDEX(月末汇率区,0,MATCH($E13,汇率币种头,0))&lt;&gt;"")),INDEX(月末汇率区,0,MATCH($E13,汇率币种头,0))),IFERROR(LOOKUP(2,1/((汇率月份&lt;=重估基准日)*(INDEX(记账汇率区,0,MATCH($E13,汇率币种头,0))&lt;&gt;"")),INDEX(记账汇率区,0,MATCH($E13,汇率币种头,0))),"")))),2),""))</f>
        <v>274500</v>
      </c>
      <c r="J13" s="6" t="str">
        <f>IF($C13="","",IF(COUNTIF($C$11:$C$40,$C13)&gt;1,"※账户名称重复了，后面按名字取数会串",IF(AND($E13&lt;&gt;"",COUNTIF(币种表,$E13)=0),"※币种不在右边币种清单里",IF($G13="","※期初余额没填（没有就填 0）",IF(AND($E13&lt;&gt;本位币,$H13="",$I13=""),"△这个币种一个汇率都没填，期初人民币成本算不出来",IF(AND($E13&lt;&gt;本位币,$H13=""),"△没填期初汇率，先拿期末汇率折的",""))))))</f>
        <v/>
      </c>
      <c r="L13" s="47" t="s">
        <v>155</v>
      </c>
      <c r="M13" s="47" t="s">
        <v>156</v>
      </c>
      <c r="O13" s="47" t="s">
        <v>157</v>
      </c>
      <c r="P13" s="47" t="s">
        <v>140</v>
      </c>
      <c r="R13" s="47" t="s">
        <v>158</v>
      </c>
      <c r="T13" s="47" t="s">
        <v>159</v>
      </c>
    </row>
    <row r="14" ht="16.5" spans="1:20">
      <c r="A14" s="12">
        <f>IF($C14="","",COUNTA($C$11:$C14))</f>
        <v>4</v>
      </c>
      <c r="B14" s="47" t="s">
        <v>160</v>
      </c>
      <c r="C14" s="47" t="s">
        <v>161</v>
      </c>
      <c r="D14" s="47" t="s">
        <v>162</v>
      </c>
      <c r="E14" s="47" t="s">
        <v>105</v>
      </c>
      <c r="F14" s="47" t="s">
        <v>163</v>
      </c>
      <c r="G14" s="48">
        <v>200000</v>
      </c>
      <c r="H14" s="49"/>
      <c r="I14" s="23">
        <f>IF($C14="","",IFERROR(ROUND(N($G14)*IF($H14&lt;&gt;"",$H14,IF($E14=本位币,1,IFERROR(LOOKUP(2,1/((汇率月份&lt;=重估基准日)*(INDEX(月末汇率区,0,MATCH($E14,汇率币种头,0))&lt;&gt;"")),INDEX(月末汇率区,0,MATCH($E14,汇率币种头,0))),IFERROR(LOOKUP(2,1/((汇率月份&lt;=重估基准日)*(INDEX(记账汇率区,0,MATCH($E14,汇率币种头,0))&lt;&gt;"")),INDEX(记账汇率区,0,MATCH($E14,汇率币种头,0))),"")))),2),""))</f>
        <v>200000</v>
      </c>
      <c r="J14" s="6" t="str">
        <f>IF($C14="","",IF(COUNTIF($C$11:$C$40,$C14)&gt;1,"※账户名称重复了，后面按名字取数会串",IF(AND($E14&lt;&gt;"",COUNTIF(币种表,$E14)=0),"※币种不在右边币种清单里",IF($G14="","※期初余额没填（没有就填 0）",IF(AND($E14&lt;&gt;本位币,$H14="",$I14=""),"△这个币种一个汇率都没填，期初人民币成本算不出来",IF(AND($E14&lt;&gt;本位币,$H14=""),"△没填期初汇率，先拿期末汇率折的",""))))))</f>
        <v/>
      </c>
      <c r="L14" s="47" t="s">
        <v>164</v>
      </c>
      <c r="M14" s="47" t="s">
        <v>165</v>
      </c>
      <c r="O14" s="47" t="s">
        <v>166</v>
      </c>
      <c r="P14" s="47" t="s">
        <v>140</v>
      </c>
      <c r="R14" s="47" t="s">
        <v>167</v>
      </c>
      <c r="T14" s="47" t="s">
        <v>168</v>
      </c>
    </row>
    <row r="15" ht="16.5" spans="1:20">
      <c r="A15" s="12">
        <f>IF($C15="","",COUNTA($C$11:$C15))</f>
        <v>5</v>
      </c>
      <c r="B15" s="47" t="s">
        <v>152</v>
      </c>
      <c r="C15" s="47" t="s">
        <v>169</v>
      </c>
      <c r="D15" s="47" t="s">
        <v>170</v>
      </c>
      <c r="E15" s="47" t="s">
        <v>146</v>
      </c>
      <c r="F15" s="47" t="s">
        <v>147</v>
      </c>
      <c r="G15" s="48">
        <v>500000</v>
      </c>
      <c r="H15" s="49">
        <v>7.15</v>
      </c>
      <c r="I15" s="23">
        <f>IF($C15="","",IFERROR(ROUND(N($G15)*IF($H15&lt;&gt;"",$H15,IF($E15=本位币,1,IFERROR(LOOKUP(2,1/((汇率月份&lt;=重估基准日)*(INDEX(月末汇率区,0,MATCH($E15,汇率币种头,0))&lt;&gt;"")),INDEX(月末汇率区,0,MATCH($E15,汇率币种头,0))),IFERROR(LOOKUP(2,1/((汇率月份&lt;=重估基准日)*(INDEX(记账汇率区,0,MATCH($E15,汇率币种头,0))&lt;&gt;"")),INDEX(记账汇率区,0,MATCH($E15,汇率币种头,0))),"")))),2),""))</f>
        <v>3575000</v>
      </c>
      <c r="J15" s="6" t="str">
        <f>IF($C15="","",IF(COUNTIF($C$11:$C$40,$C15)&gt;1,"※账户名称重复了，后面按名字取数会串",IF(AND($E15&lt;&gt;"",COUNTIF(币种表,$E15)=0),"※币种不在右边币种清单里",IF($G15="","※期初余额没填（没有就填 0）",IF(AND($E15&lt;&gt;本位币,$H15="",$I15=""),"△这个币种一个汇率都没填，期初人民币成本算不出来",IF(AND($E15&lt;&gt;本位币,$H15=""),"△没填期初汇率，先拿期末汇率折的",""))))))</f>
        <v/>
      </c>
      <c r="L15" s="47" t="s">
        <v>171</v>
      </c>
      <c r="M15" s="47" t="s">
        <v>172</v>
      </c>
      <c r="O15" s="47" t="s">
        <v>173</v>
      </c>
      <c r="P15" s="47" t="s">
        <v>140</v>
      </c>
      <c r="R15" s="47" t="s">
        <v>174</v>
      </c>
      <c r="T15" s="47" t="s">
        <v>175</v>
      </c>
    </row>
    <row r="16" ht="16.5" spans="1:20">
      <c r="A16" s="12">
        <f>IF($C16="","",COUNTA($C$11:$C16))</f>
        <v>6</v>
      </c>
      <c r="B16" s="47" t="s">
        <v>143</v>
      </c>
      <c r="C16" s="47" t="s">
        <v>176</v>
      </c>
      <c r="D16" s="47" t="s">
        <v>177</v>
      </c>
      <c r="E16" s="47" t="s">
        <v>164</v>
      </c>
      <c r="F16" s="47" t="s">
        <v>147</v>
      </c>
      <c r="G16" s="48">
        <v>120000</v>
      </c>
      <c r="H16" s="49"/>
      <c r="I16" s="23">
        <f>IF($C16="","",IFERROR(ROUND(N($G16)*IF($H16&lt;&gt;"",$H16,IF($E16=本位币,1,IFERROR(LOOKUP(2,1/((汇率月份&lt;=重估基准日)*(INDEX(月末汇率区,0,MATCH($E16,汇率币种头,0))&lt;&gt;"")),INDEX(月末汇率区,0,MATCH($E16,汇率币种头,0))),IFERROR(LOOKUP(2,1/((汇率月份&lt;=重估基准日)*(INDEX(记账汇率区,0,MATCH($E16,汇率币种头,0))&lt;&gt;"")),INDEX(记账汇率区,0,MATCH($E16,汇率币种头,0))),"")))),2),""))</f>
        <v>922800</v>
      </c>
      <c r="J16" s="6" t="str">
        <f>IF($C16="","",IF(COUNTIF($C$11:$C$40,$C16)&gt;1,"※账户名称重复了，后面按名字取数会串",IF(AND($E16&lt;&gt;"",COUNTIF(币种表,$E16)=0),"※币种不在右边币种清单里",IF($G16="","※期初余额没填（没有就填 0）",IF(AND($E16&lt;&gt;本位币,$H16="",$I16=""),"△这个币种一个汇率都没填，期初人民币成本算不出来",IF(AND($E16&lt;&gt;本位币,$H16=""),"△没填期初汇率，先拿期末汇率折的",""))))))</f>
        <v>△没填期初汇率，先拿期末汇率折的</v>
      </c>
      <c r="L16" s="47" t="s">
        <v>178</v>
      </c>
      <c r="M16" s="47" t="s">
        <v>179</v>
      </c>
      <c r="O16" s="47" t="s">
        <v>180</v>
      </c>
      <c r="P16" s="47" t="s">
        <v>140</v>
      </c>
      <c r="R16" s="47" t="s">
        <v>181</v>
      </c>
      <c r="T16" s="47" t="s">
        <v>182</v>
      </c>
    </row>
    <row r="17" ht="16.5" spans="1:20">
      <c r="A17" s="12" t="str">
        <f>IF($C17="","",COUNTA($C$11:$C17))</f>
        <v/>
      </c>
      <c r="B17" s="47"/>
      <c r="C17" s="47"/>
      <c r="D17" s="47"/>
      <c r="E17" s="47"/>
      <c r="F17" s="47"/>
      <c r="G17" s="48"/>
      <c r="H17" s="49"/>
      <c r="I17" s="23" t="str">
        <f>IF($C17="","",IFERROR(ROUND(N($G17)*IF($H17&lt;&gt;"",$H17,IF($E17=本位币,1,IFERROR(LOOKUP(2,1/((汇率月份&lt;=重估基准日)*(INDEX(月末汇率区,0,MATCH($E17,汇率币种头,0))&lt;&gt;"")),INDEX(月末汇率区,0,MATCH($E17,汇率币种头,0))),IFERROR(LOOKUP(2,1/((汇率月份&lt;=重估基准日)*(INDEX(记账汇率区,0,MATCH($E17,汇率币种头,0))&lt;&gt;"")),INDEX(记账汇率区,0,MATCH($E17,汇率币种头,0))),"")))),2),""))</f>
        <v/>
      </c>
      <c r="J17" s="6" t="str">
        <f>IF($C17="","",IF(COUNTIF($C$11:$C$40,$C17)&gt;1,"※账户名称重复了，后面按名字取数会串",IF(AND($E17&lt;&gt;"",COUNTIF(币种表,$E17)=0),"※币种不在右边币种清单里",IF($G17="","※期初余额没填（没有就填 0）",IF(AND($E17&lt;&gt;本位币,$H17="",$I17=""),"△这个币种一个汇率都没填，期初人民币成本算不出来",IF(AND($E17&lt;&gt;本位币,$H17=""),"△没填期初汇率，先拿期末汇率折的",""))))))</f>
        <v/>
      </c>
      <c r="L17" s="47" t="s">
        <v>183</v>
      </c>
      <c r="M17" s="47" t="s">
        <v>184</v>
      </c>
      <c r="O17" s="47" t="s">
        <v>185</v>
      </c>
      <c r="P17" s="47" t="s">
        <v>186</v>
      </c>
      <c r="R17" s="47" t="s">
        <v>187</v>
      </c>
      <c r="T17" s="47" t="s">
        <v>188</v>
      </c>
    </row>
    <row r="18" ht="16.5" spans="1:20">
      <c r="A18" s="12" t="str">
        <f>IF($C18="","",COUNTA($C$11:$C18))</f>
        <v/>
      </c>
      <c r="B18" s="47"/>
      <c r="C18" s="47"/>
      <c r="D18" s="47"/>
      <c r="E18" s="47"/>
      <c r="F18" s="47"/>
      <c r="G18" s="48"/>
      <c r="H18" s="49"/>
      <c r="I18" s="23" t="str">
        <f>IF($C18="","",IFERROR(ROUND(N($G18)*IF($H18&lt;&gt;"",$H18,IF($E18=本位币,1,IFERROR(LOOKUP(2,1/((汇率月份&lt;=重估基准日)*(INDEX(月末汇率区,0,MATCH($E18,汇率币种头,0))&lt;&gt;"")),INDEX(月末汇率区,0,MATCH($E18,汇率币种头,0))),IFERROR(LOOKUP(2,1/((汇率月份&lt;=重估基准日)*(INDEX(记账汇率区,0,MATCH($E18,汇率币种头,0))&lt;&gt;"")),INDEX(记账汇率区,0,MATCH($E18,汇率币种头,0))),"")))),2),""))</f>
        <v/>
      </c>
      <c r="J18" s="6" t="str">
        <f>IF($C18="","",IF(COUNTIF($C$11:$C$40,$C18)&gt;1,"※账户名称重复了，后面按名字取数会串",IF(AND($E18&lt;&gt;"",COUNTIF(币种表,$E18)=0),"※币种不在右边币种清单里",IF($G18="","※期初余额没填（没有就填 0）",IF(AND($E18&lt;&gt;本位币,$H18="",$I18=""),"△这个币种一个汇率都没填，期初人民币成本算不出来",IF(AND($E18&lt;&gt;本位币,$H18=""),"△没填期初汇率，先拿期末汇率折的",""))))))</f>
        <v/>
      </c>
      <c r="L18" s="47" t="s">
        <v>189</v>
      </c>
      <c r="M18" s="47" t="s">
        <v>190</v>
      </c>
      <c r="O18" s="47" t="s">
        <v>191</v>
      </c>
      <c r="P18" s="47" t="s">
        <v>186</v>
      </c>
      <c r="R18" s="47" t="s">
        <v>192</v>
      </c>
      <c r="T18" s="47" t="s">
        <v>193</v>
      </c>
    </row>
    <row r="19" ht="16.5" spans="1:20">
      <c r="A19" s="12" t="str">
        <f>IF($C19="","",COUNTA($C$11:$C19))</f>
        <v/>
      </c>
      <c r="B19" s="47"/>
      <c r="C19" s="47"/>
      <c r="D19" s="47"/>
      <c r="E19" s="47"/>
      <c r="F19" s="47"/>
      <c r="G19" s="48"/>
      <c r="H19" s="49"/>
      <c r="I19" s="23" t="str">
        <f>IF($C19="","",IFERROR(ROUND(N($G19)*IF($H19&lt;&gt;"",$H19,IF($E19=本位币,1,IFERROR(LOOKUP(2,1/((汇率月份&lt;=重估基准日)*(INDEX(月末汇率区,0,MATCH($E19,汇率币种头,0))&lt;&gt;"")),INDEX(月末汇率区,0,MATCH($E19,汇率币种头,0))),IFERROR(LOOKUP(2,1/((汇率月份&lt;=重估基准日)*(INDEX(记账汇率区,0,MATCH($E19,汇率币种头,0))&lt;&gt;"")),INDEX(记账汇率区,0,MATCH($E19,汇率币种头,0))),"")))),2),""))</f>
        <v/>
      </c>
      <c r="J19" s="6" t="str">
        <f>IF($C19="","",IF(COUNTIF($C$11:$C$40,$C19)&gt;1,"※账户名称重复了，后面按名字取数会串",IF(AND($E19&lt;&gt;"",COUNTIF(币种表,$E19)=0),"※币种不在右边币种清单里",IF($G19="","※期初余额没填（没有就填 0）",IF(AND($E19&lt;&gt;本位币,$H19="",$I19=""),"△这个币种一个汇率都没填，期初人民币成本算不出来",IF(AND($E19&lt;&gt;本位币,$H19=""),"△没填期初汇率，先拿期末汇率折的",""))))))</f>
        <v/>
      </c>
      <c r="O19" s="47" t="s">
        <v>194</v>
      </c>
      <c r="P19" s="47" t="s">
        <v>186</v>
      </c>
      <c r="R19" s="47" t="s">
        <v>195</v>
      </c>
      <c r="T19" s="47" t="s">
        <v>196</v>
      </c>
    </row>
    <row r="20" ht="16.5" spans="1:20">
      <c r="A20" s="12" t="str">
        <f>IF($C20="","",COUNTA($C$11:$C20))</f>
        <v/>
      </c>
      <c r="B20" s="47"/>
      <c r="C20" s="47"/>
      <c r="D20" s="47"/>
      <c r="E20" s="47"/>
      <c r="F20" s="47"/>
      <c r="G20" s="48"/>
      <c r="H20" s="49"/>
      <c r="I20" s="23" t="str">
        <f>IF($C20="","",IFERROR(ROUND(N($G20)*IF($H20&lt;&gt;"",$H20,IF($E20=本位币,1,IFERROR(LOOKUP(2,1/((汇率月份&lt;=重估基准日)*(INDEX(月末汇率区,0,MATCH($E20,汇率币种头,0))&lt;&gt;"")),INDEX(月末汇率区,0,MATCH($E20,汇率币种头,0))),IFERROR(LOOKUP(2,1/((汇率月份&lt;=重估基准日)*(INDEX(记账汇率区,0,MATCH($E20,汇率币种头,0))&lt;&gt;"")),INDEX(记账汇率区,0,MATCH($E20,汇率币种头,0))),"")))),2),""))</f>
        <v/>
      </c>
      <c r="J20" s="6" t="str">
        <f>IF($C20="","",IF(COUNTIF($C$11:$C$40,$C20)&gt;1,"※账户名称重复了，后面按名字取数会串",IF(AND($E20&lt;&gt;"",COUNTIF(币种表,$E20)=0),"※币种不在右边币种清单里",IF($G20="","※期初余额没填（没有就填 0）",IF(AND($E20&lt;&gt;本位币,$H20="",$I20=""),"△这个币种一个汇率都没填，期初人民币成本算不出来",IF(AND($E20&lt;&gt;本位币,$H20=""),"△没填期初汇率，先拿期末汇率折的",""))))))</f>
        <v/>
      </c>
      <c r="O20" s="47" t="s">
        <v>197</v>
      </c>
      <c r="P20" s="47" t="s">
        <v>186</v>
      </c>
      <c r="R20" s="47" t="s">
        <v>198</v>
      </c>
      <c r="T20" s="47" t="s">
        <v>199</v>
      </c>
    </row>
    <row r="21" ht="16.5" spans="1:20">
      <c r="A21" s="12" t="str">
        <f>IF($C21="","",COUNTA($C$11:$C21))</f>
        <v/>
      </c>
      <c r="B21" s="47"/>
      <c r="C21" s="47"/>
      <c r="D21" s="47"/>
      <c r="E21" s="47"/>
      <c r="F21" s="47"/>
      <c r="G21" s="48"/>
      <c r="H21" s="49"/>
      <c r="I21" s="23" t="str">
        <f>IF($C21="","",IFERROR(ROUND(N($G21)*IF($H21&lt;&gt;"",$H21,IF($E21=本位币,1,IFERROR(LOOKUP(2,1/((汇率月份&lt;=重估基准日)*(INDEX(月末汇率区,0,MATCH($E21,汇率币种头,0))&lt;&gt;"")),INDEX(月末汇率区,0,MATCH($E21,汇率币种头,0))),IFERROR(LOOKUP(2,1/((汇率月份&lt;=重估基准日)*(INDEX(记账汇率区,0,MATCH($E21,汇率币种头,0))&lt;&gt;"")),INDEX(记账汇率区,0,MATCH($E21,汇率币种头,0))),"")))),2),""))</f>
        <v/>
      </c>
      <c r="J21" s="6" t="str">
        <f>IF($C21="","",IF(COUNTIF($C$11:$C$40,$C21)&gt;1,"※账户名称重复了，后面按名字取数会串",IF(AND($E21&lt;&gt;"",COUNTIF(币种表,$E21)=0),"※币种不在右边币种清单里",IF($G21="","※期初余额没填（没有就填 0）",IF(AND($E21&lt;&gt;本位币,$H21="",$I21=""),"△这个币种一个汇率都没填，期初人民币成本算不出来",IF(AND($E21&lt;&gt;本位币,$H21=""),"△没填期初汇率，先拿期末汇率折的",""))))))</f>
        <v/>
      </c>
      <c r="O21" s="47" t="s">
        <v>200</v>
      </c>
      <c r="P21" s="47" t="s">
        <v>186</v>
      </c>
      <c r="R21" s="47" t="s">
        <v>201</v>
      </c>
      <c r="T21" s="47" t="s">
        <v>202</v>
      </c>
    </row>
    <row r="22" ht="16.5" spans="1:20">
      <c r="A22" s="12" t="str">
        <f>IF($C22="","",COUNTA($C$11:$C22))</f>
        <v/>
      </c>
      <c r="B22" s="47"/>
      <c r="C22" s="47"/>
      <c r="D22" s="47"/>
      <c r="E22" s="47"/>
      <c r="F22" s="47"/>
      <c r="G22" s="48"/>
      <c r="H22" s="49"/>
      <c r="I22" s="23" t="str">
        <f>IF($C22="","",IFERROR(ROUND(N($G22)*IF($H22&lt;&gt;"",$H22,IF($E22=本位币,1,IFERROR(LOOKUP(2,1/((汇率月份&lt;=重估基准日)*(INDEX(月末汇率区,0,MATCH($E22,汇率币种头,0))&lt;&gt;"")),INDEX(月末汇率区,0,MATCH($E22,汇率币种头,0))),IFERROR(LOOKUP(2,1/((汇率月份&lt;=重估基准日)*(INDEX(记账汇率区,0,MATCH($E22,汇率币种头,0))&lt;&gt;"")),INDEX(记账汇率区,0,MATCH($E22,汇率币种头,0))),"")))),2),""))</f>
        <v/>
      </c>
      <c r="J22" s="6" t="str">
        <f>IF($C22="","",IF(COUNTIF($C$11:$C$40,$C22)&gt;1,"※账户名称重复了，后面按名字取数会串",IF(AND($E22&lt;&gt;"",COUNTIF(币种表,$E22)=0),"※币种不在右边币种清单里",IF($G22="","※期初余额没填（没有就填 0）",IF(AND($E22&lt;&gt;本位币,$H22="",$I22=""),"△这个币种一个汇率都没填，期初人民币成本算不出来",IF(AND($E22&lt;&gt;本位币,$H22=""),"△没填期初汇率，先拿期末汇率折的",""))))))</f>
        <v/>
      </c>
      <c r="O22" s="47" t="s">
        <v>203</v>
      </c>
      <c r="P22" s="47" t="s">
        <v>186</v>
      </c>
      <c r="R22" s="47"/>
      <c r="T22" s="47" t="s">
        <v>204</v>
      </c>
    </row>
    <row r="23" ht="16.5" spans="1:20">
      <c r="A23" s="12" t="str">
        <f>IF($C23="","",COUNTA($C$11:$C23))</f>
        <v/>
      </c>
      <c r="B23" s="47"/>
      <c r="C23" s="47"/>
      <c r="D23" s="47"/>
      <c r="E23" s="47"/>
      <c r="F23" s="47"/>
      <c r="G23" s="48"/>
      <c r="H23" s="49"/>
      <c r="I23" s="23" t="str">
        <f>IF($C23="","",IFERROR(ROUND(N($G23)*IF($H23&lt;&gt;"",$H23,IF($E23=本位币,1,IFERROR(LOOKUP(2,1/((汇率月份&lt;=重估基准日)*(INDEX(月末汇率区,0,MATCH($E23,汇率币种头,0))&lt;&gt;"")),INDEX(月末汇率区,0,MATCH($E23,汇率币种头,0))),IFERROR(LOOKUP(2,1/((汇率月份&lt;=重估基准日)*(INDEX(记账汇率区,0,MATCH($E23,汇率币种头,0))&lt;&gt;"")),INDEX(记账汇率区,0,MATCH($E23,汇率币种头,0))),"")))),2),""))</f>
        <v/>
      </c>
      <c r="J23" s="6" t="str">
        <f>IF($C23="","",IF(COUNTIF($C$11:$C$40,$C23)&gt;1,"※账户名称重复了，后面按名字取数会串",IF(AND($E23&lt;&gt;"",COUNTIF(币种表,$E23)=0),"※币种不在右边币种清单里",IF($G23="","※期初余额没填（没有就填 0）",IF(AND($E23&lt;&gt;本位币,$H23="",$I23=""),"△这个币种一个汇率都没填，期初人民币成本算不出来",IF(AND($E23&lt;&gt;本位币,$H23=""),"△没填期初汇率，先拿期末汇率折的",""))))))</f>
        <v/>
      </c>
      <c r="O23" s="47" t="s">
        <v>205</v>
      </c>
      <c r="P23" s="47" t="s">
        <v>186</v>
      </c>
      <c r="R23" s="47"/>
      <c r="T23" s="47" t="s">
        <v>206</v>
      </c>
    </row>
    <row r="24" ht="16.5" spans="1:20">
      <c r="A24" s="12" t="str">
        <f>IF($C24="","",COUNTA($C$11:$C24))</f>
        <v/>
      </c>
      <c r="B24" s="47"/>
      <c r="C24" s="47"/>
      <c r="D24" s="47"/>
      <c r="E24" s="47"/>
      <c r="F24" s="47"/>
      <c r="G24" s="48"/>
      <c r="H24" s="49"/>
      <c r="I24" s="23" t="str">
        <f>IF($C24="","",IFERROR(ROUND(N($G24)*IF($H24&lt;&gt;"",$H24,IF($E24=本位币,1,IFERROR(LOOKUP(2,1/((汇率月份&lt;=重估基准日)*(INDEX(月末汇率区,0,MATCH($E24,汇率币种头,0))&lt;&gt;"")),INDEX(月末汇率区,0,MATCH($E24,汇率币种头,0))),IFERROR(LOOKUP(2,1/((汇率月份&lt;=重估基准日)*(INDEX(记账汇率区,0,MATCH($E24,汇率币种头,0))&lt;&gt;"")),INDEX(记账汇率区,0,MATCH($E24,汇率币种头,0))),"")))),2),""))</f>
        <v/>
      </c>
      <c r="J24" s="6" t="str">
        <f>IF($C24="","",IF(COUNTIF($C$11:$C$40,$C24)&gt;1,"※账户名称重复了，后面按名字取数会串",IF(AND($E24&lt;&gt;"",COUNTIF(币种表,$E24)=0),"※币种不在右边币种清单里",IF($G24="","※期初余额没填（没有就填 0）",IF(AND($E24&lt;&gt;本位币,$H24="",$I24=""),"△这个币种一个汇率都没填，期初人民币成本算不出来",IF(AND($E24&lt;&gt;本位币,$H24=""),"△没填期初汇率，先拿期末汇率折的",""))))))</f>
        <v/>
      </c>
      <c r="O24" s="47" t="s">
        <v>207</v>
      </c>
      <c r="P24" s="47" t="s">
        <v>186</v>
      </c>
      <c r="R24" s="47"/>
      <c r="T24" s="47" t="s">
        <v>208</v>
      </c>
    </row>
    <row r="25" ht="16.5" spans="1:20">
      <c r="A25" s="12" t="str">
        <f>IF($C25="","",COUNTA($C$11:$C25))</f>
        <v/>
      </c>
      <c r="B25" s="47"/>
      <c r="C25" s="47"/>
      <c r="D25" s="47"/>
      <c r="E25" s="47"/>
      <c r="F25" s="47"/>
      <c r="G25" s="48"/>
      <c r="H25" s="49"/>
      <c r="I25" s="23" t="str">
        <f>IF($C25="","",IFERROR(ROUND(N($G25)*IF($H25&lt;&gt;"",$H25,IF($E25=本位币,1,IFERROR(LOOKUP(2,1/((汇率月份&lt;=重估基准日)*(INDEX(月末汇率区,0,MATCH($E25,汇率币种头,0))&lt;&gt;"")),INDEX(月末汇率区,0,MATCH($E25,汇率币种头,0))),IFERROR(LOOKUP(2,1/((汇率月份&lt;=重估基准日)*(INDEX(记账汇率区,0,MATCH($E25,汇率币种头,0))&lt;&gt;"")),INDEX(记账汇率区,0,MATCH($E25,汇率币种头,0))),"")))),2),""))</f>
        <v/>
      </c>
      <c r="J25" s="6" t="str">
        <f>IF($C25="","",IF(COUNTIF($C$11:$C$40,$C25)&gt;1,"※账户名称重复了，后面按名字取数会串",IF(AND($E25&lt;&gt;"",COUNTIF(币种表,$E25)=0),"※币种不在右边币种清单里",IF($G25="","※期初余额没填（没有就填 0）",IF(AND($E25&lt;&gt;本位币,$H25="",$I25=""),"△这个币种一个汇率都没填，期初人民币成本算不出来",IF(AND($E25&lt;&gt;本位币,$H25=""),"△没填期初汇率，先拿期末汇率折的",""))))))</f>
        <v/>
      </c>
      <c r="O25" s="47" t="s">
        <v>209</v>
      </c>
      <c r="P25" s="47" t="s">
        <v>186</v>
      </c>
      <c r="R25" s="47"/>
      <c r="T25" s="47" t="s">
        <v>210</v>
      </c>
    </row>
    <row r="26" ht="16.5" spans="1:20">
      <c r="A26" s="12" t="str">
        <f>IF($C26="","",COUNTA($C$11:$C26))</f>
        <v/>
      </c>
      <c r="B26" s="47"/>
      <c r="C26" s="47"/>
      <c r="D26" s="47"/>
      <c r="E26" s="47"/>
      <c r="F26" s="47"/>
      <c r="G26" s="48"/>
      <c r="H26" s="49"/>
      <c r="I26" s="23" t="str">
        <f>IF($C26="","",IFERROR(ROUND(N($G26)*IF($H26&lt;&gt;"",$H26,IF($E26=本位币,1,IFERROR(LOOKUP(2,1/((汇率月份&lt;=重估基准日)*(INDEX(月末汇率区,0,MATCH($E26,汇率币种头,0))&lt;&gt;"")),INDEX(月末汇率区,0,MATCH($E26,汇率币种头,0))),IFERROR(LOOKUP(2,1/((汇率月份&lt;=重估基准日)*(INDEX(记账汇率区,0,MATCH($E26,汇率币种头,0))&lt;&gt;"")),INDEX(记账汇率区,0,MATCH($E26,汇率币种头,0))),"")))),2),""))</f>
        <v/>
      </c>
      <c r="J26" s="6" t="str">
        <f>IF($C26="","",IF(COUNTIF($C$11:$C$40,$C26)&gt;1,"※账户名称重复了，后面按名字取数会串",IF(AND($E26&lt;&gt;"",COUNTIF(币种表,$E26)=0),"※币种不在右边币种清单里",IF($G26="","※期初余额没填（没有就填 0）",IF(AND($E26&lt;&gt;本位币,$H26="",$I26=""),"△这个币种一个汇率都没填，期初人民币成本算不出来",IF(AND($E26&lt;&gt;本位币,$H26=""),"△没填期初汇率，先拿期末汇率折的",""))))))</f>
        <v/>
      </c>
      <c r="O26" s="47" t="s">
        <v>211</v>
      </c>
      <c r="P26" s="47" t="s">
        <v>211</v>
      </c>
      <c r="R26" s="47"/>
      <c r="T26" s="47"/>
    </row>
    <row r="27" ht="16.5" spans="1:20">
      <c r="A27" s="12" t="str">
        <f>IF($C27="","",COUNTA($C$11:$C27))</f>
        <v/>
      </c>
      <c r="B27" s="47"/>
      <c r="C27" s="47"/>
      <c r="D27" s="47"/>
      <c r="E27" s="47"/>
      <c r="F27" s="47"/>
      <c r="G27" s="48"/>
      <c r="H27" s="49"/>
      <c r="I27" s="23" t="str">
        <f>IF($C27="","",IFERROR(ROUND(N($G27)*IF($H27&lt;&gt;"",$H27,IF($E27=本位币,1,IFERROR(LOOKUP(2,1/((汇率月份&lt;=重估基准日)*(INDEX(月末汇率区,0,MATCH($E27,汇率币种头,0))&lt;&gt;"")),INDEX(月末汇率区,0,MATCH($E27,汇率币种头,0))),IFERROR(LOOKUP(2,1/((汇率月份&lt;=重估基准日)*(INDEX(记账汇率区,0,MATCH($E27,汇率币种头,0))&lt;&gt;"")),INDEX(记账汇率区,0,MATCH($E27,汇率币种头,0))),"")))),2),""))</f>
        <v/>
      </c>
      <c r="J27" s="6" t="str">
        <f>IF($C27="","",IF(COUNTIF($C$11:$C$40,$C27)&gt;1,"※账户名称重复了，后面按名字取数会串",IF(AND($E27&lt;&gt;"",COUNTIF(币种表,$E27)=0),"※币种不在右边币种清单里",IF($G27="","※期初余额没填（没有就填 0）",IF(AND($E27&lt;&gt;本位币,$H27="",$I27=""),"△这个币种一个汇率都没填，期初人民币成本算不出来",IF(AND($E27&lt;&gt;本位币,$H27=""),"△没填期初汇率，先拿期末汇率折的",""))))))</f>
        <v/>
      </c>
      <c r="O27" s="47" t="s">
        <v>212</v>
      </c>
      <c r="P27" s="47" t="s">
        <v>211</v>
      </c>
      <c r="R27" s="47"/>
      <c r="T27" s="47"/>
    </row>
    <row r="28" ht="16.5" spans="1:20">
      <c r="A28" s="12" t="str">
        <f>IF($C28="","",COUNTA($C$11:$C28))</f>
        <v/>
      </c>
      <c r="B28" s="47"/>
      <c r="C28" s="47"/>
      <c r="D28" s="47"/>
      <c r="E28" s="47"/>
      <c r="F28" s="47"/>
      <c r="G28" s="48"/>
      <c r="H28" s="49"/>
      <c r="I28" s="23" t="str">
        <f>IF($C28="","",IFERROR(ROUND(N($G28)*IF($H28&lt;&gt;"",$H28,IF($E28=本位币,1,IFERROR(LOOKUP(2,1/((汇率月份&lt;=重估基准日)*(INDEX(月末汇率区,0,MATCH($E28,汇率币种头,0))&lt;&gt;"")),INDEX(月末汇率区,0,MATCH($E28,汇率币种头,0))),IFERROR(LOOKUP(2,1/((汇率月份&lt;=重估基准日)*(INDEX(记账汇率区,0,MATCH($E28,汇率币种头,0))&lt;&gt;"")),INDEX(记账汇率区,0,MATCH($E28,汇率币种头,0))),"")))),2),""))</f>
        <v/>
      </c>
      <c r="J28" s="6" t="str">
        <f>IF($C28="","",IF(COUNTIF($C$11:$C$40,$C28)&gt;1,"※账户名称重复了，后面按名字取数会串",IF(AND($E28&lt;&gt;"",COUNTIF(币种表,$E28)=0),"※币种不在右边币种清单里",IF($G28="","※期初余额没填（没有就填 0）",IF(AND($E28&lt;&gt;本位币,$H28="",$I28=""),"△这个币种一个汇率都没填，期初人民币成本算不出来",IF(AND($E28&lt;&gt;本位币,$H28=""),"△没填期初汇率，先拿期末汇率折的",""))))))</f>
        <v/>
      </c>
      <c r="O28" s="47"/>
      <c r="P28" s="47"/>
      <c r="R28" s="47"/>
      <c r="T28" s="47"/>
    </row>
    <row r="29" ht="16.5" spans="1:20">
      <c r="A29" s="12" t="str">
        <f>IF($C29="","",COUNTA($C$11:$C29))</f>
        <v/>
      </c>
      <c r="B29" s="47"/>
      <c r="C29" s="47"/>
      <c r="D29" s="47"/>
      <c r="E29" s="47"/>
      <c r="F29" s="47"/>
      <c r="G29" s="48"/>
      <c r="H29" s="49"/>
      <c r="I29" s="23" t="str">
        <f>IF($C29="","",IFERROR(ROUND(N($G29)*IF($H29&lt;&gt;"",$H29,IF($E29=本位币,1,IFERROR(LOOKUP(2,1/((汇率月份&lt;=重估基准日)*(INDEX(月末汇率区,0,MATCH($E29,汇率币种头,0))&lt;&gt;"")),INDEX(月末汇率区,0,MATCH($E29,汇率币种头,0))),IFERROR(LOOKUP(2,1/((汇率月份&lt;=重估基准日)*(INDEX(记账汇率区,0,MATCH($E29,汇率币种头,0))&lt;&gt;"")),INDEX(记账汇率区,0,MATCH($E29,汇率币种头,0))),"")))),2),""))</f>
        <v/>
      </c>
      <c r="J29" s="6" t="str">
        <f>IF($C29="","",IF(COUNTIF($C$11:$C$40,$C29)&gt;1,"※账户名称重复了，后面按名字取数会串",IF(AND($E29&lt;&gt;"",COUNTIF(币种表,$E29)=0),"※币种不在右边币种清单里",IF($G29="","※期初余额没填（没有就填 0）",IF(AND($E29&lt;&gt;本位币,$H29="",$I29=""),"△这个币种一个汇率都没填，期初人民币成本算不出来",IF(AND($E29&lt;&gt;本位币,$H29=""),"△没填期初汇率，先拿期末汇率折的",""))))))</f>
        <v/>
      </c>
      <c r="O29" s="47"/>
      <c r="P29" s="47"/>
      <c r="R29" s="47"/>
      <c r="T29" s="47"/>
    </row>
    <row r="30" ht="16.5" spans="1:20">
      <c r="A30" s="12" t="str">
        <f>IF($C30="","",COUNTA($C$11:$C30))</f>
        <v/>
      </c>
      <c r="B30" s="47"/>
      <c r="C30" s="47"/>
      <c r="D30" s="47"/>
      <c r="E30" s="47"/>
      <c r="F30" s="47"/>
      <c r="G30" s="48"/>
      <c r="H30" s="49"/>
      <c r="I30" s="23" t="str">
        <f>IF($C30="","",IFERROR(ROUND(N($G30)*IF($H30&lt;&gt;"",$H30,IF($E30=本位币,1,IFERROR(LOOKUP(2,1/((汇率月份&lt;=重估基准日)*(INDEX(月末汇率区,0,MATCH($E30,汇率币种头,0))&lt;&gt;"")),INDEX(月末汇率区,0,MATCH($E30,汇率币种头,0))),IFERROR(LOOKUP(2,1/((汇率月份&lt;=重估基准日)*(INDEX(记账汇率区,0,MATCH($E30,汇率币种头,0))&lt;&gt;"")),INDEX(记账汇率区,0,MATCH($E30,汇率币种头,0))),"")))),2),""))</f>
        <v/>
      </c>
      <c r="J30" s="6" t="str">
        <f>IF($C30="","",IF(COUNTIF($C$11:$C$40,$C30)&gt;1,"※账户名称重复了，后面按名字取数会串",IF(AND($E30&lt;&gt;"",COUNTIF(币种表,$E30)=0),"※币种不在右边币种清单里",IF($G30="","※期初余额没填（没有就填 0）",IF(AND($E30&lt;&gt;本位币,$H30="",$I30=""),"△这个币种一个汇率都没填，期初人民币成本算不出来",IF(AND($E30&lt;&gt;本位币,$H30=""),"△没填期初汇率，先拿期末汇率折的",""))))))</f>
        <v/>
      </c>
      <c r="O30" s="47"/>
      <c r="P30" s="47"/>
      <c r="R30" s="47"/>
      <c r="T30" s="47"/>
    </row>
    <row r="31" ht="16.5" spans="1:20">
      <c r="A31" s="12" t="str">
        <f>IF($C31="","",COUNTA($C$11:$C31))</f>
        <v/>
      </c>
      <c r="B31" s="47"/>
      <c r="C31" s="47"/>
      <c r="D31" s="47"/>
      <c r="E31" s="47"/>
      <c r="F31" s="47"/>
      <c r="G31" s="48"/>
      <c r="H31" s="49"/>
      <c r="I31" s="23" t="str">
        <f>IF($C31="","",IFERROR(ROUND(N($G31)*IF($H31&lt;&gt;"",$H31,IF($E31=本位币,1,IFERROR(LOOKUP(2,1/((汇率月份&lt;=重估基准日)*(INDEX(月末汇率区,0,MATCH($E31,汇率币种头,0))&lt;&gt;"")),INDEX(月末汇率区,0,MATCH($E31,汇率币种头,0))),IFERROR(LOOKUP(2,1/((汇率月份&lt;=重估基准日)*(INDEX(记账汇率区,0,MATCH($E31,汇率币种头,0))&lt;&gt;"")),INDEX(记账汇率区,0,MATCH($E31,汇率币种头,0))),"")))),2),""))</f>
        <v/>
      </c>
      <c r="J31" s="6" t="str">
        <f>IF($C31="","",IF(COUNTIF($C$11:$C$40,$C31)&gt;1,"※账户名称重复了，后面按名字取数会串",IF(AND($E31&lt;&gt;"",COUNTIF(币种表,$E31)=0),"※币种不在右边币种清单里",IF($G31="","※期初余额没填（没有就填 0）",IF(AND($E31&lt;&gt;本位币,$H31="",$I31=""),"△这个币种一个汇率都没填，期初人民币成本算不出来",IF(AND($E31&lt;&gt;本位币,$H31=""),"△没填期初汇率，先拿期末汇率折的",""))))))</f>
        <v/>
      </c>
      <c r="O31" s="47"/>
      <c r="P31" s="47"/>
      <c r="R31" s="47"/>
      <c r="T31" s="47"/>
    </row>
    <row r="32" ht="16.5" spans="1:20">
      <c r="A32" s="12" t="str">
        <f>IF($C32="","",COUNTA($C$11:$C32))</f>
        <v/>
      </c>
      <c r="B32" s="47"/>
      <c r="C32" s="47"/>
      <c r="D32" s="47"/>
      <c r="E32" s="47"/>
      <c r="F32" s="47"/>
      <c r="G32" s="48"/>
      <c r="H32" s="49"/>
      <c r="I32" s="23" t="str">
        <f>IF($C32="","",IFERROR(ROUND(N($G32)*IF($H32&lt;&gt;"",$H32,IF($E32=本位币,1,IFERROR(LOOKUP(2,1/((汇率月份&lt;=重估基准日)*(INDEX(月末汇率区,0,MATCH($E32,汇率币种头,0))&lt;&gt;"")),INDEX(月末汇率区,0,MATCH($E32,汇率币种头,0))),IFERROR(LOOKUP(2,1/((汇率月份&lt;=重估基准日)*(INDEX(记账汇率区,0,MATCH($E32,汇率币种头,0))&lt;&gt;"")),INDEX(记账汇率区,0,MATCH($E32,汇率币种头,0))),"")))),2),""))</f>
        <v/>
      </c>
      <c r="J32" s="6" t="str">
        <f>IF($C32="","",IF(COUNTIF($C$11:$C$40,$C32)&gt;1,"※账户名称重复了，后面按名字取数会串",IF(AND($E32&lt;&gt;"",COUNTIF(币种表,$E32)=0),"※币种不在右边币种清单里",IF($G32="","※期初余额没填（没有就填 0）",IF(AND($E32&lt;&gt;本位币,$H32="",$I32=""),"△这个币种一个汇率都没填，期初人民币成本算不出来",IF(AND($E32&lt;&gt;本位币,$H32=""),"△没填期初汇率，先拿期末汇率折的",""))))))</f>
        <v/>
      </c>
      <c r="O32" s="47"/>
      <c r="P32" s="47"/>
      <c r="R32" s="47"/>
      <c r="T32" s="47"/>
    </row>
    <row r="33" ht="16.5" spans="1:20">
      <c r="A33" s="12" t="str">
        <f>IF($C33="","",COUNTA($C$11:$C33))</f>
        <v/>
      </c>
      <c r="B33" s="47"/>
      <c r="C33" s="47"/>
      <c r="D33" s="47"/>
      <c r="E33" s="47"/>
      <c r="F33" s="47"/>
      <c r="G33" s="48"/>
      <c r="H33" s="49"/>
      <c r="I33" s="23" t="str">
        <f>IF($C33="","",IFERROR(ROUND(N($G33)*IF($H33&lt;&gt;"",$H33,IF($E33=本位币,1,IFERROR(LOOKUP(2,1/((汇率月份&lt;=重估基准日)*(INDEX(月末汇率区,0,MATCH($E33,汇率币种头,0))&lt;&gt;"")),INDEX(月末汇率区,0,MATCH($E33,汇率币种头,0))),IFERROR(LOOKUP(2,1/((汇率月份&lt;=重估基准日)*(INDEX(记账汇率区,0,MATCH($E33,汇率币种头,0))&lt;&gt;"")),INDEX(记账汇率区,0,MATCH($E33,汇率币种头,0))),"")))),2),""))</f>
        <v/>
      </c>
      <c r="J33" s="6" t="str">
        <f>IF($C33="","",IF(COUNTIF($C$11:$C$40,$C33)&gt;1,"※账户名称重复了，后面按名字取数会串",IF(AND($E33&lt;&gt;"",COUNTIF(币种表,$E33)=0),"※币种不在右边币种清单里",IF($G33="","※期初余额没填（没有就填 0）",IF(AND($E33&lt;&gt;本位币,$H33="",$I33=""),"△这个币种一个汇率都没填，期初人民币成本算不出来",IF(AND($E33&lt;&gt;本位币,$H33=""),"△没填期初汇率，先拿期末汇率折的",""))))))</f>
        <v/>
      </c>
      <c r="O33" s="47"/>
      <c r="P33" s="47"/>
      <c r="R33" s="47"/>
      <c r="T33" s="47"/>
    </row>
    <row r="34" ht="16.5" spans="1:20">
      <c r="A34" s="12" t="str">
        <f>IF($C34="","",COUNTA($C$11:$C34))</f>
        <v/>
      </c>
      <c r="B34" s="47"/>
      <c r="C34" s="47"/>
      <c r="D34" s="47"/>
      <c r="E34" s="47"/>
      <c r="F34" s="47"/>
      <c r="G34" s="48"/>
      <c r="H34" s="49"/>
      <c r="I34" s="23" t="str">
        <f>IF($C34="","",IFERROR(ROUND(N($G34)*IF($H34&lt;&gt;"",$H34,IF($E34=本位币,1,IFERROR(LOOKUP(2,1/((汇率月份&lt;=重估基准日)*(INDEX(月末汇率区,0,MATCH($E34,汇率币种头,0))&lt;&gt;"")),INDEX(月末汇率区,0,MATCH($E34,汇率币种头,0))),IFERROR(LOOKUP(2,1/((汇率月份&lt;=重估基准日)*(INDEX(记账汇率区,0,MATCH($E34,汇率币种头,0))&lt;&gt;"")),INDEX(记账汇率区,0,MATCH($E34,汇率币种头,0))),"")))),2),""))</f>
        <v/>
      </c>
      <c r="J34" s="6" t="str">
        <f>IF($C34="","",IF(COUNTIF($C$11:$C$40,$C34)&gt;1,"※账户名称重复了，后面按名字取数会串",IF(AND($E34&lt;&gt;"",COUNTIF(币种表,$E34)=0),"※币种不在右边币种清单里",IF($G34="","※期初余额没填（没有就填 0）",IF(AND($E34&lt;&gt;本位币,$H34="",$I34=""),"△这个币种一个汇率都没填，期初人民币成本算不出来",IF(AND($E34&lt;&gt;本位币,$H34=""),"△没填期初汇率，先拿期末汇率折的",""))))))</f>
        <v/>
      </c>
      <c r="O34" s="47"/>
      <c r="P34" s="47"/>
      <c r="R34" s="47"/>
      <c r="T34" s="47"/>
    </row>
    <row r="35" ht="16.5" spans="1:20">
      <c r="A35" s="12" t="str">
        <f>IF($C35="","",COUNTA($C$11:$C35))</f>
        <v/>
      </c>
      <c r="B35" s="47"/>
      <c r="C35" s="47"/>
      <c r="D35" s="47"/>
      <c r="E35" s="47"/>
      <c r="F35" s="47"/>
      <c r="G35" s="48"/>
      <c r="H35" s="49"/>
      <c r="I35" s="23" t="str">
        <f>IF($C35="","",IFERROR(ROUND(N($G35)*IF($H35&lt;&gt;"",$H35,IF($E35=本位币,1,IFERROR(LOOKUP(2,1/((汇率月份&lt;=重估基准日)*(INDEX(月末汇率区,0,MATCH($E35,汇率币种头,0))&lt;&gt;"")),INDEX(月末汇率区,0,MATCH($E35,汇率币种头,0))),IFERROR(LOOKUP(2,1/((汇率月份&lt;=重估基准日)*(INDEX(记账汇率区,0,MATCH($E35,汇率币种头,0))&lt;&gt;"")),INDEX(记账汇率区,0,MATCH($E35,汇率币种头,0))),"")))),2),""))</f>
        <v/>
      </c>
      <c r="J35" s="6" t="str">
        <f>IF($C35="","",IF(COUNTIF($C$11:$C$40,$C35)&gt;1,"※账户名称重复了，后面按名字取数会串",IF(AND($E35&lt;&gt;"",COUNTIF(币种表,$E35)=0),"※币种不在右边币种清单里",IF($G35="","※期初余额没填（没有就填 0）",IF(AND($E35&lt;&gt;本位币,$H35="",$I35=""),"△这个币种一个汇率都没填，期初人民币成本算不出来",IF(AND($E35&lt;&gt;本位币,$H35=""),"△没填期初汇率，先拿期末汇率折的",""))))))</f>
        <v/>
      </c>
      <c r="O35" s="47"/>
      <c r="P35" s="47"/>
      <c r="R35" s="47"/>
      <c r="T35" s="47"/>
    </row>
    <row r="36" ht="16.5" spans="1:20">
      <c r="A36" s="12" t="str">
        <f>IF($C36="","",COUNTA($C$11:$C36))</f>
        <v/>
      </c>
      <c r="B36" s="47"/>
      <c r="C36" s="47"/>
      <c r="D36" s="47"/>
      <c r="E36" s="47"/>
      <c r="F36" s="47"/>
      <c r="G36" s="48"/>
      <c r="H36" s="49"/>
      <c r="I36" s="23" t="str">
        <f>IF($C36="","",IFERROR(ROUND(N($G36)*IF($H36&lt;&gt;"",$H36,IF($E36=本位币,1,IFERROR(LOOKUP(2,1/((汇率月份&lt;=重估基准日)*(INDEX(月末汇率区,0,MATCH($E36,汇率币种头,0))&lt;&gt;"")),INDEX(月末汇率区,0,MATCH($E36,汇率币种头,0))),IFERROR(LOOKUP(2,1/((汇率月份&lt;=重估基准日)*(INDEX(记账汇率区,0,MATCH($E36,汇率币种头,0))&lt;&gt;"")),INDEX(记账汇率区,0,MATCH($E36,汇率币种头,0))),"")))),2),""))</f>
        <v/>
      </c>
      <c r="J36" s="6" t="str">
        <f>IF($C36="","",IF(COUNTIF($C$11:$C$40,$C36)&gt;1,"※账户名称重复了，后面按名字取数会串",IF(AND($E36&lt;&gt;"",COUNTIF(币种表,$E36)=0),"※币种不在右边币种清单里",IF($G36="","※期初余额没填（没有就填 0）",IF(AND($E36&lt;&gt;本位币,$H36="",$I36=""),"△这个币种一个汇率都没填，期初人民币成本算不出来",IF(AND($E36&lt;&gt;本位币,$H36=""),"△没填期初汇率，先拿期末汇率折的",""))))))</f>
        <v/>
      </c>
      <c r="O36" s="47"/>
      <c r="P36" s="47"/>
      <c r="R36" s="47"/>
      <c r="T36" s="47"/>
    </row>
    <row r="37" ht="16.5" spans="1:20">
      <c r="A37" s="12" t="str">
        <f>IF($C37="","",COUNTA($C$11:$C37))</f>
        <v/>
      </c>
      <c r="B37" s="47"/>
      <c r="C37" s="47"/>
      <c r="D37" s="47"/>
      <c r="E37" s="47"/>
      <c r="F37" s="47"/>
      <c r="G37" s="48"/>
      <c r="H37" s="49"/>
      <c r="I37" s="23" t="str">
        <f>IF($C37="","",IFERROR(ROUND(N($G37)*IF($H37&lt;&gt;"",$H37,IF($E37=本位币,1,IFERROR(LOOKUP(2,1/((汇率月份&lt;=重估基准日)*(INDEX(月末汇率区,0,MATCH($E37,汇率币种头,0))&lt;&gt;"")),INDEX(月末汇率区,0,MATCH($E37,汇率币种头,0))),IFERROR(LOOKUP(2,1/((汇率月份&lt;=重估基准日)*(INDEX(记账汇率区,0,MATCH($E37,汇率币种头,0))&lt;&gt;"")),INDEX(记账汇率区,0,MATCH($E37,汇率币种头,0))),"")))),2),""))</f>
        <v/>
      </c>
      <c r="J37" s="6" t="str">
        <f>IF($C37="","",IF(COUNTIF($C$11:$C$40,$C37)&gt;1,"※账户名称重复了，后面按名字取数会串",IF(AND($E37&lt;&gt;"",COUNTIF(币种表,$E37)=0),"※币种不在右边币种清单里",IF($G37="","※期初余额没填（没有就填 0）",IF(AND($E37&lt;&gt;本位币,$H37="",$I37=""),"△这个币种一个汇率都没填，期初人民币成本算不出来",IF(AND($E37&lt;&gt;本位币,$H37=""),"△没填期初汇率，先拿期末汇率折的",""))))))</f>
        <v/>
      </c>
      <c r="O37" s="47"/>
      <c r="P37" s="47"/>
      <c r="R37" s="47"/>
      <c r="T37" s="47"/>
    </row>
    <row r="38" ht="16.5" spans="1:20">
      <c r="A38" s="12" t="str">
        <f>IF($C38="","",COUNTA($C$11:$C38))</f>
        <v/>
      </c>
      <c r="B38" s="47"/>
      <c r="C38" s="47"/>
      <c r="D38" s="47"/>
      <c r="E38" s="47"/>
      <c r="F38" s="47"/>
      <c r="G38" s="48"/>
      <c r="H38" s="49"/>
      <c r="I38" s="23" t="str">
        <f>IF($C38="","",IFERROR(ROUND(N($G38)*IF($H38&lt;&gt;"",$H38,IF($E38=本位币,1,IFERROR(LOOKUP(2,1/((汇率月份&lt;=重估基准日)*(INDEX(月末汇率区,0,MATCH($E38,汇率币种头,0))&lt;&gt;"")),INDEX(月末汇率区,0,MATCH($E38,汇率币种头,0))),IFERROR(LOOKUP(2,1/((汇率月份&lt;=重估基准日)*(INDEX(记账汇率区,0,MATCH($E38,汇率币种头,0))&lt;&gt;"")),INDEX(记账汇率区,0,MATCH($E38,汇率币种头,0))),"")))),2),""))</f>
        <v/>
      </c>
      <c r="J38" s="6" t="str">
        <f>IF($C38="","",IF(COUNTIF($C$11:$C$40,$C38)&gt;1,"※账户名称重复了，后面按名字取数会串",IF(AND($E38&lt;&gt;"",COUNTIF(币种表,$E38)=0),"※币种不在右边币种清单里",IF($G38="","※期初余额没填（没有就填 0）",IF(AND($E38&lt;&gt;本位币,$H38="",$I38=""),"△这个币种一个汇率都没填，期初人民币成本算不出来",IF(AND($E38&lt;&gt;本位币,$H38=""),"△没填期初汇率，先拿期末汇率折的",""))))))</f>
        <v/>
      </c>
      <c r="O38" s="47"/>
      <c r="P38" s="47"/>
      <c r="R38" s="47"/>
      <c r="T38" s="47"/>
    </row>
    <row r="39" ht="16.5" spans="1:20">
      <c r="A39" s="12" t="str">
        <f>IF($C39="","",COUNTA($C$11:$C39))</f>
        <v/>
      </c>
      <c r="B39" s="47"/>
      <c r="C39" s="47"/>
      <c r="D39" s="47"/>
      <c r="E39" s="47"/>
      <c r="F39" s="47"/>
      <c r="G39" s="48"/>
      <c r="H39" s="49"/>
      <c r="I39" s="23" t="str">
        <f>IF($C39="","",IFERROR(ROUND(N($G39)*IF($H39&lt;&gt;"",$H39,IF($E39=本位币,1,IFERROR(LOOKUP(2,1/((汇率月份&lt;=重估基准日)*(INDEX(月末汇率区,0,MATCH($E39,汇率币种头,0))&lt;&gt;"")),INDEX(月末汇率区,0,MATCH($E39,汇率币种头,0))),IFERROR(LOOKUP(2,1/((汇率月份&lt;=重估基准日)*(INDEX(记账汇率区,0,MATCH($E39,汇率币种头,0))&lt;&gt;"")),INDEX(记账汇率区,0,MATCH($E39,汇率币种头,0))),"")))),2),""))</f>
        <v/>
      </c>
      <c r="J39" s="6" t="str">
        <f>IF($C39="","",IF(COUNTIF($C$11:$C$40,$C39)&gt;1,"※账户名称重复了，后面按名字取数会串",IF(AND($E39&lt;&gt;"",COUNTIF(币种表,$E39)=0),"※币种不在右边币种清单里",IF($G39="","※期初余额没填（没有就填 0）",IF(AND($E39&lt;&gt;本位币,$H39="",$I39=""),"△这个币种一个汇率都没填，期初人民币成本算不出来",IF(AND($E39&lt;&gt;本位币,$H39=""),"△没填期初汇率，先拿期末汇率折的",""))))))</f>
        <v/>
      </c>
      <c r="O39" s="47"/>
      <c r="P39" s="47"/>
      <c r="R39" s="47"/>
      <c r="T39" s="47"/>
    </row>
    <row r="40" ht="16.5" spans="1:20">
      <c r="A40" s="12" t="str">
        <f>IF($C40="","",COUNTA($C$11:$C40))</f>
        <v/>
      </c>
      <c r="B40" s="47"/>
      <c r="C40" s="47"/>
      <c r="D40" s="47"/>
      <c r="E40" s="47"/>
      <c r="F40" s="47"/>
      <c r="G40" s="48"/>
      <c r="H40" s="49"/>
      <c r="I40" s="23" t="str">
        <f>IF($C40="","",IFERROR(ROUND(N($G40)*IF($H40&lt;&gt;"",$H40,IF($E40=本位币,1,IFERROR(LOOKUP(2,1/((汇率月份&lt;=重估基准日)*(INDEX(月末汇率区,0,MATCH($E40,汇率币种头,0))&lt;&gt;"")),INDEX(月末汇率区,0,MATCH($E40,汇率币种头,0))),IFERROR(LOOKUP(2,1/((汇率月份&lt;=重估基准日)*(INDEX(记账汇率区,0,MATCH($E40,汇率币种头,0))&lt;&gt;"")),INDEX(记账汇率区,0,MATCH($E40,汇率币种头,0))),"")))),2),""))</f>
        <v/>
      </c>
      <c r="J40" s="6" t="str">
        <f>IF($C40="","",IF(COUNTIF($C$11:$C$40,$C40)&gt;1,"※账户名称重复了，后面按名字取数会串",IF(AND($E40&lt;&gt;"",COUNTIF(币种表,$E40)=0),"※币种不在右边币种清单里",IF($G40="","※期初余额没填（没有就填 0）",IF(AND($E40&lt;&gt;本位币,$H40="",$I40=""),"△这个币种一个汇率都没填，期初人民币成本算不出来",IF(AND($E40&lt;&gt;本位币,$H40=""),"△没填期初汇率，先拿期末汇率折的",""))))))</f>
        <v/>
      </c>
      <c r="O40" s="47"/>
      <c r="P40" s="47"/>
      <c r="R40" s="47"/>
      <c r="T40" s="47"/>
    </row>
    <row r="41" ht="16.5" spans="1:20">
      <c r="R41" s="47"/>
      <c r="T41" s="47"/>
    </row>
    <row r="42" ht="16.5" spans="1:20">
      <c r="R42" s="47"/>
      <c r="T42" s="47"/>
    </row>
    <row r="43" ht="16.5" spans="1:20">
      <c r="R43" s="47"/>
      <c r="T43" s="47"/>
    </row>
    <row r="44" ht="16.5" spans="1:20">
      <c r="R44" s="47"/>
      <c r="T44" s="47"/>
    </row>
    <row r="45" ht="16.5" spans="1:20">
      <c r="R45" s="47"/>
      <c r="T45" s="47"/>
    </row>
    <row r="46" ht="16.5" spans="1:20">
      <c r="R46" s="47"/>
      <c r="T46" s="47"/>
    </row>
    <row r="47" ht="16.5" spans="1:20">
      <c r="R47" s="47"/>
      <c r="T47" s="47"/>
    </row>
    <row r="48" ht="16.5" spans="1:20">
      <c r="R48" s="47"/>
      <c r="T48" s="47"/>
    </row>
    <row r="49" ht="16.5" spans="18:20">
      <c r="R49" s="47"/>
      <c r="T49" s="47"/>
    </row>
    <row r="50" ht="16.5" spans="18:20">
      <c r="R50" s="47"/>
      <c r="T50" s="47"/>
    </row>
    <row r="51" ht="16.5" spans="18:20">
      <c r="T51" s="47"/>
    </row>
    <row r="52" ht="16.5" spans="18:20">
      <c r="T52" s="47"/>
    </row>
    <row r="53" ht="16.5" spans="18:20">
      <c r="T53" s="47"/>
    </row>
    <row r="54" ht="16.5" spans="18:20">
      <c r="T54" s="47"/>
    </row>
    <row r="55" ht="16.5" spans="18:20">
      <c r="T55" s="47"/>
    </row>
    <row r="56" ht="16.5" spans="18:20">
      <c r="T56" s="47"/>
    </row>
    <row r="57" ht="16.5" spans="18:20">
      <c r="T57" s="47"/>
    </row>
    <row r="58" ht="16.5" spans="18:20">
      <c r="T58" s="47"/>
    </row>
    <row r="59" ht="16.5" spans="18:20">
      <c r="T59" s="47"/>
    </row>
    <row r="60" ht="16.5" spans="18:20">
      <c r="T60" s="47"/>
    </row>
    <row r="61" ht="16.5" spans="18:20">
      <c r="T61" s="47"/>
    </row>
    <row r="62" ht="16.5" spans="18:20">
      <c r="T62" s="47"/>
    </row>
    <row r="63" ht="16.5" spans="18:20">
      <c r="T63" s="47"/>
    </row>
    <row r="64" ht="16.5" spans="18:20">
      <c r="T64" s="47"/>
    </row>
    <row r="65" ht="16.5" spans="20:20">
      <c r="T65" s="47"/>
    </row>
    <row r="66" ht="16.5" spans="20:20">
      <c r="T66" s="47"/>
    </row>
    <row r="67" ht="16.5" spans="20:20">
      <c r="T67" s="47"/>
    </row>
    <row r="68" ht="16.5" spans="20:20">
      <c r="T68" s="47"/>
    </row>
    <row r="69" ht="16.5" spans="20:20">
      <c r="T69" s="47"/>
    </row>
    <row r="70" ht="16.5" spans="20:20">
      <c r="T70" s="47"/>
    </row>
    <row r="71" ht="16.5" spans="20:20">
      <c r="T71" s="47"/>
    </row>
    <row r="72" ht="16.5" spans="20:20">
      <c r="T72" s="47"/>
    </row>
    <row r="73" ht="16.5" spans="20:20">
      <c r="T73" s="47"/>
    </row>
    <row r="74" ht="16.5" spans="20:20">
      <c r="T74" s="47"/>
    </row>
    <row r="75" ht="16.5" spans="20:20">
      <c r="T75" s="47"/>
    </row>
    <row r="76" ht="16.5" spans="20:20">
      <c r="T76" s="47"/>
    </row>
    <row r="77" ht="16.5" spans="20:20">
      <c r="T77" s="47"/>
    </row>
    <row r="78" ht="16.5" spans="20:20">
      <c r="T78" s="47"/>
    </row>
    <row r="79" ht="16.5" spans="20:20">
      <c r="T79" s="47"/>
    </row>
    <row r="80" ht="16.5" spans="20:20">
      <c r="T80" s="47"/>
    </row>
    <row r="81" ht="16.5" spans="20:20">
      <c r="T81" s="47"/>
    </row>
    <row r="82" ht="16.5" spans="20:20">
      <c r="T82" s="47"/>
    </row>
    <row r="83" ht="16.5" spans="20:20">
      <c r="T83" s="47"/>
    </row>
    <row r="84" ht="16.5" spans="20:20">
      <c r="T84" s="47"/>
    </row>
    <row r="85" ht="16.5" spans="20:20">
      <c r="T85" s="47"/>
    </row>
    <row r="86" ht="16.5" spans="20:20">
      <c r="T86" s="47"/>
    </row>
    <row r="87" ht="16.5" spans="20:20">
      <c r="T87" s="47"/>
    </row>
    <row r="88" ht="16.5" spans="20:20">
      <c r="T88" s="47"/>
    </row>
    <row r="89" ht="16.5" spans="20:20">
      <c r="T89" s="47"/>
    </row>
    <row r="90" ht="16.5" spans="20:20">
      <c r="T90" s="47"/>
    </row>
    <row r="91" ht="16.5" spans="20:20">
      <c r="T91" s="47"/>
    </row>
    <row r="92" ht="16.5" spans="20:20">
      <c r="T92" s="47"/>
    </row>
    <row r="93" ht="16.5" spans="20:20">
      <c r="T93" s="47"/>
    </row>
    <row r="94" ht="16.5" spans="20:20">
      <c r="T94" s="47"/>
    </row>
    <row r="95" ht="16.5" spans="20:20">
      <c r="T95" s="47"/>
    </row>
    <row r="96" ht="16.5" spans="20:20">
      <c r="T96" s="47"/>
    </row>
    <row r="97" ht="16.5" spans="20:20">
      <c r="T97" s="47"/>
    </row>
    <row r="98" ht="16.5" spans="20:20">
      <c r="T98" s="47"/>
    </row>
    <row r="99" ht="16.5" spans="20:20">
      <c r="T99" s="47"/>
    </row>
    <row r="100" ht="16.5" spans="20:20">
      <c r="T100" s="47"/>
    </row>
    <row r="101" ht="16.5" spans="20:20">
      <c r="T101" s="47"/>
    </row>
    <row r="102" ht="16.5" spans="20:20">
      <c r="T102" s="47"/>
    </row>
    <row r="103" ht="16.5" spans="20:20">
      <c r="T103" s="47"/>
    </row>
    <row r="104" ht="16.5" spans="20:20">
      <c r="T104" s="47"/>
    </row>
    <row r="105" ht="16.5" spans="20:20">
      <c r="T105" s="47"/>
    </row>
    <row r="106" ht="16.5" spans="20:20">
      <c r="T106" s="47"/>
    </row>
    <row r="107" ht="16.5" spans="20:20">
      <c r="T107" s="47"/>
    </row>
    <row r="108" ht="16.5" spans="20:20">
      <c r="T108" s="47"/>
    </row>
    <row r="109" ht="16.5" spans="20:20">
      <c r="T109" s="47"/>
    </row>
    <row r="110" ht="16.5" spans="20:20">
      <c r="T110" s="47"/>
    </row>
    <row r="111" ht="16.5" spans="20:20">
      <c r="T111" s="47"/>
    </row>
    <row r="112" ht="16.5" spans="20:20">
      <c r="T112" s="47"/>
    </row>
    <row r="113" ht="16.5" spans="20:20">
      <c r="T113" s="47"/>
    </row>
    <row r="114" ht="16.5" spans="20:20">
      <c r="T114" s="47"/>
    </row>
    <row r="115" ht="16.5" spans="20:20">
      <c r="T115" s="47"/>
    </row>
    <row r="116" ht="16.5" spans="20:20">
      <c r="T116" s="47"/>
    </row>
    <row r="117" ht="16.5" spans="20:20">
      <c r="T117" s="47"/>
    </row>
    <row r="118" ht="16.5" spans="20:20">
      <c r="T118" s="47"/>
    </row>
    <row r="119" ht="16.5" spans="20:20">
      <c r="T119" s="47"/>
    </row>
    <row r="120" ht="16.5" spans="20:20">
      <c r="T120" s="47"/>
    </row>
    <row r="121" ht="16.5" spans="20:20">
      <c r="T121" s="47"/>
    </row>
    <row r="122" ht="16.5" spans="20:20">
      <c r="T122" s="47"/>
    </row>
    <row r="123" ht="16.5" spans="20:20">
      <c r="T123" s="47"/>
    </row>
    <row r="124" ht="16.5" spans="20:20">
      <c r="T124" s="47"/>
    </row>
    <row r="125" ht="16.5" spans="20:20">
      <c r="T125" s="47"/>
    </row>
    <row r="126" ht="16.5" spans="20:20">
      <c r="T126" s="47"/>
    </row>
    <row r="127" ht="16.5" spans="20:20">
      <c r="T127" s="47"/>
    </row>
    <row r="128" ht="16.5" spans="20:20">
      <c r="T128" s="47"/>
    </row>
    <row r="129" ht="16.5" spans="20:20">
      <c r="T129" s="47"/>
    </row>
    <row r="130" ht="16.5" spans="20:20">
      <c r="T130" s="47"/>
    </row>
    <row r="131" ht="16.5" spans="20:20">
      <c r="T131" s="47"/>
    </row>
    <row r="132" ht="16.5" spans="20:20">
      <c r="T132" s="47"/>
    </row>
    <row r="133" ht="16.5" spans="20:20">
      <c r="T133" s="47"/>
    </row>
    <row r="134" ht="16.5" spans="20:20">
      <c r="T134" s="47"/>
    </row>
    <row r="135" ht="16.5" spans="20:20">
      <c r="T135" s="47"/>
    </row>
    <row r="136" ht="16.5" spans="20:20">
      <c r="T136" s="47"/>
    </row>
    <row r="137" ht="16.5" spans="20:20">
      <c r="T137" s="47"/>
    </row>
    <row r="138" ht="16.5" spans="20:20">
      <c r="T138" s="47"/>
    </row>
    <row r="139" ht="16.5" spans="20:20">
      <c r="T139" s="47"/>
    </row>
    <row r="140" ht="16.5" spans="20:20">
      <c r="T140" s="47"/>
    </row>
    <row r="141" ht="16.5" spans="20:20">
      <c r="T141" s="47"/>
    </row>
    <row r="142" ht="16.5" spans="20:20">
      <c r="T142" s="47"/>
    </row>
    <row r="143" ht="16.5" spans="20:20">
      <c r="T143" s="47"/>
    </row>
    <row r="144" ht="16.5" spans="20:20">
      <c r="T144" s="47"/>
    </row>
    <row r="145" ht="16.5" spans="20:20">
      <c r="T145" s="47"/>
    </row>
    <row r="146" ht="16.5" spans="20:20">
      <c r="T146" s="47"/>
    </row>
    <row r="147" ht="16.5" spans="20:20">
      <c r="T147" s="47"/>
    </row>
    <row r="148" ht="16.5" spans="20:20">
      <c r="T148" s="47"/>
    </row>
    <row r="149" ht="16.5" spans="20:20">
      <c r="T149" s="47"/>
    </row>
    <row r="150" ht="16.5" spans="20:20">
      <c r="T150" s="47"/>
    </row>
    <row r="151" ht="16.5" spans="20:20">
      <c r="T151" s="47"/>
    </row>
    <row r="152" ht="16.5" spans="20:20">
      <c r="T152" s="47"/>
    </row>
    <row r="153" ht="16.5" spans="20:20">
      <c r="T153" s="47"/>
    </row>
    <row r="154" ht="16.5" spans="20:20">
      <c r="T154" s="47"/>
    </row>
    <row r="155" ht="16.5" spans="20:20">
      <c r="T155" s="47"/>
    </row>
    <row r="156" ht="16.5" spans="20:20">
      <c r="T156" s="47"/>
    </row>
    <row r="157" ht="16.5" spans="20:20">
      <c r="T157" s="47"/>
    </row>
    <row r="158" ht="16.5" spans="20:20">
      <c r="T158" s="47"/>
    </row>
    <row r="159" ht="16.5" spans="20:20">
      <c r="T159" s="47"/>
    </row>
    <row r="160" ht="16.5" spans="20:20">
      <c r="T160" s="47"/>
    </row>
    <row r="161" ht="16.5" spans="20:20">
      <c r="T161" s="47"/>
    </row>
    <row r="162" ht="16.5" spans="20:20">
      <c r="T162" s="47"/>
    </row>
    <row r="163" ht="16.5" spans="20:20">
      <c r="T163" s="47"/>
    </row>
    <row r="164" ht="16.5" spans="20:20">
      <c r="T164" s="47"/>
    </row>
    <row r="165" ht="16.5" spans="20:20">
      <c r="T165" s="47"/>
    </row>
    <row r="166" ht="16.5" spans="20:20">
      <c r="T166" s="47"/>
    </row>
    <row r="167" ht="16.5" spans="20:20">
      <c r="T167" s="47"/>
    </row>
    <row r="168" ht="16.5" spans="20:20">
      <c r="T168" s="47"/>
    </row>
    <row r="169" ht="16.5" spans="20:20">
      <c r="T169" s="47"/>
    </row>
    <row r="170" ht="16.5" spans="20:20">
      <c r="T170" s="47"/>
    </row>
    <row r="171" ht="16.5" spans="20:20">
      <c r="T171" s="47"/>
    </row>
    <row r="172" ht="16.5" spans="20:20">
      <c r="T172" s="47"/>
    </row>
    <row r="173" ht="16.5" spans="20:20">
      <c r="T173" s="47"/>
    </row>
    <row r="174" ht="16.5" spans="20:20">
      <c r="T174" s="47"/>
    </row>
    <row r="175" ht="16.5" spans="20:20">
      <c r="T175" s="47"/>
    </row>
    <row r="176" ht="16.5" spans="20:20">
      <c r="T176" s="47"/>
    </row>
    <row r="177" ht="16.5" spans="20:20">
      <c r="T177" s="47"/>
    </row>
    <row r="178" ht="16.5" spans="20:20">
      <c r="T178" s="47"/>
    </row>
    <row r="179" ht="16.5" spans="20:20">
      <c r="T179" s="47"/>
    </row>
    <row r="180" ht="16.5" spans="20:20">
      <c r="T180" s="47"/>
    </row>
    <row r="181" ht="16.5" spans="20:20">
      <c r="T181" s="47"/>
    </row>
    <row r="182" ht="16.5" spans="20:20">
      <c r="T182" s="47"/>
    </row>
    <row r="183" ht="16.5" spans="20:20">
      <c r="T183" s="47"/>
    </row>
    <row r="184" ht="16.5" spans="20:20">
      <c r="T184" s="47"/>
    </row>
    <row r="185" ht="16.5" spans="20:20">
      <c r="T185" s="47"/>
    </row>
    <row r="186" ht="16.5" spans="20:20">
      <c r="T186" s="47"/>
    </row>
    <row r="187" ht="16.5" spans="20:20">
      <c r="T187" s="47"/>
    </row>
    <row r="188" ht="16.5" spans="20:20">
      <c r="T188" s="47"/>
    </row>
    <row r="189" ht="16.5" spans="20:20">
      <c r="T189" s="47"/>
    </row>
    <row r="190" ht="16.5" spans="20:20">
      <c r="T190" s="47"/>
    </row>
    <row r="191" ht="16.5" spans="20:20">
      <c r="T191" s="47"/>
    </row>
    <row r="192" ht="16.5" spans="20:20">
      <c r="T192" s="47"/>
    </row>
    <row r="193" ht="16.5" spans="20:20">
      <c r="T193" s="47"/>
    </row>
    <row r="194" ht="16.5" spans="20:20">
      <c r="T194" s="47"/>
    </row>
    <row r="195" ht="16.5" spans="20:20">
      <c r="T195" s="47"/>
    </row>
    <row r="196" ht="16.5" spans="20:20">
      <c r="T196" s="47"/>
    </row>
    <row r="197" ht="16.5" spans="20:20">
      <c r="T197" s="47"/>
    </row>
    <row r="198" ht="16.5" spans="20:20">
      <c r="T198" s="47"/>
    </row>
    <row r="199" ht="16.5" spans="20:20">
      <c r="T199" s="47"/>
    </row>
    <row r="200" ht="16.5" spans="20:20">
      <c r="T200" s="47"/>
    </row>
    <row r="201" ht="16.5" spans="20:20">
      <c r="T201" s="47"/>
    </row>
    <row r="202" ht="16.5" spans="20:20">
      <c r="T202" s="47"/>
    </row>
    <row r="203" ht="16.5" spans="20:20">
      <c r="T203" s="47"/>
    </row>
    <row r="204" ht="16.5" spans="20:20">
      <c r="T204" s="47"/>
    </row>
    <row r="205" ht="16.5" spans="20:20">
      <c r="T205" s="47"/>
    </row>
    <row r="206" ht="16.5" spans="20:20">
      <c r="T206" s="47"/>
    </row>
    <row r="207" ht="16.5" spans="20:20">
      <c r="T207" s="47"/>
    </row>
    <row r="208" ht="16.5" spans="20:20">
      <c r="T208" s="47"/>
    </row>
    <row r="209" ht="16.5" spans="20:20">
      <c r="T209" s="47"/>
    </row>
    <row r="210" ht="16.5" spans="20:20">
      <c r="T210" s="47"/>
    </row>
  </sheetData>
  <mergeCells count="5">
    <mergeCell ref="A1:U1"/>
    <mergeCell ref="A2:U2"/>
    <mergeCell ref="A9:J9"/>
    <mergeCell ref="L9:M9"/>
    <mergeCell ref="O9:P9"/>
  </mergeCells>
  <conditionalFormatting sqref="J11:J40">
    <cfRule type="expression" dxfId="0" priority="1">
      <formula>LEFT(J11,1)="※"</formula>
    </cfRule>
  </conditionalFormatting>
  <dataValidations count="2">
    <dataValidation type="list" allowBlank="1" showErrorMessage="1" errorTitle="不在清单里" error="先去【参数设置】把它加上，或者选一个已有的。" sqref="E11:E40" errorStyle="warning">
      <formula1>币种表</formula1>
    </dataValidation>
    <dataValidation type="list" allowBlank="1" showErrorMessage="1" errorTitle="不在清单里" error="先去【参数设置】把它加上，或者选一个已有的。" sqref="P11:P40">
      <formula1>"收入,支出,内部转账"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  <pageSetUpPr fitToPage="1"/>
  </sheetPr>
  <dimension ref="A1:U18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E13" sqref="E13"/>
    </sheetView>
  </sheetViews>
  <sheetFormatPr defaultColWidth="9" defaultRowHeight="13.5"/>
  <cols>
    <col min="1" max="1" width="12" customWidth="1"/>
    <col min="2" max="9" width="10" customWidth="1"/>
    <col min="10" max="10" width="2.2" customWidth="1"/>
    <col min="11" max="18" width="10" customWidth="1"/>
    <col min="20" max="20" width="13.375" customWidth="1"/>
    <col min="21" max="21" width="14" customWidth="1"/>
  </cols>
  <sheetData>
    <row r="1" ht="30" customHeight="1" spans="1:21">
      <c r="A1" s="1" t="s">
        <v>213</v>
      </c>
    </row>
    <row r="2" ht="24" customHeight="1" spans="1:21">
      <c r="A2" s="2" t="s">
        <v>214</v>
      </c>
    </row>
    <row r="4" ht="22" customHeight="1" spans="1:21">
      <c r="A4" s="34" t="s">
        <v>215</v>
      </c>
      <c r="B4" s="14"/>
      <c r="C4" s="14"/>
      <c r="D4" s="14"/>
      <c r="E4" s="14"/>
      <c r="F4" s="14"/>
      <c r="G4" s="14"/>
      <c r="H4" s="14"/>
      <c r="I4" s="15"/>
      <c r="K4" s="29" t="s">
        <v>216</v>
      </c>
      <c r="L4" s="14"/>
      <c r="M4" s="14"/>
      <c r="N4" s="14"/>
      <c r="O4" s="14"/>
      <c r="P4" s="14"/>
      <c r="Q4" s="14"/>
      <c r="R4" s="15"/>
    </row>
    <row r="5" ht="30" customHeight="1" spans="1:21">
      <c r="A5" s="36" t="s">
        <v>217</v>
      </c>
      <c r="B5" s="36" t="s">
        <v>105</v>
      </c>
      <c r="C5" s="36" t="s">
        <v>146</v>
      </c>
      <c r="D5" s="36" t="s">
        <v>155</v>
      </c>
      <c r="E5" s="36" t="s">
        <v>164</v>
      </c>
      <c r="F5" s="36" t="s">
        <v>171</v>
      </c>
      <c r="G5" s="36" t="s">
        <v>178</v>
      </c>
      <c r="H5" s="36" t="s">
        <v>183</v>
      </c>
      <c r="I5" s="36" t="s">
        <v>189</v>
      </c>
      <c r="K5" s="18" t="s">
        <v>105</v>
      </c>
      <c r="L5" s="18" t="s">
        <v>146</v>
      </c>
      <c r="M5" s="18" t="s">
        <v>155</v>
      </c>
      <c r="N5" s="18" t="s">
        <v>164</v>
      </c>
      <c r="O5" s="18" t="s">
        <v>171</v>
      </c>
      <c r="P5" s="18" t="s">
        <v>178</v>
      </c>
      <c r="Q5" s="18" t="s">
        <v>183</v>
      </c>
      <c r="R5" s="18" t="s">
        <v>189</v>
      </c>
      <c r="T5" s="50" t="s">
        <v>218</v>
      </c>
      <c r="U5" s="18" t="s">
        <v>219</v>
      </c>
    </row>
    <row r="6" ht="16.5" spans="1:21">
      <c r="A6" s="51">
        <f>DATE(管理年度,1,1)</f>
        <v>46023</v>
      </c>
      <c r="B6" s="24">
        <v>1</v>
      </c>
      <c r="C6" s="49"/>
      <c r="D6" s="49"/>
      <c r="E6" s="49"/>
      <c r="F6" s="49"/>
      <c r="G6" s="49"/>
      <c r="H6" s="49"/>
      <c r="I6" s="49"/>
      <c r="K6" s="24">
        <v>1</v>
      </c>
      <c r="L6" s="49"/>
      <c r="M6" s="49"/>
      <c r="N6" s="49"/>
      <c r="O6" s="49"/>
      <c r="P6" s="49"/>
      <c r="Q6" s="49"/>
      <c r="R6" s="49"/>
      <c r="T6" s="4">
        <f t="shared" ref="T6:T17" si="0">IF($A6="","",COUNTA($C6:$I6))</f>
        <v>0</v>
      </c>
      <c r="U6" s="4">
        <f>IF($A6="","",COUNTIFS(流水日期,"&gt;="&amp;$A6,流水日期,"&lt;="&amp;EOMONTH($A6,0),流水币种,"&lt;&gt;"&amp;本位币))</f>
        <v>0</v>
      </c>
    </row>
    <row r="7" ht="16.5" spans="1:21">
      <c r="A7" s="51">
        <f t="shared" ref="A7:A17" si="1">EDATE(A6,1)</f>
        <v>46054</v>
      </c>
      <c r="B7" s="24">
        <v>1</v>
      </c>
      <c r="C7" s="49"/>
      <c r="D7" s="49"/>
      <c r="E7" s="49"/>
      <c r="F7" s="49"/>
      <c r="G7" s="49"/>
      <c r="H7" s="49"/>
      <c r="I7" s="49"/>
      <c r="K7" s="24">
        <v>1</v>
      </c>
      <c r="L7" s="49"/>
      <c r="M7" s="49"/>
      <c r="N7" s="49"/>
      <c r="O7" s="49"/>
      <c r="P7" s="49"/>
      <c r="Q7" s="49"/>
      <c r="R7" s="49"/>
      <c r="T7" s="4">
        <f t="shared" si="0"/>
        <v>0</v>
      </c>
      <c r="U7" s="4">
        <f>IF($A7="","",COUNTIFS(流水日期,"&gt;="&amp;$A7,流水日期,"&lt;="&amp;EOMONTH($A7,0),流水币种,"&lt;&gt;"&amp;本位币))</f>
        <v>0</v>
      </c>
    </row>
    <row r="8" ht="16.5" spans="1:21">
      <c r="A8" s="51">
        <f t="shared" si="1"/>
        <v>46082</v>
      </c>
      <c r="B8" s="24">
        <v>1</v>
      </c>
      <c r="C8" s="49"/>
      <c r="D8" s="49"/>
      <c r="E8" s="49"/>
      <c r="F8" s="49"/>
      <c r="G8" s="49"/>
      <c r="H8" s="49"/>
      <c r="I8" s="49"/>
      <c r="K8" s="24">
        <v>1</v>
      </c>
      <c r="L8" s="49"/>
      <c r="M8" s="49"/>
      <c r="N8" s="49"/>
      <c r="O8" s="49"/>
      <c r="P8" s="49"/>
      <c r="Q8" s="49"/>
      <c r="R8" s="49"/>
      <c r="T8" s="4">
        <f t="shared" si="0"/>
        <v>0</v>
      </c>
      <c r="U8" s="4">
        <f>IF($A8="","",COUNTIFS(流水日期,"&gt;="&amp;$A8,流水日期,"&lt;="&amp;EOMONTH($A8,0),流水币种,"&lt;&gt;"&amp;本位币))</f>
        <v>0</v>
      </c>
    </row>
    <row r="9" ht="16.5" spans="1:21">
      <c r="A9" s="51">
        <f t="shared" si="1"/>
        <v>46113</v>
      </c>
      <c r="B9" s="24">
        <v>1</v>
      </c>
      <c r="C9" s="49"/>
      <c r="D9" s="49"/>
      <c r="E9" s="49"/>
      <c r="F9" s="49"/>
      <c r="G9" s="49"/>
      <c r="H9" s="49"/>
      <c r="I9" s="49"/>
      <c r="K9" s="24">
        <v>1</v>
      </c>
      <c r="L9" s="49"/>
      <c r="M9" s="49"/>
      <c r="N9" s="49"/>
      <c r="O9" s="49"/>
      <c r="P9" s="49"/>
      <c r="Q9" s="49"/>
      <c r="R9" s="49"/>
      <c r="T9" s="4">
        <f t="shared" si="0"/>
        <v>0</v>
      </c>
      <c r="U9" s="4">
        <f>IF($A9="","",COUNTIFS(流水日期,"&gt;="&amp;$A9,流水日期,"&lt;="&amp;EOMONTH($A9,0),流水币种,"&lt;&gt;"&amp;本位币))</f>
        <v>0</v>
      </c>
    </row>
    <row r="10" ht="16.5" spans="1:21">
      <c r="A10" s="51">
        <f t="shared" si="1"/>
        <v>46143</v>
      </c>
      <c r="B10" s="24">
        <v>1</v>
      </c>
      <c r="C10" s="49"/>
      <c r="D10" s="49"/>
      <c r="E10" s="49"/>
      <c r="F10" s="49"/>
      <c r="G10" s="49"/>
      <c r="H10" s="49"/>
      <c r="I10" s="49"/>
      <c r="K10" s="24">
        <v>1</v>
      </c>
      <c r="L10" s="49"/>
      <c r="M10" s="49"/>
      <c r="N10" s="49"/>
      <c r="O10" s="49"/>
      <c r="P10" s="49"/>
      <c r="Q10" s="49"/>
      <c r="R10" s="49"/>
      <c r="T10" s="4">
        <f t="shared" si="0"/>
        <v>0</v>
      </c>
      <c r="U10" s="4">
        <f>IF($A10="","",COUNTIFS(流水日期,"&gt;="&amp;$A10,流水日期,"&lt;="&amp;EOMONTH($A10,0),流水币种,"&lt;&gt;"&amp;本位币))</f>
        <v>0</v>
      </c>
    </row>
    <row r="11" ht="16.5" spans="1:21">
      <c r="A11" s="51">
        <f t="shared" si="1"/>
        <v>46174</v>
      </c>
      <c r="B11" s="24">
        <v>1</v>
      </c>
      <c r="C11" s="49"/>
      <c r="D11" s="49"/>
      <c r="E11" s="49"/>
      <c r="F11" s="49"/>
      <c r="G11" s="49"/>
      <c r="H11" s="49"/>
      <c r="I11" s="49"/>
      <c r="K11" s="24">
        <v>1</v>
      </c>
      <c r="L11" s="49"/>
      <c r="M11" s="49"/>
      <c r="N11" s="49"/>
      <c r="O11" s="49"/>
      <c r="P11" s="49"/>
      <c r="Q11" s="49"/>
      <c r="R11" s="49"/>
      <c r="T11" s="4">
        <f t="shared" si="0"/>
        <v>0</v>
      </c>
      <c r="U11" s="4">
        <f>IF($A11="","",COUNTIFS(流水日期,"&gt;="&amp;$A11,流水日期,"&lt;="&amp;EOMONTH($A11,0),流水币种,"&lt;&gt;"&amp;本位币))</f>
        <v>0</v>
      </c>
    </row>
    <row r="12" ht="16.5" spans="1:21">
      <c r="A12" s="51">
        <f t="shared" si="1"/>
        <v>46204</v>
      </c>
      <c r="B12" s="24">
        <v>1</v>
      </c>
      <c r="C12" s="49"/>
      <c r="D12" s="49"/>
      <c r="E12" s="49"/>
      <c r="F12" s="49"/>
      <c r="G12" s="49"/>
      <c r="H12" s="49"/>
      <c r="I12" s="49"/>
      <c r="K12" s="24">
        <v>1</v>
      </c>
      <c r="L12" s="49"/>
      <c r="M12" s="49"/>
      <c r="N12" s="49"/>
      <c r="O12" s="49"/>
      <c r="P12" s="49"/>
      <c r="Q12" s="49"/>
      <c r="R12" s="49"/>
      <c r="T12" s="4">
        <f t="shared" si="0"/>
        <v>0</v>
      </c>
      <c r="U12" s="4">
        <f>IF($A12="","",COUNTIFS(流水日期,"&gt;="&amp;$A12,流水日期,"&lt;="&amp;EOMONTH($A12,0),流水币种,"&lt;&gt;"&amp;本位币))</f>
        <v>0</v>
      </c>
    </row>
    <row r="13" ht="16.5" spans="1:21">
      <c r="A13" s="51">
        <f t="shared" si="1"/>
        <v>46235</v>
      </c>
      <c r="B13" s="24">
        <v>1</v>
      </c>
      <c r="C13" s="49">
        <v>7.18</v>
      </c>
      <c r="D13" s="49">
        <v>0.92</v>
      </c>
      <c r="E13" s="49">
        <v>7.69</v>
      </c>
      <c r="F13" s="49"/>
      <c r="G13" s="49"/>
      <c r="H13" s="49"/>
      <c r="I13" s="49"/>
      <c r="K13" s="24">
        <v>1</v>
      </c>
      <c r="L13" s="49"/>
      <c r="M13" s="49"/>
      <c r="N13" s="49"/>
      <c r="O13" s="49"/>
      <c r="P13" s="49"/>
      <c r="Q13" s="49"/>
      <c r="R13" s="49"/>
      <c r="T13" s="4">
        <f t="shared" si="0"/>
        <v>3</v>
      </c>
      <c r="U13" s="4">
        <f>IF($A13="","",COUNTIFS(流水日期,"&gt;="&amp;$A13,流水日期,"&lt;="&amp;EOMONTH($A13,0),流水币种,"&lt;&gt;"&amp;本位币))</f>
        <v>10</v>
      </c>
    </row>
    <row r="14" ht="16.5" spans="1:21">
      <c r="A14" s="51">
        <f t="shared" si="1"/>
        <v>46266</v>
      </c>
      <c r="B14" s="24">
        <v>1</v>
      </c>
      <c r="C14" s="49"/>
      <c r="D14" s="49"/>
      <c r="E14" s="49"/>
      <c r="F14" s="49"/>
      <c r="G14" s="49"/>
      <c r="H14" s="49"/>
      <c r="I14" s="49"/>
      <c r="K14" s="24">
        <v>1</v>
      </c>
      <c r="L14" s="49"/>
      <c r="M14" s="49"/>
      <c r="N14" s="49"/>
      <c r="O14" s="49"/>
      <c r="P14" s="49"/>
      <c r="Q14" s="49"/>
      <c r="R14" s="49"/>
      <c r="T14" s="4">
        <f t="shared" si="0"/>
        <v>0</v>
      </c>
      <c r="U14" s="4">
        <f>IF($A14="","",COUNTIFS(流水日期,"&gt;="&amp;$A14,流水日期,"&lt;="&amp;EOMONTH($A14,0),流水币种,"&lt;&gt;"&amp;本位币))</f>
        <v>0</v>
      </c>
    </row>
    <row r="15" ht="16.5" spans="1:21">
      <c r="A15" s="51">
        <f t="shared" si="1"/>
        <v>46296</v>
      </c>
      <c r="B15" s="24">
        <v>1</v>
      </c>
      <c r="C15" s="49"/>
      <c r="D15" s="49"/>
      <c r="E15" s="49"/>
      <c r="F15" s="49"/>
      <c r="G15" s="49"/>
      <c r="H15" s="49"/>
      <c r="I15" s="49"/>
      <c r="K15" s="24">
        <v>1</v>
      </c>
      <c r="L15" s="49"/>
      <c r="M15" s="49"/>
      <c r="N15" s="49"/>
      <c r="O15" s="49"/>
      <c r="P15" s="49"/>
      <c r="Q15" s="49"/>
      <c r="R15" s="49"/>
      <c r="T15" s="4">
        <f t="shared" si="0"/>
        <v>0</v>
      </c>
      <c r="U15" s="4">
        <f>IF($A15="","",COUNTIFS(流水日期,"&gt;="&amp;$A15,流水日期,"&lt;="&amp;EOMONTH($A15,0),流水币种,"&lt;&gt;"&amp;本位币))</f>
        <v>0</v>
      </c>
    </row>
    <row r="16" ht="16.5" spans="1:21">
      <c r="A16" s="51">
        <f t="shared" si="1"/>
        <v>46327</v>
      </c>
      <c r="B16" s="24">
        <v>1</v>
      </c>
      <c r="C16" s="49"/>
      <c r="D16" s="49"/>
      <c r="E16" s="49"/>
      <c r="F16" s="49"/>
      <c r="G16" s="49"/>
      <c r="H16" s="49"/>
      <c r="I16" s="49"/>
      <c r="K16" s="24">
        <v>1</v>
      </c>
      <c r="L16" s="49"/>
      <c r="M16" s="49"/>
      <c r="N16" s="49"/>
      <c r="O16" s="49"/>
      <c r="P16" s="49"/>
      <c r="Q16" s="49"/>
      <c r="R16" s="49"/>
      <c r="T16" s="4">
        <f t="shared" si="0"/>
        <v>0</v>
      </c>
      <c r="U16" s="4">
        <f>IF($A16="","",COUNTIFS(流水日期,"&gt;="&amp;$A16,流水日期,"&lt;="&amp;EOMONTH($A16,0),流水币种,"&lt;&gt;"&amp;本位币))</f>
        <v>0</v>
      </c>
    </row>
    <row r="17" ht="16.5" spans="1:21">
      <c r="A17" s="51">
        <f t="shared" si="1"/>
        <v>46357</v>
      </c>
      <c r="B17" s="24">
        <v>1</v>
      </c>
      <c r="C17" s="49"/>
      <c r="D17" s="49"/>
      <c r="E17" s="49"/>
      <c r="F17" s="49"/>
      <c r="G17" s="49"/>
      <c r="H17" s="49"/>
      <c r="I17" s="49"/>
      <c r="K17" s="24">
        <v>1</v>
      </c>
      <c r="L17" s="49"/>
      <c r="M17" s="49"/>
      <c r="N17" s="49"/>
      <c r="O17" s="49"/>
      <c r="P17" s="49"/>
      <c r="Q17" s="49"/>
      <c r="R17" s="49"/>
      <c r="T17" s="4">
        <f t="shared" si="0"/>
        <v>0</v>
      </c>
      <c r="U17" s="4">
        <f>IF($A17="","",COUNTIFS(流水日期,"&gt;="&amp;$A17,流水日期,"&lt;="&amp;EOMONTH($A17,0),流水币种,"&lt;&gt;"&amp;本位币))</f>
        <v>0</v>
      </c>
    </row>
    <row r="18" ht="16.5" spans="1:21">
      <c r="A18" s="39" t="s">
        <v>220</v>
      </c>
      <c r="B18" s="9">
        <f t="shared" ref="B18:I18" si="2">COUNT(B6:B17)</f>
        <v>12</v>
      </c>
      <c r="C18" s="9">
        <f t="shared" si="2"/>
        <v>1</v>
      </c>
      <c r="D18" s="9">
        <f t="shared" si="2"/>
        <v>1</v>
      </c>
      <c r="E18" s="9">
        <f t="shared" si="2"/>
        <v>1</v>
      </c>
      <c r="F18" s="9">
        <f t="shared" si="2"/>
        <v>0</v>
      </c>
      <c r="G18" s="9">
        <f t="shared" si="2"/>
        <v>0</v>
      </c>
      <c r="H18" s="9">
        <f t="shared" si="2"/>
        <v>0</v>
      </c>
      <c r="I18" s="9">
        <f t="shared" si="2"/>
        <v>0</v>
      </c>
    </row>
  </sheetData>
  <mergeCells count="4">
    <mergeCell ref="A1:R1"/>
    <mergeCell ref="A2:R2"/>
    <mergeCell ref="A4:I4"/>
    <mergeCell ref="K4:R4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  <pageSetUpPr fitToPage="1"/>
  </sheetPr>
  <dimension ref="A1:S2005"/>
  <sheetViews>
    <sheetView showGridLines="0" workbookViewId="0">
      <pane xSplit="2" ySplit="5" topLeftCell="H6" activePane="bottomRight" state="frozen"/>
      <selection/>
      <selection pane="topRight"/>
      <selection pane="bottomLeft"/>
      <selection pane="bottomRight" activeCell="C21" sqref="C21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8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20.625" customWidth="1"/>
    <col min="18" max="18" width="14" customWidth="1"/>
    <col min="19" max="19" width="32" customWidth="1"/>
  </cols>
  <sheetData>
    <row r="1" ht="30" customHeight="1" spans="1:19">
      <c r="A1" s="1" t="s">
        <v>221</v>
      </c>
    </row>
    <row r="2" ht="24" customHeight="1" spans="1:19">
      <c r="A2" s="2" t="s">
        <v>222</v>
      </c>
    </row>
    <row r="5" ht="30" customHeight="1" spans="1:19">
      <c r="A5" s="36" t="s">
        <v>223</v>
      </c>
      <c r="B5" s="36" t="s">
        <v>224</v>
      </c>
      <c r="C5" s="36" t="s">
        <v>225</v>
      </c>
      <c r="D5" s="36" t="s">
        <v>226</v>
      </c>
      <c r="E5" s="36" t="s">
        <v>227</v>
      </c>
      <c r="F5" s="36" t="s">
        <v>228</v>
      </c>
      <c r="G5" s="36" t="s">
        <v>229</v>
      </c>
      <c r="H5" s="36" t="s">
        <v>230</v>
      </c>
      <c r="I5" s="36" t="s">
        <v>231</v>
      </c>
      <c r="J5" s="36" t="s">
        <v>232</v>
      </c>
      <c r="K5" s="36" t="s">
        <v>233</v>
      </c>
      <c r="L5" s="36" t="s">
        <v>234</v>
      </c>
      <c r="M5" s="36" t="s">
        <v>235</v>
      </c>
      <c r="N5" s="36" t="s">
        <v>236</v>
      </c>
      <c r="O5" s="36" t="s">
        <v>237</v>
      </c>
      <c r="P5" s="36" t="s">
        <v>238</v>
      </c>
      <c r="Q5" s="36" t="s">
        <v>133</v>
      </c>
      <c r="R5" s="36" t="s">
        <v>239</v>
      </c>
      <c r="S5" s="36" t="s">
        <v>127</v>
      </c>
    </row>
    <row r="6" ht="16.5" spans="1:19">
      <c r="A6" s="45">
        <v>46237</v>
      </c>
      <c r="B6" s="46" t="s">
        <v>135</v>
      </c>
      <c r="C6" s="12" t="str">
        <f>IF($B6="","",IFERROR(INDEX(账户银行,MATCH($B6,账户名,0)),""))</f>
        <v>工商银行</v>
      </c>
      <c r="D6" s="12" t="str">
        <f>IF($B6="","",IFERROR(INDEX(账户币种,MATCH($B6,账户名,0)),""))</f>
        <v>CNY</v>
      </c>
      <c r="E6" s="47" t="s">
        <v>139</v>
      </c>
      <c r="F6" s="12" t="str">
        <f>IF($E6="","",IFERROR(INDEX(类别属性,MATCH($E6,类别表,0)),""))</f>
        <v>收入</v>
      </c>
      <c r="G6" s="48">
        <v>120000</v>
      </c>
      <c r="H6" s="48"/>
      <c r="I6" s="49"/>
      <c r="J6" s="24">
        <f>IF(OR($A6="",$B6=""),"",IF($I6&lt;&gt;"",$I6,IF($D6=本位币,1,IFERROR(LOOKUP(2,1/((汇率月份&lt;=$A6)*(INDEX(记账汇率区,0,MATCH($D6,汇率币种头,0))&lt;&gt;"")),INDEX(记账汇率区,0,MATCH($D6,汇率币种头,0))),""))))</f>
        <v>1</v>
      </c>
      <c r="K6" s="23">
        <f t="shared" ref="K6:K69" si="0">IF(AND($G6="",$H6=""),"",ROUND(N($G6)-N($H6),2))</f>
        <v>120000</v>
      </c>
      <c r="L6" s="23">
        <f t="shared" ref="L6:L69" si="1">IF(OR($K6="",$J6=""),"",ROUND($K6*$J6,2))</f>
        <v>120000</v>
      </c>
      <c r="M6" s="23">
        <f>IF($B6="","",ROUND(SUMIF(账户名,$B6,账户期初)+SUMIFS($K$6:K6,$B$6:B6,$B6),2))</f>
        <v>620000</v>
      </c>
      <c r="N6" s="23">
        <f>IF($B6="","",IFERROR(ROUND(INDEX(账户期初本位,MATCH($B6,账户名,0))+SUMIFS($L$6:L6,$B$6:B6,$B6),2),""))</f>
        <v>620000</v>
      </c>
      <c r="O6" s="46" t="s">
        <v>139</v>
      </c>
      <c r="P6" s="47" t="s">
        <v>141</v>
      </c>
      <c r="Q6" s="46" t="s">
        <v>142</v>
      </c>
      <c r="R6" s="46"/>
      <c r="S6" s="6" t="str">
        <f>IF($B6="","",IF(ISNA(MATCH($B6,账户名,0)),"※这个账户不在【参数设置】的账户档案里",IF($A6="","※没填日期，这一笔不会进任何月份的报表",IF(AND($G6&lt;&gt;"",$H6&lt;&gt;""),"※收入和支出不能同时填",IF(AND(N($G6)=0,N($H6)=0),"※收入和支出都没填",IF($E6="","※没填收支类别，分类报表会漏掉这一笔",IF(ISNA(MATCH($E6,类别表,0)),"※收支类别不在【参数设置】的清单里",IF($J6="","△"&amp;$D6&amp;" 还没填汇率，去【月度汇率】补上就自动算了",IF(YEAR($A6)&lt;&gt;管理年度,"△不是管理年度的单据，年报里看不到",IF(AND($F6="内部转账",$Q6=""),"△内部转账建议在「往来单位」写上对方账户",IF($M6&lt;0,"△这一笔之后该账户余额成负数了，核一下","")))))))))))</f>
        <v/>
      </c>
    </row>
    <row r="7" ht="16.5" spans="1:19">
      <c r="A7" s="45">
        <v>46238</v>
      </c>
      <c r="B7" s="46" t="s">
        <v>144</v>
      </c>
      <c r="C7" s="12" t="str">
        <f>IF($B7="","",IFERROR(INDEX(账户银行,MATCH($B7,账户名,0)),""))</f>
        <v>中国银行</v>
      </c>
      <c r="D7" s="12" t="str">
        <f>IF($B7="","",IFERROR(INDEX(账户币种,MATCH($B7,账户名,0)),""))</f>
        <v>USD</v>
      </c>
      <c r="E7" s="47" t="s">
        <v>139</v>
      </c>
      <c r="F7" s="12" t="str">
        <f>IF($E7="","",IFERROR(INDEX(类别属性,MATCH($E7,类别表,0)),""))</f>
        <v>收入</v>
      </c>
      <c r="G7" s="48">
        <v>25000</v>
      </c>
      <c r="H7" s="48"/>
      <c r="I7" s="49"/>
      <c r="J7" s="24">
        <f>IF(OR($A7="",$B7=""),"",IF($I7&lt;&gt;"",$I7,IF($D7=本位币,1,IFERROR(LOOKUP(2,1/((汇率月份&lt;=$A7)*(INDEX(记账汇率区,0,MATCH($D7,汇率币种头,0))&lt;&gt;"")),INDEX(记账汇率区,0,MATCH($D7,汇率币种头,0))),""))))</f>
        <v>7.18</v>
      </c>
      <c r="K7" s="23">
        <f t="shared" si="0"/>
        <v>25000</v>
      </c>
      <c r="L7" s="23">
        <f t="shared" si="1"/>
        <v>179500</v>
      </c>
      <c r="M7" s="23">
        <f>IF($B7="","",ROUND(SUMIF(账户名,$B7,账户期初)+SUMIFS($K$6:K7,$B$6:B7,$B7),2))</f>
        <v>825000</v>
      </c>
      <c r="N7" s="23">
        <f>IF($B7="","",IFERROR(ROUND(INDEX(账户期初本位,MATCH($B7,账户名,0))+SUMIFS($L$6:L7,$B$6:B7,$B7),2),""))</f>
        <v>5899500</v>
      </c>
      <c r="O7" s="46" t="s">
        <v>240</v>
      </c>
      <c r="P7" s="47" t="s">
        <v>150</v>
      </c>
      <c r="Q7" s="46" t="s">
        <v>151</v>
      </c>
      <c r="R7" s="46"/>
      <c r="S7" s="6" t="str">
        <f>IF($B7="","",IF(ISNA(MATCH($B7,账户名,0)),"※这个账户不在【参数设置】的账户档案里",IF($A7="","※没填日期，这一笔不会进任何月份的报表",IF(AND($G7&lt;&gt;"",$H7&lt;&gt;""),"※收入和支出不能同时填",IF(AND(N($G7)=0,N($H7)=0),"※收入和支出都没填",IF($E7="","※没填收支类别，分类报表会漏掉这一笔",IF(ISNA(MATCH($E7,类别表,0)),"※收支类别不在【参数设置】的清单里",IF($J7="","△"&amp;$D7&amp;" 还没填汇率，去【月度汇率】补上就自动算了",IF(YEAR($A7)&lt;&gt;管理年度,"△不是管理年度的单据，年报里看不到",IF(AND($F7="内部转账",$Q7=""),"△内部转账建议在「往来单位」写上对方账户",IF($M7&lt;0,"△这一笔之后该账户余额成负数了，核一下","")))))))))))</f>
        <v/>
      </c>
    </row>
    <row r="8" ht="16.5" spans="1:19">
      <c r="A8" s="45">
        <v>46239</v>
      </c>
      <c r="B8" s="46" t="s">
        <v>153</v>
      </c>
      <c r="C8" s="12" t="str">
        <f>IF($B8="","",IFERROR(INDEX(账户银行,MATCH($B8,账户名,0)),""))</f>
        <v>汇丰银行</v>
      </c>
      <c r="D8" s="12" t="str">
        <f>IF($B8="","",IFERROR(INDEX(账户币种,MATCH($B8,账户名,0)),""))</f>
        <v>HKD</v>
      </c>
      <c r="E8" s="47" t="s">
        <v>185</v>
      </c>
      <c r="F8" s="12" t="str">
        <f>IF($E8="","",IFERROR(INDEX(类别属性,MATCH($E8,类别表,0)),""))</f>
        <v>支出</v>
      </c>
      <c r="G8" s="48"/>
      <c r="H8" s="48">
        <v>4500</v>
      </c>
      <c r="I8" s="49"/>
      <c r="J8" s="24">
        <f>IF(OR($A8="",$B8=""),"",IF($I8&lt;&gt;"",$I8,IF($D8=本位币,1,IFERROR(LOOKUP(2,1/((汇率月份&lt;=$A8)*(INDEX(记账汇率区,0,MATCH($D8,汇率币种头,0))&lt;&gt;"")),INDEX(记账汇率区,0,MATCH($D8,汇率币种头,0))),""))))</f>
        <v>0.92</v>
      </c>
      <c r="K8" s="23">
        <f t="shared" si="0"/>
        <v>-4500</v>
      </c>
      <c r="L8" s="23">
        <f t="shared" si="1"/>
        <v>-4140</v>
      </c>
      <c r="M8" s="23">
        <f>IF($B8="","",ROUND(SUMIF(账户名,$B8,账户期初)+SUMIFS($K$6:K8,$B$6:B8,$B8),2))</f>
        <v>295500</v>
      </c>
      <c r="N8" s="23">
        <f>IF($B8="","",IFERROR(ROUND(INDEX(账户期初本位,MATCH($B8,账户名,0))+SUMIFS($L$6:L8,$B$6:B8,$B8),2),""))</f>
        <v>270360</v>
      </c>
      <c r="O8" s="46" t="s">
        <v>241</v>
      </c>
      <c r="P8" s="47" t="s">
        <v>158</v>
      </c>
      <c r="Q8" s="46" t="s">
        <v>182</v>
      </c>
      <c r="R8" s="46"/>
      <c r="S8" s="6" t="str">
        <f>IF($B8="","",IF(ISNA(MATCH($B8,账户名,0)),"※这个账户不在【参数设置】的账户档案里",IF($A8="","※没填日期，这一笔不会进任何月份的报表",IF(AND($G8&lt;&gt;"",$H8&lt;&gt;""),"※收入和支出不能同时填",IF(AND(N($G8)=0,N($H8)=0),"※收入和支出都没填",IF($E8="","※没填收支类别，分类报表会漏掉这一笔",IF(ISNA(MATCH($E8,类别表,0)),"※收支类别不在【参数设置】的清单里",IF($J8="","△"&amp;$D8&amp;" 还没填汇率，去【月度汇率】补上就自动算了",IF(YEAR($A8)&lt;&gt;管理年度,"△不是管理年度的单据，年报里看不到",IF(AND($F8="内部转账",$Q8=""),"△内部转账建议在「往来单位」写上对方账户",IF($M8&lt;0,"△这一笔之后该账户余额成负数了，核一下","")))))))))))</f>
        <v/>
      </c>
    </row>
    <row r="9" ht="16.5" spans="1:19">
      <c r="A9" s="45">
        <v>46240</v>
      </c>
      <c r="B9" s="46" t="s">
        <v>161</v>
      </c>
      <c r="C9" s="12" t="str">
        <f>IF($B9="","",IFERROR(INDEX(账户银行,MATCH($B9,账户名,0)),""))</f>
        <v>招商银行</v>
      </c>
      <c r="D9" s="12" t="str">
        <f>IF($B9="","",IFERROR(INDEX(账户币种,MATCH($B9,账户名,0)),""))</f>
        <v>CNY</v>
      </c>
      <c r="E9" s="47" t="s">
        <v>191</v>
      </c>
      <c r="F9" s="12" t="str">
        <f>IF($E9="","",IFERROR(INDEX(类别属性,MATCH($E9,类别表,0)),""))</f>
        <v>支出</v>
      </c>
      <c r="G9" s="48"/>
      <c r="H9" s="48">
        <v>30000</v>
      </c>
      <c r="I9" s="49"/>
      <c r="J9" s="24">
        <f>IF(OR($A9="",$B9=""),"",IF($I9&lt;&gt;"",$I9,IF($D9=本位币,1,IFERROR(LOOKUP(2,1/((汇率月份&lt;=$A9)*(INDEX(记账汇率区,0,MATCH($D9,汇率币种头,0))&lt;&gt;"")),INDEX(记账汇率区,0,MATCH($D9,汇率币种头,0))),""))))</f>
        <v>1</v>
      </c>
      <c r="K9" s="23">
        <f t="shared" si="0"/>
        <v>-30000</v>
      </c>
      <c r="L9" s="23">
        <f t="shared" si="1"/>
        <v>-30000</v>
      </c>
      <c r="M9" s="23">
        <f>IF($B9="","",ROUND(SUMIF(账户名,$B9,账户期初)+SUMIFS($K$6:K9,$B$6:B9,$B9),2))</f>
        <v>170000</v>
      </c>
      <c r="N9" s="23">
        <f>IF($B9="","",IFERROR(ROUND(INDEX(账户期初本位,MATCH($B9,账户名,0))+SUMIFS($L$6:L9,$B$6:B9,$B9),2),""))</f>
        <v>170000</v>
      </c>
      <c r="O9" s="46" t="s">
        <v>242</v>
      </c>
      <c r="P9" s="47" t="s">
        <v>187</v>
      </c>
      <c r="Q9" s="46" t="s">
        <v>196</v>
      </c>
      <c r="R9" s="46"/>
      <c r="S9" s="6" t="str">
        <f>IF($B9="","",IF(ISNA(MATCH($B9,账户名,0)),"※这个账户不在【参数设置】的账户档案里",IF($A9="","※没填日期，这一笔不会进任何月份的报表",IF(AND($G9&lt;&gt;"",$H9&lt;&gt;""),"※收入和支出不能同时填",IF(AND(N($G9)=0,N($H9)=0),"※收入和支出都没填",IF($E9="","※没填收支类别，分类报表会漏掉这一笔",IF(ISNA(MATCH($E9,类别表,0)),"※收支类别不在【参数设置】的清单里",IF($J9="","△"&amp;$D9&amp;" 还没填汇率，去【月度汇率】补上就自动算了",IF(YEAR($A9)&lt;&gt;管理年度,"△不是管理年度的单据，年报里看不到",IF(AND($F9="内部转账",$Q9=""),"△内部转账建议在「往来单位」写上对方账户",IF($M9&lt;0,"△这一笔之后该账户余额成负数了，核一下","")))))))))))</f>
        <v/>
      </c>
    </row>
    <row r="10" ht="16.5" spans="1:19">
      <c r="A10" s="45">
        <v>46241</v>
      </c>
      <c r="B10" s="46" t="s">
        <v>169</v>
      </c>
      <c r="C10" s="12" t="str">
        <f>IF($B10="","",IFERROR(INDEX(账户银行,MATCH($B10,账户名,0)),""))</f>
        <v>汇丰银行</v>
      </c>
      <c r="D10" s="12" t="str">
        <f>IF($B10="","",IFERROR(INDEX(账户币种,MATCH($B10,账户名,0)),""))</f>
        <v>USD</v>
      </c>
      <c r="E10" s="47" t="s">
        <v>157</v>
      </c>
      <c r="F10" s="12" t="str">
        <f>IF($E10="","",IFERROR(INDEX(类别属性,MATCH($E10,类别表,0)),""))</f>
        <v>收入</v>
      </c>
      <c r="G10" s="48">
        <v>12000</v>
      </c>
      <c r="H10" s="48"/>
      <c r="I10" s="49"/>
      <c r="J10" s="24">
        <f>IF(OR($A10="",$B10=""),"",IF($I10&lt;&gt;"",$I10,IF($D10=本位币,1,IFERROR(LOOKUP(2,1/((汇率月份&lt;=$A10)*(INDEX(记账汇率区,0,MATCH($D10,汇率币种头,0))&lt;&gt;"")),INDEX(记账汇率区,0,MATCH($D10,汇率币种头,0))),""))))</f>
        <v>7.18</v>
      </c>
      <c r="K10" s="23">
        <f t="shared" si="0"/>
        <v>12000</v>
      </c>
      <c r="L10" s="23">
        <f t="shared" si="1"/>
        <v>86160</v>
      </c>
      <c r="M10" s="23">
        <f>IF($B10="","",ROUND(SUMIF(账户名,$B10,账户期初)+SUMIFS($K$6:K10,$B$6:B10,$B10),2))</f>
        <v>512000</v>
      </c>
      <c r="N10" s="23">
        <f>IF($B10="","",IFERROR(ROUND(INDEX(账户期初本位,MATCH($B10,账户名,0))+SUMIFS($L$6:L10,$B$6:B10,$B10),2),""))</f>
        <v>3661160</v>
      </c>
      <c r="O10" s="46" t="s">
        <v>243</v>
      </c>
      <c r="P10" s="47" t="s">
        <v>181</v>
      </c>
      <c r="Q10" s="46" t="s">
        <v>204</v>
      </c>
      <c r="R10" s="46"/>
      <c r="S10" s="6" t="str">
        <f>IF($B10="","",IF(ISNA(MATCH($B10,账户名,0)),"※这个账户不在【参数设置】的账户档案里",IF($A10="","※没填日期，这一笔不会进任何月份的报表",IF(AND($G10&lt;&gt;"",$H10&lt;&gt;""),"※收入和支出不能同时填",IF(AND(N($G10)=0,N($H10)=0),"※收入和支出都没填",IF($E10="","※没填收支类别，分类报表会漏掉这一笔",IF(ISNA(MATCH($E10,类别表,0)),"※收支类别不在【参数设置】的清单里",IF($J10="","△"&amp;$D10&amp;" 还没填汇率，去【月度汇率】补上就自动算了",IF(YEAR($A10)&lt;&gt;管理年度,"△不是管理年度的单据，年报里看不到",IF(AND($F10="内部转账",$Q10=""),"△内部转账建议在「往来单位」写上对方账户",IF($M10&lt;0,"△这一笔之后该账户余额成负数了，核一下","")))))))))))</f>
        <v/>
      </c>
    </row>
    <row r="11" ht="16.5" spans="1:19">
      <c r="A11" s="45">
        <v>46242</v>
      </c>
      <c r="B11" s="46" t="s">
        <v>135</v>
      </c>
      <c r="C11" s="12" t="str">
        <f>IF($B11="","",IFERROR(INDEX(账户银行,MATCH($B11,账户名,0)),""))</f>
        <v>工商银行</v>
      </c>
      <c r="D11" s="12" t="str">
        <f>IF($B11="","",IFERROR(INDEX(账户币种,MATCH($B11,账户名,0)),""))</f>
        <v>CNY</v>
      </c>
      <c r="E11" s="47" t="s">
        <v>197</v>
      </c>
      <c r="F11" s="12" t="str">
        <f>IF($E11="","",IFERROR(INDEX(类别属性,MATCH($E11,类别表,0)),""))</f>
        <v>支出</v>
      </c>
      <c r="G11" s="48"/>
      <c r="H11" s="48">
        <v>18000</v>
      </c>
      <c r="I11" s="49"/>
      <c r="J11" s="24">
        <f>IF(OR($A11="",$B11=""),"",IF($I11&lt;&gt;"",$I11,IF($D11=本位币,1,IFERROR(LOOKUP(2,1/((汇率月份&lt;=$A11)*(INDEX(记账汇率区,0,MATCH($D11,汇率币种头,0))&lt;&gt;"")),INDEX(记账汇率区,0,MATCH($D11,汇率币种头,0))),""))))</f>
        <v>1</v>
      </c>
      <c r="K11" s="23">
        <f t="shared" si="0"/>
        <v>-18000</v>
      </c>
      <c r="L11" s="23">
        <f t="shared" si="1"/>
        <v>-18000</v>
      </c>
      <c r="M11" s="23">
        <f>IF($B11="","",ROUND(SUMIF(账户名,$B11,账户期初)+SUMIFS($K$6:K11,$B$6:B11,$B11),2))</f>
        <v>602000</v>
      </c>
      <c r="N11" s="23">
        <f>IF($B11="","",IFERROR(ROUND(INDEX(账户期初本位,MATCH($B11,账户名,0))+SUMIFS($L$6:L11,$B$6:B11,$B11),2),""))</f>
        <v>602000</v>
      </c>
      <c r="O11" s="46" t="s">
        <v>244</v>
      </c>
      <c r="P11" s="47" t="s">
        <v>192</v>
      </c>
      <c r="Q11" s="46" t="s">
        <v>199</v>
      </c>
      <c r="R11" s="46"/>
      <c r="S11" s="6" t="str">
        <f>IF($B11="","",IF(ISNA(MATCH($B11,账户名,0)),"※这个账户不在【参数设置】的账户档案里",IF($A11="","※没填日期，这一笔不会进任何月份的报表",IF(AND($G11&lt;&gt;"",$H11&lt;&gt;""),"※收入和支出不能同时填",IF(AND(N($G11)=0,N($H11)=0),"※收入和支出都没填",IF($E11="","※没填收支类别，分类报表会漏掉这一笔",IF(ISNA(MATCH($E11,类别表,0)),"※收支类别不在【参数设置】的清单里",IF($J11="","△"&amp;$D11&amp;" 还没填汇率，去【月度汇率】补上就自动算了",IF(YEAR($A11)&lt;&gt;管理年度,"△不是管理年度的单据，年报里看不到",IF(AND($F11="内部转账",$Q11=""),"△内部转账建议在「往来单位」写上对方账户",IF($M11&lt;0,"△这一笔之后该账户余额成负数了，核一下","")))))))))))</f>
        <v/>
      </c>
    </row>
    <row r="12" ht="16.5" spans="1:19">
      <c r="A12" s="45">
        <v>46244</v>
      </c>
      <c r="B12" s="46" t="s">
        <v>144</v>
      </c>
      <c r="C12" s="12" t="str">
        <f>IF($B12="","",IFERROR(INDEX(账户银行,MATCH($B12,账户名,0)),""))</f>
        <v>中国银行</v>
      </c>
      <c r="D12" s="12" t="str">
        <f>IF($B12="","",IFERROR(INDEX(账户币种,MATCH($B12,账户名,0)),""))</f>
        <v>USD</v>
      </c>
      <c r="E12" s="47" t="s">
        <v>185</v>
      </c>
      <c r="F12" s="12" t="str">
        <f>IF($E12="","",IFERROR(INDEX(类别属性,MATCH($E12,类别表,0)),""))</f>
        <v>支出</v>
      </c>
      <c r="G12" s="48"/>
      <c r="H12" s="48">
        <v>8000</v>
      </c>
      <c r="I12" s="49">
        <v>7.16</v>
      </c>
      <c r="J12" s="24">
        <f>IF(OR($A12="",$B12=""),"",IF($I12&lt;&gt;"",$I12,IF($D12=本位币,1,IFERROR(LOOKUP(2,1/((汇率月份&lt;=$A12)*(INDEX(记账汇率区,0,MATCH($D12,汇率币种头,0))&lt;&gt;"")),INDEX(记账汇率区,0,MATCH($D12,汇率币种头,0))),""))))</f>
        <v>7.16</v>
      </c>
      <c r="K12" s="23">
        <f t="shared" si="0"/>
        <v>-8000</v>
      </c>
      <c r="L12" s="23">
        <f t="shared" si="1"/>
        <v>-57280</v>
      </c>
      <c r="M12" s="23">
        <f>IF($B12="","",ROUND(SUMIF(账户名,$B12,账户期初)+SUMIFS($K$6:K12,$B$6:B12,$B12),2))</f>
        <v>817000</v>
      </c>
      <c r="N12" s="23">
        <f>IF($B12="","",IFERROR(ROUND(INDEX(账户期初本位,MATCH($B12,账户名,0))+SUMIFS($L$6:L12,$B$6:B12,$B12),2),""))</f>
        <v>5842220</v>
      </c>
      <c r="O12" s="46" t="s">
        <v>245</v>
      </c>
      <c r="P12" s="47" t="s">
        <v>158</v>
      </c>
      <c r="Q12" s="46" t="s">
        <v>188</v>
      </c>
      <c r="R12" s="46"/>
      <c r="S12" s="6" t="str">
        <f>IF($B12="","",IF(ISNA(MATCH($B12,账户名,0)),"※这个账户不在【参数设置】的账户档案里",IF($A12="","※没填日期，这一笔不会进任何月份的报表",IF(AND($G12&lt;&gt;"",$H12&lt;&gt;""),"※收入和支出不能同时填",IF(AND(N($G12)=0,N($H12)=0),"※收入和支出都没填",IF($E12="","※没填收支类别，分类报表会漏掉这一笔",IF(ISNA(MATCH($E12,类别表,0)),"※收支类别不在【参数设置】的清单里",IF($J12="","△"&amp;$D12&amp;" 还没填汇率，去【月度汇率】补上就自动算了",IF(YEAR($A12)&lt;&gt;管理年度,"△不是管理年度的单据，年报里看不到",IF(AND($F12="内部转账",$Q12=""),"△内部转账建议在「往来单位」写上对方账户",IF($M12&lt;0,"△这一笔之后该账户余额成负数了，核一下","")))))))))))</f>
        <v/>
      </c>
    </row>
    <row r="13" ht="16.5" spans="1:19">
      <c r="A13" s="45">
        <v>46245</v>
      </c>
      <c r="B13" s="46" t="s">
        <v>153</v>
      </c>
      <c r="C13" s="12" t="str">
        <f>IF($B13="","",IFERROR(INDEX(账户银行,MATCH($B13,账户名,0)),""))</f>
        <v>汇丰银行</v>
      </c>
      <c r="D13" s="12" t="str">
        <f>IF($B13="","",IFERROR(INDEX(账户币种,MATCH($B13,账户名,0)),""))</f>
        <v>HKD</v>
      </c>
      <c r="E13" s="47" t="s">
        <v>139</v>
      </c>
      <c r="F13" s="12" t="str">
        <f>IF($E13="","",IFERROR(INDEX(类别属性,MATCH($E13,类别表,0)),""))</f>
        <v>收入</v>
      </c>
      <c r="G13" s="48">
        <v>80000</v>
      </c>
      <c r="H13" s="48"/>
      <c r="I13" s="49"/>
      <c r="J13" s="24">
        <f>IF(OR($A13="",$B13=""),"",IF($I13&lt;&gt;"",$I13,IF($D13=本位币,1,IFERROR(LOOKUP(2,1/((汇率月份&lt;=$A13)*(INDEX(记账汇率区,0,MATCH($D13,汇率币种头,0))&lt;&gt;"")),INDEX(记账汇率区,0,MATCH($D13,汇率币种头,0))),""))))</f>
        <v>0.92</v>
      </c>
      <c r="K13" s="23">
        <f t="shared" si="0"/>
        <v>80000</v>
      </c>
      <c r="L13" s="23">
        <f t="shared" si="1"/>
        <v>73600</v>
      </c>
      <c r="M13" s="23">
        <f>IF($B13="","",ROUND(SUMIF(账户名,$B13,账户期初)+SUMIFS($K$6:K13,$B$6:B13,$B13),2))</f>
        <v>375500</v>
      </c>
      <c r="N13" s="23">
        <f>IF($B13="","",IFERROR(ROUND(INDEX(账户期初本位,MATCH($B13,账户名,0))+SUMIFS($L$6:L13,$B$6:B13,$B13),2),""))</f>
        <v>343960</v>
      </c>
      <c r="O13" s="46" t="s">
        <v>246</v>
      </c>
      <c r="P13" s="47" t="s">
        <v>167</v>
      </c>
      <c r="Q13" s="46" t="s">
        <v>168</v>
      </c>
      <c r="R13" s="46"/>
      <c r="S13" s="6" t="str">
        <f>IF($B13="","",IF(ISNA(MATCH($B13,账户名,0)),"※这个账户不在【参数设置】的账户档案里",IF($A13="","※没填日期，这一笔不会进任何月份的报表",IF(AND($G13&lt;&gt;"",$H13&lt;&gt;""),"※收入和支出不能同时填",IF(AND(N($G13)=0,N($H13)=0),"※收入和支出都没填",IF($E13="","※没填收支类别，分类报表会漏掉这一笔",IF(ISNA(MATCH($E13,类别表,0)),"※收支类别不在【参数设置】的清单里",IF($J13="","△"&amp;$D13&amp;" 还没填汇率，去【月度汇率】补上就自动算了",IF(YEAR($A13)&lt;&gt;管理年度,"△不是管理年度的单据，年报里看不到",IF(AND($F13="内部转账",$Q13=""),"△内部转账建议在「往来单位」写上对方账户",IF($M13&lt;0,"△这一笔之后该账户余额成负数了，核一下","")))))))))))</f>
        <v/>
      </c>
    </row>
    <row r="14" ht="16.5" spans="1:19">
      <c r="A14" s="45">
        <v>46246</v>
      </c>
      <c r="B14" s="46" t="s">
        <v>161</v>
      </c>
      <c r="C14" s="12" t="str">
        <f>IF($B14="","",IFERROR(INDEX(账户银行,MATCH($B14,账户名,0)),""))</f>
        <v>招商银行</v>
      </c>
      <c r="D14" s="12" t="str">
        <f>IF($B14="","",IFERROR(INDEX(账户币种,MATCH($B14,账户名,0)),""))</f>
        <v>CNY</v>
      </c>
      <c r="E14" s="47" t="s">
        <v>166</v>
      </c>
      <c r="F14" s="12" t="str">
        <f>IF($E14="","",IFERROR(INDEX(类别属性,MATCH($E14,类别表,0)),""))</f>
        <v>收入</v>
      </c>
      <c r="G14" s="48">
        <v>60000</v>
      </c>
      <c r="H14" s="48"/>
      <c r="I14" s="49"/>
      <c r="J14" s="24">
        <f>IF(OR($A14="",$B14=""),"",IF($I14&lt;&gt;"",$I14,IF($D14=本位币,1,IFERROR(LOOKUP(2,1/((汇率月份&lt;=$A14)*(INDEX(记账汇率区,0,MATCH($D14,汇率币种头,0))&lt;&gt;"")),INDEX(记账汇率区,0,MATCH($D14,汇率币种头,0))),""))))</f>
        <v>1</v>
      </c>
      <c r="K14" s="23">
        <f t="shared" si="0"/>
        <v>60000</v>
      </c>
      <c r="L14" s="23">
        <f t="shared" si="1"/>
        <v>60000</v>
      </c>
      <c r="M14" s="23">
        <f>IF($B14="","",ROUND(SUMIF(账户名,$B14,账户期初)+SUMIFS($K$6:K14,$B$6:B14,$B14),2))</f>
        <v>230000</v>
      </c>
      <c r="N14" s="23">
        <f>IF($B14="","",IFERROR(ROUND(INDEX(账户期初本位,MATCH($B14,账户名,0))+SUMIFS($L$6:L14,$B$6:B14,$B14),2),""))</f>
        <v>230000</v>
      </c>
      <c r="O14" s="46" t="s">
        <v>247</v>
      </c>
      <c r="P14" s="47" t="s">
        <v>181</v>
      </c>
      <c r="Q14" s="46" t="s">
        <v>202</v>
      </c>
      <c r="R14" s="46"/>
      <c r="S14" s="6" t="str">
        <f>IF($B14="","",IF(ISNA(MATCH($B14,账户名,0)),"※这个账户不在【参数设置】的账户档案里",IF($A14="","※没填日期，这一笔不会进任何月份的报表",IF(AND($G14&lt;&gt;"",$H14&lt;&gt;""),"※收入和支出不能同时填",IF(AND(N($G14)=0,N($H14)=0),"※收入和支出都没填",IF($E14="","※没填收支类别，分类报表会漏掉这一笔",IF(ISNA(MATCH($E14,类别表,0)),"※收支类别不在【参数设置】的清单里",IF($J14="","△"&amp;$D14&amp;" 还没填汇率，去【月度汇率】补上就自动算了",IF(YEAR($A14)&lt;&gt;管理年度,"△不是管理年度的单据，年报里看不到",IF(AND($F14="内部转账",$Q14=""),"△内部转账建议在「往来单位」写上对方账户",IF($M14&lt;0,"△这一笔之后该账户余额成负数了，核一下","")))))))))))</f>
        <v/>
      </c>
    </row>
    <row r="15" ht="16.5" spans="1:19">
      <c r="A15" s="45">
        <v>46247</v>
      </c>
      <c r="B15" s="46" t="s">
        <v>169</v>
      </c>
      <c r="C15" s="12" t="str">
        <f>IF($B15="","",IFERROR(INDEX(账户银行,MATCH($B15,账户名,0)),""))</f>
        <v>汇丰银行</v>
      </c>
      <c r="D15" s="12" t="str">
        <f>IF($B15="","",IFERROR(INDEX(账户币种,MATCH($B15,账户名,0)),""))</f>
        <v>USD</v>
      </c>
      <c r="E15" s="47" t="s">
        <v>194</v>
      </c>
      <c r="F15" s="12" t="str">
        <f>IF($E15="","",IFERROR(INDEX(类别属性,MATCH($E15,类别表,0)),""))</f>
        <v>支出</v>
      </c>
      <c r="G15" s="48"/>
      <c r="H15" s="48">
        <v>5000</v>
      </c>
      <c r="I15" s="49"/>
      <c r="J15" s="24">
        <f>IF(OR($A15="",$B15=""),"",IF($I15&lt;&gt;"",$I15,IF($D15=本位币,1,IFERROR(LOOKUP(2,1/((汇率月份&lt;=$A15)*(INDEX(记账汇率区,0,MATCH($D15,汇率币种头,0))&lt;&gt;"")),INDEX(记账汇率区,0,MATCH($D15,汇率币种头,0))),""))))</f>
        <v>7.18</v>
      </c>
      <c r="K15" s="23">
        <f t="shared" si="0"/>
        <v>-5000</v>
      </c>
      <c r="L15" s="23">
        <f t="shared" si="1"/>
        <v>-35900</v>
      </c>
      <c r="M15" s="23">
        <f>IF($B15="","",ROUND(SUMIF(账户名,$B15,账户期初)+SUMIFS($K$6:K15,$B$6:B15,$B15),2))</f>
        <v>507000</v>
      </c>
      <c r="N15" s="23">
        <f>IF($B15="","",IFERROR(ROUND(INDEX(账户期初本位,MATCH($B15,账户名,0))+SUMIFS($L$6:L15,$B$6:B15,$B15),2),""))</f>
        <v>3625260</v>
      </c>
      <c r="O15" s="46" t="s">
        <v>248</v>
      </c>
      <c r="P15" s="47" t="s">
        <v>195</v>
      </c>
      <c r="Q15" s="46" t="s">
        <v>206</v>
      </c>
      <c r="R15" s="46"/>
      <c r="S15" s="6" t="str">
        <f>IF($B15="","",IF(ISNA(MATCH($B15,账户名,0)),"※这个账户不在【参数设置】的账户档案里",IF($A15="","※没填日期，这一笔不会进任何月份的报表",IF(AND($G15&lt;&gt;"",$H15&lt;&gt;""),"※收入和支出不能同时填",IF(AND(N($G15)=0,N($H15)=0),"※收入和支出都没填",IF($E15="","※没填收支类别，分类报表会漏掉这一笔",IF(ISNA(MATCH($E15,类别表,0)),"※收支类别不在【参数设置】的清单里",IF($J15="","△"&amp;$D15&amp;" 还没填汇率，去【月度汇率】补上就自动算了",IF(YEAR($A15)&lt;&gt;管理年度,"△不是管理年度的单据，年报里看不到",IF(AND($F15="内部转账",$Q15=""),"△内部转账建议在「往来单位」写上对方账户",IF($M15&lt;0,"△这一笔之后该账户余额成负数了，核一下","")))))))))))</f>
        <v/>
      </c>
    </row>
    <row r="16" ht="16.5" spans="1:19">
      <c r="A16" s="45">
        <v>46248</v>
      </c>
      <c r="B16" s="46" t="s">
        <v>135</v>
      </c>
      <c r="C16" s="12" t="str">
        <f>IF($B16="","",IFERROR(INDEX(账户银行,MATCH($B16,账户名,0)),""))</f>
        <v>工商银行</v>
      </c>
      <c r="D16" s="12" t="str">
        <f>IF($B16="","",IFERROR(INDEX(账户币种,MATCH($B16,账户名,0)),""))</f>
        <v>CNY</v>
      </c>
      <c r="E16" s="47" t="s">
        <v>211</v>
      </c>
      <c r="F16" s="12" t="str">
        <f>IF($E16="","",IFERROR(INDEX(类别属性,MATCH($E16,类别表,0)),""))</f>
        <v>内部转账</v>
      </c>
      <c r="G16" s="48"/>
      <c r="H16" s="48">
        <v>50000</v>
      </c>
      <c r="I16" s="49"/>
      <c r="J16" s="24">
        <f>IF(OR($A16="",$B16=""),"",IF($I16&lt;&gt;"",$I16,IF($D16=本位币,1,IFERROR(LOOKUP(2,1/((汇率月份&lt;=$A16)*(INDEX(记账汇率区,0,MATCH($D16,汇率币种头,0))&lt;&gt;"")),INDEX(记账汇率区,0,MATCH($D16,汇率币种头,0))),""))))</f>
        <v>1</v>
      </c>
      <c r="K16" s="23">
        <f t="shared" si="0"/>
        <v>-50000</v>
      </c>
      <c r="L16" s="23">
        <f t="shared" si="1"/>
        <v>-50000</v>
      </c>
      <c r="M16" s="23">
        <f>IF($B16="","",ROUND(SUMIF(账户名,$B16,账户期初)+SUMIFS($K$6:K16,$B$6:B16,$B16),2))</f>
        <v>552000</v>
      </c>
      <c r="N16" s="23">
        <f>IF($B16="","",IFERROR(ROUND(INDEX(账户期初本位,MATCH($B16,账户名,0))+SUMIFS($L$6:L16,$B$6:B16,$B16),2),""))</f>
        <v>552000</v>
      </c>
      <c r="O16" s="46" t="s">
        <v>249</v>
      </c>
      <c r="P16" s="47" t="s">
        <v>198</v>
      </c>
      <c r="Q16" s="46" t="s">
        <v>161</v>
      </c>
      <c r="R16" s="46"/>
      <c r="S16" s="6" t="str">
        <f>IF($B16="","",IF(ISNA(MATCH($B16,账户名,0)),"※这个账户不在【参数设置】的账户档案里",IF($A16="","※没填日期，这一笔不会进任何月份的报表",IF(AND($G16&lt;&gt;"",$H16&lt;&gt;""),"※收入和支出不能同时填",IF(AND(N($G16)=0,N($H16)=0),"※收入和支出都没填",IF($E16="","※没填收支类别，分类报表会漏掉这一笔",IF(ISNA(MATCH($E16,类别表,0)),"※收支类别不在【参数设置】的清单里",IF($J16="","△"&amp;$D16&amp;" 还没填汇率，去【月度汇率】补上就自动算了",IF(YEAR($A16)&lt;&gt;管理年度,"△不是管理年度的单据，年报里看不到",IF(AND($F16="内部转账",$Q16=""),"△内部转账建议在「往来单位」写上对方账户",IF($M16&lt;0,"△这一笔之后该账户余额成负数了，核一下","")))))))))))</f>
        <v/>
      </c>
    </row>
    <row r="17" ht="16.5" spans="1:19">
      <c r="A17" s="45">
        <v>46248</v>
      </c>
      <c r="B17" s="46" t="s">
        <v>161</v>
      </c>
      <c r="C17" s="12" t="str">
        <f>IF($B17="","",IFERROR(INDEX(账户银行,MATCH($B17,账户名,0)),""))</f>
        <v>招商银行</v>
      </c>
      <c r="D17" s="12" t="str">
        <f>IF($B17="","",IFERROR(INDEX(账户币种,MATCH($B17,账户名,0)),""))</f>
        <v>CNY</v>
      </c>
      <c r="E17" s="47" t="s">
        <v>211</v>
      </c>
      <c r="F17" s="12" t="str">
        <f>IF($E17="","",IFERROR(INDEX(类别属性,MATCH($E17,类别表,0)),""))</f>
        <v>内部转账</v>
      </c>
      <c r="G17" s="48">
        <v>50000</v>
      </c>
      <c r="H17" s="48"/>
      <c r="I17" s="49"/>
      <c r="J17" s="24">
        <f>IF(OR($A17="",$B17=""),"",IF($I17&lt;&gt;"",$I17,IF($D17=本位币,1,IFERROR(LOOKUP(2,1/((汇率月份&lt;=$A17)*(INDEX(记账汇率区,0,MATCH($D17,汇率币种头,0))&lt;&gt;"")),INDEX(记账汇率区,0,MATCH($D17,汇率币种头,0))),""))))</f>
        <v>1</v>
      </c>
      <c r="K17" s="23">
        <f t="shared" si="0"/>
        <v>50000</v>
      </c>
      <c r="L17" s="23">
        <f t="shared" si="1"/>
        <v>50000</v>
      </c>
      <c r="M17" s="23">
        <f>IF($B17="","",ROUND(SUMIF(账户名,$B17,账户期初)+SUMIFS($K$6:K17,$B$6:B17,$B17),2))</f>
        <v>280000</v>
      </c>
      <c r="N17" s="23">
        <f>IF($B17="","",IFERROR(ROUND(INDEX(账户期初本位,MATCH($B17,账户名,0))+SUMIFS($L$6:L17,$B$6:B17,$B17),2),""))</f>
        <v>280000</v>
      </c>
      <c r="O17" s="46" t="s">
        <v>250</v>
      </c>
      <c r="P17" s="47" t="s">
        <v>198</v>
      </c>
      <c r="Q17" s="46" t="s">
        <v>135</v>
      </c>
      <c r="R17" s="46"/>
      <c r="S17" s="6" t="str">
        <f>IF($B17="","",IF(ISNA(MATCH($B17,账户名,0)),"※这个账户不在【参数设置】的账户档案里",IF($A17="","※没填日期，这一笔不会进任何月份的报表",IF(AND($G17&lt;&gt;"",$H17&lt;&gt;""),"※收入和支出不能同时填",IF(AND(N($G17)=0,N($H17)=0),"※收入和支出都没填",IF($E17="","※没填收支类别，分类报表会漏掉这一笔",IF(ISNA(MATCH($E17,类别表,0)),"※收支类别不在【参数设置】的清单里",IF($J17="","△"&amp;$D17&amp;" 还没填汇率，去【月度汇率】补上就自动算了",IF(YEAR($A17)&lt;&gt;管理年度,"△不是管理年度的单据，年报里看不到",IF(AND($F17="内部转账",$Q17=""),"△内部转账建议在「往来单位」写上对方账户",IF($M17&lt;0,"△这一笔之后该账户余额成负数了，核一下","")))))))))))</f>
        <v/>
      </c>
    </row>
    <row r="18" ht="16.5" spans="1:19">
      <c r="A18" s="45">
        <v>46252</v>
      </c>
      <c r="B18" s="46" t="s">
        <v>144</v>
      </c>
      <c r="C18" s="12" t="str">
        <f>IF($B18="","",IFERROR(INDEX(账户银行,MATCH($B18,账户名,0)),""))</f>
        <v>中国银行</v>
      </c>
      <c r="D18" s="12" t="str">
        <f>IF($B18="","",IFERROR(INDEX(账户币种,MATCH($B18,账户名,0)),""))</f>
        <v>USD</v>
      </c>
      <c r="E18" s="47" t="s">
        <v>139</v>
      </c>
      <c r="F18" s="12" t="str">
        <f>IF($E18="","",IFERROR(INDEX(类别属性,MATCH($E18,类别表,0)),""))</f>
        <v>收入</v>
      </c>
      <c r="G18" s="48">
        <v>15000</v>
      </c>
      <c r="H18" s="48"/>
      <c r="I18" s="49"/>
      <c r="J18" s="24">
        <f>IF(OR($A18="",$B18=""),"",IF($I18&lt;&gt;"",$I18,IF($D18=本位币,1,IFERROR(LOOKUP(2,1/((汇率月份&lt;=$A18)*(INDEX(记账汇率区,0,MATCH($D18,汇率币种头,0))&lt;&gt;"")),INDEX(记账汇率区,0,MATCH($D18,汇率币种头,0))),""))))</f>
        <v>7.18</v>
      </c>
      <c r="K18" s="23">
        <f t="shared" si="0"/>
        <v>15000</v>
      </c>
      <c r="L18" s="23">
        <f t="shared" si="1"/>
        <v>107700</v>
      </c>
      <c r="M18" s="23">
        <f>IF($B18="","",ROUND(SUMIF(账户名,$B18,账户期初)+SUMIFS($K$6:K18,$B$6:B18,$B18),2))</f>
        <v>832000</v>
      </c>
      <c r="N18" s="23">
        <f>IF($B18="","",IFERROR(ROUND(INDEX(账户期初本位,MATCH($B18,账户名,0))+SUMIFS($L$6:L18,$B$6:B18,$B18),2),""))</f>
        <v>5949920</v>
      </c>
      <c r="O18" s="46" t="s">
        <v>251</v>
      </c>
      <c r="P18" s="47" t="s">
        <v>150</v>
      </c>
      <c r="Q18" s="46" t="s">
        <v>159</v>
      </c>
      <c r="R18" s="46"/>
      <c r="S18" s="6" t="str">
        <f>IF($B18="","",IF(ISNA(MATCH($B18,账户名,0)),"※这个账户不在【参数设置】的账户档案里",IF($A18="","※没填日期，这一笔不会进任何月份的报表",IF(AND($G18&lt;&gt;"",$H18&lt;&gt;""),"※收入和支出不能同时填",IF(AND(N($G18)=0,N($H18)=0),"※收入和支出都没填",IF($E18="","※没填收支类别，分类报表会漏掉这一笔",IF(ISNA(MATCH($E18,类别表,0)),"※收支类别不在【参数设置】的清单里",IF($J18="","△"&amp;$D18&amp;" 还没填汇率，去【月度汇率】补上就自动算了",IF(YEAR($A18)&lt;&gt;管理年度,"△不是管理年度的单据，年报里看不到",IF(AND($F18="内部转账",$Q18=""),"△内部转账建议在「往来单位」写上对方账户",IF($M18&lt;0,"△这一笔之后该账户余额成负数了，核一下","")))))))))))</f>
        <v/>
      </c>
    </row>
    <row r="19" ht="16.5" spans="1:19">
      <c r="A19" s="45">
        <v>46253</v>
      </c>
      <c r="B19" s="46" t="s">
        <v>153</v>
      </c>
      <c r="C19" s="12" t="str">
        <f>IF($B19="","",IFERROR(INDEX(账户银行,MATCH($B19,账户名,0)),""))</f>
        <v>汇丰银行</v>
      </c>
      <c r="D19" s="12" t="str">
        <f>IF($B19="","",IFERROR(INDEX(账户币种,MATCH($B19,账户名,0)),""))</f>
        <v>HKD</v>
      </c>
      <c r="E19" s="47" t="s">
        <v>194</v>
      </c>
      <c r="F19" s="12" t="str">
        <f>IF($E19="","",IFERROR(INDEX(类别属性,MATCH($E19,类别表,0)),""))</f>
        <v>支出</v>
      </c>
      <c r="G19" s="48"/>
      <c r="H19" s="48">
        <v>20000</v>
      </c>
      <c r="I19" s="49"/>
      <c r="J19" s="24">
        <f>IF(OR($A19="",$B19=""),"",IF($I19&lt;&gt;"",$I19,IF($D19=本位币,1,IFERROR(LOOKUP(2,1/((汇率月份&lt;=$A19)*(INDEX(记账汇率区,0,MATCH($D19,汇率币种头,0))&lt;&gt;"")),INDEX(记账汇率区,0,MATCH($D19,汇率币种头,0))),""))))</f>
        <v>0.92</v>
      </c>
      <c r="K19" s="23">
        <f t="shared" si="0"/>
        <v>-20000</v>
      </c>
      <c r="L19" s="23">
        <f t="shared" si="1"/>
        <v>-18400</v>
      </c>
      <c r="M19" s="23">
        <f>IF($B19="","",ROUND(SUMIF(账户名,$B19,账户期初)+SUMIFS($K$6:K19,$B$6:B19,$B19),2))</f>
        <v>355500</v>
      </c>
      <c r="N19" s="23">
        <f>IF($B19="","",IFERROR(ROUND(INDEX(账户期初本位,MATCH($B19,账户名,0))+SUMIFS($L$6:L19,$B$6:B19,$B19),2),""))</f>
        <v>325560</v>
      </c>
      <c r="O19" s="46" t="s">
        <v>252</v>
      </c>
      <c r="P19" s="47" t="s">
        <v>187</v>
      </c>
      <c r="Q19" s="46" t="s">
        <v>208</v>
      </c>
      <c r="R19" s="46"/>
      <c r="S19" s="6" t="str">
        <f>IF($B19="","",IF(ISNA(MATCH($B19,账户名,0)),"※这个账户不在【参数设置】的账户档案里",IF($A19="","※没填日期，这一笔不会进任何月份的报表",IF(AND($G19&lt;&gt;"",$H19&lt;&gt;""),"※收入和支出不能同时填",IF(AND(N($G19)=0,N($H19)=0),"※收入和支出都没填",IF($E19="","※没填收支类别，分类报表会漏掉这一笔",IF(ISNA(MATCH($E19,类别表,0)),"※收支类别不在【参数设置】的清单里",IF($J19="","△"&amp;$D19&amp;" 还没填汇率，去【月度汇率】补上就自动算了",IF(YEAR($A19)&lt;&gt;管理年度,"△不是管理年度的单据，年报里看不到",IF(AND($F19="内部转账",$Q19=""),"△内部转账建议在「往来单位」写上对方账户",IF($M19&lt;0,"△这一笔之后该账户余额成负数了，核一下","")))))))))))</f>
        <v/>
      </c>
    </row>
    <row r="20" ht="16.5" spans="1:19">
      <c r="A20" s="45">
        <v>46254</v>
      </c>
      <c r="B20" s="46" t="s">
        <v>176</v>
      </c>
      <c r="C20" s="12" t="str">
        <f>IF($B20="","",IFERROR(INDEX(账户银行,MATCH($B20,账户名,0)),""))</f>
        <v>中国银行</v>
      </c>
      <c r="D20" s="12" t="str">
        <f>IF($B20="","",IFERROR(INDEX(账户币种,MATCH($B20,账户名,0)),""))</f>
        <v>EUR</v>
      </c>
      <c r="E20" s="47" t="s">
        <v>139</v>
      </c>
      <c r="F20" s="12" t="str">
        <f>IF($E20="","",IFERROR(INDEX(类别属性,MATCH($E20,类别表,0)),""))</f>
        <v>收入</v>
      </c>
      <c r="G20" s="48">
        <v>30000</v>
      </c>
      <c r="H20" s="48"/>
      <c r="I20" s="49"/>
      <c r="J20" s="24">
        <f>IF(OR($A20="",$B20=""),"",IF($I20&lt;&gt;"",$I20,IF($D20=本位币,1,IFERROR(LOOKUP(2,1/((汇率月份&lt;=$A20)*(INDEX(记账汇率区,0,MATCH($D20,汇率币种头,0))&lt;&gt;"")),INDEX(记账汇率区,0,MATCH($D20,汇率币种头,0))),""))))</f>
        <v>7.69</v>
      </c>
      <c r="K20" s="23">
        <f t="shared" si="0"/>
        <v>30000</v>
      </c>
      <c r="L20" s="23">
        <f t="shared" si="1"/>
        <v>230700</v>
      </c>
      <c r="M20" s="23">
        <f>IF($B20="","",ROUND(SUMIF(账户名,$B20,账户期初)+SUMIFS($K$6:K20,$B$6:B20,$B20),2))</f>
        <v>150000</v>
      </c>
      <c r="N20" s="23">
        <f>IF($B20="","",IFERROR(ROUND(INDEX(账户期初本位,MATCH($B20,账户名,0))+SUMIFS($L$6:L20,$B$6:B20,$B20),2),""))</f>
        <v>1153500</v>
      </c>
      <c r="O20" s="46" t="s">
        <v>253</v>
      </c>
      <c r="P20" s="47" t="s">
        <v>174</v>
      </c>
      <c r="Q20" s="46" t="s">
        <v>175</v>
      </c>
      <c r="R20" s="46"/>
      <c r="S20" s="6" t="str">
        <f>IF($B20="","",IF(ISNA(MATCH($B20,账户名,0)),"※这个账户不在【参数设置】的账户档案里",IF($A20="","※没填日期，这一笔不会进任何月份的报表",IF(AND($G20&lt;&gt;"",$H20&lt;&gt;""),"※收入和支出不能同时填",IF(AND(N($G20)=0,N($H20)=0),"※收入和支出都没填",IF($E20="","※没填收支类别，分类报表会漏掉这一笔",IF(ISNA(MATCH($E20,类别表,0)),"※收支类别不在【参数设置】的清单里",IF($J20="","△"&amp;$D20&amp;" 还没填汇率，去【月度汇率】补上就自动算了",IF(YEAR($A20)&lt;&gt;管理年度,"△不是管理年度的单据，年报里看不到",IF(AND($F20="内部转账",$Q20=""),"△内部转账建议在「往来单位」写上对方账户",IF($M20&lt;0,"△这一笔之后该账户余额成负数了，核一下","")))))))))))</f>
        <v/>
      </c>
    </row>
    <row r="21" ht="16.5" spans="1:19">
      <c r="A21" s="45">
        <v>46255</v>
      </c>
      <c r="B21" s="46" t="s">
        <v>135</v>
      </c>
      <c r="C21" s="12" t="str">
        <f>IF($B21="","",IFERROR(INDEX(账户银行,MATCH($B21,账户名,0)),""))</f>
        <v>工商银行</v>
      </c>
      <c r="D21" s="12" t="str">
        <f>IF($B21="","",IFERROR(INDEX(账户币种,MATCH($B21,账户名,0)),""))</f>
        <v>CNY</v>
      </c>
      <c r="E21" s="47" t="s">
        <v>149</v>
      </c>
      <c r="F21" s="12" t="str">
        <f>IF($E21="","",IFERROR(INDEX(类别属性,MATCH($E21,类别表,0)),""))</f>
        <v>收入</v>
      </c>
      <c r="G21" s="48">
        <v>35000</v>
      </c>
      <c r="H21" s="48"/>
      <c r="I21" s="49"/>
      <c r="J21" s="24">
        <f>IF(OR($A21="",$B21=""),"",IF($I21&lt;&gt;"",$I21,IF($D21=本位币,1,IFERROR(LOOKUP(2,1/((汇率月份&lt;=$A21)*(INDEX(记账汇率区,0,MATCH($D21,汇率币种头,0))&lt;&gt;"")),INDEX(记账汇率区,0,MATCH($D21,汇率币种头,0))),""))))</f>
        <v>1</v>
      </c>
      <c r="K21" s="23">
        <f t="shared" si="0"/>
        <v>35000</v>
      </c>
      <c r="L21" s="23">
        <f t="shared" si="1"/>
        <v>35000</v>
      </c>
      <c r="M21" s="23">
        <f>IF($B21="","",ROUND(SUMIF(账户名,$B21,账户期初)+SUMIFS($K$6:K21,$B$6:B21,$B21),2))</f>
        <v>587000</v>
      </c>
      <c r="N21" s="23">
        <f>IF($B21="","",IFERROR(ROUND(INDEX(账户期初本位,MATCH($B21,账户名,0))+SUMIFS($L$6:L21,$B$6:B21,$B21),2),""))</f>
        <v>587000</v>
      </c>
      <c r="O21" s="46" t="s">
        <v>254</v>
      </c>
      <c r="P21" s="47" t="s">
        <v>201</v>
      </c>
      <c r="Q21" s="46" t="s">
        <v>210</v>
      </c>
      <c r="R21" s="46"/>
      <c r="S21" s="6" t="str">
        <f>IF($B21="","",IF(ISNA(MATCH($B21,账户名,0)),"※这个账户不在【参数设置】的账户档案里",IF($A21="","※没填日期，这一笔不会进任何月份的报表",IF(AND($G21&lt;&gt;"",$H21&lt;&gt;""),"※收入和支出不能同时填",IF(AND(N($G21)=0,N($H21)=0),"※收入和支出都没填",IF($E21="","※没填收支类别，分类报表会漏掉这一笔",IF(ISNA(MATCH($E21,类别表,0)),"※收支类别不在【参数设置】的清单里",IF($J21="","△"&amp;$D21&amp;" 还没填汇率，去【月度汇率】补上就自动算了",IF(YEAR($A21)&lt;&gt;管理年度,"△不是管理年度的单据，年报里看不到",IF(AND($F21="内部转账",$Q21=""),"△内部转账建议在「往来单位」写上对方账户",IF($M21&lt;0,"△这一笔之后该账户余额成负数了，核一下","")))))))))))</f>
        <v/>
      </c>
    </row>
    <row r="22" ht="16.5" spans="1:19">
      <c r="A22" s="45">
        <v>46259</v>
      </c>
      <c r="B22" s="46" t="s">
        <v>144</v>
      </c>
      <c r="C22" s="12" t="str">
        <f>IF($B22="","",IFERROR(INDEX(账户银行,MATCH($B22,账户名,0)),""))</f>
        <v>中国银行</v>
      </c>
      <c r="D22" s="12" t="str">
        <f>IF($B22="","",IFERROR(INDEX(账户币种,MATCH($B22,账户名,0)),""))</f>
        <v>USD</v>
      </c>
      <c r="E22" s="47" t="s">
        <v>212</v>
      </c>
      <c r="F22" s="12" t="str">
        <f>IF($E22="","",IFERROR(INDEX(类别属性,MATCH($E22,类别表,0)),""))</f>
        <v>内部转账</v>
      </c>
      <c r="G22" s="48"/>
      <c r="H22" s="48">
        <v>20000</v>
      </c>
      <c r="I22" s="49">
        <v>7.17</v>
      </c>
      <c r="J22" s="24">
        <f>IF(OR($A22="",$B22=""),"",IF($I22&lt;&gt;"",$I22,IF($D22=本位币,1,IFERROR(LOOKUP(2,1/((汇率月份&lt;=$A22)*(INDEX(记账汇率区,0,MATCH($D22,汇率币种头,0))&lt;&gt;"")),INDEX(记账汇率区,0,MATCH($D22,汇率币种头,0))),""))))</f>
        <v>7.17</v>
      </c>
      <c r="K22" s="23">
        <f t="shared" si="0"/>
        <v>-20000</v>
      </c>
      <c r="L22" s="23">
        <f t="shared" si="1"/>
        <v>-143400</v>
      </c>
      <c r="M22" s="23" cm="1">
        <f t="array" ref="M22">IF($B22="","",ROUND(SUMIF(账户名,$B22,账户期初)+SUMIFS($K$6:K22,$B$6:B22,$B22),2))</f>
        <v>812000</v>
      </c>
      <c r="N22" s="23">
        <f>IF($B22="","",IFERROR(ROUND(INDEX(账户期初本位,MATCH($B22,账户名,0))+SUMIFS($L$6:L22,$B$6:B22,$B22),2),""))</f>
        <v>5806520</v>
      </c>
      <c r="O22" s="46" t="s">
        <v>255</v>
      </c>
      <c r="P22" s="47" t="s">
        <v>198</v>
      </c>
      <c r="Q22" s="46" t="s">
        <v>135</v>
      </c>
      <c r="R22" s="46"/>
      <c r="S22" s="6" t="str">
        <f>IF($B22="","",IF(ISNA(MATCH($B22,账户名,0)),"※这个账户不在【参数设置】的账户档案里",IF($A22="","※没填日期，这一笔不会进任何月份的报表",IF(AND($G22&lt;&gt;"",$H22&lt;&gt;""),"※收入和支出不能同时填",IF(AND(N($G22)=0,N($H22)=0),"※收入和支出都没填",IF($E22="","※没填收支类别，分类报表会漏掉这一笔",IF(ISNA(MATCH($E22,类别表,0)),"※收支类别不在【参数设置】的清单里",IF($J22="","△"&amp;$D22&amp;" 还没填汇率，去【月度汇率】补上就自动算了",IF(YEAR($A22)&lt;&gt;管理年度,"△不是管理年度的单据，年报里看不到",IF(AND($F22="内部转账",$Q22=""),"△内部转账建议在「往来单位」写上对方账户",IF($M22&lt;0,"△这一笔之后该账户余额成负数了，核一下","")))))))))))</f>
        <v/>
      </c>
    </row>
    <row r="23" ht="16.5" spans="1:19">
      <c r="A23" s="45">
        <v>46259</v>
      </c>
      <c r="B23" s="46" t="s">
        <v>135</v>
      </c>
      <c r="C23" s="12" t="str">
        <f>IF($B23="","",IFERROR(INDEX(账户银行,MATCH($B23,账户名,0)),""))</f>
        <v>工商银行</v>
      </c>
      <c r="D23" s="12" t="str">
        <f>IF($B23="","",IFERROR(INDEX(账户币种,MATCH($B23,账户名,0)),""))</f>
        <v>CNY</v>
      </c>
      <c r="E23" s="47" t="s">
        <v>212</v>
      </c>
      <c r="F23" s="12" t="str">
        <f>IF($E23="","",IFERROR(INDEX(类别属性,MATCH($E23,类别表,0)),""))</f>
        <v>内部转账</v>
      </c>
      <c r="G23" s="48">
        <v>143400</v>
      </c>
      <c r="H23" s="48"/>
      <c r="I23" s="49"/>
      <c r="J23" s="24">
        <f>IF(OR($A23="",$B23=""),"",IF($I23&lt;&gt;"",$I23,IF($D23=本位币,1,IFERROR(LOOKUP(2,1/((汇率月份&lt;=$A23)*(INDEX(记账汇率区,0,MATCH($D23,汇率币种头,0))&lt;&gt;"")),INDEX(记账汇率区,0,MATCH($D23,汇率币种头,0))),""))))</f>
        <v>1</v>
      </c>
      <c r="K23" s="23">
        <f t="shared" si="0"/>
        <v>143400</v>
      </c>
      <c r="L23" s="23">
        <f t="shared" si="1"/>
        <v>143400</v>
      </c>
      <c r="M23" s="23">
        <f>IF($B23="","",ROUND(SUMIF(账户名,$B23,账户期初)+SUMIFS($K$6:K23,$B$6:B23,$B23),2))</f>
        <v>730400</v>
      </c>
      <c r="N23" s="23">
        <f>IF($B23="","",IFERROR(ROUND(INDEX(账户期初本位,MATCH($B23,账户名,0))+SUMIFS($L$6:L23,$B$6:B23,$B23),2),""))</f>
        <v>730400</v>
      </c>
      <c r="O23" s="46" t="s">
        <v>256</v>
      </c>
      <c r="P23" s="47" t="s">
        <v>198</v>
      </c>
      <c r="Q23" s="46" t="s">
        <v>144</v>
      </c>
      <c r="R23" s="46"/>
      <c r="S23" s="6" t="str">
        <f>IF($B23="","",IF(ISNA(MATCH($B23,账户名,0)),"※这个账户不在【参数设置】的账户档案里",IF($A23="","※没填日期，这一笔不会进任何月份的报表",IF(AND($G23&lt;&gt;"",$H23&lt;&gt;""),"※收入和支出不能同时填",IF(AND(N($G23)=0,N($H23)=0),"※收入和支出都没填",IF($E23="","※没填收支类别，分类报表会漏掉这一笔",IF(ISNA(MATCH($E23,类别表,0)),"※收支类别不在【参数设置】的清单里",IF($J23="","△"&amp;$D23&amp;" 还没填汇率，去【月度汇率】补上就自动算了",IF(YEAR($A23)&lt;&gt;管理年度,"△不是管理年度的单据，年报里看不到",IF(AND($F23="内部转账",$Q23=""),"△内部转账建议在「往来单位」写上对方账户",IF($M23&lt;0,"△这一笔之后该账户余额成负数了，核一下","")))))))))))</f>
        <v/>
      </c>
    </row>
    <row r="24" ht="16.5" spans="1:19">
      <c r="A24" s="45"/>
      <c r="B24" s="46"/>
      <c r="C24" s="12" t="str">
        <f>IF($B24="","",IFERROR(INDEX(账户银行,MATCH($B24,账户名,0)),""))</f>
        <v/>
      </c>
      <c r="D24" s="12" t="str">
        <f>IF($B24="","",IFERROR(INDEX(账户币种,MATCH($B24,账户名,0)),""))</f>
        <v/>
      </c>
      <c r="E24" s="47"/>
      <c r="F24" s="12" t="str">
        <f>IF($E24="","",IFERROR(INDEX(类别属性,MATCH($E24,类别表,0)),""))</f>
        <v/>
      </c>
      <c r="G24" s="48"/>
      <c r="H24" s="48"/>
      <c r="I24" s="49"/>
      <c r="J24" s="24" t="str">
        <f>IF(OR($A24="",$B24=""),"",IF($I24&lt;&gt;"",$I24,IF($D24=本位币,1,IFERROR(LOOKUP(2,1/((汇率月份&lt;=$A24)*(INDEX(记账汇率区,0,MATCH($D24,汇率币种头,0))&lt;&gt;"")),INDEX(记账汇率区,0,MATCH($D24,汇率币种头,0))),""))))</f>
        <v/>
      </c>
      <c r="K24" s="23" t="str">
        <f t="shared" si="0"/>
        <v/>
      </c>
      <c r="L24" s="23" t="str">
        <f t="shared" si="1"/>
        <v/>
      </c>
      <c r="M24" s="23" t="str">
        <f>IF($B24="","",ROUND(SUMIF(账户名,$B24,账户期初)+SUMIFS($K$6:K24,$B$6:B24,$B24),2))</f>
        <v/>
      </c>
      <c r="N24" s="23" t="str">
        <f>IF($B24="","",IFERROR(ROUND(INDEX(账户期初本位,MATCH($B24,账户名,0))+SUMIFS($L$6:L24,$B$6:B24,$B24),2),""))</f>
        <v/>
      </c>
      <c r="O24" s="46"/>
      <c r="P24" s="47"/>
      <c r="Q24" s="46"/>
      <c r="R24" s="46"/>
      <c r="S24" s="6" t="str">
        <f>IF($B24="","",IF(ISNA(MATCH($B24,账户名,0)),"※这个账户不在【参数设置】的账户档案里",IF($A24="","※没填日期，这一笔不会进任何月份的报表",IF(AND($G24&lt;&gt;"",$H24&lt;&gt;""),"※收入和支出不能同时填",IF(AND(N($G24)=0,N($H24)=0),"※收入和支出都没填",IF($E24="","※没填收支类别，分类报表会漏掉这一笔",IF(ISNA(MATCH($E24,类别表,0)),"※收支类别不在【参数设置】的清单里",IF($J24="","△"&amp;$D24&amp;" 还没填汇率，去【月度汇率】补上就自动算了",IF(YEAR($A24)&lt;&gt;管理年度,"△不是管理年度的单据，年报里看不到",IF(AND($F24="内部转账",$Q24=""),"△内部转账建议在「往来单位」写上对方账户",IF($M24&lt;0,"△这一笔之后该账户余额成负数了，核一下","")))))))))))</f>
        <v/>
      </c>
    </row>
    <row r="25" ht="16.5" spans="1:19">
      <c r="A25" s="45"/>
      <c r="B25" s="46"/>
      <c r="C25" s="12" t="str">
        <f>IF($B25="","",IFERROR(INDEX(账户银行,MATCH($B25,账户名,0)),""))</f>
        <v/>
      </c>
      <c r="D25" s="12" t="str">
        <f>IF($B25="","",IFERROR(INDEX(账户币种,MATCH($B25,账户名,0)),""))</f>
        <v/>
      </c>
      <c r="E25" s="47"/>
      <c r="F25" s="12" t="str">
        <f>IF($E25="","",IFERROR(INDEX(类别属性,MATCH($E25,类别表,0)),""))</f>
        <v/>
      </c>
      <c r="G25" s="48"/>
      <c r="H25" s="48"/>
      <c r="I25" s="49"/>
      <c r="J25" s="24" t="str">
        <f>IF(OR($A25="",$B25=""),"",IF($I25&lt;&gt;"",$I25,IF($D25=本位币,1,IFERROR(LOOKUP(2,1/((汇率月份&lt;=$A25)*(INDEX(记账汇率区,0,MATCH($D25,汇率币种头,0))&lt;&gt;"")),INDEX(记账汇率区,0,MATCH($D25,汇率币种头,0))),""))))</f>
        <v/>
      </c>
      <c r="K25" s="23" t="str">
        <f t="shared" si="0"/>
        <v/>
      </c>
      <c r="L25" s="23" t="str">
        <f t="shared" si="1"/>
        <v/>
      </c>
      <c r="M25" s="23" t="str">
        <f>IF($B25="","",ROUND(SUMIF(账户名,$B25,账户期初)+SUMIFS($K$6:K25,$B$6:B25,$B25),2))</f>
        <v/>
      </c>
      <c r="N25" s="23" t="str">
        <f>IF($B25="","",IFERROR(ROUND(INDEX(账户期初本位,MATCH($B25,账户名,0))+SUMIFS($L$6:L25,$B$6:B25,$B25),2),""))</f>
        <v/>
      </c>
      <c r="O25" s="46"/>
      <c r="P25" s="47"/>
      <c r="Q25" s="46"/>
      <c r="R25" s="46"/>
      <c r="S25" s="6" t="str">
        <f>IF($B25="","",IF(ISNA(MATCH($B25,账户名,0)),"※这个账户不在【参数设置】的账户档案里",IF($A25="","※没填日期，这一笔不会进任何月份的报表",IF(AND($G25&lt;&gt;"",$H25&lt;&gt;""),"※收入和支出不能同时填",IF(AND(N($G25)=0,N($H25)=0),"※收入和支出都没填",IF($E25="","※没填收支类别，分类报表会漏掉这一笔",IF(ISNA(MATCH($E25,类别表,0)),"※收支类别不在【参数设置】的清单里",IF($J25="","△"&amp;$D25&amp;" 还没填汇率，去【月度汇率】补上就自动算了",IF(YEAR($A25)&lt;&gt;管理年度,"△不是管理年度的单据，年报里看不到",IF(AND($F25="内部转账",$Q25=""),"△内部转账建议在「往来单位」写上对方账户",IF($M25&lt;0,"△这一笔之后该账户余额成负数了，核一下","")))))))))))</f>
        <v/>
      </c>
    </row>
    <row r="26" ht="16.5" spans="1:19">
      <c r="A26" s="45"/>
      <c r="B26" s="46"/>
      <c r="C26" s="12" t="str">
        <f>IF($B26="","",IFERROR(INDEX(账户银行,MATCH($B26,账户名,0)),""))</f>
        <v/>
      </c>
      <c r="D26" s="12" t="str">
        <f>IF($B26="","",IFERROR(INDEX(账户币种,MATCH($B26,账户名,0)),""))</f>
        <v/>
      </c>
      <c r="E26" s="47"/>
      <c r="F26" s="12" t="str">
        <f>IF($E26="","",IFERROR(INDEX(类别属性,MATCH($E26,类别表,0)),""))</f>
        <v/>
      </c>
      <c r="G26" s="48"/>
      <c r="H26" s="48"/>
      <c r="I26" s="49"/>
      <c r="J26" s="24" t="str">
        <f>IF(OR($A26="",$B26=""),"",IF($I26&lt;&gt;"",$I26,IF($D26=本位币,1,IFERROR(LOOKUP(2,1/((汇率月份&lt;=$A26)*(INDEX(记账汇率区,0,MATCH($D26,汇率币种头,0))&lt;&gt;"")),INDEX(记账汇率区,0,MATCH($D26,汇率币种头,0))),""))))</f>
        <v/>
      </c>
      <c r="K26" s="23" t="str">
        <f t="shared" si="0"/>
        <v/>
      </c>
      <c r="L26" s="23" t="str">
        <f t="shared" si="1"/>
        <v/>
      </c>
      <c r="M26" s="23" t="str">
        <f>IF($B26="","",ROUND(SUMIF(账户名,$B26,账户期初)+SUMIFS($K$6:K26,$B$6:B26,$B26),2))</f>
        <v/>
      </c>
      <c r="N26" s="23" t="str">
        <f>IF($B26="","",IFERROR(ROUND(INDEX(账户期初本位,MATCH($B26,账户名,0))+SUMIFS($L$6:L26,$B$6:B26,$B26),2),""))</f>
        <v/>
      </c>
      <c r="O26" s="46"/>
      <c r="P26" s="47"/>
      <c r="Q26" s="46"/>
      <c r="R26" s="46"/>
      <c r="S26" s="6" t="str">
        <f>IF($B26="","",IF(ISNA(MATCH($B26,账户名,0)),"※这个账户不在【参数设置】的账户档案里",IF($A26="","※没填日期，这一笔不会进任何月份的报表",IF(AND($G26&lt;&gt;"",$H26&lt;&gt;""),"※收入和支出不能同时填",IF(AND(N($G26)=0,N($H26)=0),"※收入和支出都没填",IF($E26="","※没填收支类别，分类报表会漏掉这一笔",IF(ISNA(MATCH($E26,类别表,0)),"※收支类别不在【参数设置】的清单里",IF($J26="","△"&amp;$D26&amp;" 还没填汇率，去【月度汇率】补上就自动算了",IF(YEAR($A26)&lt;&gt;管理年度,"△不是管理年度的单据，年报里看不到",IF(AND($F26="内部转账",$Q26=""),"△内部转账建议在「往来单位」写上对方账户",IF($M26&lt;0,"△这一笔之后该账户余额成负数了，核一下","")))))))))))</f>
        <v/>
      </c>
    </row>
    <row r="27" ht="16.5" spans="1:19">
      <c r="A27" s="45"/>
      <c r="B27" s="46"/>
      <c r="C27" s="12" t="str">
        <f>IF($B27="","",IFERROR(INDEX(账户银行,MATCH($B27,账户名,0)),""))</f>
        <v/>
      </c>
      <c r="D27" s="12" t="str">
        <f>IF($B27="","",IFERROR(INDEX(账户币种,MATCH($B27,账户名,0)),""))</f>
        <v/>
      </c>
      <c r="E27" s="47"/>
      <c r="F27" s="12" t="str">
        <f>IF($E27="","",IFERROR(INDEX(类别属性,MATCH($E27,类别表,0)),""))</f>
        <v/>
      </c>
      <c r="G27" s="48"/>
      <c r="H27" s="48"/>
      <c r="I27" s="49"/>
      <c r="J27" s="24" t="str">
        <f>IF(OR($A27="",$B27=""),"",IF($I27&lt;&gt;"",$I27,IF($D27=本位币,1,IFERROR(LOOKUP(2,1/((汇率月份&lt;=$A27)*(INDEX(记账汇率区,0,MATCH($D27,汇率币种头,0))&lt;&gt;"")),INDEX(记账汇率区,0,MATCH($D27,汇率币种头,0))),""))))</f>
        <v/>
      </c>
      <c r="K27" s="23" t="str">
        <f t="shared" si="0"/>
        <v/>
      </c>
      <c r="L27" s="23" t="str">
        <f t="shared" si="1"/>
        <v/>
      </c>
      <c r="M27" s="23" t="str">
        <f>IF($B27="","",ROUND(SUMIF(账户名,$B27,账户期初)+SUMIFS($K$6:K27,$B$6:B27,$B27),2))</f>
        <v/>
      </c>
      <c r="N27" s="23" t="str">
        <f>IF($B27="","",IFERROR(ROUND(INDEX(账户期初本位,MATCH($B27,账户名,0))+SUMIFS($L$6:L27,$B$6:B27,$B27),2),""))</f>
        <v/>
      </c>
      <c r="O27" s="46"/>
      <c r="P27" s="47"/>
      <c r="Q27" s="46"/>
      <c r="R27" s="46"/>
      <c r="S27" s="6" t="str">
        <f>IF($B27="","",IF(ISNA(MATCH($B27,账户名,0)),"※这个账户不在【参数设置】的账户档案里",IF($A27="","※没填日期，这一笔不会进任何月份的报表",IF(AND($G27&lt;&gt;"",$H27&lt;&gt;""),"※收入和支出不能同时填",IF(AND(N($G27)=0,N($H27)=0),"※收入和支出都没填",IF($E27="","※没填收支类别，分类报表会漏掉这一笔",IF(ISNA(MATCH($E27,类别表,0)),"※收支类别不在【参数设置】的清单里",IF($J27="","△"&amp;$D27&amp;" 还没填汇率，去【月度汇率】补上就自动算了",IF(YEAR($A27)&lt;&gt;管理年度,"△不是管理年度的单据，年报里看不到",IF(AND($F27="内部转账",$Q27=""),"△内部转账建议在「往来单位」写上对方账户",IF($M27&lt;0,"△这一笔之后该账户余额成负数了，核一下","")))))))))))</f>
        <v/>
      </c>
    </row>
    <row r="28" ht="16.5" spans="1:19">
      <c r="A28" s="45"/>
      <c r="B28" s="46"/>
      <c r="C28" s="12" t="str">
        <f>IF($B28="","",IFERROR(INDEX(账户银行,MATCH($B28,账户名,0)),""))</f>
        <v/>
      </c>
      <c r="D28" s="12" t="str">
        <f>IF($B28="","",IFERROR(INDEX(账户币种,MATCH($B28,账户名,0)),""))</f>
        <v/>
      </c>
      <c r="E28" s="47"/>
      <c r="F28" s="12" t="str">
        <f>IF($E28="","",IFERROR(INDEX(类别属性,MATCH($E28,类别表,0)),""))</f>
        <v/>
      </c>
      <c r="G28" s="48"/>
      <c r="H28" s="48"/>
      <c r="I28" s="49"/>
      <c r="J28" s="24" t="str">
        <f>IF(OR($A28="",$B28=""),"",IF($I28&lt;&gt;"",$I28,IF($D28=本位币,1,IFERROR(LOOKUP(2,1/((汇率月份&lt;=$A28)*(INDEX(记账汇率区,0,MATCH($D28,汇率币种头,0))&lt;&gt;"")),INDEX(记账汇率区,0,MATCH($D28,汇率币种头,0))),""))))</f>
        <v/>
      </c>
      <c r="K28" s="23" t="str">
        <f t="shared" si="0"/>
        <v/>
      </c>
      <c r="L28" s="23" t="str">
        <f t="shared" si="1"/>
        <v/>
      </c>
      <c r="M28" s="23" t="str">
        <f>IF($B28="","",ROUND(SUMIF(账户名,$B28,账户期初)+SUMIFS($K$6:K28,$B$6:B28,$B28),2))</f>
        <v/>
      </c>
      <c r="N28" s="23" t="str">
        <f>IF($B28="","",IFERROR(ROUND(INDEX(账户期初本位,MATCH($B28,账户名,0))+SUMIFS($L$6:L28,$B$6:B28,$B28),2),""))</f>
        <v/>
      </c>
      <c r="O28" s="46"/>
      <c r="P28" s="47"/>
      <c r="Q28" s="46"/>
      <c r="R28" s="46"/>
      <c r="S28" s="6" t="str">
        <f>IF($B28="","",IF(ISNA(MATCH($B28,账户名,0)),"※这个账户不在【参数设置】的账户档案里",IF($A28="","※没填日期，这一笔不会进任何月份的报表",IF(AND($G28&lt;&gt;"",$H28&lt;&gt;""),"※收入和支出不能同时填",IF(AND(N($G28)=0,N($H28)=0),"※收入和支出都没填",IF($E28="","※没填收支类别，分类报表会漏掉这一笔",IF(ISNA(MATCH($E28,类别表,0)),"※收支类别不在【参数设置】的清单里",IF($J28="","△"&amp;$D28&amp;" 还没填汇率，去【月度汇率】补上就自动算了",IF(YEAR($A28)&lt;&gt;管理年度,"△不是管理年度的单据，年报里看不到",IF(AND($F28="内部转账",$Q28=""),"△内部转账建议在「往来单位」写上对方账户",IF($M28&lt;0,"△这一笔之后该账户余额成负数了，核一下","")))))))))))</f>
        <v/>
      </c>
    </row>
    <row r="29" ht="16.5" spans="1:19">
      <c r="A29" s="45"/>
      <c r="B29" s="46"/>
      <c r="C29" s="12" t="str">
        <f>IF($B29="","",IFERROR(INDEX(账户银行,MATCH($B29,账户名,0)),""))</f>
        <v/>
      </c>
      <c r="D29" s="12" t="str">
        <f>IF($B29="","",IFERROR(INDEX(账户币种,MATCH($B29,账户名,0)),""))</f>
        <v/>
      </c>
      <c r="E29" s="47"/>
      <c r="F29" s="12" t="str">
        <f>IF($E29="","",IFERROR(INDEX(类别属性,MATCH($E29,类别表,0)),""))</f>
        <v/>
      </c>
      <c r="G29" s="48"/>
      <c r="H29" s="48"/>
      <c r="I29" s="49"/>
      <c r="J29" s="24" t="str">
        <f>IF(OR($A29="",$B29=""),"",IF($I29&lt;&gt;"",$I29,IF($D29=本位币,1,IFERROR(LOOKUP(2,1/((汇率月份&lt;=$A29)*(INDEX(记账汇率区,0,MATCH($D29,汇率币种头,0))&lt;&gt;"")),INDEX(记账汇率区,0,MATCH($D29,汇率币种头,0))),""))))</f>
        <v/>
      </c>
      <c r="K29" s="23" t="str">
        <f t="shared" si="0"/>
        <v/>
      </c>
      <c r="L29" s="23" t="str">
        <f t="shared" si="1"/>
        <v/>
      </c>
      <c r="M29" s="23" t="str">
        <f>IF($B29="","",ROUND(SUMIF(账户名,$B29,账户期初)+SUMIFS($K$6:K29,$B$6:B29,$B29),2))</f>
        <v/>
      </c>
      <c r="N29" s="23" t="str">
        <f>IF($B29="","",IFERROR(ROUND(INDEX(账户期初本位,MATCH($B29,账户名,0))+SUMIFS($L$6:L29,$B$6:B29,$B29),2),""))</f>
        <v/>
      </c>
      <c r="O29" s="46"/>
      <c r="P29" s="47"/>
      <c r="Q29" s="46"/>
      <c r="R29" s="46"/>
      <c r="S29" s="6" t="str">
        <f>IF($B29="","",IF(ISNA(MATCH($B29,账户名,0)),"※这个账户不在【参数设置】的账户档案里",IF($A29="","※没填日期，这一笔不会进任何月份的报表",IF(AND($G29&lt;&gt;"",$H29&lt;&gt;""),"※收入和支出不能同时填",IF(AND(N($G29)=0,N($H29)=0),"※收入和支出都没填",IF($E29="","※没填收支类别，分类报表会漏掉这一笔",IF(ISNA(MATCH($E29,类别表,0)),"※收支类别不在【参数设置】的清单里",IF($J29="","△"&amp;$D29&amp;" 还没填汇率，去【月度汇率】补上就自动算了",IF(YEAR($A29)&lt;&gt;管理年度,"△不是管理年度的单据，年报里看不到",IF(AND($F29="内部转账",$Q29=""),"△内部转账建议在「往来单位」写上对方账户",IF($M29&lt;0,"△这一笔之后该账户余额成负数了，核一下","")))))))))))</f>
        <v/>
      </c>
    </row>
    <row r="30" ht="16.5" spans="1:19">
      <c r="A30" s="45"/>
      <c r="B30" s="46"/>
      <c r="C30" s="12" t="str">
        <f>IF($B30="","",IFERROR(INDEX(账户银行,MATCH($B30,账户名,0)),""))</f>
        <v/>
      </c>
      <c r="D30" s="12" t="str">
        <f>IF($B30="","",IFERROR(INDEX(账户币种,MATCH($B30,账户名,0)),""))</f>
        <v/>
      </c>
      <c r="E30" s="47"/>
      <c r="F30" s="12" t="str">
        <f>IF($E30="","",IFERROR(INDEX(类别属性,MATCH($E30,类别表,0)),""))</f>
        <v/>
      </c>
      <c r="G30" s="48"/>
      <c r="H30" s="48"/>
      <c r="I30" s="49"/>
      <c r="J30" s="24" t="str">
        <f>IF(OR($A30="",$B30=""),"",IF($I30&lt;&gt;"",$I30,IF($D30=本位币,1,IFERROR(LOOKUP(2,1/((汇率月份&lt;=$A30)*(INDEX(记账汇率区,0,MATCH($D30,汇率币种头,0))&lt;&gt;"")),INDEX(记账汇率区,0,MATCH($D30,汇率币种头,0))),""))))</f>
        <v/>
      </c>
      <c r="K30" s="23" t="str">
        <f t="shared" si="0"/>
        <v/>
      </c>
      <c r="L30" s="23" t="str">
        <f t="shared" si="1"/>
        <v/>
      </c>
      <c r="M30" s="23" t="str">
        <f>IF($B30="","",ROUND(SUMIF(账户名,$B30,账户期初)+SUMIFS($K$6:K30,$B$6:B30,$B30),2))</f>
        <v/>
      </c>
      <c r="N30" s="23" t="str">
        <f>IF($B30="","",IFERROR(ROUND(INDEX(账户期初本位,MATCH($B30,账户名,0))+SUMIFS($L$6:L30,$B$6:B30,$B30),2),""))</f>
        <v/>
      </c>
      <c r="O30" s="46"/>
      <c r="P30" s="47"/>
      <c r="Q30" s="46"/>
      <c r="R30" s="46"/>
      <c r="S30" s="6" t="str">
        <f>IF($B30="","",IF(ISNA(MATCH($B30,账户名,0)),"※这个账户不在【参数设置】的账户档案里",IF($A30="","※没填日期，这一笔不会进任何月份的报表",IF(AND($G30&lt;&gt;"",$H30&lt;&gt;""),"※收入和支出不能同时填",IF(AND(N($G30)=0,N($H30)=0),"※收入和支出都没填",IF($E30="","※没填收支类别，分类报表会漏掉这一笔",IF(ISNA(MATCH($E30,类别表,0)),"※收支类别不在【参数设置】的清单里",IF($J30="","△"&amp;$D30&amp;" 还没填汇率，去【月度汇率】补上就自动算了",IF(YEAR($A30)&lt;&gt;管理年度,"△不是管理年度的单据，年报里看不到",IF(AND($F30="内部转账",$Q30=""),"△内部转账建议在「往来单位」写上对方账户",IF($M30&lt;0,"△这一笔之后该账户余额成负数了，核一下","")))))))))))</f>
        <v/>
      </c>
    </row>
    <row r="31" ht="16.5" spans="1:19">
      <c r="A31" s="45"/>
      <c r="B31" s="46"/>
      <c r="C31" s="12" t="str">
        <f>IF($B31="","",IFERROR(INDEX(账户银行,MATCH($B31,账户名,0)),""))</f>
        <v/>
      </c>
      <c r="D31" s="12" t="str">
        <f>IF($B31="","",IFERROR(INDEX(账户币种,MATCH($B31,账户名,0)),""))</f>
        <v/>
      </c>
      <c r="E31" s="47"/>
      <c r="F31" s="12" t="str">
        <f>IF($E31="","",IFERROR(INDEX(类别属性,MATCH($E31,类别表,0)),""))</f>
        <v/>
      </c>
      <c r="G31" s="48"/>
      <c r="H31" s="48"/>
      <c r="I31" s="49"/>
      <c r="J31" s="24" t="str">
        <f>IF(OR($A31="",$B31=""),"",IF($I31&lt;&gt;"",$I31,IF($D31=本位币,1,IFERROR(LOOKUP(2,1/((汇率月份&lt;=$A31)*(INDEX(记账汇率区,0,MATCH($D31,汇率币种头,0))&lt;&gt;"")),INDEX(记账汇率区,0,MATCH($D31,汇率币种头,0))),""))))</f>
        <v/>
      </c>
      <c r="K31" s="23" t="str">
        <f t="shared" si="0"/>
        <v/>
      </c>
      <c r="L31" s="23" t="str">
        <f t="shared" si="1"/>
        <v/>
      </c>
      <c r="M31" s="23" t="str">
        <f>IF($B31="","",ROUND(SUMIF(账户名,$B31,账户期初)+SUMIFS($K$6:K31,$B$6:B31,$B31),2))</f>
        <v/>
      </c>
      <c r="N31" s="23" t="str">
        <f>IF($B31="","",IFERROR(ROUND(INDEX(账户期初本位,MATCH($B31,账户名,0))+SUMIFS($L$6:L31,$B$6:B31,$B31),2),""))</f>
        <v/>
      </c>
      <c r="O31" s="46"/>
      <c r="P31" s="47"/>
      <c r="Q31" s="46"/>
      <c r="R31" s="46"/>
      <c r="S31" s="6" t="str">
        <f>IF($B31="","",IF(ISNA(MATCH($B31,账户名,0)),"※这个账户不在【参数设置】的账户档案里",IF($A31="","※没填日期，这一笔不会进任何月份的报表",IF(AND($G31&lt;&gt;"",$H31&lt;&gt;""),"※收入和支出不能同时填",IF(AND(N($G31)=0,N($H31)=0),"※收入和支出都没填",IF($E31="","※没填收支类别，分类报表会漏掉这一笔",IF(ISNA(MATCH($E31,类别表,0)),"※收支类别不在【参数设置】的清单里",IF($J31="","△"&amp;$D31&amp;" 还没填汇率，去【月度汇率】补上就自动算了",IF(YEAR($A31)&lt;&gt;管理年度,"△不是管理年度的单据，年报里看不到",IF(AND($F31="内部转账",$Q31=""),"△内部转账建议在「往来单位」写上对方账户",IF($M31&lt;0,"△这一笔之后该账户余额成负数了，核一下","")))))))))))</f>
        <v/>
      </c>
    </row>
    <row r="32" ht="16.5" spans="1:19">
      <c r="A32" s="45"/>
      <c r="B32" s="46"/>
      <c r="C32" s="12" t="str">
        <f>IF($B32="","",IFERROR(INDEX(账户银行,MATCH($B32,账户名,0)),""))</f>
        <v/>
      </c>
      <c r="D32" s="12" t="str">
        <f>IF($B32="","",IFERROR(INDEX(账户币种,MATCH($B32,账户名,0)),""))</f>
        <v/>
      </c>
      <c r="E32" s="47"/>
      <c r="F32" s="12" t="str">
        <f>IF($E32="","",IFERROR(INDEX(类别属性,MATCH($E32,类别表,0)),""))</f>
        <v/>
      </c>
      <c r="G32" s="48"/>
      <c r="H32" s="48"/>
      <c r="I32" s="49"/>
      <c r="J32" s="24" t="str">
        <f>IF(OR($A32="",$B32=""),"",IF($I32&lt;&gt;"",$I32,IF($D32=本位币,1,IFERROR(LOOKUP(2,1/((汇率月份&lt;=$A32)*(INDEX(记账汇率区,0,MATCH($D32,汇率币种头,0))&lt;&gt;"")),INDEX(记账汇率区,0,MATCH($D32,汇率币种头,0))),""))))</f>
        <v/>
      </c>
      <c r="K32" s="23" t="str">
        <f t="shared" si="0"/>
        <v/>
      </c>
      <c r="L32" s="23" t="str">
        <f t="shared" si="1"/>
        <v/>
      </c>
      <c r="M32" s="23" t="str">
        <f>IF($B32="","",ROUND(SUMIF(账户名,$B32,账户期初)+SUMIFS($K$6:K32,$B$6:B32,$B32),2))</f>
        <v/>
      </c>
      <c r="N32" s="23" t="str">
        <f>IF($B32="","",IFERROR(ROUND(INDEX(账户期初本位,MATCH($B32,账户名,0))+SUMIFS($L$6:L32,$B$6:B32,$B32),2),""))</f>
        <v/>
      </c>
      <c r="O32" s="46"/>
      <c r="P32" s="47"/>
      <c r="Q32" s="46"/>
      <c r="R32" s="46"/>
      <c r="S32" s="6" t="str">
        <f>IF($B32="","",IF(ISNA(MATCH($B32,账户名,0)),"※这个账户不在【参数设置】的账户档案里",IF($A32="","※没填日期，这一笔不会进任何月份的报表",IF(AND($G32&lt;&gt;"",$H32&lt;&gt;""),"※收入和支出不能同时填",IF(AND(N($G32)=0,N($H32)=0),"※收入和支出都没填",IF($E32="","※没填收支类别，分类报表会漏掉这一笔",IF(ISNA(MATCH($E32,类别表,0)),"※收支类别不在【参数设置】的清单里",IF($J32="","△"&amp;$D32&amp;" 还没填汇率，去【月度汇率】补上就自动算了",IF(YEAR($A32)&lt;&gt;管理年度,"△不是管理年度的单据，年报里看不到",IF(AND($F32="内部转账",$Q32=""),"△内部转账建议在「往来单位」写上对方账户",IF($M32&lt;0,"△这一笔之后该账户余额成负数了，核一下","")))))))))))</f>
        <v/>
      </c>
    </row>
    <row r="33" ht="16.5" spans="1:19">
      <c r="A33" s="45"/>
      <c r="B33" s="46"/>
      <c r="C33" s="12" t="str">
        <f>IF($B33="","",IFERROR(INDEX(账户银行,MATCH($B33,账户名,0)),""))</f>
        <v/>
      </c>
      <c r="D33" s="12" t="str">
        <f>IF($B33="","",IFERROR(INDEX(账户币种,MATCH($B33,账户名,0)),""))</f>
        <v/>
      </c>
      <c r="E33" s="47"/>
      <c r="F33" s="12" t="str">
        <f>IF($E33="","",IFERROR(INDEX(类别属性,MATCH($E33,类别表,0)),""))</f>
        <v/>
      </c>
      <c r="G33" s="48"/>
      <c r="H33" s="48"/>
      <c r="I33" s="49"/>
      <c r="J33" s="24" t="str">
        <f>IF(OR($A33="",$B33=""),"",IF($I33&lt;&gt;"",$I33,IF($D33=本位币,1,IFERROR(LOOKUP(2,1/((汇率月份&lt;=$A33)*(INDEX(记账汇率区,0,MATCH($D33,汇率币种头,0))&lt;&gt;"")),INDEX(记账汇率区,0,MATCH($D33,汇率币种头,0))),""))))</f>
        <v/>
      </c>
      <c r="K33" s="23" t="str">
        <f t="shared" si="0"/>
        <v/>
      </c>
      <c r="L33" s="23" t="str">
        <f t="shared" si="1"/>
        <v/>
      </c>
      <c r="M33" s="23" t="str">
        <f>IF($B33="","",ROUND(SUMIF(账户名,$B33,账户期初)+SUMIFS($K$6:K33,$B$6:B33,$B33),2))</f>
        <v/>
      </c>
      <c r="N33" s="23" t="str">
        <f>IF($B33="","",IFERROR(ROUND(INDEX(账户期初本位,MATCH($B33,账户名,0))+SUMIFS($L$6:L33,$B$6:B33,$B33),2),""))</f>
        <v/>
      </c>
      <c r="O33" s="46"/>
      <c r="P33" s="47"/>
      <c r="Q33" s="46"/>
      <c r="R33" s="46"/>
      <c r="S33" s="6" t="str">
        <f>IF($B33="","",IF(ISNA(MATCH($B33,账户名,0)),"※这个账户不在【参数设置】的账户档案里",IF($A33="","※没填日期，这一笔不会进任何月份的报表",IF(AND($G33&lt;&gt;"",$H33&lt;&gt;""),"※收入和支出不能同时填",IF(AND(N($G33)=0,N($H33)=0),"※收入和支出都没填",IF($E33="","※没填收支类别，分类报表会漏掉这一笔",IF(ISNA(MATCH($E33,类别表,0)),"※收支类别不在【参数设置】的清单里",IF($J33="","△"&amp;$D33&amp;" 还没填汇率，去【月度汇率】补上就自动算了",IF(YEAR($A33)&lt;&gt;管理年度,"△不是管理年度的单据，年报里看不到",IF(AND($F33="内部转账",$Q33=""),"△内部转账建议在「往来单位」写上对方账户",IF($M33&lt;0,"△这一笔之后该账户余额成负数了，核一下","")))))))))))</f>
        <v/>
      </c>
    </row>
    <row r="34" ht="16.5" spans="1:19">
      <c r="A34" s="45"/>
      <c r="B34" s="46"/>
      <c r="C34" s="12" t="str">
        <f>IF($B34="","",IFERROR(INDEX(账户银行,MATCH($B34,账户名,0)),""))</f>
        <v/>
      </c>
      <c r="D34" s="12" t="str">
        <f>IF($B34="","",IFERROR(INDEX(账户币种,MATCH($B34,账户名,0)),""))</f>
        <v/>
      </c>
      <c r="E34" s="47"/>
      <c r="F34" s="12" t="str">
        <f>IF($E34="","",IFERROR(INDEX(类别属性,MATCH($E34,类别表,0)),""))</f>
        <v/>
      </c>
      <c r="G34" s="48"/>
      <c r="H34" s="48"/>
      <c r="I34" s="49"/>
      <c r="J34" s="24" t="str">
        <f>IF(OR($A34="",$B34=""),"",IF($I34&lt;&gt;"",$I34,IF($D34=本位币,1,IFERROR(LOOKUP(2,1/((汇率月份&lt;=$A34)*(INDEX(记账汇率区,0,MATCH($D34,汇率币种头,0))&lt;&gt;"")),INDEX(记账汇率区,0,MATCH($D34,汇率币种头,0))),""))))</f>
        <v/>
      </c>
      <c r="K34" s="23" t="str">
        <f t="shared" si="0"/>
        <v/>
      </c>
      <c r="L34" s="23" t="str">
        <f t="shared" si="1"/>
        <v/>
      </c>
      <c r="M34" s="23" t="str">
        <f>IF($B34="","",ROUND(SUMIF(账户名,$B34,账户期初)+SUMIFS($K$6:K34,$B$6:B34,$B34),2))</f>
        <v/>
      </c>
      <c r="N34" s="23" t="str">
        <f>IF($B34="","",IFERROR(ROUND(INDEX(账户期初本位,MATCH($B34,账户名,0))+SUMIFS($L$6:L34,$B$6:B34,$B34),2),""))</f>
        <v/>
      </c>
      <c r="O34" s="46"/>
      <c r="P34" s="47"/>
      <c r="Q34" s="46"/>
      <c r="R34" s="46"/>
      <c r="S34" s="6" t="str">
        <f>IF($B34="","",IF(ISNA(MATCH($B34,账户名,0)),"※这个账户不在【参数设置】的账户档案里",IF($A34="","※没填日期，这一笔不会进任何月份的报表",IF(AND($G34&lt;&gt;"",$H34&lt;&gt;""),"※收入和支出不能同时填",IF(AND(N($G34)=0,N($H34)=0),"※收入和支出都没填",IF($E34="","※没填收支类别，分类报表会漏掉这一笔",IF(ISNA(MATCH($E34,类别表,0)),"※收支类别不在【参数设置】的清单里",IF($J34="","△"&amp;$D34&amp;" 还没填汇率，去【月度汇率】补上就自动算了",IF(YEAR($A34)&lt;&gt;管理年度,"△不是管理年度的单据，年报里看不到",IF(AND($F34="内部转账",$Q34=""),"△内部转账建议在「往来单位」写上对方账户",IF($M34&lt;0,"△这一笔之后该账户余额成负数了，核一下","")))))))))))</f>
        <v/>
      </c>
    </row>
    <row r="35" ht="16.5" spans="1:19">
      <c r="A35" s="45"/>
      <c r="B35" s="46"/>
      <c r="C35" s="12" t="str">
        <f>IF($B35="","",IFERROR(INDEX(账户银行,MATCH($B35,账户名,0)),""))</f>
        <v/>
      </c>
      <c r="D35" s="12" t="str">
        <f>IF($B35="","",IFERROR(INDEX(账户币种,MATCH($B35,账户名,0)),""))</f>
        <v/>
      </c>
      <c r="E35" s="47"/>
      <c r="F35" s="12" t="str">
        <f>IF($E35="","",IFERROR(INDEX(类别属性,MATCH($E35,类别表,0)),""))</f>
        <v/>
      </c>
      <c r="G35" s="48"/>
      <c r="H35" s="48"/>
      <c r="I35" s="49"/>
      <c r="J35" s="24" t="str">
        <f>IF(OR($A35="",$B35=""),"",IF($I35&lt;&gt;"",$I35,IF($D35=本位币,1,IFERROR(LOOKUP(2,1/((汇率月份&lt;=$A35)*(INDEX(记账汇率区,0,MATCH($D35,汇率币种头,0))&lt;&gt;"")),INDEX(记账汇率区,0,MATCH($D35,汇率币种头,0))),""))))</f>
        <v/>
      </c>
      <c r="K35" s="23" t="str">
        <f t="shared" si="0"/>
        <v/>
      </c>
      <c r="L35" s="23" t="str">
        <f t="shared" si="1"/>
        <v/>
      </c>
      <c r="M35" s="23" t="str">
        <f>IF($B35="","",ROUND(SUMIF(账户名,$B35,账户期初)+SUMIFS($K$6:K35,$B$6:B35,$B35),2))</f>
        <v/>
      </c>
      <c r="N35" s="23" t="str">
        <f>IF($B35="","",IFERROR(ROUND(INDEX(账户期初本位,MATCH($B35,账户名,0))+SUMIFS($L$6:L35,$B$6:B35,$B35),2),""))</f>
        <v/>
      </c>
      <c r="O35" s="46"/>
      <c r="P35" s="47"/>
      <c r="Q35" s="46"/>
      <c r="R35" s="46"/>
      <c r="S35" s="6" t="str">
        <f>IF($B35="","",IF(ISNA(MATCH($B35,账户名,0)),"※这个账户不在【参数设置】的账户档案里",IF($A35="","※没填日期，这一笔不会进任何月份的报表",IF(AND($G35&lt;&gt;"",$H35&lt;&gt;""),"※收入和支出不能同时填",IF(AND(N($G35)=0,N($H35)=0),"※收入和支出都没填",IF($E35="","※没填收支类别，分类报表会漏掉这一笔",IF(ISNA(MATCH($E35,类别表,0)),"※收支类别不在【参数设置】的清单里",IF($J35="","△"&amp;$D35&amp;" 还没填汇率，去【月度汇率】补上就自动算了",IF(YEAR($A35)&lt;&gt;管理年度,"△不是管理年度的单据，年报里看不到",IF(AND($F35="内部转账",$Q35=""),"△内部转账建议在「往来单位」写上对方账户",IF($M35&lt;0,"△这一笔之后该账户余额成负数了，核一下","")))))))))))</f>
        <v/>
      </c>
    </row>
    <row r="36" ht="16.5" spans="1:19">
      <c r="A36" s="45"/>
      <c r="B36" s="46"/>
      <c r="C36" s="12" t="str">
        <f>IF($B36="","",IFERROR(INDEX(账户银行,MATCH($B36,账户名,0)),""))</f>
        <v/>
      </c>
      <c r="D36" s="12" t="str">
        <f>IF($B36="","",IFERROR(INDEX(账户币种,MATCH($B36,账户名,0)),""))</f>
        <v/>
      </c>
      <c r="E36" s="47"/>
      <c r="F36" s="12" t="str">
        <f>IF($E36="","",IFERROR(INDEX(类别属性,MATCH($E36,类别表,0)),""))</f>
        <v/>
      </c>
      <c r="G36" s="48"/>
      <c r="H36" s="48"/>
      <c r="I36" s="49"/>
      <c r="J36" s="24" t="str">
        <f>IF(OR($A36="",$B36=""),"",IF($I36&lt;&gt;"",$I36,IF($D36=本位币,1,IFERROR(LOOKUP(2,1/((汇率月份&lt;=$A36)*(INDEX(记账汇率区,0,MATCH($D36,汇率币种头,0))&lt;&gt;"")),INDEX(记账汇率区,0,MATCH($D36,汇率币种头,0))),""))))</f>
        <v/>
      </c>
      <c r="K36" s="23" t="str">
        <f t="shared" si="0"/>
        <v/>
      </c>
      <c r="L36" s="23" t="str">
        <f t="shared" si="1"/>
        <v/>
      </c>
      <c r="M36" s="23" t="str">
        <f>IF($B36="","",ROUND(SUMIF(账户名,$B36,账户期初)+SUMIFS($K$6:K36,$B$6:B36,$B36),2))</f>
        <v/>
      </c>
      <c r="N36" s="23" t="str">
        <f>IF($B36="","",IFERROR(ROUND(INDEX(账户期初本位,MATCH($B36,账户名,0))+SUMIFS($L$6:L36,$B$6:B36,$B36),2),""))</f>
        <v/>
      </c>
      <c r="O36" s="46"/>
      <c r="P36" s="47"/>
      <c r="Q36" s="46"/>
      <c r="R36" s="46"/>
      <c r="S36" s="6" t="str">
        <f>IF($B36="","",IF(ISNA(MATCH($B36,账户名,0)),"※这个账户不在【参数设置】的账户档案里",IF($A36="","※没填日期，这一笔不会进任何月份的报表",IF(AND($G36&lt;&gt;"",$H36&lt;&gt;""),"※收入和支出不能同时填",IF(AND(N($G36)=0,N($H36)=0),"※收入和支出都没填",IF($E36="","※没填收支类别，分类报表会漏掉这一笔",IF(ISNA(MATCH($E36,类别表,0)),"※收支类别不在【参数设置】的清单里",IF($J36="","△"&amp;$D36&amp;" 还没填汇率，去【月度汇率】补上就自动算了",IF(YEAR($A36)&lt;&gt;管理年度,"△不是管理年度的单据，年报里看不到",IF(AND($F36="内部转账",$Q36=""),"△内部转账建议在「往来单位」写上对方账户",IF($M36&lt;0,"△这一笔之后该账户余额成负数了，核一下","")))))))))))</f>
        <v/>
      </c>
    </row>
    <row r="37" ht="16.5" spans="1:19">
      <c r="A37" s="45"/>
      <c r="B37" s="46"/>
      <c r="C37" s="12" t="str">
        <f>IF($B37="","",IFERROR(INDEX(账户银行,MATCH($B37,账户名,0)),""))</f>
        <v/>
      </c>
      <c r="D37" s="12" t="str">
        <f>IF($B37="","",IFERROR(INDEX(账户币种,MATCH($B37,账户名,0)),""))</f>
        <v/>
      </c>
      <c r="E37" s="47"/>
      <c r="F37" s="12" t="str">
        <f>IF($E37="","",IFERROR(INDEX(类别属性,MATCH($E37,类别表,0)),""))</f>
        <v/>
      </c>
      <c r="G37" s="48"/>
      <c r="H37" s="48"/>
      <c r="I37" s="49"/>
      <c r="J37" s="24" t="str">
        <f>IF(OR($A37="",$B37=""),"",IF($I37&lt;&gt;"",$I37,IF($D37=本位币,1,IFERROR(LOOKUP(2,1/((汇率月份&lt;=$A37)*(INDEX(记账汇率区,0,MATCH($D37,汇率币种头,0))&lt;&gt;"")),INDEX(记账汇率区,0,MATCH($D37,汇率币种头,0))),""))))</f>
        <v/>
      </c>
      <c r="K37" s="23" t="str">
        <f t="shared" si="0"/>
        <v/>
      </c>
      <c r="L37" s="23" t="str">
        <f t="shared" si="1"/>
        <v/>
      </c>
      <c r="M37" s="23" t="str">
        <f>IF($B37="","",ROUND(SUMIF(账户名,$B37,账户期初)+SUMIFS($K$6:K37,$B$6:B37,$B37),2))</f>
        <v/>
      </c>
      <c r="N37" s="23" t="str">
        <f>IF($B37="","",IFERROR(ROUND(INDEX(账户期初本位,MATCH($B37,账户名,0))+SUMIFS($L$6:L37,$B$6:B37,$B37),2),""))</f>
        <v/>
      </c>
      <c r="O37" s="46"/>
      <c r="P37" s="47"/>
      <c r="Q37" s="46"/>
      <c r="R37" s="46"/>
      <c r="S37" s="6" t="str">
        <f>IF($B37="","",IF(ISNA(MATCH($B37,账户名,0)),"※这个账户不在【参数设置】的账户档案里",IF($A37="","※没填日期，这一笔不会进任何月份的报表",IF(AND($G37&lt;&gt;"",$H37&lt;&gt;""),"※收入和支出不能同时填",IF(AND(N($G37)=0,N($H37)=0),"※收入和支出都没填",IF($E37="","※没填收支类别，分类报表会漏掉这一笔",IF(ISNA(MATCH($E37,类别表,0)),"※收支类别不在【参数设置】的清单里",IF($J37="","△"&amp;$D37&amp;" 还没填汇率，去【月度汇率】补上就自动算了",IF(YEAR($A37)&lt;&gt;管理年度,"△不是管理年度的单据，年报里看不到",IF(AND($F37="内部转账",$Q37=""),"△内部转账建议在「往来单位」写上对方账户",IF($M37&lt;0,"△这一笔之后该账户余额成负数了，核一下","")))))))))))</f>
        <v/>
      </c>
    </row>
    <row r="38" ht="16.5" spans="1:19">
      <c r="A38" s="45"/>
      <c r="B38" s="46"/>
      <c r="C38" s="12" t="str">
        <f>IF($B38="","",IFERROR(INDEX(账户银行,MATCH($B38,账户名,0)),""))</f>
        <v/>
      </c>
      <c r="D38" s="12" t="str">
        <f>IF($B38="","",IFERROR(INDEX(账户币种,MATCH($B38,账户名,0)),""))</f>
        <v/>
      </c>
      <c r="E38" s="47"/>
      <c r="F38" s="12" t="str">
        <f>IF($E38="","",IFERROR(INDEX(类别属性,MATCH($E38,类别表,0)),""))</f>
        <v/>
      </c>
      <c r="G38" s="48"/>
      <c r="H38" s="48"/>
      <c r="I38" s="49"/>
      <c r="J38" s="24" t="str">
        <f>IF(OR($A38="",$B38=""),"",IF($I38&lt;&gt;"",$I38,IF($D38=本位币,1,IFERROR(LOOKUP(2,1/((汇率月份&lt;=$A38)*(INDEX(记账汇率区,0,MATCH($D38,汇率币种头,0))&lt;&gt;"")),INDEX(记账汇率区,0,MATCH($D38,汇率币种头,0))),""))))</f>
        <v/>
      </c>
      <c r="K38" s="23" t="str">
        <f t="shared" si="0"/>
        <v/>
      </c>
      <c r="L38" s="23" t="str">
        <f t="shared" si="1"/>
        <v/>
      </c>
      <c r="M38" s="23" t="str">
        <f>IF($B38="","",ROUND(SUMIF(账户名,$B38,账户期初)+SUMIFS($K$6:K38,$B$6:B38,$B38),2))</f>
        <v/>
      </c>
      <c r="N38" s="23" t="str">
        <f>IF($B38="","",IFERROR(ROUND(INDEX(账户期初本位,MATCH($B38,账户名,0))+SUMIFS($L$6:L38,$B$6:B38,$B38),2),""))</f>
        <v/>
      </c>
      <c r="O38" s="46"/>
      <c r="P38" s="47"/>
      <c r="Q38" s="46"/>
      <c r="R38" s="46"/>
      <c r="S38" s="6" t="str">
        <f>IF($B38="","",IF(ISNA(MATCH($B38,账户名,0)),"※这个账户不在【参数设置】的账户档案里",IF($A38="","※没填日期，这一笔不会进任何月份的报表",IF(AND($G38&lt;&gt;"",$H38&lt;&gt;""),"※收入和支出不能同时填",IF(AND(N($G38)=0,N($H38)=0),"※收入和支出都没填",IF($E38="","※没填收支类别，分类报表会漏掉这一笔",IF(ISNA(MATCH($E38,类别表,0)),"※收支类别不在【参数设置】的清单里",IF($J38="","△"&amp;$D38&amp;" 还没填汇率，去【月度汇率】补上就自动算了",IF(YEAR($A38)&lt;&gt;管理年度,"△不是管理年度的单据，年报里看不到",IF(AND($F38="内部转账",$Q38=""),"△内部转账建议在「往来单位」写上对方账户",IF($M38&lt;0,"△这一笔之后该账户余额成负数了，核一下","")))))))))))</f>
        <v/>
      </c>
    </row>
    <row r="39" ht="16.5" spans="1:19">
      <c r="A39" s="45"/>
      <c r="B39" s="46"/>
      <c r="C39" s="12" t="str">
        <f>IF($B39="","",IFERROR(INDEX(账户银行,MATCH($B39,账户名,0)),""))</f>
        <v/>
      </c>
      <c r="D39" s="12" t="str">
        <f>IF($B39="","",IFERROR(INDEX(账户币种,MATCH($B39,账户名,0)),""))</f>
        <v/>
      </c>
      <c r="E39" s="47"/>
      <c r="F39" s="12" t="str">
        <f>IF($E39="","",IFERROR(INDEX(类别属性,MATCH($E39,类别表,0)),""))</f>
        <v/>
      </c>
      <c r="G39" s="48"/>
      <c r="H39" s="48"/>
      <c r="I39" s="49"/>
      <c r="J39" s="24" t="str">
        <f>IF(OR($A39="",$B39=""),"",IF($I39&lt;&gt;"",$I39,IF($D39=本位币,1,IFERROR(LOOKUP(2,1/((汇率月份&lt;=$A39)*(INDEX(记账汇率区,0,MATCH($D39,汇率币种头,0))&lt;&gt;"")),INDEX(记账汇率区,0,MATCH($D39,汇率币种头,0))),""))))</f>
        <v/>
      </c>
      <c r="K39" s="23" t="str">
        <f t="shared" si="0"/>
        <v/>
      </c>
      <c r="L39" s="23" t="str">
        <f t="shared" si="1"/>
        <v/>
      </c>
      <c r="M39" s="23" t="str">
        <f>IF($B39="","",ROUND(SUMIF(账户名,$B39,账户期初)+SUMIFS($K$6:K39,$B$6:B39,$B39),2))</f>
        <v/>
      </c>
      <c r="N39" s="23" t="str">
        <f>IF($B39="","",IFERROR(ROUND(INDEX(账户期初本位,MATCH($B39,账户名,0))+SUMIFS($L$6:L39,$B$6:B39,$B39),2),""))</f>
        <v/>
      </c>
      <c r="O39" s="46"/>
      <c r="P39" s="47"/>
      <c r="Q39" s="46"/>
      <c r="R39" s="46"/>
      <c r="S39" s="6" t="str">
        <f>IF($B39="","",IF(ISNA(MATCH($B39,账户名,0)),"※这个账户不在【参数设置】的账户档案里",IF($A39="","※没填日期，这一笔不会进任何月份的报表",IF(AND($G39&lt;&gt;"",$H39&lt;&gt;""),"※收入和支出不能同时填",IF(AND(N($G39)=0,N($H39)=0),"※收入和支出都没填",IF($E39="","※没填收支类别，分类报表会漏掉这一笔",IF(ISNA(MATCH($E39,类别表,0)),"※收支类别不在【参数设置】的清单里",IF($J39="","△"&amp;$D39&amp;" 还没填汇率，去【月度汇率】补上就自动算了",IF(YEAR($A39)&lt;&gt;管理年度,"△不是管理年度的单据，年报里看不到",IF(AND($F39="内部转账",$Q39=""),"△内部转账建议在「往来单位」写上对方账户",IF($M39&lt;0,"△这一笔之后该账户余额成负数了，核一下","")))))))))))</f>
        <v/>
      </c>
    </row>
    <row r="40" ht="16.5" spans="1:19">
      <c r="A40" s="45"/>
      <c r="B40" s="46"/>
      <c r="C40" s="12" t="str">
        <f>IF($B40="","",IFERROR(INDEX(账户银行,MATCH($B40,账户名,0)),""))</f>
        <v/>
      </c>
      <c r="D40" s="12" t="str">
        <f>IF($B40="","",IFERROR(INDEX(账户币种,MATCH($B40,账户名,0)),""))</f>
        <v/>
      </c>
      <c r="E40" s="47"/>
      <c r="F40" s="12" t="str">
        <f>IF($E40="","",IFERROR(INDEX(类别属性,MATCH($E40,类别表,0)),""))</f>
        <v/>
      </c>
      <c r="G40" s="48"/>
      <c r="H40" s="48"/>
      <c r="I40" s="49"/>
      <c r="J40" s="24" t="str">
        <f>IF(OR($A40="",$B40=""),"",IF($I40&lt;&gt;"",$I40,IF($D40=本位币,1,IFERROR(LOOKUP(2,1/((汇率月份&lt;=$A40)*(INDEX(记账汇率区,0,MATCH($D40,汇率币种头,0))&lt;&gt;"")),INDEX(记账汇率区,0,MATCH($D40,汇率币种头,0))),""))))</f>
        <v/>
      </c>
      <c r="K40" s="23" t="str">
        <f t="shared" si="0"/>
        <v/>
      </c>
      <c r="L40" s="23" t="str">
        <f t="shared" si="1"/>
        <v/>
      </c>
      <c r="M40" s="23" t="str">
        <f>IF($B40="","",ROUND(SUMIF(账户名,$B40,账户期初)+SUMIFS($K$6:K40,$B$6:B40,$B40),2))</f>
        <v/>
      </c>
      <c r="N40" s="23" t="str">
        <f>IF($B40="","",IFERROR(ROUND(INDEX(账户期初本位,MATCH($B40,账户名,0))+SUMIFS($L$6:L40,$B$6:B40,$B40),2),""))</f>
        <v/>
      </c>
      <c r="O40" s="46"/>
      <c r="P40" s="47"/>
      <c r="Q40" s="46"/>
      <c r="R40" s="46"/>
      <c r="S40" s="6" t="str">
        <f>IF($B40="","",IF(ISNA(MATCH($B40,账户名,0)),"※这个账户不在【参数设置】的账户档案里",IF($A40="","※没填日期，这一笔不会进任何月份的报表",IF(AND($G40&lt;&gt;"",$H40&lt;&gt;""),"※收入和支出不能同时填",IF(AND(N($G40)=0,N($H40)=0),"※收入和支出都没填",IF($E40="","※没填收支类别，分类报表会漏掉这一笔",IF(ISNA(MATCH($E40,类别表,0)),"※收支类别不在【参数设置】的清单里",IF($J40="","△"&amp;$D40&amp;" 还没填汇率，去【月度汇率】补上就自动算了",IF(YEAR($A40)&lt;&gt;管理年度,"△不是管理年度的单据，年报里看不到",IF(AND($F40="内部转账",$Q40=""),"△内部转账建议在「往来单位」写上对方账户",IF($M40&lt;0,"△这一笔之后该账户余额成负数了，核一下","")))))))))))</f>
        <v/>
      </c>
    </row>
    <row r="41" ht="16.5" spans="1:19">
      <c r="A41" s="45"/>
      <c r="B41" s="46"/>
      <c r="C41" s="12" t="str">
        <f>IF($B41="","",IFERROR(INDEX(账户银行,MATCH($B41,账户名,0)),""))</f>
        <v/>
      </c>
      <c r="D41" s="12" t="str">
        <f>IF($B41="","",IFERROR(INDEX(账户币种,MATCH($B41,账户名,0)),""))</f>
        <v/>
      </c>
      <c r="E41" s="47"/>
      <c r="F41" s="12" t="str">
        <f>IF($E41="","",IFERROR(INDEX(类别属性,MATCH($E41,类别表,0)),""))</f>
        <v/>
      </c>
      <c r="G41" s="48"/>
      <c r="H41" s="48"/>
      <c r="I41" s="49"/>
      <c r="J41" s="24" t="str">
        <f>IF(OR($A41="",$B41=""),"",IF($I41&lt;&gt;"",$I41,IF($D41=本位币,1,IFERROR(LOOKUP(2,1/((汇率月份&lt;=$A41)*(INDEX(记账汇率区,0,MATCH($D41,汇率币种头,0))&lt;&gt;"")),INDEX(记账汇率区,0,MATCH($D41,汇率币种头,0))),""))))</f>
        <v/>
      </c>
      <c r="K41" s="23" t="str">
        <f t="shared" si="0"/>
        <v/>
      </c>
      <c r="L41" s="23" t="str">
        <f t="shared" si="1"/>
        <v/>
      </c>
      <c r="M41" s="23" t="str">
        <f>IF($B41="","",ROUND(SUMIF(账户名,$B41,账户期初)+SUMIFS($K$6:K41,$B$6:B41,$B41),2))</f>
        <v/>
      </c>
      <c r="N41" s="23" t="str">
        <f>IF($B41="","",IFERROR(ROUND(INDEX(账户期初本位,MATCH($B41,账户名,0))+SUMIFS($L$6:L41,$B$6:B41,$B41),2),""))</f>
        <v/>
      </c>
      <c r="O41" s="46"/>
      <c r="P41" s="47"/>
      <c r="Q41" s="46"/>
      <c r="R41" s="46"/>
      <c r="S41" s="6" t="str">
        <f>IF($B41="","",IF(ISNA(MATCH($B41,账户名,0)),"※这个账户不在【参数设置】的账户档案里",IF($A41="","※没填日期，这一笔不会进任何月份的报表",IF(AND($G41&lt;&gt;"",$H41&lt;&gt;""),"※收入和支出不能同时填",IF(AND(N($G41)=0,N($H41)=0),"※收入和支出都没填",IF($E41="","※没填收支类别，分类报表会漏掉这一笔",IF(ISNA(MATCH($E41,类别表,0)),"※收支类别不在【参数设置】的清单里",IF($J41="","△"&amp;$D41&amp;" 还没填汇率，去【月度汇率】补上就自动算了",IF(YEAR($A41)&lt;&gt;管理年度,"△不是管理年度的单据，年报里看不到",IF(AND($F41="内部转账",$Q41=""),"△内部转账建议在「往来单位」写上对方账户",IF($M41&lt;0,"△这一笔之后该账户余额成负数了，核一下","")))))))))))</f>
        <v/>
      </c>
    </row>
    <row r="42" ht="16.5" spans="1:19">
      <c r="A42" s="45"/>
      <c r="B42" s="46"/>
      <c r="C42" s="12" t="str">
        <f>IF($B42="","",IFERROR(INDEX(账户银行,MATCH($B42,账户名,0)),""))</f>
        <v/>
      </c>
      <c r="D42" s="12" t="str">
        <f>IF($B42="","",IFERROR(INDEX(账户币种,MATCH($B42,账户名,0)),""))</f>
        <v/>
      </c>
      <c r="E42" s="47"/>
      <c r="F42" s="12" t="str">
        <f>IF($E42="","",IFERROR(INDEX(类别属性,MATCH($E42,类别表,0)),""))</f>
        <v/>
      </c>
      <c r="G42" s="48"/>
      <c r="H42" s="48"/>
      <c r="I42" s="49"/>
      <c r="J42" s="24" t="str">
        <f>IF(OR($A42="",$B42=""),"",IF($I42&lt;&gt;"",$I42,IF($D42=本位币,1,IFERROR(LOOKUP(2,1/((汇率月份&lt;=$A42)*(INDEX(记账汇率区,0,MATCH($D42,汇率币种头,0))&lt;&gt;"")),INDEX(记账汇率区,0,MATCH($D42,汇率币种头,0))),""))))</f>
        <v/>
      </c>
      <c r="K42" s="23" t="str">
        <f t="shared" si="0"/>
        <v/>
      </c>
      <c r="L42" s="23" t="str">
        <f t="shared" si="1"/>
        <v/>
      </c>
      <c r="M42" s="23" t="str">
        <f>IF($B42="","",ROUND(SUMIF(账户名,$B42,账户期初)+SUMIFS($K$6:K42,$B$6:B42,$B42),2))</f>
        <v/>
      </c>
      <c r="N42" s="23" t="str">
        <f>IF($B42="","",IFERROR(ROUND(INDEX(账户期初本位,MATCH($B42,账户名,0))+SUMIFS($L$6:L42,$B$6:B42,$B42),2),""))</f>
        <v/>
      </c>
      <c r="O42" s="46"/>
      <c r="P42" s="47"/>
      <c r="Q42" s="46"/>
      <c r="R42" s="46"/>
      <c r="S42" s="6" t="str">
        <f>IF($B42="","",IF(ISNA(MATCH($B42,账户名,0)),"※这个账户不在【参数设置】的账户档案里",IF($A42="","※没填日期，这一笔不会进任何月份的报表",IF(AND($G42&lt;&gt;"",$H42&lt;&gt;""),"※收入和支出不能同时填",IF(AND(N($G42)=0,N($H42)=0),"※收入和支出都没填",IF($E42="","※没填收支类别，分类报表会漏掉这一笔",IF(ISNA(MATCH($E42,类别表,0)),"※收支类别不在【参数设置】的清单里",IF($J42="","△"&amp;$D42&amp;" 还没填汇率，去【月度汇率】补上就自动算了",IF(YEAR($A42)&lt;&gt;管理年度,"△不是管理年度的单据，年报里看不到",IF(AND($F42="内部转账",$Q42=""),"△内部转账建议在「往来单位」写上对方账户",IF($M42&lt;0,"△这一笔之后该账户余额成负数了，核一下","")))))))))))</f>
        <v/>
      </c>
    </row>
    <row r="43" ht="16.5" spans="1:19">
      <c r="A43" s="45"/>
      <c r="B43" s="46"/>
      <c r="C43" s="12" t="str">
        <f>IF($B43="","",IFERROR(INDEX(账户银行,MATCH($B43,账户名,0)),""))</f>
        <v/>
      </c>
      <c r="D43" s="12" t="str">
        <f>IF($B43="","",IFERROR(INDEX(账户币种,MATCH($B43,账户名,0)),""))</f>
        <v/>
      </c>
      <c r="E43" s="47"/>
      <c r="F43" s="12" t="str">
        <f>IF($E43="","",IFERROR(INDEX(类别属性,MATCH($E43,类别表,0)),""))</f>
        <v/>
      </c>
      <c r="G43" s="48"/>
      <c r="H43" s="48"/>
      <c r="I43" s="49"/>
      <c r="J43" s="24" t="str">
        <f>IF(OR($A43="",$B43=""),"",IF($I43&lt;&gt;"",$I43,IF($D43=本位币,1,IFERROR(LOOKUP(2,1/((汇率月份&lt;=$A43)*(INDEX(记账汇率区,0,MATCH($D43,汇率币种头,0))&lt;&gt;"")),INDEX(记账汇率区,0,MATCH($D43,汇率币种头,0))),""))))</f>
        <v/>
      </c>
      <c r="K43" s="23" t="str">
        <f t="shared" si="0"/>
        <v/>
      </c>
      <c r="L43" s="23" t="str">
        <f t="shared" si="1"/>
        <v/>
      </c>
      <c r="M43" s="23" t="str">
        <f>IF($B43="","",ROUND(SUMIF(账户名,$B43,账户期初)+SUMIFS($K$6:K43,$B$6:B43,$B43),2))</f>
        <v/>
      </c>
      <c r="N43" s="23" t="str">
        <f>IF($B43="","",IFERROR(ROUND(INDEX(账户期初本位,MATCH($B43,账户名,0))+SUMIFS($L$6:L43,$B$6:B43,$B43),2),""))</f>
        <v/>
      </c>
      <c r="O43" s="46"/>
      <c r="P43" s="47"/>
      <c r="Q43" s="46"/>
      <c r="R43" s="46"/>
      <c r="S43" s="6" t="str">
        <f>IF($B43="","",IF(ISNA(MATCH($B43,账户名,0)),"※这个账户不在【参数设置】的账户档案里",IF($A43="","※没填日期，这一笔不会进任何月份的报表",IF(AND($G43&lt;&gt;"",$H43&lt;&gt;""),"※收入和支出不能同时填",IF(AND(N($G43)=0,N($H43)=0),"※收入和支出都没填",IF($E43="","※没填收支类别，分类报表会漏掉这一笔",IF(ISNA(MATCH($E43,类别表,0)),"※收支类别不在【参数设置】的清单里",IF($J43="","△"&amp;$D43&amp;" 还没填汇率，去【月度汇率】补上就自动算了",IF(YEAR($A43)&lt;&gt;管理年度,"△不是管理年度的单据，年报里看不到",IF(AND($F43="内部转账",$Q43=""),"△内部转账建议在「往来单位」写上对方账户",IF($M43&lt;0,"△这一笔之后该账户余额成负数了，核一下","")))))))))))</f>
        <v/>
      </c>
    </row>
    <row r="44" ht="16.5" spans="1:19">
      <c r="A44" s="45"/>
      <c r="B44" s="46"/>
      <c r="C44" s="12" t="str">
        <f>IF($B44="","",IFERROR(INDEX(账户银行,MATCH($B44,账户名,0)),""))</f>
        <v/>
      </c>
      <c r="D44" s="12" t="str">
        <f>IF($B44="","",IFERROR(INDEX(账户币种,MATCH($B44,账户名,0)),""))</f>
        <v/>
      </c>
      <c r="E44" s="47"/>
      <c r="F44" s="12" t="str">
        <f>IF($E44="","",IFERROR(INDEX(类别属性,MATCH($E44,类别表,0)),""))</f>
        <v/>
      </c>
      <c r="G44" s="48"/>
      <c r="H44" s="48"/>
      <c r="I44" s="49"/>
      <c r="J44" s="24" t="str">
        <f>IF(OR($A44="",$B44=""),"",IF($I44&lt;&gt;"",$I44,IF($D44=本位币,1,IFERROR(LOOKUP(2,1/((汇率月份&lt;=$A44)*(INDEX(记账汇率区,0,MATCH($D44,汇率币种头,0))&lt;&gt;"")),INDEX(记账汇率区,0,MATCH($D44,汇率币种头,0))),""))))</f>
        <v/>
      </c>
      <c r="K44" s="23" t="str">
        <f t="shared" si="0"/>
        <v/>
      </c>
      <c r="L44" s="23" t="str">
        <f t="shared" si="1"/>
        <v/>
      </c>
      <c r="M44" s="23" t="str">
        <f>IF($B44="","",ROUND(SUMIF(账户名,$B44,账户期初)+SUMIFS($K$6:K44,$B$6:B44,$B44),2))</f>
        <v/>
      </c>
      <c r="N44" s="23" t="str">
        <f>IF($B44="","",IFERROR(ROUND(INDEX(账户期初本位,MATCH($B44,账户名,0))+SUMIFS($L$6:L44,$B$6:B44,$B44),2),""))</f>
        <v/>
      </c>
      <c r="O44" s="46"/>
      <c r="P44" s="47"/>
      <c r="Q44" s="46"/>
      <c r="R44" s="46"/>
      <c r="S44" s="6" t="str">
        <f>IF($B44="","",IF(ISNA(MATCH($B44,账户名,0)),"※这个账户不在【参数设置】的账户档案里",IF($A44="","※没填日期，这一笔不会进任何月份的报表",IF(AND($G44&lt;&gt;"",$H44&lt;&gt;""),"※收入和支出不能同时填",IF(AND(N($G44)=0,N($H44)=0),"※收入和支出都没填",IF($E44="","※没填收支类别，分类报表会漏掉这一笔",IF(ISNA(MATCH($E44,类别表,0)),"※收支类别不在【参数设置】的清单里",IF($J44="","△"&amp;$D44&amp;" 还没填汇率，去【月度汇率】补上就自动算了",IF(YEAR($A44)&lt;&gt;管理年度,"△不是管理年度的单据，年报里看不到",IF(AND($F44="内部转账",$Q44=""),"△内部转账建议在「往来单位」写上对方账户",IF($M44&lt;0,"△这一笔之后该账户余额成负数了，核一下","")))))))))))</f>
        <v/>
      </c>
    </row>
    <row r="45" ht="16.5" spans="1:19">
      <c r="A45" s="45"/>
      <c r="B45" s="46"/>
      <c r="C45" s="12" t="str">
        <f>IF($B45="","",IFERROR(INDEX(账户银行,MATCH($B45,账户名,0)),""))</f>
        <v/>
      </c>
      <c r="D45" s="12" t="str">
        <f>IF($B45="","",IFERROR(INDEX(账户币种,MATCH($B45,账户名,0)),""))</f>
        <v/>
      </c>
      <c r="E45" s="47"/>
      <c r="F45" s="12" t="str">
        <f>IF($E45="","",IFERROR(INDEX(类别属性,MATCH($E45,类别表,0)),""))</f>
        <v/>
      </c>
      <c r="G45" s="48"/>
      <c r="H45" s="48"/>
      <c r="I45" s="49"/>
      <c r="J45" s="24" t="str">
        <f>IF(OR($A45="",$B45=""),"",IF($I45&lt;&gt;"",$I45,IF($D45=本位币,1,IFERROR(LOOKUP(2,1/((汇率月份&lt;=$A45)*(INDEX(记账汇率区,0,MATCH($D45,汇率币种头,0))&lt;&gt;"")),INDEX(记账汇率区,0,MATCH($D45,汇率币种头,0))),""))))</f>
        <v/>
      </c>
      <c r="K45" s="23" t="str">
        <f t="shared" si="0"/>
        <v/>
      </c>
      <c r="L45" s="23" t="str">
        <f t="shared" si="1"/>
        <v/>
      </c>
      <c r="M45" s="23" t="str">
        <f>IF($B45="","",ROUND(SUMIF(账户名,$B45,账户期初)+SUMIFS($K$6:K45,$B$6:B45,$B45),2))</f>
        <v/>
      </c>
      <c r="N45" s="23" t="str">
        <f>IF($B45="","",IFERROR(ROUND(INDEX(账户期初本位,MATCH($B45,账户名,0))+SUMIFS($L$6:L45,$B$6:B45,$B45),2),""))</f>
        <v/>
      </c>
      <c r="O45" s="46"/>
      <c r="P45" s="47"/>
      <c r="Q45" s="46"/>
      <c r="R45" s="46"/>
      <c r="S45" s="6" t="str">
        <f>IF($B45="","",IF(ISNA(MATCH($B45,账户名,0)),"※这个账户不在【参数设置】的账户档案里",IF($A45="","※没填日期，这一笔不会进任何月份的报表",IF(AND($G45&lt;&gt;"",$H45&lt;&gt;""),"※收入和支出不能同时填",IF(AND(N($G45)=0,N($H45)=0),"※收入和支出都没填",IF($E45="","※没填收支类别，分类报表会漏掉这一笔",IF(ISNA(MATCH($E45,类别表,0)),"※收支类别不在【参数设置】的清单里",IF($J45="","△"&amp;$D45&amp;" 还没填汇率，去【月度汇率】补上就自动算了",IF(YEAR($A45)&lt;&gt;管理年度,"△不是管理年度的单据，年报里看不到",IF(AND($F45="内部转账",$Q45=""),"△内部转账建议在「往来单位」写上对方账户",IF($M45&lt;0,"△这一笔之后该账户余额成负数了，核一下","")))))))))))</f>
        <v/>
      </c>
    </row>
    <row r="46" ht="16.5" spans="1:19">
      <c r="A46" s="45"/>
      <c r="B46" s="46"/>
      <c r="C46" s="12" t="str">
        <f>IF($B46="","",IFERROR(INDEX(账户银行,MATCH($B46,账户名,0)),""))</f>
        <v/>
      </c>
      <c r="D46" s="12" t="str">
        <f>IF($B46="","",IFERROR(INDEX(账户币种,MATCH($B46,账户名,0)),""))</f>
        <v/>
      </c>
      <c r="E46" s="47"/>
      <c r="F46" s="12" t="str">
        <f>IF($E46="","",IFERROR(INDEX(类别属性,MATCH($E46,类别表,0)),""))</f>
        <v/>
      </c>
      <c r="G46" s="48"/>
      <c r="H46" s="48"/>
      <c r="I46" s="49"/>
      <c r="J46" s="24" t="str">
        <f>IF(OR($A46="",$B46=""),"",IF($I46&lt;&gt;"",$I46,IF($D46=本位币,1,IFERROR(LOOKUP(2,1/((汇率月份&lt;=$A46)*(INDEX(记账汇率区,0,MATCH($D46,汇率币种头,0))&lt;&gt;"")),INDEX(记账汇率区,0,MATCH($D46,汇率币种头,0))),""))))</f>
        <v/>
      </c>
      <c r="K46" s="23" t="str">
        <f t="shared" si="0"/>
        <v/>
      </c>
      <c r="L46" s="23" t="str">
        <f t="shared" si="1"/>
        <v/>
      </c>
      <c r="M46" s="23" t="str">
        <f>IF($B46="","",ROUND(SUMIF(账户名,$B46,账户期初)+SUMIFS($K$6:K46,$B$6:B46,$B46),2))</f>
        <v/>
      </c>
      <c r="N46" s="23" t="str">
        <f>IF($B46="","",IFERROR(ROUND(INDEX(账户期初本位,MATCH($B46,账户名,0))+SUMIFS($L$6:L46,$B$6:B46,$B46),2),""))</f>
        <v/>
      </c>
      <c r="O46" s="46"/>
      <c r="P46" s="47"/>
      <c r="Q46" s="46"/>
      <c r="R46" s="46"/>
      <c r="S46" s="6" t="str">
        <f>IF($B46="","",IF(ISNA(MATCH($B46,账户名,0)),"※这个账户不在【参数设置】的账户档案里",IF($A46="","※没填日期，这一笔不会进任何月份的报表",IF(AND($G46&lt;&gt;"",$H46&lt;&gt;""),"※收入和支出不能同时填",IF(AND(N($G46)=0,N($H46)=0),"※收入和支出都没填",IF($E46="","※没填收支类别，分类报表会漏掉这一笔",IF(ISNA(MATCH($E46,类别表,0)),"※收支类别不在【参数设置】的清单里",IF($J46="","△"&amp;$D46&amp;" 还没填汇率，去【月度汇率】补上就自动算了",IF(YEAR($A46)&lt;&gt;管理年度,"△不是管理年度的单据，年报里看不到",IF(AND($F46="内部转账",$Q46=""),"△内部转账建议在「往来单位」写上对方账户",IF($M46&lt;0,"△这一笔之后该账户余额成负数了，核一下","")))))))))))</f>
        <v/>
      </c>
    </row>
    <row r="47" ht="16.5" spans="1:19">
      <c r="A47" s="45"/>
      <c r="B47" s="46"/>
      <c r="C47" s="12" t="str">
        <f>IF($B47="","",IFERROR(INDEX(账户银行,MATCH($B47,账户名,0)),""))</f>
        <v/>
      </c>
      <c r="D47" s="12" t="str">
        <f>IF($B47="","",IFERROR(INDEX(账户币种,MATCH($B47,账户名,0)),""))</f>
        <v/>
      </c>
      <c r="E47" s="47"/>
      <c r="F47" s="12" t="str">
        <f>IF($E47="","",IFERROR(INDEX(类别属性,MATCH($E47,类别表,0)),""))</f>
        <v/>
      </c>
      <c r="G47" s="48"/>
      <c r="H47" s="48"/>
      <c r="I47" s="49"/>
      <c r="J47" s="24" t="str">
        <f>IF(OR($A47="",$B47=""),"",IF($I47&lt;&gt;"",$I47,IF($D47=本位币,1,IFERROR(LOOKUP(2,1/((汇率月份&lt;=$A47)*(INDEX(记账汇率区,0,MATCH($D47,汇率币种头,0))&lt;&gt;"")),INDEX(记账汇率区,0,MATCH($D47,汇率币种头,0))),""))))</f>
        <v/>
      </c>
      <c r="K47" s="23" t="str">
        <f t="shared" si="0"/>
        <v/>
      </c>
      <c r="L47" s="23" t="str">
        <f t="shared" si="1"/>
        <v/>
      </c>
      <c r="M47" s="23" t="str">
        <f>IF($B47="","",ROUND(SUMIF(账户名,$B47,账户期初)+SUMIFS($K$6:K47,$B$6:B47,$B47),2))</f>
        <v/>
      </c>
      <c r="N47" s="23" t="str">
        <f>IF($B47="","",IFERROR(ROUND(INDEX(账户期初本位,MATCH($B47,账户名,0))+SUMIFS($L$6:L47,$B$6:B47,$B47),2),""))</f>
        <v/>
      </c>
      <c r="O47" s="46"/>
      <c r="P47" s="47"/>
      <c r="Q47" s="46"/>
      <c r="R47" s="46"/>
      <c r="S47" s="6" t="str">
        <f>IF($B47="","",IF(ISNA(MATCH($B47,账户名,0)),"※这个账户不在【参数设置】的账户档案里",IF($A47="","※没填日期，这一笔不会进任何月份的报表",IF(AND($G47&lt;&gt;"",$H47&lt;&gt;""),"※收入和支出不能同时填",IF(AND(N($G47)=0,N($H47)=0),"※收入和支出都没填",IF($E47="","※没填收支类别，分类报表会漏掉这一笔",IF(ISNA(MATCH($E47,类别表,0)),"※收支类别不在【参数设置】的清单里",IF($J47="","△"&amp;$D47&amp;" 还没填汇率，去【月度汇率】补上就自动算了",IF(YEAR($A47)&lt;&gt;管理年度,"△不是管理年度的单据，年报里看不到",IF(AND($F47="内部转账",$Q47=""),"△内部转账建议在「往来单位」写上对方账户",IF($M47&lt;0,"△这一笔之后该账户余额成负数了，核一下","")))))))))))</f>
        <v/>
      </c>
    </row>
    <row r="48" ht="16.5" spans="1:19">
      <c r="A48" s="45"/>
      <c r="B48" s="46"/>
      <c r="C48" s="12" t="str">
        <f>IF($B48="","",IFERROR(INDEX(账户银行,MATCH($B48,账户名,0)),""))</f>
        <v/>
      </c>
      <c r="D48" s="12" t="str">
        <f>IF($B48="","",IFERROR(INDEX(账户币种,MATCH($B48,账户名,0)),""))</f>
        <v/>
      </c>
      <c r="E48" s="47"/>
      <c r="F48" s="12" t="str">
        <f>IF($E48="","",IFERROR(INDEX(类别属性,MATCH($E48,类别表,0)),""))</f>
        <v/>
      </c>
      <c r="G48" s="48"/>
      <c r="H48" s="48"/>
      <c r="I48" s="49"/>
      <c r="J48" s="24" t="str">
        <f>IF(OR($A48="",$B48=""),"",IF($I48&lt;&gt;"",$I48,IF($D48=本位币,1,IFERROR(LOOKUP(2,1/((汇率月份&lt;=$A48)*(INDEX(记账汇率区,0,MATCH($D48,汇率币种头,0))&lt;&gt;"")),INDEX(记账汇率区,0,MATCH($D48,汇率币种头,0))),""))))</f>
        <v/>
      </c>
      <c r="K48" s="23" t="str">
        <f t="shared" si="0"/>
        <v/>
      </c>
      <c r="L48" s="23" t="str">
        <f t="shared" si="1"/>
        <v/>
      </c>
      <c r="M48" s="23" t="str">
        <f>IF($B48="","",ROUND(SUMIF(账户名,$B48,账户期初)+SUMIFS($K$6:K48,$B$6:B48,$B48),2))</f>
        <v/>
      </c>
      <c r="N48" s="23" t="str">
        <f>IF($B48="","",IFERROR(ROUND(INDEX(账户期初本位,MATCH($B48,账户名,0))+SUMIFS($L$6:L48,$B$6:B48,$B48),2),""))</f>
        <v/>
      </c>
      <c r="O48" s="46"/>
      <c r="P48" s="47"/>
      <c r="Q48" s="46"/>
      <c r="R48" s="46"/>
      <c r="S48" s="6" t="str">
        <f>IF($B48="","",IF(ISNA(MATCH($B48,账户名,0)),"※这个账户不在【参数设置】的账户档案里",IF($A48="","※没填日期，这一笔不会进任何月份的报表",IF(AND($G48&lt;&gt;"",$H48&lt;&gt;""),"※收入和支出不能同时填",IF(AND(N($G48)=0,N($H48)=0),"※收入和支出都没填",IF($E48="","※没填收支类别，分类报表会漏掉这一笔",IF(ISNA(MATCH($E48,类别表,0)),"※收支类别不在【参数设置】的清单里",IF($J48="","△"&amp;$D48&amp;" 还没填汇率，去【月度汇率】补上就自动算了",IF(YEAR($A48)&lt;&gt;管理年度,"△不是管理年度的单据，年报里看不到",IF(AND($F48="内部转账",$Q48=""),"△内部转账建议在「往来单位」写上对方账户",IF($M48&lt;0,"△这一笔之后该账户余额成负数了，核一下","")))))))))))</f>
        <v/>
      </c>
    </row>
    <row r="49" ht="16.5" spans="1:19">
      <c r="A49" s="45"/>
      <c r="B49" s="46"/>
      <c r="C49" s="12" t="str">
        <f>IF($B49="","",IFERROR(INDEX(账户银行,MATCH($B49,账户名,0)),""))</f>
        <v/>
      </c>
      <c r="D49" s="12" t="str">
        <f>IF($B49="","",IFERROR(INDEX(账户币种,MATCH($B49,账户名,0)),""))</f>
        <v/>
      </c>
      <c r="E49" s="47"/>
      <c r="F49" s="12" t="str">
        <f>IF($E49="","",IFERROR(INDEX(类别属性,MATCH($E49,类别表,0)),""))</f>
        <v/>
      </c>
      <c r="G49" s="48"/>
      <c r="H49" s="48"/>
      <c r="I49" s="49"/>
      <c r="J49" s="24" t="str">
        <f>IF(OR($A49="",$B49=""),"",IF($I49&lt;&gt;"",$I49,IF($D49=本位币,1,IFERROR(LOOKUP(2,1/((汇率月份&lt;=$A49)*(INDEX(记账汇率区,0,MATCH($D49,汇率币种头,0))&lt;&gt;"")),INDEX(记账汇率区,0,MATCH($D49,汇率币种头,0))),""))))</f>
        <v/>
      </c>
      <c r="K49" s="23" t="str">
        <f t="shared" si="0"/>
        <v/>
      </c>
      <c r="L49" s="23" t="str">
        <f t="shared" si="1"/>
        <v/>
      </c>
      <c r="M49" s="23" t="str">
        <f>IF($B49="","",ROUND(SUMIF(账户名,$B49,账户期初)+SUMIFS($K$6:K49,$B$6:B49,$B49),2))</f>
        <v/>
      </c>
      <c r="N49" s="23" t="str">
        <f>IF($B49="","",IFERROR(ROUND(INDEX(账户期初本位,MATCH($B49,账户名,0))+SUMIFS($L$6:L49,$B$6:B49,$B49),2),""))</f>
        <v/>
      </c>
      <c r="O49" s="46"/>
      <c r="P49" s="47"/>
      <c r="Q49" s="46"/>
      <c r="R49" s="46"/>
      <c r="S49" s="6" t="str">
        <f>IF($B49="","",IF(ISNA(MATCH($B49,账户名,0)),"※这个账户不在【参数设置】的账户档案里",IF($A49="","※没填日期，这一笔不会进任何月份的报表",IF(AND($G49&lt;&gt;"",$H49&lt;&gt;""),"※收入和支出不能同时填",IF(AND(N($G49)=0,N($H49)=0),"※收入和支出都没填",IF($E49="","※没填收支类别，分类报表会漏掉这一笔",IF(ISNA(MATCH($E49,类别表,0)),"※收支类别不在【参数设置】的清单里",IF($J49="","△"&amp;$D49&amp;" 还没填汇率，去【月度汇率】补上就自动算了",IF(YEAR($A49)&lt;&gt;管理年度,"△不是管理年度的单据，年报里看不到",IF(AND($F49="内部转账",$Q49=""),"△内部转账建议在「往来单位」写上对方账户",IF($M49&lt;0,"△这一笔之后该账户余额成负数了，核一下","")))))))))))</f>
        <v/>
      </c>
    </row>
    <row r="50" ht="16.5" spans="1:19">
      <c r="A50" s="45"/>
      <c r="B50" s="46"/>
      <c r="C50" s="12" t="str">
        <f>IF($B50="","",IFERROR(INDEX(账户银行,MATCH($B50,账户名,0)),""))</f>
        <v/>
      </c>
      <c r="D50" s="12" t="str">
        <f>IF($B50="","",IFERROR(INDEX(账户币种,MATCH($B50,账户名,0)),""))</f>
        <v/>
      </c>
      <c r="E50" s="47"/>
      <c r="F50" s="12" t="str">
        <f>IF($E50="","",IFERROR(INDEX(类别属性,MATCH($E50,类别表,0)),""))</f>
        <v/>
      </c>
      <c r="G50" s="48"/>
      <c r="H50" s="48"/>
      <c r="I50" s="49"/>
      <c r="J50" s="24" t="str">
        <f>IF(OR($A50="",$B50=""),"",IF($I50&lt;&gt;"",$I50,IF($D50=本位币,1,IFERROR(LOOKUP(2,1/((汇率月份&lt;=$A50)*(INDEX(记账汇率区,0,MATCH($D50,汇率币种头,0))&lt;&gt;"")),INDEX(记账汇率区,0,MATCH($D50,汇率币种头,0))),""))))</f>
        <v/>
      </c>
      <c r="K50" s="23" t="str">
        <f t="shared" si="0"/>
        <v/>
      </c>
      <c r="L50" s="23" t="str">
        <f t="shared" si="1"/>
        <v/>
      </c>
      <c r="M50" s="23" t="str">
        <f>IF($B50="","",ROUND(SUMIF(账户名,$B50,账户期初)+SUMIFS($K$6:K50,$B$6:B50,$B50),2))</f>
        <v/>
      </c>
      <c r="N50" s="23" t="str">
        <f>IF($B50="","",IFERROR(ROUND(INDEX(账户期初本位,MATCH($B50,账户名,0))+SUMIFS($L$6:L50,$B$6:B50,$B50),2),""))</f>
        <v/>
      </c>
      <c r="O50" s="46"/>
      <c r="P50" s="47"/>
      <c r="Q50" s="46"/>
      <c r="R50" s="46"/>
      <c r="S50" s="6" t="str">
        <f>IF($B50="","",IF(ISNA(MATCH($B50,账户名,0)),"※这个账户不在【参数设置】的账户档案里",IF($A50="","※没填日期，这一笔不会进任何月份的报表",IF(AND($G50&lt;&gt;"",$H50&lt;&gt;""),"※收入和支出不能同时填",IF(AND(N($G50)=0,N($H50)=0),"※收入和支出都没填",IF($E50="","※没填收支类别，分类报表会漏掉这一笔",IF(ISNA(MATCH($E50,类别表,0)),"※收支类别不在【参数设置】的清单里",IF($J50="","△"&amp;$D50&amp;" 还没填汇率，去【月度汇率】补上就自动算了",IF(YEAR($A50)&lt;&gt;管理年度,"△不是管理年度的单据，年报里看不到",IF(AND($F50="内部转账",$Q50=""),"△内部转账建议在「往来单位」写上对方账户",IF($M50&lt;0,"△这一笔之后该账户余额成负数了，核一下","")))))))))))</f>
        <v/>
      </c>
    </row>
    <row r="51" ht="16.5" spans="1:19">
      <c r="A51" s="45"/>
      <c r="B51" s="46"/>
      <c r="C51" s="12" t="str">
        <f>IF($B51="","",IFERROR(INDEX(账户银行,MATCH($B51,账户名,0)),""))</f>
        <v/>
      </c>
      <c r="D51" s="12" t="str">
        <f>IF($B51="","",IFERROR(INDEX(账户币种,MATCH($B51,账户名,0)),""))</f>
        <v/>
      </c>
      <c r="E51" s="47"/>
      <c r="F51" s="12" t="str">
        <f>IF($E51="","",IFERROR(INDEX(类别属性,MATCH($E51,类别表,0)),""))</f>
        <v/>
      </c>
      <c r="G51" s="48"/>
      <c r="H51" s="48"/>
      <c r="I51" s="49"/>
      <c r="J51" s="24" t="str">
        <f>IF(OR($A51="",$B51=""),"",IF($I51&lt;&gt;"",$I51,IF($D51=本位币,1,IFERROR(LOOKUP(2,1/((汇率月份&lt;=$A51)*(INDEX(记账汇率区,0,MATCH($D51,汇率币种头,0))&lt;&gt;"")),INDEX(记账汇率区,0,MATCH($D51,汇率币种头,0))),""))))</f>
        <v/>
      </c>
      <c r="K51" s="23" t="str">
        <f t="shared" si="0"/>
        <v/>
      </c>
      <c r="L51" s="23" t="str">
        <f t="shared" si="1"/>
        <v/>
      </c>
      <c r="M51" s="23" t="str">
        <f>IF($B51="","",ROUND(SUMIF(账户名,$B51,账户期初)+SUMIFS($K$6:K51,$B$6:B51,$B51),2))</f>
        <v/>
      </c>
      <c r="N51" s="23" t="str">
        <f>IF($B51="","",IFERROR(ROUND(INDEX(账户期初本位,MATCH($B51,账户名,0))+SUMIFS($L$6:L51,$B$6:B51,$B51),2),""))</f>
        <v/>
      </c>
      <c r="O51" s="46"/>
      <c r="P51" s="47"/>
      <c r="Q51" s="46"/>
      <c r="R51" s="46"/>
      <c r="S51" s="6" t="str">
        <f>IF($B51="","",IF(ISNA(MATCH($B51,账户名,0)),"※这个账户不在【参数设置】的账户档案里",IF($A51="","※没填日期，这一笔不会进任何月份的报表",IF(AND($G51&lt;&gt;"",$H51&lt;&gt;""),"※收入和支出不能同时填",IF(AND(N($G51)=0,N($H51)=0),"※收入和支出都没填",IF($E51="","※没填收支类别，分类报表会漏掉这一笔",IF(ISNA(MATCH($E51,类别表,0)),"※收支类别不在【参数设置】的清单里",IF($J51="","△"&amp;$D51&amp;" 还没填汇率，去【月度汇率】补上就自动算了",IF(YEAR($A51)&lt;&gt;管理年度,"△不是管理年度的单据，年报里看不到",IF(AND($F51="内部转账",$Q51=""),"△内部转账建议在「往来单位」写上对方账户",IF($M51&lt;0,"△这一笔之后该账户余额成负数了，核一下","")))))))))))</f>
        <v/>
      </c>
    </row>
    <row r="52" ht="16.5" spans="1:19">
      <c r="A52" s="45"/>
      <c r="B52" s="46"/>
      <c r="C52" s="12" t="str">
        <f>IF($B52="","",IFERROR(INDEX(账户银行,MATCH($B52,账户名,0)),""))</f>
        <v/>
      </c>
      <c r="D52" s="12" t="str">
        <f>IF($B52="","",IFERROR(INDEX(账户币种,MATCH($B52,账户名,0)),""))</f>
        <v/>
      </c>
      <c r="E52" s="47"/>
      <c r="F52" s="12" t="str">
        <f>IF($E52="","",IFERROR(INDEX(类别属性,MATCH($E52,类别表,0)),""))</f>
        <v/>
      </c>
      <c r="G52" s="48"/>
      <c r="H52" s="48"/>
      <c r="I52" s="49"/>
      <c r="J52" s="24" t="str">
        <f>IF(OR($A52="",$B52=""),"",IF($I52&lt;&gt;"",$I52,IF($D52=本位币,1,IFERROR(LOOKUP(2,1/((汇率月份&lt;=$A52)*(INDEX(记账汇率区,0,MATCH($D52,汇率币种头,0))&lt;&gt;"")),INDEX(记账汇率区,0,MATCH($D52,汇率币种头,0))),""))))</f>
        <v/>
      </c>
      <c r="K52" s="23" t="str">
        <f t="shared" si="0"/>
        <v/>
      </c>
      <c r="L52" s="23" t="str">
        <f t="shared" si="1"/>
        <v/>
      </c>
      <c r="M52" s="23" t="str">
        <f>IF($B52="","",ROUND(SUMIF(账户名,$B52,账户期初)+SUMIFS($K$6:K52,$B$6:B52,$B52),2))</f>
        <v/>
      </c>
      <c r="N52" s="23" t="str">
        <f>IF($B52="","",IFERROR(ROUND(INDEX(账户期初本位,MATCH($B52,账户名,0))+SUMIFS($L$6:L52,$B$6:B52,$B52),2),""))</f>
        <v/>
      </c>
      <c r="O52" s="46"/>
      <c r="P52" s="47"/>
      <c r="Q52" s="46"/>
      <c r="R52" s="46"/>
      <c r="S52" s="6" t="str">
        <f>IF($B52="","",IF(ISNA(MATCH($B52,账户名,0)),"※这个账户不在【参数设置】的账户档案里",IF($A52="","※没填日期，这一笔不会进任何月份的报表",IF(AND($G52&lt;&gt;"",$H52&lt;&gt;""),"※收入和支出不能同时填",IF(AND(N($G52)=0,N($H52)=0),"※收入和支出都没填",IF($E52="","※没填收支类别，分类报表会漏掉这一笔",IF(ISNA(MATCH($E52,类别表,0)),"※收支类别不在【参数设置】的清单里",IF($J52="","△"&amp;$D52&amp;" 还没填汇率，去【月度汇率】补上就自动算了",IF(YEAR($A52)&lt;&gt;管理年度,"△不是管理年度的单据，年报里看不到",IF(AND($F52="内部转账",$Q52=""),"△内部转账建议在「往来单位」写上对方账户",IF($M52&lt;0,"△这一笔之后该账户余额成负数了，核一下","")))))))))))</f>
        <v/>
      </c>
    </row>
    <row r="53" ht="16.5" spans="1:19">
      <c r="A53" s="45"/>
      <c r="B53" s="46"/>
      <c r="C53" s="12" t="str">
        <f>IF($B53="","",IFERROR(INDEX(账户银行,MATCH($B53,账户名,0)),""))</f>
        <v/>
      </c>
      <c r="D53" s="12" t="str">
        <f>IF($B53="","",IFERROR(INDEX(账户币种,MATCH($B53,账户名,0)),""))</f>
        <v/>
      </c>
      <c r="E53" s="47"/>
      <c r="F53" s="12" t="str">
        <f>IF($E53="","",IFERROR(INDEX(类别属性,MATCH($E53,类别表,0)),""))</f>
        <v/>
      </c>
      <c r="G53" s="48"/>
      <c r="H53" s="48"/>
      <c r="I53" s="49"/>
      <c r="J53" s="24" t="str">
        <f>IF(OR($A53="",$B53=""),"",IF($I53&lt;&gt;"",$I53,IF($D53=本位币,1,IFERROR(LOOKUP(2,1/((汇率月份&lt;=$A53)*(INDEX(记账汇率区,0,MATCH($D53,汇率币种头,0))&lt;&gt;"")),INDEX(记账汇率区,0,MATCH($D53,汇率币种头,0))),""))))</f>
        <v/>
      </c>
      <c r="K53" s="23" t="str">
        <f t="shared" si="0"/>
        <v/>
      </c>
      <c r="L53" s="23" t="str">
        <f t="shared" si="1"/>
        <v/>
      </c>
      <c r="M53" s="23" t="str">
        <f>IF($B53="","",ROUND(SUMIF(账户名,$B53,账户期初)+SUMIFS($K$6:K53,$B$6:B53,$B53),2))</f>
        <v/>
      </c>
      <c r="N53" s="23" t="str">
        <f>IF($B53="","",IFERROR(ROUND(INDEX(账户期初本位,MATCH($B53,账户名,0))+SUMIFS($L$6:L53,$B$6:B53,$B53),2),""))</f>
        <v/>
      </c>
      <c r="O53" s="46"/>
      <c r="P53" s="47"/>
      <c r="Q53" s="46"/>
      <c r="R53" s="46"/>
      <c r="S53" s="6" t="str">
        <f>IF($B53="","",IF(ISNA(MATCH($B53,账户名,0)),"※这个账户不在【参数设置】的账户档案里",IF($A53="","※没填日期，这一笔不会进任何月份的报表",IF(AND($G53&lt;&gt;"",$H53&lt;&gt;""),"※收入和支出不能同时填",IF(AND(N($G53)=0,N($H53)=0),"※收入和支出都没填",IF($E53="","※没填收支类别，分类报表会漏掉这一笔",IF(ISNA(MATCH($E53,类别表,0)),"※收支类别不在【参数设置】的清单里",IF($J53="","△"&amp;$D53&amp;" 还没填汇率，去【月度汇率】补上就自动算了",IF(YEAR($A53)&lt;&gt;管理年度,"△不是管理年度的单据，年报里看不到",IF(AND($F53="内部转账",$Q53=""),"△内部转账建议在「往来单位」写上对方账户",IF($M53&lt;0,"△这一笔之后该账户余额成负数了，核一下","")))))))))))</f>
        <v/>
      </c>
    </row>
    <row r="54" ht="16.5" spans="1:19">
      <c r="A54" s="45"/>
      <c r="B54" s="46"/>
      <c r="C54" s="12" t="str">
        <f>IF($B54="","",IFERROR(INDEX(账户银行,MATCH($B54,账户名,0)),""))</f>
        <v/>
      </c>
      <c r="D54" s="12" t="str">
        <f>IF($B54="","",IFERROR(INDEX(账户币种,MATCH($B54,账户名,0)),""))</f>
        <v/>
      </c>
      <c r="E54" s="47"/>
      <c r="F54" s="12" t="str">
        <f>IF($E54="","",IFERROR(INDEX(类别属性,MATCH($E54,类别表,0)),""))</f>
        <v/>
      </c>
      <c r="G54" s="48"/>
      <c r="H54" s="48"/>
      <c r="I54" s="49"/>
      <c r="J54" s="24" t="str">
        <f>IF(OR($A54="",$B54=""),"",IF($I54&lt;&gt;"",$I54,IF($D54=本位币,1,IFERROR(LOOKUP(2,1/((汇率月份&lt;=$A54)*(INDEX(记账汇率区,0,MATCH($D54,汇率币种头,0))&lt;&gt;"")),INDEX(记账汇率区,0,MATCH($D54,汇率币种头,0))),""))))</f>
        <v/>
      </c>
      <c r="K54" s="23" t="str">
        <f t="shared" si="0"/>
        <v/>
      </c>
      <c r="L54" s="23" t="str">
        <f t="shared" si="1"/>
        <v/>
      </c>
      <c r="M54" s="23" t="str">
        <f>IF($B54="","",ROUND(SUMIF(账户名,$B54,账户期初)+SUMIFS($K$6:K54,$B$6:B54,$B54),2))</f>
        <v/>
      </c>
      <c r="N54" s="23" t="str">
        <f>IF($B54="","",IFERROR(ROUND(INDEX(账户期初本位,MATCH($B54,账户名,0))+SUMIFS($L$6:L54,$B$6:B54,$B54),2),""))</f>
        <v/>
      </c>
      <c r="O54" s="46"/>
      <c r="P54" s="47"/>
      <c r="Q54" s="46"/>
      <c r="R54" s="46"/>
      <c r="S54" s="6" t="str">
        <f>IF($B54="","",IF(ISNA(MATCH($B54,账户名,0)),"※这个账户不在【参数设置】的账户档案里",IF($A54="","※没填日期，这一笔不会进任何月份的报表",IF(AND($G54&lt;&gt;"",$H54&lt;&gt;""),"※收入和支出不能同时填",IF(AND(N($G54)=0,N($H54)=0),"※收入和支出都没填",IF($E54="","※没填收支类别，分类报表会漏掉这一笔",IF(ISNA(MATCH($E54,类别表,0)),"※收支类别不在【参数设置】的清单里",IF($J54="","△"&amp;$D54&amp;" 还没填汇率，去【月度汇率】补上就自动算了",IF(YEAR($A54)&lt;&gt;管理年度,"△不是管理年度的单据，年报里看不到",IF(AND($F54="内部转账",$Q54=""),"△内部转账建议在「往来单位」写上对方账户",IF($M54&lt;0,"△这一笔之后该账户余额成负数了，核一下","")))))))))))</f>
        <v/>
      </c>
    </row>
    <row r="55" ht="16.5" spans="1:19">
      <c r="A55" s="45"/>
      <c r="B55" s="46"/>
      <c r="C55" s="12" t="str">
        <f>IF($B55="","",IFERROR(INDEX(账户银行,MATCH($B55,账户名,0)),""))</f>
        <v/>
      </c>
      <c r="D55" s="12" t="str">
        <f>IF($B55="","",IFERROR(INDEX(账户币种,MATCH($B55,账户名,0)),""))</f>
        <v/>
      </c>
      <c r="E55" s="47"/>
      <c r="F55" s="12" t="str">
        <f>IF($E55="","",IFERROR(INDEX(类别属性,MATCH($E55,类别表,0)),""))</f>
        <v/>
      </c>
      <c r="G55" s="48"/>
      <c r="H55" s="48"/>
      <c r="I55" s="49"/>
      <c r="J55" s="24" t="str">
        <f>IF(OR($A55="",$B55=""),"",IF($I55&lt;&gt;"",$I55,IF($D55=本位币,1,IFERROR(LOOKUP(2,1/((汇率月份&lt;=$A55)*(INDEX(记账汇率区,0,MATCH($D55,汇率币种头,0))&lt;&gt;"")),INDEX(记账汇率区,0,MATCH($D55,汇率币种头,0))),""))))</f>
        <v/>
      </c>
      <c r="K55" s="23" t="str">
        <f t="shared" si="0"/>
        <v/>
      </c>
      <c r="L55" s="23" t="str">
        <f t="shared" si="1"/>
        <v/>
      </c>
      <c r="M55" s="23" t="str">
        <f>IF($B55="","",ROUND(SUMIF(账户名,$B55,账户期初)+SUMIFS($K$6:K55,$B$6:B55,$B55),2))</f>
        <v/>
      </c>
      <c r="N55" s="23" t="str">
        <f>IF($B55="","",IFERROR(ROUND(INDEX(账户期初本位,MATCH($B55,账户名,0))+SUMIFS($L$6:L55,$B$6:B55,$B55),2),""))</f>
        <v/>
      </c>
      <c r="O55" s="46"/>
      <c r="P55" s="47"/>
      <c r="Q55" s="46"/>
      <c r="R55" s="46"/>
      <c r="S55" s="6" t="str">
        <f>IF($B55="","",IF(ISNA(MATCH($B55,账户名,0)),"※这个账户不在【参数设置】的账户档案里",IF($A55="","※没填日期，这一笔不会进任何月份的报表",IF(AND($G55&lt;&gt;"",$H55&lt;&gt;""),"※收入和支出不能同时填",IF(AND(N($G55)=0,N($H55)=0),"※收入和支出都没填",IF($E55="","※没填收支类别，分类报表会漏掉这一笔",IF(ISNA(MATCH($E55,类别表,0)),"※收支类别不在【参数设置】的清单里",IF($J55="","△"&amp;$D55&amp;" 还没填汇率，去【月度汇率】补上就自动算了",IF(YEAR($A55)&lt;&gt;管理年度,"△不是管理年度的单据，年报里看不到",IF(AND($F55="内部转账",$Q55=""),"△内部转账建议在「往来单位」写上对方账户",IF($M55&lt;0,"△这一笔之后该账户余额成负数了，核一下","")))))))))))</f>
        <v/>
      </c>
    </row>
    <row r="56" ht="16.5" spans="1:19">
      <c r="A56" s="45"/>
      <c r="B56" s="46"/>
      <c r="C56" s="12" t="str">
        <f>IF($B56="","",IFERROR(INDEX(账户银行,MATCH($B56,账户名,0)),""))</f>
        <v/>
      </c>
      <c r="D56" s="12" t="str">
        <f>IF($B56="","",IFERROR(INDEX(账户币种,MATCH($B56,账户名,0)),""))</f>
        <v/>
      </c>
      <c r="E56" s="47"/>
      <c r="F56" s="12" t="str">
        <f>IF($E56="","",IFERROR(INDEX(类别属性,MATCH($E56,类别表,0)),""))</f>
        <v/>
      </c>
      <c r="G56" s="48"/>
      <c r="H56" s="48"/>
      <c r="I56" s="49"/>
      <c r="J56" s="24" t="str">
        <f>IF(OR($A56="",$B56=""),"",IF($I56&lt;&gt;"",$I56,IF($D56=本位币,1,IFERROR(LOOKUP(2,1/((汇率月份&lt;=$A56)*(INDEX(记账汇率区,0,MATCH($D56,汇率币种头,0))&lt;&gt;"")),INDEX(记账汇率区,0,MATCH($D56,汇率币种头,0))),""))))</f>
        <v/>
      </c>
      <c r="K56" s="23" t="str">
        <f t="shared" si="0"/>
        <v/>
      </c>
      <c r="L56" s="23" t="str">
        <f t="shared" si="1"/>
        <v/>
      </c>
      <c r="M56" s="23" t="str">
        <f>IF($B56="","",ROUND(SUMIF(账户名,$B56,账户期初)+SUMIFS($K$6:K56,$B$6:B56,$B56),2))</f>
        <v/>
      </c>
      <c r="N56" s="23" t="str">
        <f>IF($B56="","",IFERROR(ROUND(INDEX(账户期初本位,MATCH($B56,账户名,0))+SUMIFS($L$6:L56,$B$6:B56,$B56),2),""))</f>
        <v/>
      </c>
      <c r="O56" s="46"/>
      <c r="P56" s="47"/>
      <c r="Q56" s="46"/>
      <c r="R56" s="46"/>
      <c r="S56" s="6" t="str">
        <f>IF($B56="","",IF(ISNA(MATCH($B56,账户名,0)),"※这个账户不在【参数设置】的账户档案里",IF($A56="","※没填日期，这一笔不会进任何月份的报表",IF(AND($G56&lt;&gt;"",$H56&lt;&gt;""),"※收入和支出不能同时填",IF(AND(N($G56)=0,N($H56)=0),"※收入和支出都没填",IF($E56="","※没填收支类别，分类报表会漏掉这一笔",IF(ISNA(MATCH($E56,类别表,0)),"※收支类别不在【参数设置】的清单里",IF($J56="","△"&amp;$D56&amp;" 还没填汇率，去【月度汇率】补上就自动算了",IF(YEAR($A56)&lt;&gt;管理年度,"△不是管理年度的单据，年报里看不到",IF(AND($F56="内部转账",$Q56=""),"△内部转账建议在「往来单位」写上对方账户",IF($M56&lt;0,"△这一笔之后该账户余额成负数了，核一下","")))))))))))</f>
        <v/>
      </c>
    </row>
    <row r="57" ht="16.5" spans="1:19">
      <c r="A57" s="45"/>
      <c r="B57" s="46"/>
      <c r="C57" s="12" t="str">
        <f>IF($B57="","",IFERROR(INDEX(账户银行,MATCH($B57,账户名,0)),""))</f>
        <v/>
      </c>
      <c r="D57" s="12" t="str">
        <f>IF($B57="","",IFERROR(INDEX(账户币种,MATCH($B57,账户名,0)),""))</f>
        <v/>
      </c>
      <c r="E57" s="47"/>
      <c r="F57" s="12" t="str">
        <f>IF($E57="","",IFERROR(INDEX(类别属性,MATCH($E57,类别表,0)),""))</f>
        <v/>
      </c>
      <c r="G57" s="48"/>
      <c r="H57" s="48"/>
      <c r="I57" s="49"/>
      <c r="J57" s="24" t="str">
        <f>IF(OR($A57="",$B57=""),"",IF($I57&lt;&gt;"",$I57,IF($D57=本位币,1,IFERROR(LOOKUP(2,1/((汇率月份&lt;=$A57)*(INDEX(记账汇率区,0,MATCH($D57,汇率币种头,0))&lt;&gt;"")),INDEX(记账汇率区,0,MATCH($D57,汇率币种头,0))),""))))</f>
        <v/>
      </c>
      <c r="K57" s="23" t="str">
        <f t="shared" si="0"/>
        <v/>
      </c>
      <c r="L57" s="23" t="str">
        <f t="shared" si="1"/>
        <v/>
      </c>
      <c r="M57" s="23" t="str">
        <f>IF($B57="","",ROUND(SUMIF(账户名,$B57,账户期初)+SUMIFS($K$6:K57,$B$6:B57,$B57),2))</f>
        <v/>
      </c>
      <c r="N57" s="23" t="str">
        <f>IF($B57="","",IFERROR(ROUND(INDEX(账户期初本位,MATCH($B57,账户名,0))+SUMIFS($L$6:L57,$B$6:B57,$B57),2),""))</f>
        <v/>
      </c>
      <c r="O57" s="46"/>
      <c r="P57" s="47"/>
      <c r="Q57" s="46"/>
      <c r="R57" s="46"/>
      <c r="S57" s="6" t="str">
        <f>IF($B57="","",IF(ISNA(MATCH($B57,账户名,0)),"※这个账户不在【参数设置】的账户档案里",IF($A57="","※没填日期，这一笔不会进任何月份的报表",IF(AND($G57&lt;&gt;"",$H57&lt;&gt;""),"※收入和支出不能同时填",IF(AND(N($G57)=0,N($H57)=0),"※收入和支出都没填",IF($E57="","※没填收支类别，分类报表会漏掉这一笔",IF(ISNA(MATCH($E57,类别表,0)),"※收支类别不在【参数设置】的清单里",IF($J57="","△"&amp;$D57&amp;" 还没填汇率，去【月度汇率】补上就自动算了",IF(YEAR($A57)&lt;&gt;管理年度,"△不是管理年度的单据，年报里看不到",IF(AND($F57="内部转账",$Q57=""),"△内部转账建议在「往来单位」写上对方账户",IF($M57&lt;0,"△这一笔之后该账户余额成负数了，核一下","")))))))))))</f>
        <v/>
      </c>
    </row>
    <row r="58" ht="16.5" spans="1:19">
      <c r="A58" s="45"/>
      <c r="B58" s="46"/>
      <c r="C58" s="12" t="str">
        <f>IF($B58="","",IFERROR(INDEX(账户银行,MATCH($B58,账户名,0)),""))</f>
        <v/>
      </c>
      <c r="D58" s="12" t="str">
        <f>IF($B58="","",IFERROR(INDEX(账户币种,MATCH($B58,账户名,0)),""))</f>
        <v/>
      </c>
      <c r="E58" s="47"/>
      <c r="F58" s="12" t="str">
        <f>IF($E58="","",IFERROR(INDEX(类别属性,MATCH($E58,类别表,0)),""))</f>
        <v/>
      </c>
      <c r="G58" s="48"/>
      <c r="H58" s="48"/>
      <c r="I58" s="49"/>
      <c r="J58" s="24" t="str">
        <f>IF(OR($A58="",$B58=""),"",IF($I58&lt;&gt;"",$I58,IF($D58=本位币,1,IFERROR(LOOKUP(2,1/((汇率月份&lt;=$A58)*(INDEX(记账汇率区,0,MATCH($D58,汇率币种头,0))&lt;&gt;"")),INDEX(记账汇率区,0,MATCH($D58,汇率币种头,0))),""))))</f>
        <v/>
      </c>
      <c r="K58" s="23" t="str">
        <f t="shared" si="0"/>
        <v/>
      </c>
      <c r="L58" s="23" t="str">
        <f t="shared" si="1"/>
        <v/>
      </c>
      <c r="M58" s="23" t="str">
        <f>IF($B58="","",ROUND(SUMIF(账户名,$B58,账户期初)+SUMIFS($K$6:K58,$B$6:B58,$B58),2))</f>
        <v/>
      </c>
      <c r="N58" s="23" t="str">
        <f>IF($B58="","",IFERROR(ROUND(INDEX(账户期初本位,MATCH($B58,账户名,0))+SUMIFS($L$6:L58,$B$6:B58,$B58),2),""))</f>
        <v/>
      </c>
      <c r="O58" s="46"/>
      <c r="P58" s="47"/>
      <c r="Q58" s="46"/>
      <c r="R58" s="46"/>
      <c r="S58" s="6" t="str">
        <f>IF($B58="","",IF(ISNA(MATCH($B58,账户名,0)),"※这个账户不在【参数设置】的账户档案里",IF($A58="","※没填日期，这一笔不会进任何月份的报表",IF(AND($G58&lt;&gt;"",$H58&lt;&gt;""),"※收入和支出不能同时填",IF(AND(N($G58)=0,N($H58)=0),"※收入和支出都没填",IF($E58="","※没填收支类别，分类报表会漏掉这一笔",IF(ISNA(MATCH($E58,类别表,0)),"※收支类别不在【参数设置】的清单里",IF($J58="","△"&amp;$D58&amp;" 还没填汇率，去【月度汇率】补上就自动算了",IF(YEAR($A58)&lt;&gt;管理年度,"△不是管理年度的单据，年报里看不到",IF(AND($F58="内部转账",$Q58=""),"△内部转账建议在「往来单位」写上对方账户",IF($M58&lt;0,"△这一笔之后该账户余额成负数了，核一下","")))))))))))</f>
        <v/>
      </c>
    </row>
    <row r="59" ht="16.5" spans="1:19">
      <c r="A59" s="45"/>
      <c r="B59" s="46"/>
      <c r="C59" s="12" t="str">
        <f>IF($B59="","",IFERROR(INDEX(账户银行,MATCH($B59,账户名,0)),""))</f>
        <v/>
      </c>
      <c r="D59" s="12" t="str">
        <f>IF($B59="","",IFERROR(INDEX(账户币种,MATCH($B59,账户名,0)),""))</f>
        <v/>
      </c>
      <c r="E59" s="47"/>
      <c r="F59" s="12" t="str">
        <f>IF($E59="","",IFERROR(INDEX(类别属性,MATCH($E59,类别表,0)),""))</f>
        <v/>
      </c>
      <c r="G59" s="48"/>
      <c r="H59" s="48"/>
      <c r="I59" s="49"/>
      <c r="J59" s="24" t="str">
        <f>IF(OR($A59="",$B59=""),"",IF($I59&lt;&gt;"",$I59,IF($D59=本位币,1,IFERROR(LOOKUP(2,1/((汇率月份&lt;=$A59)*(INDEX(记账汇率区,0,MATCH($D59,汇率币种头,0))&lt;&gt;"")),INDEX(记账汇率区,0,MATCH($D59,汇率币种头,0))),""))))</f>
        <v/>
      </c>
      <c r="K59" s="23" t="str">
        <f t="shared" si="0"/>
        <v/>
      </c>
      <c r="L59" s="23" t="str">
        <f t="shared" si="1"/>
        <v/>
      </c>
      <c r="M59" s="23" t="str">
        <f>IF($B59="","",ROUND(SUMIF(账户名,$B59,账户期初)+SUMIFS($K$6:K59,$B$6:B59,$B59),2))</f>
        <v/>
      </c>
      <c r="N59" s="23" t="str">
        <f>IF($B59="","",IFERROR(ROUND(INDEX(账户期初本位,MATCH($B59,账户名,0))+SUMIFS($L$6:L59,$B$6:B59,$B59),2),""))</f>
        <v/>
      </c>
      <c r="O59" s="46"/>
      <c r="P59" s="47"/>
      <c r="Q59" s="46"/>
      <c r="R59" s="46"/>
      <c r="S59" s="6" t="str">
        <f>IF($B59="","",IF(ISNA(MATCH($B59,账户名,0)),"※这个账户不在【参数设置】的账户档案里",IF($A59="","※没填日期，这一笔不会进任何月份的报表",IF(AND($G59&lt;&gt;"",$H59&lt;&gt;""),"※收入和支出不能同时填",IF(AND(N($G59)=0,N($H59)=0),"※收入和支出都没填",IF($E59="","※没填收支类别，分类报表会漏掉这一笔",IF(ISNA(MATCH($E59,类别表,0)),"※收支类别不在【参数设置】的清单里",IF($J59="","△"&amp;$D59&amp;" 还没填汇率，去【月度汇率】补上就自动算了",IF(YEAR($A59)&lt;&gt;管理年度,"△不是管理年度的单据，年报里看不到",IF(AND($F59="内部转账",$Q59=""),"△内部转账建议在「往来单位」写上对方账户",IF($M59&lt;0,"△这一笔之后该账户余额成负数了，核一下","")))))))))))</f>
        <v/>
      </c>
    </row>
    <row r="60" ht="16.5" spans="1:19">
      <c r="A60" s="45"/>
      <c r="B60" s="46"/>
      <c r="C60" s="12" t="str">
        <f>IF($B60="","",IFERROR(INDEX(账户银行,MATCH($B60,账户名,0)),""))</f>
        <v/>
      </c>
      <c r="D60" s="12" t="str">
        <f>IF($B60="","",IFERROR(INDEX(账户币种,MATCH($B60,账户名,0)),""))</f>
        <v/>
      </c>
      <c r="E60" s="47"/>
      <c r="F60" s="12" t="str">
        <f>IF($E60="","",IFERROR(INDEX(类别属性,MATCH($E60,类别表,0)),""))</f>
        <v/>
      </c>
      <c r="G60" s="48"/>
      <c r="H60" s="48"/>
      <c r="I60" s="49"/>
      <c r="J60" s="24" t="str">
        <f>IF(OR($A60="",$B60=""),"",IF($I60&lt;&gt;"",$I60,IF($D60=本位币,1,IFERROR(LOOKUP(2,1/((汇率月份&lt;=$A60)*(INDEX(记账汇率区,0,MATCH($D60,汇率币种头,0))&lt;&gt;"")),INDEX(记账汇率区,0,MATCH($D60,汇率币种头,0))),""))))</f>
        <v/>
      </c>
      <c r="K60" s="23" t="str">
        <f t="shared" si="0"/>
        <v/>
      </c>
      <c r="L60" s="23" t="str">
        <f t="shared" si="1"/>
        <v/>
      </c>
      <c r="M60" s="23" t="str">
        <f>IF($B60="","",ROUND(SUMIF(账户名,$B60,账户期初)+SUMIFS($K$6:K60,$B$6:B60,$B60),2))</f>
        <v/>
      </c>
      <c r="N60" s="23" t="str">
        <f>IF($B60="","",IFERROR(ROUND(INDEX(账户期初本位,MATCH($B60,账户名,0))+SUMIFS($L$6:L60,$B$6:B60,$B60),2),""))</f>
        <v/>
      </c>
      <c r="O60" s="46"/>
      <c r="P60" s="47"/>
      <c r="Q60" s="46"/>
      <c r="R60" s="46"/>
      <c r="S60" s="6" t="str">
        <f>IF($B60="","",IF(ISNA(MATCH($B60,账户名,0)),"※这个账户不在【参数设置】的账户档案里",IF($A60="","※没填日期，这一笔不会进任何月份的报表",IF(AND($G60&lt;&gt;"",$H60&lt;&gt;""),"※收入和支出不能同时填",IF(AND(N($G60)=0,N($H60)=0),"※收入和支出都没填",IF($E60="","※没填收支类别，分类报表会漏掉这一笔",IF(ISNA(MATCH($E60,类别表,0)),"※收支类别不在【参数设置】的清单里",IF($J60="","△"&amp;$D60&amp;" 还没填汇率，去【月度汇率】补上就自动算了",IF(YEAR($A60)&lt;&gt;管理年度,"△不是管理年度的单据，年报里看不到",IF(AND($F60="内部转账",$Q60=""),"△内部转账建议在「往来单位」写上对方账户",IF($M60&lt;0,"△这一笔之后该账户余额成负数了，核一下","")))))))))))</f>
        <v/>
      </c>
    </row>
    <row r="61" ht="16.5" spans="1:19">
      <c r="A61" s="45"/>
      <c r="B61" s="46"/>
      <c r="C61" s="12" t="str">
        <f>IF($B61="","",IFERROR(INDEX(账户银行,MATCH($B61,账户名,0)),""))</f>
        <v/>
      </c>
      <c r="D61" s="12" t="str">
        <f>IF($B61="","",IFERROR(INDEX(账户币种,MATCH($B61,账户名,0)),""))</f>
        <v/>
      </c>
      <c r="E61" s="47"/>
      <c r="F61" s="12" t="str">
        <f>IF($E61="","",IFERROR(INDEX(类别属性,MATCH($E61,类别表,0)),""))</f>
        <v/>
      </c>
      <c r="G61" s="48"/>
      <c r="H61" s="48"/>
      <c r="I61" s="49"/>
      <c r="J61" s="24" t="str">
        <f>IF(OR($A61="",$B61=""),"",IF($I61&lt;&gt;"",$I61,IF($D61=本位币,1,IFERROR(LOOKUP(2,1/((汇率月份&lt;=$A61)*(INDEX(记账汇率区,0,MATCH($D61,汇率币种头,0))&lt;&gt;"")),INDEX(记账汇率区,0,MATCH($D61,汇率币种头,0))),""))))</f>
        <v/>
      </c>
      <c r="K61" s="23" t="str">
        <f t="shared" si="0"/>
        <v/>
      </c>
      <c r="L61" s="23" t="str">
        <f t="shared" si="1"/>
        <v/>
      </c>
      <c r="M61" s="23" t="str">
        <f>IF($B61="","",ROUND(SUMIF(账户名,$B61,账户期初)+SUMIFS($K$6:K61,$B$6:B61,$B61),2))</f>
        <v/>
      </c>
      <c r="N61" s="23" t="str">
        <f>IF($B61="","",IFERROR(ROUND(INDEX(账户期初本位,MATCH($B61,账户名,0))+SUMIFS($L$6:L61,$B$6:B61,$B61),2),""))</f>
        <v/>
      </c>
      <c r="O61" s="46"/>
      <c r="P61" s="47"/>
      <c r="Q61" s="46"/>
      <c r="R61" s="46"/>
      <c r="S61" s="6" t="str">
        <f>IF($B61="","",IF(ISNA(MATCH($B61,账户名,0)),"※这个账户不在【参数设置】的账户档案里",IF($A61="","※没填日期，这一笔不会进任何月份的报表",IF(AND($G61&lt;&gt;"",$H61&lt;&gt;""),"※收入和支出不能同时填",IF(AND(N($G61)=0,N($H61)=0),"※收入和支出都没填",IF($E61="","※没填收支类别，分类报表会漏掉这一笔",IF(ISNA(MATCH($E61,类别表,0)),"※收支类别不在【参数设置】的清单里",IF($J61="","△"&amp;$D61&amp;" 还没填汇率，去【月度汇率】补上就自动算了",IF(YEAR($A61)&lt;&gt;管理年度,"△不是管理年度的单据，年报里看不到",IF(AND($F61="内部转账",$Q61=""),"△内部转账建议在「往来单位」写上对方账户",IF($M61&lt;0,"△这一笔之后该账户余额成负数了，核一下","")))))))))))</f>
        <v/>
      </c>
    </row>
    <row r="62" ht="16.5" spans="1:19">
      <c r="A62" s="45"/>
      <c r="B62" s="46"/>
      <c r="C62" s="12" t="str">
        <f>IF($B62="","",IFERROR(INDEX(账户银行,MATCH($B62,账户名,0)),""))</f>
        <v/>
      </c>
      <c r="D62" s="12" t="str">
        <f>IF($B62="","",IFERROR(INDEX(账户币种,MATCH($B62,账户名,0)),""))</f>
        <v/>
      </c>
      <c r="E62" s="47"/>
      <c r="F62" s="12" t="str">
        <f>IF($E62="","",IFERROR(INDEX(类别属性,MATCH($E62,类别表,0)),""))</f>
        <v/>
      </c>
      <c r="G62" s="48"/>
      <c r="H62" s="48"/>
      <c r="I62" s="49"/>
      <c r="J62" s="24" t="str">
        <f>IF(OR($A62="",$B62=""),"",IF($I62&lt;&gt;"",$I62,IF($D62=本位币,1,IFERROR(LOOKUP(2,1/((汇率月份&lt;=$A62)*(INDEX(记账汇率区,0,MATCH($D62,汇率币种头,0))&lt;&gt;"")),INDEX(记账汇率区,0,MATCH($D62,汇率币种头,0))),""))))</f>
        <v/>
      </c>
      <c r="K62" s="23" t="str">
        <f t="shared" si="0"/>
        <v/>
      </c>
      <c r="L62" s="23" t="str">
        <f t="shared" si="1"/>
        <v/>
      </c>
      <c r="M62" s="23" t="str">
        <f>IF($B62="","",ROUND(SUMIF(账户名,$B62,账户期初)+SUMIFS($K$6:K62,$B$6:B62,$B62),2))</f>
        <v/>
      </c>
      <c r="N62" s="23" t="str">
        <f>IF($B62="","",IFERROR(ROUND(INDEX(账户期初本位,MATCH($B62,账户名,0))+SUMIFS($L$6:L62,$B$6:B62,$B62),2),""))</f>
        <v/>
      </c>
      <c r="O62" s="46"/>
      <c r="P62" s="47"/>
      <c r="Q62" s="46"/>
      <c r="R62" s="46"/>
      <c r="S62" s="6" t="str">
        <f>IF($B62="","",IF(ISNA(MATCH($B62,账户名,0)),"※这个账户不在【参数设置】的账户档案里",IF($A62="","※没填日期，这一笔不会进任何月份的报表",IF(AND($G62&lt;&gt;"",$H62&lt;&gt;""),"※收入和支出不能同时填",IF(AND(N($G62)=0,N($H62)=0),"※收入和支出都没填",IF($E62="","※没填收支类别，分类报表会漏掉这一笔",IF(ISNA(MATCH($E62,类别表,0)),"※收支类别不在【参数设置】的清单里",IF($J62="","△"&amp;$D62&amp;" 还没填汇率，去【月度汇率】补上就自动算了",IF(YEAR($A62)&lt;&gt;管理年度,"△不是管理年度的单据，年报里看不到",IF(AND($F62="内部转账",$Q62=""),"△内部转账建议在「往来单位」写上对方账户",IF($M62&lt;0,"△这一笔之后该账户余额成负数了，核一下","")))))))))))</f>
        <v/>
      </c>
    </row>
    <row r="63" ht="16.5" spans="1:19">
      <c r="A63" s="45"/>
      <c r="B63" s="46"/>
      <c r="C63" s="12" t="str">
        <f>IF($B63="","",IFERROR(INDEX(账户银行,MATCH($B63,账户名,0)),""))</f>
        <v/>
      </c>
      <c r="D63" s="12" t="str">
        <f>IF($B63="","",IFERROR(INDEX(账户币种,MATCH($B63,账户名,0)),""))</f>
        <v/>
      </c>
      <c r="E63" s="47"/>
      <c r="F63" s="12" t="str">
        <f>IF($E63="","",IFERROR(INDEX(类别属性,MATCH($E63,类别表,0)),""))</f>
        <v/>
      </c>
      <c r="G63" s="48"/>
      <c r="H63" s="48"/>
      <c r="I63" s="49"/>
      <c r="J63" s="24" t="str">
        <f>IF(OR($A63="",$B63=""),"",IF($I63&lt;&gt;"",$I63,IF($D63=本位币,1,IFERROR(LOOKUP(2,1/((汇率月份&lt;=$A63)*(INDEX(记账汇率区,0,MATCH($D63,汇率币种头,0))&lt;&gt;"")),INDEX(记账汇率区,0,MATCH($D63,汇率币种头,0))),""))))</f>
        <v/>
      </c>
      <c r="K63" s="23" t="str">
        <f t="shared" si="0"/>
        <v/>
      </c>
      <c r="L63" s="23" t="str">
        <f t="shared" si="1"/>
        <v/>
      </c>
      <c r="M63" s="23" t="str">
        <f>IF($B63="","",ROUND(SUMIF(账户名,$B63,账户期初)+SUMIFS($K$6:K63,$B$6:B63,$B63),2))</f>
        <v/>
      </c>
      <c r="N63" s="23" t="str">
        <f>IF($B63="","",IFERROR(ROUND(INDEX(账户期初本位,MATCH($B63,账户名,0))+SUMIFS($L$6:L63,$B$6:B63,$B63),2),""))</f>
        <v/>
      </c>
      <c r="O63" s="46"/>
      <c r="P63" s="47"/>
      <c r="Q63" s="46"/>
      <c r="R63" s="46"/>
      <c r="S63" s="6" t="str">
        <f>IF($B63="","",IF(ISNA(MATCH($B63,账户名,0)),"※这个账户不在【参数设置】的账户档案里",IF($A63="","※没填日期，这一笔不会进任何月份的报表",IF(AND($G63&lt;&gt;"",$H63&lt;&gt;""),"※收入和支出不能同时填",IF(AND(N($G63)=0,N($H63)=0),"※收入和支出都没填",IF($E63="","※没填收支类别，分类报表会漏掉这一笔",IF(ISNA(MATCH($E63,类别表,0)),"※收支类别不在【参数设置】的清单里",IF($J63="","△"&amp;$D63&amp;" 还没填汇率，去【月度汇率】补上就自动算了",IF(YEAR($A63)&lt;&gt;管理年度,"△不是管理年度的单据，年报里看不到",IF(AND($F63="内部转账",$Q63=""),"△内部转账建议在「往来单位」写上对方账户",IF($M63&lt;0,"△这一笔之后该账户余额成负数了，核一下","")))))))))))</f>
        <v/>
      </c>
    </row>
    <row r="64" ht="16.5" spans="1:19">
      <c r="A64" s="45"/>
      <c r="B64" s="46"/>
      <c r="C64" s="12" t="str">
        <f>IF($B64="","",IFERROR(INDEX(账户银行,MATCH($B64,账户名,0)),""))</f>
        <v/>
      </c>
      <c r="D64" s="12" t="str">
        <f>IF($B64="","",IFERROR(INDEX(账户币种,MATCH($B64,账户名,0)),""))</f>
        <v/>
      </c>
      <c r="E64" s="47"/>
      <c r="F64" s="12" t="str">
        <f>IF($E64="","",IFERROR(INDEX(类别属性,MATCH($E64,类别表,0)),""))</f>
        <v/>
      </c>
      <c r="G64" s="48"/>
      <c r="H64" s="48"/>
      <c r="I64" s="49"/>
      <c r="J64" s="24" t="str">
        <f>IF(OR($A64="",$B64=""),"",IF($I64&lt;&gt;"",$I64,IF($D64=本位币,1,IFERROR(LOOKUP(2,1/((汇率月份&lt;=$A64)*(INDEX(记账汇率区,0,MATCH($D64,汇率币种头,0))&lt;&gt;"")),INDEX(记账汇率区,0,MATCH($D64,汇率币种头,0))),""))))</f>
        <v/>
      </c>
      <c r="K64" s="23" t="str">
        <f t="shared" si="0"/>
        <v/>
      </c>
      <c r="L64" s="23" t="str">
        <f t="shared" si="1"/>
        <v/>
      </c>
      <c r="M64" s="23" t="str">
        <f>IF($B64="","",ROUND(SUMIF(账户名,$B64,账户期初)+SUMIFS($K$6:K64,$B$6:B64,$B64),2))</f>
        <v/>
      </c>
      <c r="N64" s="23" t="str">
        <f>IF($B64="","",IFERROR(ROUND(INDEX(账户期初本位,MATCH($B64,账户名,0))+SUMIFS($L$6:L64,$B$6:B64,$B64),2),""))</f>
        <v/>
      </c>
      <c r="O64" s="46"/>
      <c r="P64" s="47"/>
      <c r="Q64" s="46"/>
      <c r="R64" s="46"/>
      <c r="S64" s="6" t="str">
        <f>IF($B64="","",IF(ISNA(MATCH($B64,账户名,0)),"※这个账户不在【参数设置】的账户档案里",IF($A64="","※没填日期，这一笔不会进任何月份的报表",IF(AND($G64&lt;&gt;"",$H64&lt;&gt;""),"※收入和支出不能同时填",IF(AND(N($G64)=0,N($H64)=0),"※收入和支出都没填",IF($E64="","※没填收支类别，分类报表会漏掉这一笔",IF(ISNA(MATCH($E64,类别表,0)),"※收支类别不在【参数设置】的清单里",IF($J64="","△"&amp;$D64&amp;" 还没填汇率，去【月度汇率】补上就自动算了",IF(YEAR($A64)&lt;&gt;管理年度,"△不是管理年度的单据，年报里看不到",IF(AND($F64="内部转账",$Q64=""),"△内部转账建议在「往来单位」写上对方账户",IF($M64&lt;0,"△这一笔之后该账户余额成负数了，核一下","")))))))))))</f>
        <v/>
      </c>
    </row>
    <row r="65" ht="16.5" spans="1:19">
      <c r="A65" s="45"/>
      <c r="B65" s="46"/>
      <c r="C65" s="12" t="str">
        <f>IF($B65="","",IFERROR(INDEX(账户银行,MATCH($B65,账户名,0)),""))</f>
        <v/>
      </c>
      <c r="D65" s="12" t="str">
        <f>IF($B65="","",IFERROR(INDEX(账户币种,MATCH($B65,账户名,0)),""))</f>
        <v/>
      </c>
      <c r="E65" s="47"/>
      <c r="F65" s="12" t="str">
        <f>IF($E65="","",IFERROR(INDEX(类别属性,MATCH($E65,类别表,0)),""))</f>
        <v/>
      </c>
      <c r="G65" s="48"/>
      <c r="H65" s="48"/>
      <c r="I65" s="49"/>
      <c r="J65" s="24" t="str">
        <f>IF(OR($A65="",$B65=""),"",IF($I65&lt;&gt;"",$I65,IF($D65=本位币,1,IFERROR(LOOKUP(2,1/((汇率月份&lt;=$A65)*(INDEX(记账汇率区,0,MATCH($D65,汇率币种头,0))&lt;&gt;"")),INDEX(记账汇率区,0,MATCH($D65,汇率币种头,0))),""))))</f>
        <v/>
      </c>
      <c r="K65" s="23" t="str">
        <f t="shared" si="0"/>
        <v/>
      </c>
      <c r="L65" s="23" t="str">
        <f t="shared" si="1"/>
        <v/>
      </c>
      <c r="M65" s="23" t="str">
        <f>IF($B65="","",ROUND(SUMIF(账户名,$B65,账户期初)+SUMIFS($K$6:K65,$B$6:B65,$B65),2))</f>
        <v/>
      </c>
      <c r="N65" s="23" t="str">
        <f>IF($B65="","",IFERROR(ROUND(INDEX(账户期初本位,MATCH($B65,账户名,0))+SUMIFS($L$6:L65,$B$6:B65,$B65),2),""))</f>
        <v/>
      </c>
      <c r="O65" s="46"/>
      <c r="P65" s="47"/>
      <c r="Q65" s="46"/>
      <c r="R65" s="46"/>
      <c r="S65" s="6" t="str">
        <f>IF($B65="","",IF(ISNA(MATCH($B65,账户名,0)),"※这个账户不在【参数设置】的账户档案里",IF($A65="","※没填日期，这一笔不会进任何月份的报表",IF(AND($G65&lt;&gt;"",$H65&lt;&gt;""),"※收入和支出不能同时填",IF(AND(N($G65)=0,N($H65)=0),"※收入和支出都没填",IF($E65="","※没填收支类别，分类报表会漏掉这一笔",IF(ISNA(MATCH($E65,类别表,0)),"※收支类别不在【参数设置】的清单里",IF($J65="","△"&amp;$D65&amp;" 还没填汇率，去【月度汇率】补上就自动算了",IF(YEAR($A65)&lt;&gt;管理年度,"△不是管理年度的单据，年报里看不到",IF(AND($F65="内部转账",$Q65=""),"△内部转账建议在「往来单位」写上对方账户",IF($M65&lt;0,"△这一笔之后该账户余额成负数了，核一下","")))))))))))</f>
        <v/>
      </c>
    </row>
    <row r="66" ht="16.5" spans="1:19">
      <c r="A66" s="45"/>
      <c r="B66" s="46"/>
      <c r="C66" s="12" t="str">
        <f>IF($B66="","",IFERROR(INDEX(账户银行,MATCH($B66,账户名,0)),""))</f>
        <v/>
      </c>
      <c r="D66" s="12" t="str">
        <f>IF($B66="","",IFERROR(INDEX(账户币种,MATCH($B66,账户名,0)),""))</f>
        <v/>
      </c>
      <c r="E66" s="47"/>
      <c r="F66" s="12" t="str">
        <f>IF($E66="","",IFERROR(INDEX(类别属性,MATCH($E66,类别表,0)),""))</f>
        <v/>
      </c>
      <c r="G66" s="48"/>
      <c r="H66" s="48"/>
      <c r="I66" s="49"/>
      <c r="J66" s="24" t="str">
        <f>IF(OR($A66="",$B66=""),"",IF($I66&lt;&gt;"",$I66,IF($D66=本位币,1,IFERROR(LOOKUP(2,1/((汇率月份&lt;=$A66)*(INDEX(记账汇率区,0,MATCH($D66,汇率币种头,0))&lt;&gt;"")),INDEX(记账汇率区,0,MATCH($D66,汇率币种头,0))),""))))</f>
        <v/>
      </c>
      <c r="K66" s="23" t="str">
        <f t="shared" si="0"/>
        <v/>
      </c>
      <c r="L66" s="23" t="str">
        <f t="shared" si="1"/>
        <v/>
      </c>
      <c r="M66" s="23" t="str">
        <f>IF($B66="","",ROUND(SUMIF(账户名,$B66,账户期初)+SUMIFS($K$6:K66,$B$6:B66,$B66),2))</f>
        <v/>
      </c>
      <c r="N66" s="23" t="str">
        <f>IF($B66="","",IFERROR(ROUND(INDEX(账户期初本位,MATCH($B66,账户名,0))+SUMIFS($L$6:L66,$B$6:B66,$B66),2),""))</f>
        <v/>
      </c>
      <c r="O66" s="46"/>
      <c r="P66" s="47"/>
      <c r="Q66" s="46"/>
      <c r="R66" s="46"/>
      <c r="S66" s="6" t="str">
        <f>IF($B66="","",IF(ISNA(MATCH($B66,账户名,0)),"※这个账户不在【参数设置】的账户档案里",IF($A66="","※没填日期，这一笔不会进任何月份的报表",IF(AND($G66&lt;&gt;"",$H66&lt;&gt;""),"※收入和支出不能同时填",IF(AND(N($G66)=0,N($H66)=0),"※收入和支出都没填",IF($E66="","※没填收支类别，分类报表会漏掉这一笔",IF(ISNA(MATCH($E66,类别表,0)),"※收支类别不在【参数设置】的清单里",IF($J66="","△"&amp;$D66&amp;" 还没填汇率，去【月度汇率】补上就自动算了",IF(YEAR($A66)&lt;&gt;管理年度,"△不是管理年度的单据，年报里看不到",IF(AND($F66="内部转账",$Q66=""),"△内部转账建议在「往来单位」写上对方账户",IF($M66&lt;0,"△这一笔之后该账户余额成负数了，核一下","")))))))))))</f>
        <v/>
      </c>
    </row>
    <row r="67" ht="16.5" spans="1:19">
      <c r="A67" s="45"/>
      <c r="B67" s="46"/>
      <c r="C67" s="12" t="str">
        <f>IF($B67="","",IFERROR(INDEX(账户银行,MATCH($B67,账户名,0)),""))</f>
        <v/>
      </c>
      <c r="D67" s="12" t="str">
        <f>IF($B67="","",IFERROR(INDEX(账户币种,MATCH($B67,账户名,0)),""))</f>
        <v/>
      </c>
      <c r="E67" s="47"/>
      <c r="F67" s="12" t="str">
        <f>IF($E67="","",IFERROR(INDEX(类别属性,MATCH($E67,类别表,0)),""))</f>
        <v/>
      </c>
      <c r="G67" s="48"/>
      <c r="H67" s="48"/>
      <c r="I67" s="49"/>
      <c r="J67" s="24" t="str">
        <f>IF(OR($A67="",$B67=""),"",IF($I67&lt;&gt;"",$I67,IF($D67=本位币,1,IFERROR(LOOKUP(2,1/((汇率月份&lt;=$A67)*(INDEX(记账汇率区,0,MATCH($D67,汇率币种头,0))&lt;&gt;"")),INDEX(记账汇率区,0,MATCH($D67,汇率币种头,0))),""))))</f>
        <v/>
      </c>
      <c r="K67" s="23" t="str">
        <f t="shared" si="0"/>
        <v/>
      </c>
      <c r="L67" s="23" t="str">
        <f t="shared" si="1"/>
        <v/>
      </c>
      <c r="M67" s="23" t="str">
        <f>IF($B67="","",ROUND(SUMIF(账户名,$B67,账户期初)+SUMIFS($K$6:K67,$B$6:B67,$B67),2))</f>
        <v/>
      </c>
      <c r="N67" s="23" t="str">
        <f>IF($B67="","",IFERROR(ROUND(INDEX(账户期初本位,MATCH($B67,账户名,0))+SUMIFS($L$6:L67,$B$6:B67,$B67),2),""))</f>
        <v/>
      </c>
      <c r="O67" s="46"/>
      <c r="P67" s="47"/>
      <c r="Q67" s="46"/>
      <c r="R67" s="46"/>
      <c r="S67" s="6" t="str">
        <f>IF($B67="","",IF(ISNA(MATCH($B67,账户名,0)),"※这个账户不在【参数设置】的账户档案里",IF($A67="","※没填日期，这一笔不会进任何月份的报表",IF(AND($G67&lt;&gt;"",$H67&lt;&gt;""),"※收入和支出不能同时填",IF(AND(N($G67)=0,N($H67)=0),"※收入和支出都没填",IF($E67="","※没填收支类别，分类报表会漏掉这一笔",IF(ISNA(MATCH($E67,类别表,0)),"※收支类别不在【参数设置】的清单里",IF($J67="","△"&amp;$D67&amp;" 还没填汇率，去【月度汇率】补上就自动算了",IF(YEAR($A67)&lt;&gt;管理年度,"△不是管理年度的单据，年报里看不到",IF(AND($F67="内部转账",$Q67=""),"△内部转账建议在「往来单位」写上对方账户",IF($M67&lt;0,"△这一笔之后该账户余额成负数了，核一下","")))))))))))</f>
        <v/>
      </c>
    </row>
    <row r="68" ht="16.5" spans="1:19">
      <c r="A68" s="45"/>
      <c r="B68" s="46"/>
      <c r="C68" s="12" t="str">
        <f>IF($B68="","",IFERROR(INDEX(账户银行,MATCH($B68,账户名,0)),""))</f>
        <v/>
      </c>
      <c r="D68" s="12" t="str">
        <f>IF($B68="","",IFERROR(INDEX(账户币种,MATCH($B68,账户名,0)),""))</f>
        <v/>
      </c>
      <c r="E68" s="47"/>
      <c r="F68" s="12" t="str">
        <f>IF($E68="","",IFERROR(INDEX(类别属性,MATCH($E68,类别表,0)),""))</f>
        <v/>
      </c>
      <c r="G68" s="48"/>
      <c r="H68" s="48"/>
      <c r="I68" s="49"/>
      <c r="J68" s="24" t="str">
        <f>IF(OR($A68="",$B68=""),"",IF($I68&lt;&gt;"",$I68,IF($D68=本位币,1,IFERROR(LOOKUP(2,1/((汇率月份&lt;=$A68)*(INDEX(记账汇率区,0,MATCH($D68,汇率币种头,0))&lt;&gt;"")),INDEX(记账汇率区,0,MATCH($D68,汇率币种头,0))),""))))</f>
        <v/>
      </c>
      <c r="K68" s="23" t="str">
        <f t="shared" si="0"/>
        <v/>
      </c>
      <c r="L68" s="23" t="str">
        <f t="shared" si="1"/>
        <v/>
      </c>
      <c r="M68" s="23" t="str">
        <f>IF($B68="","",ROUND(SUMIF(账户名,$B68,账户期初)+SUMIFS($K$6:K68,$B$6:B68,$B68),2))</f>
        <v/>
      </c>
      <c r="N68" s="23" t="str">
        <f>IF($B68="","",IFERROR(ROUND(INDEX(账户期初本位,MATCH($B68,账户名,0))+SUMIFS($L$6:L68,$B$6:B68,$B68),2),""))</f>
        <v/>
      </c>
      <c r="O68" s="46"/>
      <c r="P68" s="47"/>
      <c r="Q68" s="46"/>
      <c r="R68" s="46"/>
      <c r="S68" s="6" t="str">
        <f>IF($B68="","",IF(ISNA(MATCH($B68,账户名,0)),"※这个账户不在【参数设置】的账户档案里",IF($A68="","※没填日期，这一笔不会进任何月份的报表",IF(AND($G68&lt;&gt;"",$H68&lt;&gt;""),"※收入和支出不能同时填",IF(AND(N($G68)=0,N($H68)=0),"※收入和支出都没填",IF($E68="","※没填收支类别，分类报表会漏掉这一笔",IF(ISNA(MATCH($E68,类别表,0)),"※收支类别不在【参数设置】的清单里",IF($J68="","△"&amp;$D68&amp;" 还没填汇率，去【月度汇率】补上就自动算了",IF(YEAR($A68)&lt;&gt;管理年度,"△不是管理年度的单据，年报里看不到",IF(AND($F68="内部转账",$Q68=""),"△内部转账建议在「往来单位」写上对方账户",IF($M68&lt;0,"△这一笔之后该账户余额成负数了，核一下","")))))))))))</f>
        <v/>
      </c>
    </row>
    <row r="69" ht="16.5" spans="1:19">
      <c r="A69" s="45"/>
      <c r="B69" s="46"/>
      <c r="C69" s="12" t="str">
        <f>IF($B69="","",IFERROR(INDEX(账户银行,MATCH($B69,账户名,0)),""))</f>
        <v/>
      </c>
      <c r="D69" s="12" t="str">
        <f>IF($B69="","",IFERROR(INDEX(账户币种,MATCH($B69,账户名,0)),""))</f>
        <v/>
      </c>
      <c r="E69" s="47"/>
      <c r="F69" s="12" t="str">
        <f>IF($E69="","",IFERROR(INDEX(类别属性,MATCH($E69,类别表,0)),""))</f>
        <v/>
      </c>
      <c r="G69" s="48"/>
      <c r="H69" s="48"/>
      <c r="I69" s="49"/>
      <c r="J69" s="24" t="str">
        <f>IF(OR($A69="",$B69=""),"",IF($I69&lt;&gt;"",$I69,IF($D69=本位币,1,IFERROR(LOOKUP(2,1/((汇率月份&lt;=$A69)*(INDEX(记账汇率区,0,MATCH($D69,汇率币种头,0))&lt;&gt;"")),INDEX(记账汇率区,0,MATCH($D69,汇率币种头,0))),""))))</f>
        <v/>
      </c>
      <c r="K69" s="23" t="str">
        <f t="shared" si="0"/>
        <v/>
      </c>
      <c r="L69" s="23" t="str">
        <f t="shared" si="1"/>
        <v/>
      </c>
      <c r="M69" s="23" t="str">
        <f>IF($B69="","",ROUND(SUMIF(账户名,$B69,账户期初)+SUMIFS($K$6:K69,$B$6:B69,$B69),2))</f>
        <v/>
      </c>
      <c r="N69" s="23" t="str">
        <f>IF($B69="","",IFERROR(ROUND(INDEX(账户期初本位,MATCH($B69,账户名,0))+SUMIFS($L$6:L69,$B$6:B69,$B69),2),""))</f>
        <v/>
      </c>
      <c r="O69" s="46"/>
      <c r="P69" s="47"/>
      <c r="Q69" s="46"/>
      <c r="R69" s="46"/>
      <c r="S69" s="6" t="str">
        <f>IF($B69="","",IF(ISNA(MATCH($B69,账户名,0)),"※这个账户不在【参数设置】的账户档案里",IF($A69="","※没填日期，这一笔不会进任何月份的报表",IF(AND($G69&lt;&gt;"",$H69&lt;&gt;""),"※收入和支出不能同时填",IF(AND(N($G69)=0,N($H69)=0),"※收入和支出都没填",IF($E69="","※没填收支类别，分类报表会漏掉这一笔",IF(ISNA(MATCH($E69,类别表,0)),"※收支类别不在【参数设置】的清单里",IF($J69="","△"&amp;$D69&amp;" 还没填汇率，去【月度汇率】补上就自动算了",IF(YEAR($A69)&lt;&gt;管理年度,"△不是管理年度的单据，年报里看不到",IF(AND($F69="内部转账",$Q69=""),"△内部转账建议在「往来单位」写上对方账户",IF($M69&lt;0,"△这一笔之后该账户余额成负数了，核一下","")))))))))))</f>
        <v/>
      </c>
    </row>
    <row r="70" ht="16.5" spans="1:19">
      <c r="A70" s="45"/>
      <c r="B70" s="46"/>
      <c r="C70" s="12" t="str">
        <f>IF($B70="","",IFERROR(INDEX(账户银行,MATCH($B70,账户名,0)),""))</f>
        <v/>
      </c>
      <c r="D70" s="12" t="str">
        <f>IF($B70="","",IFERROR(INDEX(账户币种,MATCH($B70,账户名,0)),""))</f>
        <v/>
      </c>
      <c r="E70" s="47"/>
      <c r="F70" s="12" t="str">
        <f>IF($E70="","",IFERROR(INDEX(类别属性,MATCH($E70,类别表,0)),""))</f>
        <v/>
      </c>
      <c r="G70" s="48"/>
      <c r="H70" s="48"/>
      <c r="I70" s="49"/>
      <c r="J70" s="24" t="str">
        <f>IF(OR($A70="",$B70=""),"",IF($I70&lt;&gt;"",$I70,IF($D70=本位币,1,IFERROR(LOOKUP(2,1/((汇率月份&lt;=$A70)*(INDEX(记账汇率区,0,MATCH($D70,汇率币种头,0))&lt;&gt;"")),INDEX(记账汇率区,0,MATCH($D70,汇率币种头,0))),""))))</f>
        <v/>
      </c>
      <c r="K70" s="23" t="str">
        <f t="shared" ref="K70:K133" si="2">IF(AND($G70="",$H70=""),"",ROUND(N($G70)-N($H70),2))</f>
        <v/>
      </c>
      <c r="L70" s="23" t="str">
        <f t="shared" ref="L70:L133" si="3">IF(OR($K70="",$J70=""),"",ROUND($K70*$J70,2))</f>
        <v/>
      </c>
      <c r="M70" s="23" t="str">
        <f>IF($B70="","",ROUND(SUMIF(账户名,$B70,账户期初)+SUMIFS($K$6:K70,$B$6:B70,$B70),2))</f>
        <v/>
      </c>
      <c r="N70" s="23" t="str">
        <f>IF($B70="","",IFERROR(ROUND(INDEX(账户期初本位,MATCH($B70,账户名,0))+SUMIFS($L$6:L70,$B$6:B70,$B70),2),""))</f>
        <v/>
      </c>
      <c r="O70" s="46"/>
      <c r="P70" s="47"/>
      <c r="Q70" s="46"/>
      <c r="R70" s="46"/>
      <c r="S70" s="6" t="str">
        <f>IF($B70="","",IF(ISNA(MATCH($B70,账户名,0)),"※这个账户不在【参数设置】的账户档案里",IF($A70="","※没填日期，这一笔不会进任何月份的报表",IF(AND($G70&lt;&gt;"",$H70&lt;&gt;""),"※收入和支出不能同时填",IF(AND(N($G70)=0,N($H70)=0),"※收入和支出都没填",IF($E70="","※没填收支类别，分类报表会漏掉这一笔",IF(ISNA(MATCH($E70,类别表,0)),"※收支类别不在【参数设置】的清单里",IF($J70="","△"&amp;$D70&amp;" 还没填汇率，去【月度汇率】补上就自动算了",IF(YEAR($A70)&lt;&gt;管理年度,"△不是管理年度的单据，年报里看不到",IF(AND($F70="内部转账",$Q70=""),"△内部转账建议在「往来单位」写上对方账户",IF($M70&lt;0,"△这一笔之后该账户余额成负数了，核一下","")))))))))))</f>
        <v/>
      </c>
    </row>
    <row r="71" ht="16.5" spans="1:19">
      <c r="A71" s="45"/>
      <c r="B71" s="46"/>
      <c r="C71" s="12" t="str">
        <f>IF($B71="","",IFERROR(INDEX(账户银行,MATCH($B71,账户名,0)),""))</f>
        <v/>
      </c>
      <c r="D71" s="12" t="str">
        <f>IF($B71="","",IFERROR(INDEX(账户币种,MATCH($B71,账户名,0)),""))</f>
        <v/>
      </c>
      <c r="E71" s="47"/>
      <c r="F71" s="12" t="str">
        <f>IF($E71="","",IFERROR(INDEX(类别属性,MATCH($E71,类别表,0)),""))</f>
        <v/>
      </c>
      <c r="G71" s="48"/>
      <c r="H71" s="48"/>
      <c r="I71" s="49"/>
      <c r="J71" s="24" t="str">
        <f>IF(OR($A71="",$B71=""),"",IF($I71&lt;&gt;"",$I71,IF($D71=本位币,1,IFERROR(LOOKUP(2,1/((汇率月份&lt;=$A71)*(INDEX(记账汇率区,0,MATCH($D71,汇率币种头,0))&lt;&gt;"")),INDEX(记账汇率区,0,MATCH($D71,汇率币种头,0))),""))))</f>
        <v/>
      </c>
      <c r="K71" s="23" t="str">
        <f t="shared" si="2"/>
        <v/>
      </c>
      <c r="L71" s="23" t="str">
        <f t="shared" si="3"/>
        <v/>
      </c>
      <c r="M71" s="23" t="str">
        <f>IF($B71="","",ROUND(SUMIF(账户名,$B71,账户期初)+SUMIFS($K$6:K71,$B$6:B71,$B71),2))</f>
        <v/>
      </c>
      <c r="N71" s="23" t="str">
        <f>IF($B71="","",IFERROR(ROUND(INDEX(账户期初本位,MATCH($B71,账户名,0))+SUMIFS($L$6:L71,$B$6:B71,$B71),2),""))</f>
        <v/>
      </c>
      <c r="O71" s="46"/>
      <c r="P71" s="47"/>
      <c r="Q71" s="46"/>
      <c r="R71" s="46"/>
      <c r="S71" s="6" t="str">
        <f>IF($B71="","",IF(ISNA(MATCH($B71,账户名,0)),"※这个账户不在【参数设置】的账户档案里",IF($A71="","※没填日期，这一笔不会进任何月份的报表",IF(AND($G71&lt;&gt;"",$H71&lt;&gt;""),"※收入和支出不能同时填",IF(AND(N($G71)=0,N($H71)=0),"※收入和支出都没填",IF($E71="","※没填收支类别，分类报表会漏掉这一笔",IF(ISNA(MATCH($E71,类别表,0)),"※收支类别不在【参数设置】的清单里",IF($J71="","△"&amp;$D71&amp;" 还没填汇率，去【月度汇率】补上就自动算了",IF(YEAR($A71)&lt;&gt;管理年度,"△不是管理年度的单据，年报里看不到",IF(AND($F71="内部转账",$Q71=""),"△内部转账建议在「往来单位」写上对方账户",IF($M71&lt;0,"△这一笔之后该账户余额成负数了，核一下","")))))))))))</f>
        <v/>
      </c>
    </row>
    <row r="72" ht="16.5" spans="1:19">
      <c r="A72" s="45"/>
      <c r="B72" s="46"/>
      <c r="C72" s="12" t="str">
        <f>IF($B72="","",IFERROR(INDEX(账户银行,MATCH($B72,账户名,0)),""))</f>
        <v/>
      </c>
      <c r="D72" s="12" t="str">
        <f>IF($B72="","",IFERROR(INDEX(账户币种,MATCH($B72,账户名,0)),""))</f>
        <v/>
      </c>
      <c r="E72" s="47"/>
      <c r="F72" s="12" t="str">
        <f>IF($E72="","",IFERROR(INDEX(类别属性,MATCH($E72,类别表,0)),""))</f>
        <v/>
      </c>
      <c r="G72" s="48"/>
      <c r="H72" s="48"/>
      <c r="I72" s="49"/>
      <c r="J72" s="24" t="str">
        <f>IF(OR($A72="",$B72=""),"",IF($I72&lt;&gt;"",$I72,IF($D72=本位币,1,IFERROR(LOOKUP(2,1/((汇率月份&lt;=$A72)*(INDEX(记账汇率区,0,MATCH($D72,汇率币种头,0))&lt;&gt;"")),INDEX(记账汇率区,0,MATCH($D72,汇率币种头,0))),""))))</f>
        <v/>
      </c>
      <c r="K72" s="23" t="str">
        <f t="shared" si="2"/>
        <v/>
      </c>
      <c r="L72" s="23" t="str">
        <f t="shared" si="3"/>
        <v/>
      </c>
      <c r="M72" s="23" t="str">
        <f>IF($B72="","",ROUND(SUMIF(账户名,$B72,账户期初)+SUMIFS($K$6:K72,$B$6:B72,$B72),2))</f>
        <v/>
      </c>
      <c r="N72" s="23" t="str">
        <f>IF($B72="","",IFERROR(ROUND(INDEX(账户期初本位,MATCH($B72,账户名,0))+SUMIFS($L$6:L72,$B$6:B72,$B72),2),""))</f>
        <v/>
      </c>
      <c r="O72" s="46"/>
      <c r="P72" s="47"/>
      <c r="Q72" s="46"/>
      <c r="R72" s="46"/>
      <c r="S72" s="6" t="str">
        <f>IF($B72="","",IF(ISNA(MATCH($B72,账户名,0)),"※这个账户不在【参数设置】的账户档案里",IF($A72="","※没填日期，这一笔不会进任何月份的报表",IF(AND($G72&lt;&gt;"",$H72&lt;&gt;""),"※收入和支出不能同时填",IF(AND(N($G72)=0,N($H72)=0),"※收入和支出都没填",IF($E72="","※没填收支类别，分类报表会漏掉这一笔",IF(ISNA(MATCH($E72,类别表,0)),"※收支类别不在【参数设置】的清单里",IF($J72="","△"&amp;$D72&amp;" 还没填汇率，去【月度汇率】补上就自动算了",IF(YEAR($A72)&lt;&gt;管理年度,"△不是管理年度的单据，年报里看不到",IF(AND($F72="内部转账",$Q72=""),"△内部转账建议在「往来单位」写上对方账户",IF($M72&lt;0,"△这一笔之后该账户余额成负数了，核一下","")))))))))))</f>
        <v/>
      </c>
    </row>
    <row r="73" ht="16.5" spans="1:19">
      <c r="A73" s="45"/>
      <c r="B73" s="46"/>
      <c r="C73" s="12" t="str">
        <f>IF($B73="","",IFERROR(INDEX(账户银行,MATCH($B73,账户名,0)),""))</f>
        <v/>
      </c>
      <c r="D73" s="12" t="str">
        <f>IF($B73="","",IFERROR(INDEX(账户币种,MATCH($B73,账户名,0)),""))</f>
        <v/>
      </c>
      <c r="E73" s="47"/>
      <c r="F73" s="12" t="str">
        <f>IF($E73="","",IFERROR(INDEX(类别属性,MATCH($E73,类别表,0)),""))</f>
        <v/>
      </c>
      <c r="G73" s="48"/>
      <c r="H73" s="48"/>
      <c r="I73" s="49"/>
      <c r="J73" s="24" t="str">
        <f>IF(OR($A73="",$B73=""),"",IF($I73&lt;&gt;"",$I73,IF($D73=本位币,1,IFERROR(LOOKUP(2,1/((汇率月份&lt;=$A73)*(INDEX(记账汇率区,0,MATCH($D73,汇率币种头,0))&lt;&gt;"")),INDEX(记账汇率区,0,MATCH($D73,汇率币种头,0))),""))))</f>
        <v/>
      </c>
      <c r="K73" s="23" t="str">
        <f t="shared" si="2"/>
        <v/>
      </c>
      <c r="L73" s="23" t="str">
        <f t="shared" si="3"/>
        <v/>
      </c>
      <c r="M73" s="23" t="str">
        <f>IF($B73="","",ROUND(SUMIF(账户名,$B73,账户期初)+SUMIFS($K$6:K73,$B$6:B73,$B73),2))</f>
        <v/>
      </c>
      <c r="N73" s="23" t="str">
        <f>IF($B73="","",IFERROR(ROUND(INDEX(账户期初本位,MATCH($B73,账户名,0))+SUMIFS($L$6:L73,$B$6:B73,$B73),2),""))</f>
        <v/>
      </c>
      <c r="O73" s="46"/>
      <c r="P73" s="47"/>
      <c r="Q73" s="46"/>
      <c r="R73" s="46"/>
      <c r="S73" s="6" t="str">
        <f>IF($B73="","",IF(ISNA(MATCH($B73,账户名,0)),"※这个账户不在【参数设置】的账户档案里",IF($A73="","※没填日期，这一笔不会进任何月份的报表",IF(AND($G73&lt;&gt;"",$H73&lt;&gt;""),"※收入和支出不能同时填",IF(AND(N($G73)=0,N($H73)=0),"※收入和支出都没填",IF($E73="","※没填收支类别，分类报表会漏掉这一笔",IF(ISNA(MATCH($E73,类别表,0)),"※收支类别不在【参数设置】的清单里",IF($J73="","△"&amp;$D73&amp;" 还没填汇率，去【月度汇率】补上就自动算了",IF(YEAR($A73)&lt;&gt;管理年度,"△不是管理年度的单据，年报里看不到",IF(AND($F73="内部转账",$Q73=""),"△内部转账建议在「往来单位」写上对方账户",IF($M73&lt;0,"△这一笔之后该账户余额成负数了，核一下","")))))))))))</f>
        <v/>
      </c>
    </row>
    <row r="74" ht="16.5" spans="1:19">
      <c r="A74" s="45"/>
      <c r="B74" s="46"/>
      <c r="C74" s="12" t="str">
        <f>IF($B74="","",IFERROR(INDEX(账户银行,MATCH($B74,账户名,0)),""))</f>
        <v/>
      </c>
      <c r="D74" s="12" t="str">
        <f>IF($B74="","",IFERROR(INDEX(账户币种,MATCH($B74,账户名,0)),""))</f>
        <v/>
      </c>
      <c r="E74" s="47"/>
      <c r="F74" s="12" t="str">
        <f>IF($E74="","",IFERROR(INDEX(类别属性,MATCH($E74,类别表,0)),""))</f>
        <v/>
      </c>
      <c r="G74" s="48"/>
      <c r="H74" s="48"/>
      <c r="I74" s="49"/>
      <c r="J74" s="24" t="str">
        <f>IF(OR($A74="",$B74=""),"",IF($I74&lt;&gt;"",$I74,IF($D74=本位币,1,IFERROR(LOOKUP(2,1/((汇率月份&lt;=$A74)*(INDEX(记账汇率区,0,MATCH($D74,汇率币种头,0))&lt;&gt;"")),INDEX(记账汇率区,0,MATCH($D74,汇率币种头,0))),""))))</f>
        <v/>
      </c>
      <c r="K74" s="23" t="str">
        <f t="shared" si="2"/>
        <v/>
      </c>
      <c r="L74" s="23" t="str">
        <f t="shared" si="3"/>
        <v/>
      </c>
      <c r="M74" s="23" t="str">
        <f>IF($B74="","",ROUND(SUMIF(账户名,$B74,账户期初)+SUMIFS($K$6:K74,$B$6:B74,$B74),2))</f>
        <v/>
      </c>
      <c r="N74" s="23" t="str">
        <f>IF($B74="","",IFERROR(ROUND(INDEX(账户期初本位,MATCH($B74,账户名,0))+SUMIFS($L$6:L74,$B$6:B74,$B74),2),""))</f>
        <v/>
      </c>
      <c r="O74" s="46"/>
      <c r="P74" s="47"/>
      <c r="Q74" s="46"/>
      <c r="R74" s="46"/>
      <c r="S74" s="6" t="str">
        <f>IF($B74="","",IF(ISNA(MATCH($B74,账户名,0)),"※这个账户不在【参数设置】的账户档案里",IF($A74="","※没填日期，这一笔不会进任何月份的报表",IF(AND($G74&lt;&gt;"",$H74&lt;&gt;""),"※收入和支出不能同时填",IF(AND(N($G74)=0,N($H74)=0),"※收入和支出都没填",IF($E74="","※没填收支类别，分类报表会漏掉这一笔",IF(ISNA(MATCH($E74,类别表,0)),"※收支类别不在【参数设置】的清单里",IF($J74="","△"&amp;$D74&amp;" 还没填汇率，去【月度汇率】补上就自动算了",IF(YEAR($A74)&lt;&gt;管理年度,"△不是管理年度的单据，年报里看不到",IF(AND($F74="内部转账",$Q74=""),"△内部转账建议在「往来单位」写上对方账户",IF($M74&lt;0,"△这一笔之后该账户余额成负数了，核一下","")))))))))))</f>
        <v/>
      </c>
    </row>
    <row r="75" ht="16.5" spans="1:19">
      <c r="A75" s="45"/>
      <c r="B75" s="46"/>
      <c r="C75" s="12" t="str">
        <f>IF($B75="","",IFERROR(INDEX(账户银行,MATCH($B75,账户名,0)),""))</f>
        <v/>
      </c>
      <c r="D75" s="12" t="str">
        <f>IF($B75="","",IFERROR(INDEX(账户币种,MATCH($B75,账户名,0)),""))</f>
        <v/>
      </c>
      <c r="E75" s="47"/>
      <c r="F75" s="12" t="str">
        <f>IF($E75="","",IFERROR(INDEX(类别属性,MATCH($E75,类别表,0)),""))</f>
        <v/>
      </c>
      <c r="G75" s="48"/>
      <c r="H75" s="48"/>
      <c r="I75" s="49"/>
      <c r="J75" s="24" t="str">
        <f>IF(OR($A75="",$B75=""),"",IF($I75&lt;&gt;"",$I75,IF($D75=本位币,1,IFERROR(LOOKUP(2,1/((汇率月份&lt;=$A75)*(INDEX(记账汇率区,0,MATCH($D75,汇率币种头,0))&lt;&gt;"")),INDEX(记账汇率区,0,MATCH($D75,汇率币种头,0))),""))))</f>
        <v/>
      </c>
      <c r="K75" s="23" t="str">
        <f t="shared" si="2"/>
        <v/>
      </c>
      <c r="L75" s="23" t="str">
        <f t="shared" si="3"/>
        <v/>
      </c>
      <c r="M75" s="23" t="str">
        <f>IF($B75="","",ROUND(SUMIF(账户名,$B75,账户期初)+SUMIFS($K$6:K75,$B$6:B75,$B75),2))</f>
        <v/>
      </c>
      <c r="N75" s="23" t="str">
        <f>IF($B75="","",IFERROR(ROUND(INDEX(账户期初本位,MATCH($B75,账户名,0))+SUMIFS($L$6:L75,$B$6:B75,$B75),2),""))</f>
        <v/>
      </c>
      <c r="O75" s="46"/>
      <c r="P75" s="47"/>
      <c r="Q75" s="46"/>
      <c r="R75" s="46"/>
      <c r="S75" s="6" t="str">
        <f>IF($B75="","",IF(ISNA(MATCH($B75,账户名,0)),"※这个账户不在【参数设置】的账户档案里",IF($A75="","※没填日期，这一笔不会进任何月份的报表",IF(AND($G75&lt;&gt;"",$H75&lt;&gt;""),"※收入和支出不能同时填",IF(AND(N($G75)=0,N($H75)=0),"※收入和支出都没填",IF($E75="","※没填收支类别，分类报表会漏掉这一笔",IF(ISNA(MATCH($E75,类别表,0)),"※收支类别不在【参数设置】的清单里",IF($J75="","△"&amp;$D75&amp;" 还没填汇率，去【月度汇率】补上就自动算了",IF(YEAR($A75)&lt;&gt;管理年度,"△不是管理年度的单据，年报里看不到",IF(AND($F75="内部转账",$Q75=""),"△内部转账建议在「往来单位」写上对方账户",IF($M75&lt;0,"△这一笔之后该账户余额成负数了，核一下","")))))))))))</f>
        <v/>
      </c>
    </row>
    <row r="76" ht="16.5" spans="1:19">
      <c r="A76" s="45"/>
      <c r="B76" s="46"/>
      <c r="C76" s="12" t="str">
        <f>IF($B76="","",IFERROR(INDEX(账户银行,MATCH($B76,账户名,0)),""))</f>
        <v/>
      </c>
      <c r="D76" s="12" t="str">
        <f>IF($B76="","",IFERROR(INDEX(账户币种,MATCH($B76,账户名,0)),""))</f>
        <v/>
      </c>
      <c r="E76" s="47"/>
      <c r="F76" s="12" t="str">
        <f>IF($E76="","",IFERROR(INDEX(类别属性,MATCH($E76,类别表,0)),""))</f>
        <v/>
      </c>
      <c r="G76" s="48"/>
      <c r="H76" s="48"/>
      <c r="I76" s="49"/>
      <c r="J76" s="24" t="str">
        <f>IF(OR($A76="",$B76=""),"",IF($I76&lt;&gt;"",$I76,IF($D76=本位币,1,IFERROR(LOOKUP(2,1/((汇率月份&lt;=$A76)*(INDEX(记账汇率区,0,MATCH($D76,汇率币种头,0))&lt;&gt;"")),INDEX(记账汇率区,0,MATCH($D76,汇率币种头,0))),""))))</f>
        <v/>
      </c>
      <c r="K76" s="23" t="str">
        <f t="shared" si="2"/>
        <v/>
      </c>
      <c r="L76" s="23" t="str">
        <f t="shared" si="3"/>
        <v/>
      </c>
      <c r="M76" s="23" t="str">
        <f>IF($B76="","",ROUND(SUMIF(账户名,$B76,账户期初)+SUMIFS($K$6:K76,$B$6:B76,$B76),2))</f>
        <v/>
      </c>
      <c r="N76" s="23" t="str">
        <f>IF($B76="","",IFERROR(ROUND(INDEX(账户期初本位,MATCH($B76,账户名,0))+SUMIFS($L$6:L76,$B$6:B76,$B76),2),""))</f>
        <v/>
      </c>
      <c r="O76" s="46"/>
      <c r="P76" s="47"/>
      <c r="Q76" s="46"/>
      <c r="R76" s="46"/>
      <c r="S76" s="6" t="str">
        <f>IF($B76="","",IF(ISNA(MATCH($B76,账户名,0)),"※这个账户不在【参数设置】的账户档案里",IF($A76="","※没填日期，这一笔不会进任何月份的报表",IF(AND($G76&lt;&gt;"",$H76&lt;&gt;""),"※收入和支出不能同时填",IF(AND(N($G76)=0,N($H76)=0),"※收入和支出都没填",IF($E76="","※没填收支类别，分类报表会漏掉这一笔",IF(ISNA(MATCH($E76,类别表,0)),"※收支类别不在【参数设置】的清单里",IF($J76="","△"&amp;$D76&amp;" 还没填汇率，去【月度汇率】补上就自动算了",IF(YEAR($A76)&lt;&gt;管理年度,"△不是管理年度的单据，年报里看不到",IF(AND($F76="内部转账",$Q76=""),"△内部转账建议在「往来单位」写上对方账户",IF($M76&lt;0,"△这一笔之后该账户余额成负数了，核一下","")))))))))))</f>
        <v/>
      </c>
    </row>
    <row r="77" ht="16.5" spans="1:19">
      <c r="A77" s="45"/>
      <c r="B77" s="46"/>
      <c r="C77" s="12" t="str">
        <f>IF($B77="","",IFERROR(INDEX(账户银行,MATCH($B77,账户名,0)),""))</f>
        <v/>
      </c>
      <c r="D77" s="12" t="str">
        <f>IF($B77="","",IFERROR(INDEX(账户币种,MATCH($B77,账户名,0)),""))</f>
        <v/>
      </c>
      <c r="E77" s="47"/>
      <c r="F77" s="12" t="str">
        <f>IF($E77="","",IFERROR(INDEX(类别属性,MATCH($E77,类别表,0)),""))</f>
        <v/>
      </c>
      <c r="G77" s="48"/>
      <c r="H77" s="48"/>
      <c r="I77" s="49"/>
      <c r="J77" s="24" t="str">
        <f>IF(OR($A77="",$B77=""),"",IF($I77&lt;&gt;"",$I77,IF($D77=本位币,1,IFERROR(LOOKUP(2,1/((汇率月份&lt;=$A77)*(INDEX(记账汇率区,0,MATCH($D77,汇率币种头,0))&lt;&gt;"")),INDEX(记账汇率区,0,MATCH($D77,汇率币种头,0))),""))))</f>
        <v/>
      </c>
      <c r="K77" s="23" t="str">
        <f t="shared" si="2"/>
        <v/>
      </c>
      <c r="L77" s="23" t="str">
        <f t="shared" si="3"/>
        <v/>
      </c>
      <c r="M77" s="23" t="str">
        <f>IF($B77="","",ROUND(SUMIF(账户名,$B77,账户期初)+SUMIFS($K$6:K77,$B$6:B77,$B77),2))</f>
        <v/>
      </c>
      <c r="N77" s="23" t="str">
        <f>IF($B77="","",IFERROR(ROUND(INDEX(账户期初本位,MATCH($B77,账户名,0))+SUMIFS($L$6:L77,$B$6:B77,$B77),2),""))</f>
        <v/>
      </c>
      <c r="O77" s="46"/>
      <c r="P77" s="47"/>
      <c r="Q77" s="46"/>
      <c r="R77" s="46"/>
      <c r="S77" s="6" t="str">
        <f>IF($B77="","",IF(ISNA(MATCH($B77,账户名,0)),"※这个账户不在【参数设置】的账户档案里",IF($A77="","※没填日期，这一笔不会进任何月份的报表",IF(AND($G77&lt;&gt;"",$H77&lt;&gt;""),"※收入和支出不能同时填",IF(AND(N($G77)=0,N($H77)=0),"※收入和支出都没填",IF($E77="","※没填收支类别，分类报表会漏掉这一笔",IF(ISNA(MATCH($E77,类别表,0)),"※收支类别不在【参数设置】的清单里",IF($J77="","△"&amp;$D77&amp;" 还没填汇率，去【月度汇率】补上就自动算了",IF(YEAR($A77)&lt;&gt;管理年度,"△不是管理年度的单据，年报里看不到",IF(AND($F77="内部转账",$Q77=""),"△内部转账建议在「往来单位」写上对方账户",IF($M77&lt;0,"△这一笔之后该账户余额成负数了，核一下","")))))))))))</f>
        <v/>
      </c>
    </row>
    <row r="78" ht="16.5" spans="1:19">
      <c r="A78" s="45"/>
      <c r="B78" s="46"/>
      <c r="C78" s="12" t="str">
        <f>IF($B78="","",IFERROR(INDEX(账户银行,MATCH($B78,账户名,0)),""))</f>
        <v/>
      </c>
      <c r="D78" s="12" t="str">
        <f>IF($B78="","",IFERROR(INDEX(账户币种,MATCH($B78,账户名,0)),""))</f>
        <v/>
      </c>
      <c r="E78" s="47"/>
      <c r="F78" s="12" t="str">
        <f>IF($E78="","",IFERROR(INDEX(类别属性,MATCH($E78,类别表,0)),""))</f>
        <v/>
      </c>
      <c r="G78" s="48"/>
      <c r="H78" s="48"/>
      <c r="I78" s="49"/>
      <c r="J78" s="24" t="str">
        <f>IF(OR($A78="",$B78=""),"",IF($I78&lt;&gt;"",$I78,IF($D78=本位币,1,IFERROR(LOOKUP(2,1/((汇率月份&lt;=$A78)*(INDEX(记账汇率区,0,MATCH($D78,汇率币种头,0))&lt;&gt;"")),INDEX(记账汇率区,0,MATCH($D78,汇率币种头,0))),""))))</f>
        <v/>
      </c>
      <c r="K78" s="23" t="str">
        <f t="shared" si="2"/>
        <v/>
      </c>
      <c r="L78" s="23" t="str">
        <f t="shared" si="3"/>
        <v/>
      </c>
      <c r="M78" s="23" t="str">
        <f>IF($B78="","",ROUND(SUMIF(账户名,$B78,账户期初)+SUMIFS($K$6:K78,$B$6:B78,$B78),2))</f>
        <v/>
      </c>
      <c r="N78" s="23" t="str">
        <f>IF($B78="","",IFERROR(ROUND(INDEX(账户期初本位,MATCH($B78,账户名,0))+SUMIFS($L$6:L78,$B$6:B78,$B78),2),""))</f>
        <v/>
      </c>
      <c r="O78" s="46"/>
      <c r="P78" s="47"/>
      <c r="Q78" s="46"/>
      <c r="R78" s="46"/>
      <c r="S78" s="6" t="str">
        <f>IF($B78="","",IF(ISNA(MATCH($B78,账户名,0)),"※这个账户不在【参数设置】的账户档案里",IF($A78="","※没填日期，这一笔不会进任何月份的报表",IF(AND($G78&lt;&gt;"",$H78&lt;&gt;""),"※收入和支出不能同时填",IF(AND(N($G78)=0,N($H78)=0),"※收入和支出都没填",IF($E78="","※没填收支类别，分类报表会漏掉这一笔",IF(ISNA(MATCH($E78,类别表,0)),"※收支类别不在【参数设置】的清单里",IF($J78="","△"&amp;$D78&amp;" 还没填汇率，去【月度汇率】补上就自动算了",IF(YEAR($A78)&lt;&gt;管理年度,"△不是管理年度的单据，年报里看不到",IF(AND($F78="内部转账",$Q78=""),"△内部转账建议在「往来单位」写上对方账户",IF($M78&lt;0,"△这一笔之后该账户余额成负数了，核一下","")))))))))))</f>
        <v/>
      </c>
    </row>
    <row r="79" ht="16.5" spans="1:19">
      <c r="A79" s="45"/>
      <c r="B79" s="46"/>
      <c r="C79" s="12" t="str">
        <f>IF($B79="","",IFERROR(INDEX(账户银行,MATCH($B79,账户名,0)),""))</f>
        <v/>
      </c>
      <c r="D79" s="12" t="str">
        <f>IF($B79="","",IFERROR(INDEX(账户币种,MATCH($B79,账户名,0)),""))</f>
        <v/>
      </c>
      <c r="E79" s="47"/>
      <c r="F79" s="12" t="str">
        <f>IF($E79="","",IFERROR(INDEX(类别属性,MATCH($E79,类别表,0)),""))</f>
        <v/>
      </c>
      <c r="G79" s="48"/>
      <c r="H79" s="48"/>
      <c r="I79" s="49"/>
      <c r="J79" s="24" t="str">
        <f>IF(OR($A79="",$B79=""),"",IF($I79&lt;&gt;"",$I79,IF($D79=本位币,1,IFERROR(LOOKUP(2,1/((汇率月份&lt;=$A79)*(INDEX(记账汇率区,0,MATCH($D79,汇率币种头,0))&lt;&gt;"")),INDEX(记账汇率区,0,MATCH($D79,汇率币种头,0))),""))))</f>
        <v/>
      </c>
      <c r="K79" s="23" t="str">
        <f t="shared" si="2"/>
        <v/>
      </c>
      <c r="L79" s="23" t="str">
        <f t="shared" si="3"/>
        <v/>
      </c>
      <c r="M79" s="23" t="str">
        <f>IF($B79="","",ROUND(SUMIF(账户名,$B79,账户期初)+SUMIFS($K$6:K79,$B$6:B79,$B79),2))</f>
        <v/>
      </c>
      <c r="N79" s="23" t="str">
        <f>IF($B79="","",IFERROR(ROUND(INDEX(账户期初本位,MATCH($B79,账户名,0))+SUMIFS($L$6:L79,$B$6:B79,$B79),2),""))</f>
        <v/>
      </c>
      <c r="O79" s="46"/>
      <c r="P79" s="47"/>
      <c r="Q79" s="46"/>
      <c r="R79" s="46"/>
      <c r="S79" s="6" t="str">
        <f>IF($B79="","",IF(ISNA(MATCH($B79,账户名,0)),"※这个账户不在【参数设置】的账户档案里",IF($A79="","※没填日期，这一笔不会进任何月份的报表",IF(AND($G79&lt;&gt;"",$H79&lt;&gt;""),"※收入和支出不能同时填",IF(AND(N($G79)=0,N($H79)=0),"※收入和支出都没填",IF($E79="","※没填收支类别，分类报表会漏掉这一笔",IF(ISNA(MATCH($E79,类别表,0)),"※收支类别不在【参数设置】的清单里",IF($J79="","△"&amp;$D79&amp;" 还没填汇率，去【月度汇率】补上就自动算了",IF(YEAR($A79)&lt;&gt;管理年度,"△不是管理年度的单据，年报里看不到",IF(AND($F79="内部转账",$Q79=""),"△内部转账建议在「往来单位」写上对方账户",IF($M79&lt;0,"△这一笔之后该账户余额成负数了，核一下","")))))))))))</f>
        <v/>
      </c>
    </row>
    <row r="80" ht="16.5" spans="1:19">
      <c r="A80" s="45"/>
      <c r="B80" s="46"/>
      <c r="C80" s="12" t="str">
        <f>IF($B80="","",IFERROR(INDEX(账户银行,MATCH($B80,账户名,0)),""))</f>
        <v/>
      </c>
      <c r="D80" s="12" t="str">
        <f>IF($B80="","",IFERROR(INDEX(账户币种,MATCH($B80,账户名,0)),""))</f>
        <v/>
      </c>
      <c r="E80" s="47"/>
      <c r="F80" s="12" t="str">
        <f>IF($E80="","",IFERROR(INDEX(类别属性,MATCH($E80,类别表,0)),""))</f>
        <v/>
      </c>
      <c r="G80" s="48"/>
      <c r="H80" s="48"/>
      <c r="I80" s="49"/>
      <c r="J80" s="24" t="str">
        <f>IF(OR($A80="",$B80=""),"",IF($I80&lt;&gt;"",$I80,IF($D80=本位币,1,IFERROR(LOOKUP(2,1/((汇率月份&lt;=$A80)*(INDEX(记账汇率区,0,MATCH($D80,汇率币种头,0))&lt;&gt;"")),INDEX(记账汇率区,0,MATCH($D80,汇率币种头,0))),""))))</f>
        <v/>
      </c>
      <c r="K80" s="23" t="str">
        <f t="shared" si="2"/>
        <v/>
      </c>
      <c r="L80" s="23" t="str">
        <f t="shared" si="3"/>
        <v/>
      </c>
      <c r="M80" s="23" t="str">
        <f>IF($B80="","",ROUND(SUMIF(账户名,$B80,账户期初)+SUMIFS($K$6:K80,$B$6:B80,$B80),2))</f>
        <v/>
      </c>
      <c r="N80" s="23" t="str">
        <f>IF($B80="","",IFERROR(ROUND(INDEX(账户期初本位,MATCH($B80,账户名,0))+SUMIFS($L$6:L80,$B$6:B80,$B80),2),""))</f>
        <v/>
      </c>
      <c r="O80" s="46"/>
      <c r="P80" s="47"/>
      <c r="Q80" s="46"/>
      <c r="R80" s="46"/>
      <c r="S80" s="6" t="str">
        <f>IF($B80="","",IF(ISNA(MATCH($B80,账户名,0)),"※这个账户不在【参数设置】的账户档案里",IF($A80="","※没填日期，这一笔不会进任何月份的报表",IF(AND($G80&lt;&gt;"",$H80&lt;&gt;""),"※收入和支出不能同时填",IF(AND(N($G80)=0,N($H80)=0),"※收入和支出都没填",IF($E80="","※没填收支类别，分类报表会漏掉这一笔",IF(ISNA(MATCH($E80,类别表,0)),"※收支类别不在【参数设置】的清单里",IF($J80="","△"&amp;$D80&amp;" 还没填汇率，去【月度汇率】补上就自动算了",IF(YEAR($A80)&lt;&gt;管理年度,"△不是管理年度的单据，年报里看不到",IF(AND($F80="内部转账",$Q80=""),"△内部转账建议在「往来单位」写上对方账户",IF($M80&lt;0,"△这一笔之后该账户余额成负数了，核一下","")))))))))))</f>
        <v/>
      </c>
    </row>
    <row r="81" ht="16.5" spans="1:19">
      <c r="A81" s="45"/>
      <c r="B81" s="46"/>
      <c r="C81" s="12" t="str">
        <f>IF($B81="","",IFERROR(INDEX(账户银行,MATCH($B81,账户名,0)),""))</f>
        <v/>
      </c>
      <c r="D81" s="12" t="str">
        <f>IF($B81="","",IFERROR(INDEX(账户币种,MATCH($B81,账户名,0)),""))</f>
        <v/>
      </c>
      <c r="E81" s="47"/>
      <c r="F81" s="12" t="str">
        <f>IF($E81="","",IFERROR(INDEX(类别属性,MATCH($E81,类别表,0)),""))</f>
        <v/>
      </c>
      <c r="G81" s="48"/>
      <c r="H81" s="48"/>
      <c r="I81" s="49"/>
      <c r="J81" s="24" t="str">
        <f>IF(OR($A81="",$B81=""),"",IF($I81&lt;&gt;"",$I81,IF($D81=本位币,1,IFERROR(LOOKUP(2,1/((汇率月份&lt;=$A81)*(INDEX(记账汇率区,0,MATCH($D81,汇率币种头,0))&lt;&gt;"")),INDEX(记账汇率区,0,MATCH($D81,汇率币种头,0))),""))))</f>
        <v/>
      </c>
      <c r="K81" s="23" t="str">
        <f t="shared" si="2"/>
        <v/>
      </c>
      <c r="L81" s="23" t="str">
        <f t="shared" si="3"/>
        <v/>
      </c>
      <c r="M81" s="23" t="str">
        <f>IF($B81="","",ROUND(SUMIF(账户名,$B81,账户期初)+SUMIFS($K$6:K81,$B$6:B81,$B81),2))</f>
        <v/>
      </c>
      <c r="N81" s="23" t="str">
        <f>IF($B81="","",IFERROR(ROUND(INDEX(账户期初本位,MATCH($B81,账户名,0))+SUMIFS($L$6:L81,$B$6:B81,$B81),2),""))</f>
        <v/>
      </c>
      <c r="O81" s="46"/>
      <c r="P81" s="47"/>
      <c r="Q81" s="46"/>
      <c r="R81" s="46"/>
      <c r="S81" s="6" t="str">
        <f>IF($B81="","",IF(ISNA(MATCH($B81,账户名,0)),"※这个账户不在【参数设置】的账户档案里",IF($A81="","※没填日期，这一笔不会进任何月份的报表",IF(AND($G81&lt;&gt;"",$H81&lt;&gt;""),"※收入和支出不能同时填",IF(AND(N($G81)=0,N($H81)=0),"※收入和支出都没填",IF($E81="","※没填收支类别，分类报表会漏掉这一笔",IF(ISNA(MATCH($E81,类别表,0)),"※收支类别不在【参数设置】的清单里",IF($J81="","△"&amp;$D81&amp;" 还没填汇率，去【月度汇率】补上就自动算了",IF(YEAR($A81)&lt;&gt;管理年度,"△不是管理年度的单据，年报里看不到",IF(AND($F81="内部转账",$Q81=""),"△内部转账建议在「往来单位」写上对方账户",IF($M81&lt;0,"△这一笔之后该账户余额成负数了，核一下","")))))))))))</f>
        <v/>
      </c>
    </row>
    <row r="82" ht="16.5" spans="1:19">
      <c r="A82" s="45"/>
      <c r="B82" s="46"/>
      <c r="C82" s="12" t="str">
        <f>IF($B82="","",IFERROR(INDEX(账户银行,MATCH($B82,账户名,0)),""))</f>
        <v/>
      </c>
      <c r="D82" s="12" t="str">
        <f>IF($B82="","",IFERROR(INDEX(账户币种,MATCH($B82,账户名,0)),""))</f>
        <v/>
      </c>
      <c r="E82" s="47"/>
      <c r="F82" s="12" t="str">
        <f>IF($E82="","",IFERROR(INDEX(类别属性,MATCH($E82,类别表,0)),""))</f>
        <v/>
      </c>
      <c r="G82" s="48"/>
      <c r="H82" s="48"/>
      <c r="I82" s="49"/>
      <c r="J82" s="24" t="str">
        <f>IF(OR($A82="",$B82=""),"",IF($I82&lt;&gt;"",$I82,IF($D82=本位币,1,IFERROR(LOOKUP(2,1/((汇率月份&lt;=$A82)*(INDEX(记账汇率区,0,MATCH($D82,汇率币种头,0))&lt;&gt;"")),INDEX(记账汇率区,0,MATCH($D82,汇率币种头,0))),""))))</f>
        <v/>
      </c>
      <c r="K82" s="23" t="str">
        <f t="shared" si="2"/>
        <v/>
      </c>
      <c r="L82" s="23" t="str">
        <f t="shared" si="3"/>
        <v/>
      </c>
      <c r="M82" s="23" t="str">
        <f>IF($B82="","",ROUND(SUMIF(账户名,$B82,账户期初)+SUMIFS($K$6:K82,$B$6:B82,$B82),2))</f>
        <v/>
      </c>
      <c r="N82" s="23" t="str">
        <f>IF($B82="","",IFERROR(ROUND(INDEX(账户期初本位,MATCH($B82,账户名,0))+SUMIFS($L$6:L82,$B$6:B82,$B82),2),""))</f>
        <v/>
      </c>
      <c r="O82" s="46"/>
      <c r="P82" s="47"/>
      <c r="Q82" s="46"/>
      <c r="R82" s="46"/>
      <c r="S82" s="6" t="str">
        <f>IF($B82="","",IF(ISNA(MATCH($B82,账户名,0)),"※这个账户不在【参数设置】的账户档案里",IF($A82="","※没填日期，这一笔不会进任何月份的报表",IF(AND($G82&lt;&gt;"",$H82&lt;&gt;""),"※收入和支出不能同时填",IF(AND(N($G82)=0,N($H82)=0),"※收入和支出都没填",IF($E82="","※没填收支类别，分类报表会漏掉这一笔",IF(ISNA(MATCH($E82,类别表,0)),"※收支类别不在【参数设置】的清单里",IF($J82="","△"&amp;$D82&amp;" 还没填汇率，去【月度汇率】补上就自动算了",IF(YEAR($A82)&lt;&gt;管理年度,"△不是管理年度的单据，年报里看不到",IF(AND($F82="内部转账",$Q82=""),"△内部转账建议在「往来单位」写上对方账户",IF($M82&lt;0,"△这一笔之后该账户余额成负数了，核一下","")))))))))))</f>
        <v/>
      </c>
    </row>
    <row r="83" ht="16.5" spans="1:19">
      <c r="A83" s="45"/>
      <c r="B83" s="46"/>
      <c r="C83" s="12" t="str">
        <f>IF($B83="","",IFERROR(INDEX(账户银行,MATCH($B83,账户名,0)),""))</f>
        <v/>
      </c>
      <c r="D83" s="12" t="str">
        <f>IF($B83="","",IFERROR(INDEX(账户币种,MATCH($B83,账户名,0)),""))</f>
        <v/>
      </c>
      <c r="E83" s="47"/>
      <c r="F83" s="12" t="str">
        <f>IF($E83="","",IFERROR(INDEX(类别属性,MATCH($E83,类别表,0)),""))</f>
        <v/>
      </c>
      <c r="G83" s="48"/>
      <c r="H83" s="48"/>
      <c r="I83" s="49"/>
      <c r="J83" s="24" t="str">
        <f>IF(OR($A83="",$B83=""),"",IF($I83&lt;&gt;"",$I83,IF($D83=本位币,1,IFERROR(LOOKUP(2,1/((汇率月份&lt;=$A83)*(INDEX(记账汇率区,0,MATCH($D83,汇率币种头,0))&lt;&gt;"")),INDEX(记账汇率区,0,MATCH($D83,汇率币种头,0))),""))))</f>
        <v/>
      </c>
      <c r="K83" s="23" t="str">
        <f t="shared" si="2"/>
        <v/>
      </c>
      <c r="L83" s="23" t="str">
        <f t="shared" si="3"/>
        <v/>
      </c>
      <c r="M83" s="23" t="str">
        <f>IF($B83="","",ROUND(SUMIF(账户名,$B83,账户期初)+SUMIFS($K$6:K83,$B$6:B83,$B83),2))</f>
        <v/>
      </c>
      <c r="N83" s="23" t="str">
        <f>IF($B83="","",IFERROR(ROUND(INDEX(账户期初本位,MATCH($B83,账户名,0))+SUMIFS($L$6:L83,$B$6:B83,$B83),2),""))</f>
        <v/>
      </c>
      <c r="O83" s="46"/>
      <c r="P83" s="47"/>
      <c r="Q83" s="46"/>
      <c r="R83" s="46"/>
      <c r="S83" s="6" t="str">
        <f>IF($B83="","",IF(ISNA(MATCH($B83,账户名,0)),"※这个账户不在【参数设置】的账户档案里",IF($A83="","※没填日期，这一笔不会进任何月份的报表",IF(AND($G83&lt;&gt;"",$H83&lt;&gt;""),"※收入和支出不能同时填",IF(AND(N($G83)=0,N($H83)=0),"※收入和支出都没填",IF($E83="","※没填收支类别，分类报表会漏掉这一笔",IF(ISNA(MATCH($E83,类别表,0)),"※收支类别不在【参数设置】的清单里",IF($J83="","△"&amp;$D83&amp;" 还没填汇率，去【月度汇率】补上就自动算了",IF(YEAR($A83)&lt;&gt;管理年度,"△不是管理年度的单据，年报里看不到",IF(AND($F83="内部转账",$Q83=""),"△内部转账建议在「往来单位」写上对方账户",IF($M83&lt;0,"△这一笔之后该账户余额成负数了，核一下","")))))))))))</f>
        <v/>
      </c>
    </row>
    <row r="84" ht="16.5" spans="1:19">
      <c r="A84" s="45"/>
      <c r="B84" s="46"/>
      <c r="C84" s="12" t="str">
        <f>IF($B84="","",IFERROR(INDEX(账户银行,MATCH($B84,账户名,0)),""))</f>
        <v/>
      </c>
      <c r="D84" s="12" t="str">
        <f>IF($B84="","",IFERROR(INDEX(账户币种,MATCH($B84,账户名,0)),""))</f>
        <v/>
      </c>
      <c r="E84" s="47"/>
      <c r="F84" s="12" t="str">
        <f>IF($E84="","",IFERROR(INDEX(类别属性,MATCH($E84,类别表,0)),""))</f>
        <v/>
      </c>
      <c r="G84" s="48"/>
      <c r="H84" s="48"/>
      <c r="I84" s="49"/>
      <c r="J84" s="24" t="str">
        <f>IF(OR($A84="",$B84=""),"",IF($I84&lt;&gt;"",$I84,IF($D84=本位币,1,IFERROR(LOOKUP(2,1/((汇率月份&lt;=$A84)*(INDEX(记账汇率区,0,MATCH($D84,汇率币种头,0))&lt;&gt;"")),INDEX(记账汇率区,0,MATCH($D84,汇率币种头,0))),""))))</f>
        <v/>
      </c>
      <c r="K84" s="23" t="str">
        <f t="shared" si="2"/>
        <v/>
      </c>
      <c r="L84" s="23" t="str">
        <f t="shared" si="3"/>
        <v/>
      </c>
      <c r="M84" s="23" t="str">
        <f>IF($B84="","",ROUND(SUMIF(账户名,$B84,账户期初)+SUMIFS($K$6:K84,$B$6:B84,$B84),2))</f>
        <v/>
      </c>
      <c r="N84" s="23" t="str">
        <f>IF($B84="","",IFERROR(ROUND(INDEX(账户期初本位,MATCH($B84,账户名,0))+SUMIFS($L$6:L84,$B$6:B84,$B84),2),""))</f>
        <v/>
      </c>
      <c r="O84" s="46"/>
      <c r="P84" s="47"/>
      <c r="Q84" s="46"/>
      <c r="R84" s="46"/>
      <c r="S84" s="6" t="str">
        <f>IF($B84="","",IF(ISNA(MATCH($B84,账户名,0)),"※这个账户不在【参数设置】的账户档案里",IF($A84="","※没填日期，这一笔不会进任何月份的报表",IF(AND($G84&lt;&gt;"",$H84&lt;&gt;""),"※收入和支出不能同时填",IF(AND(N($G84)=0,N($H84)=0),"※收入和支出都没填",IF($E84="","※没填收支类别，分类报表会漏掉这一笔",IF(ISNA(MATCH($E84,类别表,0)),"※收支类别不在【参数设置】的清单里",IF($J84="","△"&amp;$D84&amp;" 还没填汇率，去【月度汇率】补上就自动算了",IF(YEAR($A84)&lt;&gt;管理年度,"△不是管理年度的单据，年报里看不到",IF(AND($F84="内部转账",$Q84=""),"△内部转账建议在「往来单位」写上对方账户",IF($M84&lt;0,"△这一笔之后该账户余额成负数了，核一下","")))))))))))</f>
        <v/>
      </c>
    </row>
    <row r="85" ht="16.5" spans="1:19">
      <c r="A85" s="45"/>
      <c r="B85" s="46"/>
      <c r="C85" s="12" t="str">
        <f>IF($B85="","",IFERROR(INDEX(账户银行,MATCH($B85,账户名,0)),""))</f>
        <v/>
      </c>
      <c r="D85" s="12" t="str">
        <f>IF($B85="","",IFERROR(INDEX(账户币种,MATCH($B85,账户名,0)),""))</f>
        <v/>
      </c>
      <c r="E85" s="47"/>
      <c r="F85" s="12" t="str">
        <f>IF($E85="","",IFERROR(INDEX(类别属性,MATCH($E85,类别表,0)),""))</f>
        <v/>
      </c>
      <c r="G85" s="48"/>
      <c r="H85" s="48"/>
      <c r="I85" s="49"/>
      <c r="J85" s="24" t="str">
        <f>IF(OR($A85="",$B85=""),"",IF($I85&lt;&gt;"",$I85,IF($D85=本位币,1,IFERROR(LOOKUP(2,1/((汇率月份&lt;=$A85)*(INDEX(记账汇率区,0,MATCH($D85,汇率币种头,0))&lt;&gt;"")),INDEX(记账汇率区,0,MATCH($D85,汇率币种头,0))),""))))</f>
        <v/>
      </c>
      <c r="K85" s="23" t="str">
        <f t="shared" si="2"/>
        <v/>
      </c>
      <c r="L85" s="23" t="str">
        <f t="shared" si="3"/>
        <v/>
      </c>
      <c r="M85" s="23" t="str">
        <f>IF($B85="","",ROUND(SUMIF(账户名,$B85,账户期初)+SUMIFS($K$6:K85,$B$6:B85,$B85),2))</f>
        <v/>
      </c>
      <c r="N85" s="23" t="str">
        <f>IF($B85="","",IFERROR(ROUND(INDEX(账户期初本位,MATCH($B85,账户名,0))+SUMIFS($L$6:L85,$B$6:B85,$B85),2),""))</f>
        <v/>
      </c>
      <c r="O85" s="46"/>
      <c r="P85" s="47"/>
      <c r="Q85" s="46"/>
      <c r="R85" s="46"/>
      <c r="S85" s="6" t="str">
        <f>IF($B85="","",IF(ISNA(MATCH($B85,账户名,0)),"※这个账户不在【参数设置】的账户档案里",IF($A85="","※没填日期，这一笔不会进任何月份的报表",IF(AND($G85&lt;&gt;"",$H85&lt;&gt;""),"※收入和支出不能同时填",IF(AND(N($G85)=0,N($H85)=0),"※收入和支出都没填",IF($E85="","※没填收支类别，分类报表会漏掉这一笔",IF(ISNA(MATCH($E85,类别表,0)),"※收支类别不在【参数设置】的清单里",IF($J85="","△"&amp;$D85&amp;" 还没填汇率，去【月度汇率】补上就自动算了",IF(YEAR($A85)&lt;&gt;管理年度,"△不是管理年度的单据，年报里看不到",IF(AND($F85="内部转账",$Q85=""),"△内部转账建议在「往来单位」写上对方账户",IF($M85&lt;0,"△这一笔之后该账户余额成负数了，核一下","")))))))))))</f>
        <v/>
      </c>
    </row>
    <row r="86" ht="16.5" spans="1:19">
      <c r="A86" s="45"/>
      <c r="B86" s="46"/>
      <c r="C86" s="12" t="str">
        <f>IF($B86="","",IFERROR(INDEX(账户银行,MATCH($B86,账户名,0)),""))</f>
        <v/>
      </c>
      <c r="D86" s="12" t="str">
        <f>IF($B86="","",IFERROR(INDEX(账户币种,MATCH($B86,账户名,0)),""))</f>
        <v/>
      </c>
      <c r="E86" s="47"/>
      <c r="F86" s="12" t="str">
        <f>IF($E86="","",IFERROR(INDEX(类别属性,MATCH($E86,类别表,0)),""))</f>
        <v/>
      </c>
      <c r="G86" s="48"/>
      <c r="H86" s="48"/>
      <c r="I86" s="49"/>
      <c r="J86" s="24" t="str">
        <f>IF(OR($A86="",$B86=""),"",IF($I86&lt;&gt;"",$I86,IF($D86=本位币,1,IFERROR(LOOKUP(2,1/((汇率月份&lt;=$A86)*(INDEX(记账汇率区,0,MATCH($D86,汇率币种头,0))&lt;&gt;"")),INDEX(记账汇率区,0,MATCH($D86,汇率币种头,0))),""))))</f>
        <v/>
      </c>
      <c r="K86" s="23" t="str">
        <f t="shared" si="2"/>
        <v/>
      </c>
      <c r="L86" s="23" t="str">
        <f t="shared" si="3"/>
        <v/>
      </c>
      <c r="M86" s="23" t="str">
        <f>IF($B86="","",ROUND(SUMIF(账户名,$B86,账户期初)+SUMIFS($K$6:K86,$B$6:B86,$B86),2))</f>
        <v/>
      </c>
      <c r="N86" s="23" t="str">
        <f>IF($B86="","",IFERROR(ROUND(INDEX(账户期初本位,MATCH($B86,账户名,0))+SUMIFS($L$6:L86,$B$6:B86,$B86),2),""))</f>
        <v/>
      </c>
      <c r="O86" s="46"/>
      <c r="P86" s="47"/>
      <c r="Q86" s="46"/>
      <c r="R86" s="46"/>
      <c r="S86" s="6" t="str">
        <f>IF($B86="","",IF(ISNA(MATCH($B86,账户名,0)),"※这个账户不在【参数设置】的账户档案里",IF($A86="","※没填日期，这一笔不会进任何月份的报表",IF(AND($G86&lt;&gt;"",$H86&lt;&gt;""),"※收入和支出不能同时填",IF(AND(N($G86)=0,N($H86)=0),"※收入和支出都没填",IF($E86="","※没填收支类别，分类报表会漏掉这一笔",IF(ISNA(MATCH($E86,类别表,0)),"※收支类别不在【参数设置】的清单里",IF($J86="","△"&amp;$D86&amp;" 还没填汇率，去【月度汇率】补上就自动算了",IF(YEAR($A86)&lt;&gt;管理年度,"△不是管理年度的单据，年报里看不到",IF(AND($F86="内部转账",$Q86=""),"△内部转账建议在「往来单位」写上对方账户",IF($M86&lt;0,"△这一笔之后该账户余额成负数了，核一下","")))))))))))</f>
        <v/>
      </c>
    </row>
    <row r="87" ht="16.5" spans="1:19">
      <c r="A87" s="45"/>
      <c r="B87" s="46"/>
      <c r="C87" s="12" t="str">
        <f>IF($B87="","",IFERROR(INDEX(账户银行,MATCH($B87,账户名,0)),""))</f>
        <v/>
      </c>
      <c r="D87" s="12" t="str">
        <f>IF($B87="","",IFERROR(INDEX(账户币种,MATCH($B87,账户名,0)),""))</f>
        <v/>
      </c>
      <c r="E87" s="47"/>
      <c r="F87" s="12" t="str">
        <f>IF($E87="","",IFERROR(INDEX(类别属性,MATCH($E87,类别表,0)),""))</f>
        <v/>
      </c>
      <c r="G87" s="48"/>
      <c r="H87" s="48"/>
      <c r="I87" s="49"/>
      <c r="J87" s="24" t="str">
        <f>IF(OR($A87="",$B87=""),"",IF($I87&lt;&gt;"",$I87,IF($D87=本位币,1,IFERROR(LOOKUP(2,1/((汇率月份&lt;=$A87)*(INDEX(记账汇率区,0,MATCH($D87,汇率币种头,0))&lt;&gt;"")),INDEX(记账汇率区,0,MATCH($D87,汇率币种头,0))),""))))</f>
        <v/>
      </c>
      <c r="K87" s="23" t="str">
        <f t="shared" si="2"/>
        <v/>
      </c>
      <c r="L87" s="23" t="str">
        <f t="shared" si="3"/>
        <v/>
      </c>
      <c r="M87" s="23" t="str">
        <f>IF($B87="","",ROUND(SUMIF(账户名,$B87,账户期初)+SUMIFS($K$6:K87,$B$6:B87,$B87),2))</f>
        <v/>
      </c>
      <c r="N87" s="23" t="str">
        <f>IF($B87="","",IFERROR(ROUND(INDEX(账户期初本位,MATCH($B87,账户名,0))+SUMIFS($L$6:L87,$B$6:B87,$B87),2),""))</f>
        <v/>
      </c>
      <c r="O87" s="46"/>
      <c r="P87" s="47"/>
      <c r="Q87" s="46"/>
      <c r="R87" s="46"/>
      <c r="S87" s="6" t="str">
        <f>IF($B87="","",IF(ISNA(MATCH($B87,账户名,0)),"※这个账户不在【参数设置】的账户档案里",IF($A87="","※没填日期，这一笔不会进任何月份的报表",IF(AND($G87&lt;&gt;"",$H87&lt;&gt;""),"※收入和支出不能同时填",IF(AND(N($G87)=0,N($H87)=0),"※收入和支出都没填",IF($E87="","※没填收支类别，分类报表会漏掉这一笔",IF(ISNA(MATCH($E87,类别表,0)),"※收支类别不在【参数设置】的清单里",IF($J87="","△"&amp;$D87&amp;" 还没填汇率，去【月度汇率】补上就自动算了",IF(YEAR($A87)&lt;&gt;管理年度,"△不是管理年度的单据，年报里看不到",IF(AND($F87="内部转账",$Q87=""),"△内部转账建议在「往来单位」写上对方账户",IF($M87&lt;0,"△这一笔之后该账户余额成负数了，核一下","")))))))))))</f>
        <v/>
      </c>
    </row>
    <row r="88" ht="16.5" spans="1:19">
      <c r="A88" s="45"/>
      <c r="B88" s="46"/>
      <c r="C88" s="12" t="str">
        <f>IF($B88="","",IFERROR(INDEX(账户银行,MATCH($B88,账户名,0)),""))</f>
        <v/>
      </c>
      <c r="D88" s="12" t="str">
        <f>IF($B88="","",IFERROR(INDEX(账户币种,MATCH($B88,账户名,0)),""))</f>
        <v/>
      </c>
      <c r="E88" s="47"/>
      <c r="F88" s="12" t="str">
        <f>IF($E88="","",IFERROR(INDEX(类别属性,MATCH($E88,类别表,0)),""))</f>
        <v/>
      </c>
      <c r="G88" s="48"/>
      <c r="H88" s="48"/>
      <c r="I88" s="49"/>
      <c r="J88" s="24" t="str">
        <f>IF(OR($A88="",$B88=""),"",IF($I88&lt;&gt;"",$I88,IF($D88=本位币,1,IFERROR(LOOKUP(2,1/((汇率月份&lt;=$A88)*(INDEX(记账汇率区,0,MATCH($D88,汇率币种头,0))&lt;&gt;"")),INDEX(记账汇率区,0,MATCH($D88,汇率币种头,0))),""))))</f>
        <v/>
      </c>
      <c r="K88" s="23" t="str">
        <f t="shared" si="2"/>
        <v/>
      </c>
      <c r="L88" s="23" t="str">
        <f t="shared" si="3"/>
        <v/>
      </c>
      <c r="M88" s="23" t="str">
        <f>IF($B88="","",ROUND(SUMIF(账户名,$B88,账户期初)+SUMIFS($K$6:K88,$B$6:B88,$B88),2))</f>
        <v/>
      </c>
      <c r="N88" s="23" t="str">
        <f>IF($B88="","",IFERROR(ROUND(INDEX(账户期初本位,MATCH($B88,账户名,0))+SUMIFS($L$6:L88,$B$6:B88,$B88),2),""))</f>
        <v/>
      </c>
      <c r="O88" s="46"/>
      <c r="P88" s="47"/>
      <c r="Q88" s="46"/>
      <c r="R88" s="46"/>
      <c r="S88" s="6" t="str">
        <f>IF($B88="","",IF(ISNA(MATCH($B88,账户名,0)),"※这个账户不在【参数设置】的账户档案里",IF($A88="","※没填日期，这一笔不会进任何月份的报表",IF(AND($G88&lt;&gt;"",$H88&lt;&gt;""),"※收入和支出不能同时填",IF(AND(N($G88)=0,N($H88)=0),"※收入和支出都没填",IF($E88="","※没填收支类别，分类报表会漏掉这一笔",IF(ISNA(MATCH($E88,类别表,0)),"※收支类别不在【参数设置】的清单里",IF($J88="","△"&amp;$D88&amp;" 还没填汇率，去【月度汇率】补上就自动算了",IF(YEAR($A88)&lt;&gt;管理年度,"△不是管理年度的单据，年报里看不到",IF(AND($F88="内部转账",$Q88=""),"△内部转账建议在「往来单位」写上对方账户",IF($M88&lt;0,"△这一笔之后该账户余额成负数了，核一下","")))))))))))</f>
        <v/>
      </c>
    </row>
    <row r="89" ht="16.5" spans="1:19">
      <c r="A89" s="45"/>
      <c r="B89" s="46"/>
      <c r="C89" s="12" t="str">
        <f>IF($B89="","",IFERROR(INDEX(账户银行,MATCH($B89,账户名,0)),""))</f>
        <v/>
      </c>
      <c r="D89" s="12" t="str">
        <f>IF($B89="","",IFERROR(INDEX(账户币种,MATCH($B89,账户名,0)),""))</f>
        <v/>
      </c>
      <c r="E89" s="47"/>
      <c r="F89" s="12" t="str">
        <f>IF($E89="","",IFERROR(INDEX(类别属性,MATCH($E89,类别表,0)),""))</f>
        <v/>
      </c>
      <c r="G89" s="48"/>
      <c r="H89" s="48"/>
      <c r="I89" s="49"/>
      <c r="J89" s="24" t="str">
        <f>IF(OR($A89="",$B89=""),"",IF($I89&lt;&gt;"",$I89,IF($D89=本位币,1,IFERROR(LOOKUP(2,1/((汇率月份&lt;=$A89)*(INDEX(记账汇率区,0,MATCH($D89,汇率币种头,0))&lt;&gt;"")),INDEX(记账汇率区,0,MATCH($D89,汇率币种头,0))),""))))</f>
        <v/>
      </c>
      <c r="K89" s="23" t="str">
        <f t="shared" si="2"/>
        <v/>
      </c>
      <c r="L89" s="23" t="str">
        <f t="shared" si="3"/>
        <v/>
      </c>
      <c r="M89" s="23" t="str">
        <f>IF($B89="","",ROUND(SUMIF(账户名,$B89,账户期初)+SUMIFS($K$6:K89,$B$6:B89,$B89),2))</f>
        <v/>
      </c>
      <c r="N89" s="23" t="str">
        <f>IF($B89="","",IFERROR(ROUND(INDEX(账户期初本位,MATCH($B89,账户名,0))+SUMIFS($L$6:L89,$B$6:B89,$B89),2),""))</f>
        <v/>
      </c>
      <c r="O89" s="46"/>
      <c r="P89" s="47"/>
      <c r="Q89" s="46"/>
      <c r="R89" s="46"/>
      <c r="S89" s="6" t="str">
        <f>IF($B89="","",IF(ISNA(MATCH($B89,账户名,0)),"※这个账户不在【参数设置】的账户档案里",IF($A89="","※没填日期，这一笔不会进任何月份的报表",IF(AND($G89&lt;&gt;"",$H89&lt;&gt;""),"※收入和支出不能同时填",IF(AND(N($G89)=0,N($H89)=0),"※收入和支出都没填",IF($E89="","※没填收支类别，分类报表会漏掉这一笔",IF(ISNA(MATCH($E89,类别表,0)),"※收支类别不在【参数设置】的清单里",IF($J89="","△"&amp;$D89&amp;" 还没填汇率，去【月度汇率】补上就自动算了",IF(YEAR($A89)&lt;&gt;管理年度,"△不是管理年度的单据，年报里看不到",IF(AND($F89="内部转账",$Q89=""),"△内部转账建议在「往来单位」写上对方账户",IF($M89&lt;0,"△这一笔之后该账户余额成负数了，核一下","")))))))))))</f>
        <v/>
      </c>
    </row>
    <row r="90" ht="16.5" spans="1:19">
      <c r="A90" s="45"/>
      <c r="B90" s="46"/>
      <c r="C90" s="12" t="str">
        <f>IF($B90="","",IFERROR(INDEX(账户银行,MATCH($B90,账户名,0)),""))</f>
        <v/>
      </c>
      <c r="D90" s="12" t="str">
        <f>IF($B90="","",IFERROR(INDEX(账户币种,MATCH($B90,账户名,0)),""))</f>
        <v/>
      </c>
      <c r="E90" s="47"/>
      <c r="F90" s="12" t="str">
        <f>IF($E90="","",IFERROR(INDEX(类别属性,MATCH($E90,类别表,0)),""))</f>
        <v/>
      </c>
      <c r="G90" s="48"/>
      <c r="H90" s="48"/>
      <c r="I90" s="49"/>
      <c r="J90" s="24" t="str">
        <f>IF(OR($A90="",$B90=""),"",IF($I90&lt;&gt;"",$I90,IF($D90=本位币,1,IFERROR(LOOKUP(2,1/((汇率月份&lt;=$A90)*(INDEX(记账汇率区,0,MATCH($D90,汇率币种头,0))&lt;&gt;"")),INDEX(记账汇率区,0,MATCH($D90,汇率币种头,0))),""))))</f>
        <v/>
      </c>
      <c r="K90" s="23" t="str">
        <f t="shared" si="2"/>
        <v/>
      </c>
      <c r="L90" s="23" t="str">
        <f t="shared" si="3"/>
        <v/>
      </c>
      <c r="M90" s="23" t="str">
        <f>IF($B90="","",ROUND(SUMIF(账户名,$B90,账户期初)+SUMIFS($K$6:K90,$B$6:B90,$B90),2))</f>
        <v/>
      </c>
      <c r="N90" s="23" t="str">
        <f>IF($B90="","",IFERROR(ROUND(INDEX(账户期初本位,MATCH($B90,账户名,0))+SUMIFS($L$6:L90,$B$6:B90,$B90),2),""))</f>
        <v/>
      </c>
      <c r="O90" s="46"/>
      <c r="P90" s="47"/>
      <c r="Q90" s="46"/>
      <c r="R90" s="46"/>
      <c r="S90" s="6" t="str">
        <f>IF($B90="","",IF(ISNA(MATCH($B90,账户名,0)),"※这个账户不在【参数设置】的账户档案里",IF($A90="","※没填日期，这一笔不会进任何月份的报表",IF(AND($G90&lt;&gt;"",$H90&lt;&gt;""),"※收入和支出不能同时填",IF(AND(N($G90)=0,N($H90)=0),"※收入和支出都没填",IF($E90="","※没填收支类别，分类报表会漏掉这一笔",IF(ISNA(MATCH($E90,类别表,0)),"※收支类别不在【参数设置】的清单里",IF($J90="","△"&amp;$D90&amp;" 还没填汇率，去【月度汇率】补上就自动算了",IF(YEAR($A90)&lt;&gt;管理年度,"△不是管理年度的单据，年报里看不到",IF(AND($F90="内部转账",$Q90=""),"△内部转账建议在「往来单位」写上对方账户",IF($M90&lt;0,"△这一笔之后该账户余额成负数了，核一下","")))))))))))</f>
        <v/>
      </c>
    </row>
    <row r="91" ht="16.5" spans="1:19">
      <c r="A91" s="45"/>
      <c r="B91" s="46"/>
      <c r="C91" s="12" t="str">
        <f>IF($B91="","",IFERROR(INDEX(账户银行,MATCH($B91,账户名,0)),""))</f>
        <v/>
      </c>
      <c r="D91" s="12" t="str">
        <f>IF($B91="","",IFERROR(INDEX(账户币种,MATCH($B91,账户名,0)),""))</f>
        <v/>
      </c>
      <c r="E91" s="47"/>
      <c r="F91" s="12" t="str">
        <f>IF($E91="","",IFERROR(INDEX(类别属性,MATCH($E91,类别表,0)),""))</f>
        <v/>
      </c>
      <c r="G91" s="48"/>
      <c r="H91" s="48"/>
      <c r="I91" s="49"/>
      <c r="J91" s="24" t="str">
        <f>IF(OR($A91="",$B91=""),"",IF($I91&lt;&gt;"",$I91,IF($D91=本位币,1,IFERROR(LOOKUP(2,1/((汇率月份&lt;=$A91)*(INDEX(记账汇率区,0,MATCH($D91,汇率币种头,0))&lt;&gt;"")),INDEX(记账汇率区,0,MATCH($D91,汇率币种头,0))),""))))</f>
        <v/>
      </c>
      <c r="K91" s="23" t="str">
        <f t="shared" si="2"/>
        <v/>
      </c>
      <c r="L91" s="23" t="str">
        <f t="shared" si="3"/>
        <v/>
      </c>
      <c r="M91" s="23" t="str">
        <f>IF($B91="","",ROUND(SUMIF(账户名,$B91,账户期初)+SUMIFS($K$6:K91,$B$6:B91,$B91),2))</f>
        <v/>
      </c>
      <c r="N91" s="23" t="str">
        <f>IF($B91="","",IFERROR(ROUND(INDEX(账户期初本位,MATCH($B91,账户名,0))+SUMIFS($L$6:L91,$B$6:B91,$B91),2),""))</f>
        <v/>
      </c>
      <c r="O91" s="46"/>
      <c r="P91" s="47"/>
      <c r="Q91" s="46"/>
      <c r="R91" s="46"/>
      <c r="S91" s="6" t="str">
        <f>IF($B91="","",IF(ISNA(MATCH($B91,账户名,0)),"※这个账户不在【参数设置】的账户档案里",IF($A91="","※没填日期，这一笔不会进任何月份的报表",IF(AND($G91&lt;&gt;"",$H91&lt;&gt;""),"※收入和支出不能同时填",IF(AND(N($G91)=0,N($H91)=0),"※收入和支出都没填",IF($E91="","※没填收支类别，分类报表会漏掉这一笔",IF(ISNA(MATCH($E91,类别表,0)),"※收支类别不在【参数设置】的清单里",IF($J91="","△"&amp;$D91&amp;" 还没填汇率，去【月度汇率】补上就自动算了",IF(YEAR($A91)&lt;&gt;管理年度,"△不是管理年度的单据，年报里看不到",IF(AND($F91="内部转账",$Q91=""),"△内部转账建议在「往来单位」写上对方账户",IF($M91&lt;0,"△这一笔之后该账户余额成负数了，核一下","")))))))))))</f>
        <v/>
      </c>
    </row>
    <row r="92" ht="16.5" spans="1:19">
      <c r="A92" s="45"/>
      <c r="B92" s="46"/>
      <c r="C92" s="12" t="str">
        <f>IF($B92="","",IFERROR(INDEX(账户银行,MATCH($B92,账户名,0)),""))</f>
        <v/>
      </c>
      <c r="D92" s="12" t="str">
        <f>IF($B92="","",IFERROR(INDEX(账户币种,MATCH($B92,账户名,0)),""))</f>
        <v/>
      </c>
      <c r="E92" s="47"/>
      <c r="F92" s="12" t="str">
        <f>IF($E92="","",IFERROR(INDEX(类别属性,MATCH($E92,类别表,0)),""))</f>
        <v/>
      </c>
      <c r="G92" s="48"/>
      <c r="H92" s="48"/>
      <c r="I92" s="49"/>
      <c r="J92" s="24" t="str">
        <f>IF(OR($A92="",$B92=""),"",IF($I92&lt;&gt;"",$I92,IF($D92=本位币,1,IFERROR(LOOKUP(2,1/((汇率月份&lt;=$A92)*(INDEX(记账汇率区,0,MATCH($D92,汇率币种头,0))&lt;&gt;"")),INDEX(记账汇率区,0,MATCH($D92,汇率币种头,0))),""))))</f>
        <v/>
      </c>
      <c r="K92" s="23" t="str">
        <f t="shared" si="2"/>
        <v/>
      </c>
      <c r="L92" s="23" t="str">
        <f t="shared" si="3"/>
        <v/>
      </c>
      <c r="M92" s="23" t="str">
        <f>IF($B92="","",ROUND(SUMIF(账户名,$B92,账户期初)+SUMIFS($K$6:K92,$B$6:B92,$B92),2))</f>
        <v/>
      </c>
      <c r="N92" s="23" t="str">
        <f>IF($B92="","",IFERROR(ROUND(INDEX(账户期初本位,MATCH($B92,账户名,0))+SUMIFS($L$6:L92,$B$6:B92,$B92),2),""))</f>
        <v/>
      </c>
      <c r="O92" s="46"/>
      <c r="P92" s="47"/>
      <c r="Q92" s="46"/>
      <c r="R92" s="46"/>
      <c r="S92" s="6" t="str">
        <f>IF($B92="","",IF(ISNA(MATCH($B92,账户名,0)),"※这个账户不在【参数设置】的账户档案里",IF($A92="","※没填日期，这一笔不会进任何月份的报表",IF(AND($G92&lt;&gt;"",$H92&lt;&gt;""),"※收入和支出不能同时填",IF(AND(N($G92)=0,N($H92)=0),"※收入和支出都没填",IF($E92="","※没填收支类别，分类报表会漏掉这一笔",IF(ISNA(MATCH($E92,类别表,0)),"※收支类别不在【参数设置】的清单里",IF($J92="","△"&amp;$D92&amp;" 还没填汇率，去【月度汇率】补上就自动算了",IF(YEAR($A92)&lt;&gt;管理年度,"△不是管理年度的单据，年报里看不到",IF(AND($F92="内部转账",$Q92=""),"△内部转账建议在「往来单位」写上对方账户",IF($M92&lt;0,"△这一笔之后该账户余额成负数了，核一下","")))))))))))</f>
        <v/>
      </c>
    </row>
    <row r="93" ht="16.5" spans="1:19">
      <c r="A93" s="45"/>
      <c r="B93" s="46"/>
      <c r="C93" s="12" t="str">
        <f>IF($B93="","",IFERROR(INDEX(账户银行,MATCH($B93,账户名,0)),""))</f>
        <v/>
      </c>
      <c r="D93" s="12" t="str">
        <f>IF($B93="","",IFERROR(INDEX(账户币种,MATCH($B93,账户名,0)),""))</f>
        <v/>
      </c>
      <c r="E93" s="47"/>
      <c r="F93" s="12" t="str">
        <f>IF($E93="","",IFERROR(INDEX(类别属性,MATCH($E93,类别表,0)),""))</f>
        <v/>
      </c>
      <c r="G93" s="48"/>
      <c r="H93" s="48"/>
      <c r="I93" s="49"/>
      <c r="J93" s="24" t="str">
        <f>IF(OR($A93="",$B93=""),"",IF($I93&lt;&gt;"",$I93,IF($D93=本位币,1,IFERROR(LOOKUP(2,1/((汇率月份&lt;=$A93)*(INDEX(记账汇率区,0,MATCH($D93,汇率币种头,0))&lt;&gt;"")),INDEX(记账汇率区,0,MATCH($D93,汇率币种头,0))),""))))</f>
        <v/>
      </c>
      <c r="K93" s="23" t="str">
        <f t="shared" si="2"/>
        <v/>
      </c>
      <c r="L93" s="23" t="str">
        <f t="shared" si="3"/>
        <v/>
      </c>
      <c r="M93" s="23" t="str">
        <f>IF($B93="","",ROUND(SUMIF(账户名,$B93,账户期初)+SUMIFS($K$6:K93,$B$6:B93,$B93),2))</f>
        <v/>
      </c>
      <c r="N93" s="23" t="str">
        <f>IF($B93="","",IFERROR(ROUND(INDEX(账户期初本位,MATCH($B93,账户名,0))+SUMIFS($L$6:L93,$B$6:B93,$B93),2),""))</f>
        <v/>
      </c>
      <c r="O93" s="46"/>
      <c r="P93" s="47"/>
      <c r="Q93" s="46"/>
      <c r="R93" s="46"/>
      <c r="S93" s="6" t="str">
        <f>IF($B93="","",IF(ISNA(MATCH($B93,账户名,0)),"※这个账户不在【参数设置】的账户档案里",IF($A93="","※没填日期，这一笔不会进任何月份的报表",IF(AND($G93&lt;&gt;"",$H93&lt;&gt;""),"※收入和支出不能同时填",IF(AND(N($G93)=0,N($H93)=0),"※收入和支出都没填",IF($E93="","※没填收支类别，分类报表会漏掉这一笔",IF(ISNA(MATCH($E93,类别表,0)),"※收支类别不在【参数设置】的清单里",IF($J93="","△"&amp;$D93&amp;" 还没填汇率，去【月度汇率】补上就自动算了",IF(YEAR($A93)&lt;&gt;管理年度,"△不是管理年度的单据，年报里看不到",IF(AND($F93="内部转账",$Q93=""),"△内部转账建议在「往来单位」写上对方账户",IF($M93&lt;0,"△这一笔之后该账户余额成负数了，核一下","")))))))))))</f>
        <v/>
      </c>
    </row>
    <row r="94" ht="16.5" spans="1:19">
      <c r="A94" s="45"/>
      <c r="B94" s="46"/>
      <c r="C94" s="12" t="str">
        <f>IF($B94="","",IFERROR(INDEX(账户银行,MATCH($B94,账户名,0)),""))</f>
        <v/>
      </c>
      <c r="D94" s="12" t="str">
        <f>IF($B94="","",IFERROR(INDEX(账户币种,MATCH($B94,账户名,0)),""))</f>
        <v/>
      </c>
      <c r="E94" s="47"/>
      <c r="F94" s="12" t="str">
        <f>IF($E94="","",IFERROR(INDEX(类别属性,MATCH($E94,类别表,0)),""))</f>
        <v/>
      </c>
      <c r="G94" s="48"/>
      <c r="H94" s="48"/>
      <c r="I94" s="49"/>
      <c r="J94" s="24" t="str">
        <f>IF(OR($A94="",$B94=""),"",IF($I94&lt;&gt;"",$I94,IF($D94=本位币,1,IFERROR(LOOKUP(2,1/((汇率月份&lt;=$A94)*(INDEX(记账汇率区,0,MATCH($D94,汇率币种头,0))&lt;&gt;"")),INDEX(记账汇率区,0,MATCH($D94,汇率币种头,0))),""))))</f>
        <v/>
      </c>
      <c r="K94" s="23" t="str">
        <f t="shared" si="2"/>
        <v/>
      </c>
      <c r="L94" s="23" t="str">
        <f t="shared" si="3"/>
        <v/>
      </c>
      <c r="M94" s="23" t="str">
        <f>IF($B94="","",ROUND(SUMIF(账户名,$B94,账户期初)+SUMIFS($K$6:K94,$B$6:B94,$B94),2))</f>
        <v/>
      </c>
      <c r="N94" s="23" t="str">
        <f>IF($B94="","",IFERROR(ROUND(INDEX(账户期初本位,MATCH($B94,账户名,0))+SUMIFS($L$6:L94,$B$6:B94,$B94),2),""))</f>
        <v/>
      </c>
      <c r="O94" s="46"/>
      <c r="P94" s="47"/>
      <c r="Q94" s="46"/>
      <c r="R94" s="46"/>
      <c r="S94" s="6" t="str">
        <f>IF($B94="","",IF(ISNA(MATCH($B94,账户名,0)),"※这个账户不在【参数设置】的账户档案里",IF($A94="","※没填日期，这一笔不会进任何月份的报表",IF(AND($G94&lt;&gt;"",$H94&lt;&gt;""),"※收入和支出不能同时填",IF(AND(N($G94)=0,N($H94)=0),"※收入和支出都没填",IF($E94="","※没填收支类别，分类报表会漏掉这一笔",IF(ISNA(MATCH($E94,类别表,0)),"※收支类别不在【参数设置】的清单里",IF($J94="","△"&amp;$D94&amp;" 还没填汇率，去【月度汇率】补上就自动算了",IF(YEAR($A94)&lt;&gt;管理年度,"△不是管理年度的单据，年报里看不到",IF(AND($F94="内部转账",$Q94=""),"△内部转账建议在「往来单位」写上对方账户",IF($M94&lt;0,"△这一笔之后该账户余额成负数了，核一下","")))))))))))</f>
        <v/>
      </c>
    </row>
    <row r="95" ht="16.5" spans="1:19">
      <c r="A95" s="45"/>
      <c r="B95" s="46"/>
      <c r="C95" s="12" t="str">
        <f>IF($B95="","",IFERROR(INDEX(账户银行,MATCH($B95,账户名,0)),""))</f>
        <v/>
      </c>
      <c r="D95" s="12" t="str">
        <f>IF($B95="","",IFERROR(INDEX(账户币种,MATCH($B95,账户名,0)),""))</f>
        <v/>
      </c>
      <c r="E95" s="47"/>
      <c r="F95" s="12" t="str">
        <f>IF($E95="","",IFERROR(INDEX(类别属性,MATCH($E95,类别表,0)),""))</f>
        <v/>
      </c>
      <c r="G95" s="48"/>
      <c r="H95" s="48"/>
      <c r="I95" s="49"/>
      <c r="J95" s="24" t="str">
        <f>IF(OR($A95="",$B95=""),"",IF($I95&lt;&gt;"",$I95,IF($D95=本位币,1,IFERROR(LOOKUP(2,1/((汇率月份&lt;=$A95)*(INDEX(记账汇率区,0,MATCH($D95,汇率币种头,0))&lt;&gt;"")),INDEX(记账汇率区,0,MATCH($D95,汇率币种头,0))),""))))</f>
        <v/>
      </c>
      <c r="K95" s="23" t="str">
        <f t="shared" si="2"/>
        <v/>
      </c>
      <c r="L95" s="23" t="str">
        <f t="shared" si="3"/>
        <v/>
      </c>
      <c r="M95" s="23" t="str">
        <f>IF($B95="","",ROUND(SUMIF(账户名,$B95,账户期初)+SUMIFS($K$6:K95,$B$6:B95,$B95),2))</f>
        <v/>
      </c>
      <c r="N95" s="23" t="str">
        <f>IF($B95="","",IFERROR(ROUND(INDEX(账户期初本位,MATCH($B95,账户名,0))+SUMIFS($L$6:L95,$B$6:B95,$B95),2),""))</f>
        <v/>
      </c>
      <c r="O95" s="46"/>
      <c r="P95" s="47"/>
      <c r="Q95" s="46"/>
      <c r="R95" s="46"/>
      <c r="S95" s="6" t="str">
        <f>IF($B95="","",IF(ISNA(MATCH($B95,账户名,0)),"※这个账户不在【参数设置】的账户档案里",IF($A95="","※没填日期，这一笔不会进任何月份的报表",IF(AND($G95&lt;&gt;"",$H95&lt;&gt;""),"※收入和支出不能同时填",IF(AND(N($G95)=0,N($H95)=0),"※收入和支出都没填",IF($E95="","※没填收支类别，分类报表会漏掉这一笔",IF(ISNA(MATCH($E95,类别表,0)),"※收支类别不在【参数设置】的清单里",IF($J95="","△"&amp;$D95&amp;" 还没填汇率，去【月度汇率】补上就自动算了",IF(YEAR($A95)&lt;&gt;管理年度,"△不是管理年度的单据，年报里看不到",IF(AND($F95="内部转账",$Q95=""),"△内部转账建议在「往来单位」写上对方账户",IF($M95&lt;0,"△这一笔之后该账户余额成负数了，核一下","")))))))))))</f>
        <v/>
      </c>
    </row>
    <row r="96" ht="16.5" spans="1:19">
      <c r="A96" s="45"/>
      <c r="B96" s="46"/>
      <c r="C96" s="12" t="str">
        <f>IF($B96="","",IFERROR(INDEX(账户银行,MATCH($B96,账户名,0)),""))</f>
        <v/>
      </c>
      <c r="D96" s="12" t="str">
        <f>IF($B96="","",IFERROR(INDEX(账户币种,MATCH($B96,账户名,0)),""))</f>
        <v/>
      </c>
      <c r="E96" s="47"/>
      <c r="F96" s="12" t="str">
        <f>IF($E96="","",IFERROR(INDEX(类别属性,MATCH($E96,类别表,0)),""))</f>
        <v/>
      </c>
      <c r="G96" s="48"/>
      <c r="H96" s="48"/>
      <c r="I96" s="49"/>
      <c r="J96" s="24" t="str">
        <f>IF(OR($A96="",$B96=""),"",IF($I96&lt;&gt;"",$I96,IF($D96=本位币,1,IFERROR(LOOKUP(2,1/((汇率月份&lt;=$A96)*(INDEX(记账汇率区,0,MATCH($D96,汇率币种头,0))&lt;&gt;"")),INDEX(记账汇率区,0,MATCH($D96,汇率币种头,0))),""))))</f>
        <v/>
      </c>
      <c r="K96" s="23" t="str">
        <f t="shared" si="2"/>
        <v/>
      </c>
      <c r="L96" s="23" t="str">
        <f t="shared" si="3"/>
        <v/>
      </c>
      <c r="M96" s="23" t="str">
        <f>IF($B96="","",ROUND(SUMIF(账户名,$B96,账户期初)+SUMIFS($K$6:K96,$B$6:B96,$B96),2))</f>
        <v/>
      </c>
      <c r="N96" s="23" t="str">
        <f>IF($B96="","",IFERROR(ROUND(INDEX(账户期初本位,MATCH($B96,账户名,0))+SUMIFS($L$6:L96,$B$6:B96,$B96),2),""))</f>
        <v/>
      </c>
      <c r="O96" s="46"/>
      <c r="P96" s="47"/>
      <c r="Q96" s="46"/>
      <c r="R96" s="46"/>
      <c r="S96" s="6" t="str">
        <f>IF($B96="","",IF(ISNA(MATCH($B96,账户名,0)),"※这个账户不在【参数设置】的账户档案里",IF($A96="","※没填日期，这一笔不会进任何月份的报表",IF(AND($G96&lt;&gt;"",$H96&lt;&gt;""),"※收入和支出不能同时填",IF(AND(N($G96)=0,N($H96)=0),"※收入和支出都没填",IF($E96="","※没填收支类别，分类报表会漏掉这一笔",IF(ISNA(MATCH($E96,类别表,0)),"※收支类别不在【参数设置】的清单里",IF($J96="","△"&amp;$D96&amp;" 还没填汇率，去【月度汇率】补上就自动算了",IF(YEAR($A96)&lt;&gt;管理年度,"△不是管理年度的单据，年报里看不到",IF(AND($F96="内部转账",$Q96=""),"△内部转账建议在「往来单位」写上对方账户",IF($M96&lt;0,"△这一笔之后该账户余额成负数了，核一下","")))))))))))</f>
        <v/>
      </c>
    </row>
    <row r="97" ht="16.5" spans="1:19">
      <c r="A97" s="45"/>
      <c r="B97" s="46"/>
      <c r="C97" s="12" t="str">
        <f>IF($B97="","",IFERROR(INDEX(账户银行,MATCH($B97,账户名,0)),""))</f>
        <v/>
      </c>
      <c r="D97" s="12" t="str">
        <f>IF($B97="","",IFERROR(INDEX(账户币种,MATCH($B97,账户名,0)),""))</f>
        <v/>
      </c>
      <c r="E97" s="47"/>
      <c r="F97" s="12" t="str">
        <f>IF($E97="","",IFERROR(INDEX(类别属性,MATCH($E97,类别表,0)),""))</f>
        <v/>
      </c>
      <c r="G97" s="48"/>
      <c r="H97" s="48"/>
      <c r="I97" s="49"/>
      <c r="J97" s="24" t="str">
        <f>IF(OR($A97="",$B97=""),"",IF($I97&lt;&gt;"",$I97,IF($D97=本位币,1,IFERROR(LOOKUP(2,1/((汇率月份&lt;=$A97)*(INDEX(记账汇率区,0,MATCH($D97,汇率币种头,0))&lt;&gt;"")),INDEX(记账汇率区,0,MATCH($D97,汇率币种头,0))),""))))</f>
        <v/>
      </c>
      <c r="K97" s="23" t="str">
        <f t="shared" si="2"/>
        <v/>
      </c>
      <c r="L97" s="23" t="str">
        <f t="shared" si="3"/>
        <v/>
      </c>
      <c r="M97" s="23" t="str">
        <f>IF($B97="","",ROUND(SUMIF(账户名,$B97,账户期初)+SUMIFS($K$6:K97,$B$6:B97,$B97),2))</f>
        <v/>
      </c>
      <c r="N97" s="23" t="str">
        <f>IF($B97="","",IFERROR(ROUND(INDEX(账户期初本位,MATCH($B97,账户名,0))+SUMIFS($L$6:L97,$B$6:B97,$B97),2),""))</f>
        <v/>
      </c>
      <c r="O97" s="46"/>
      <c r="P97" s="47"/>
      <c r="Q97" s="46"/>
      <c r="R97" s="46"/>
      <c r="S97" s="6" t="str">
        <f>IF($B97="","",IF(ISNA(MATCH($B97,账户名,0)),"※这个账户不在【参数设置】的账户档案里",IF($A97="","※没填日期，这一笔不会进任何月份的报表",IF(AND($G97&lt;&gt;"",$H97&lt;&gt;""),"※收入和支出不能同时填",IF(AND(N($G97)=0,N($H97)=0),"※收入和支出都没填",IF($E97="","※没填收支类别，分类报表会漏掉这一笔",IF(ISNA(MATCH($E97,类别表,0)),"※收支类别不在【参数设置】的清单里",IF($J97="","△"&amp;$D97&amp;" 还没填汇率，去【月度汇率】补上就自动算了",IF(YEAR($A97)&lt;&gt;管理年度,"△不是管理年度的单据，年报里看不到",IF(AND($F97="内部转账",$Q97=""),"△内部转账建议在「往来单位」写上对方账户",IF($M97&lt;0,"△这一笔之后该账户余额成负数了，核一下","")))))))))))</f>
        <v/>
      </c>
    </row>
    <row r="98" ht="16.5" spans="1:19">
      <c r="A98" s="45"/>
      <c r="B98" s="46"/>
      <c r="C98" s="12" t="str">
        <f>IF($B98="","",IFERROR(INDEX(账户银行,MATCH($B98,账户名,0)),""))</f>
        <v/>
      </c>
      <c r="D98" s="12" t="str">
        <f>IF($B98="","",IFERROR(INDEX(账户币种,MATCH($B98,账户名,0)),""))</f>
        <v/>
      </c>
      <c r="E98" s="47"/>
      <c r="F98" s="12" t="str">
        <f>IF($E98="","",IFERROR(INDEX(类别属性,MATCH($E98,类别表,0)),""))</f>
        <v/>
      </c>
      <c r="G98" s="48"/>
      <c r="H98" s="48"/>
      <c r="I98" s="49"/>
      <c r="J98" s="24" t="str">
        <f>IF(OR($A98="",$B98=""),"",IF($I98&lt;&gt;"",$I98,IF($D98=本位币,1,IFERROR(LOOKUP(2,1/((汇率月份&lt;=$A98)*(INDEX(记账汇率区,0,MATCH($D98,汇率币种头,0))&lt;&gt;"")),INDEX(记账汇率区,0,MATCH($D98,汇率币种头,0))),""))))</f>
        <v/>
      </c>
      <c r="K98" s="23" t="str">
        <f t="shared" si="2"/>
        <v/>
      </c>
      <c r="L98" s="23" t="str">
        <f t="shared" si="3"/>
        <v/>
      </c>
      <c r="M98" s="23" t="str">
        <f>IF($B98="","",ROUND(SUMIF(账户名,$B98,账户期初)+SUMIFS($K$6:K98,$B$6:B98,$B98),2))</f>
        <v/>
      </c>
      <c r="N98" s="23" t="str">
        <f>IF($B98="","",IFERROR(ROUND(INDEX(账户期初本位,MATCH($B98,账户名,0))+SUMIFS($L$6:L98,$B$6:B98,$B98),2),""))</f>
        <v/>
      </c>
      <c r="O98" s="46"/>
      <c r="P98" s="47"/>
      <c r="Q98" s="46"/>
      <c r="R98" s="46"/>
      <c r="S98" s="6" t="str">
        <f>IF($B98="","",IF(ISNA(MATCH($B98,账户名,0)),"※这个账户不在【参数设置】的账户档案里",IF($A98="","※没填日期，这一笔不会进任何月份的报表",IF(AND($G98&lt;&gt;"",$H98&lt;&gt;""),"※收入和支出不能同时填",IF(AND(N($G98)=0,N($H98)=0),"※收入和支出都没填",IF($E98="","※没填收支类别，分类报表会漏掉这一笔",IF(ISNA(MATCH($E98,类别表,0)),"※收支类别不在【参数设置】的清单里",IF($J98="","△"&amp;$D98&amp;" 还没填汇率，去【月度汇率】补上就自动算了",IF(YEAR($A98)&lt;&gt;管理年度,"△不是管理年度的单据，年报里看不到",IF(AND($F98="内部转账",$Q98=""),"△内部转账建议在「往来单位」写上对方账户",IF($M98&lt;0,"△这一笔之后该账户余额成负数了，核一下","")))))))))))</f>
        <v/>
      </c>
    </row>
    <row r="99" ht="16.5" spans="1:19">
      <c r="A99" s="45"/>
      <c r="B99" s="46"/>
      <c r="C99" s="12" t="str">
        <f>IF($B99="","",IFERROR(INDEX(账户银行,MATCH($B99,账户名,0)),""))</f>
        <v/>
      </c>
      <c r="D99" s="12" t="str">
        <f>IF($B99="","",IFERROR(INDEX(账户币种,MATCH($B99,账户名,0)),""))</f>
        <v/>
      </c>
      <c r="E99" s="47"/>
      <c r="F99" s="12" t="str">
        <f>IF($E99="","",IFERROR(INDEX(类别属性,MATCH($E99,类别表,0)),""))</f>
        <v/>
      </c>
      <c r="G99" s="48"/>
      <c r="H99" s="48"/>
      <c r="I99" s="49"/>
      <c r="J99" s="24" t="str">
        <f>IF(OR($A99="",$B99=""),"",IF($I99&lt;&gt;"",$I99,IF($D99=本位币,1,IFERROR(LOOKUP(2,1/((汇率月份&lt;=$A99)*(INDEX(记账汇率区,0,MATCH($D99,汇率币种头,0))&lt;&gt;"")),INDEX(记账汇率区,0,MATCH($D99,汇率币种头,0))),""))))</f>
        <v/>
      </c>
      <c r="K99" s="23" t="str">
        <f t="shared" si="2"/>
        <v/>
      </c>
      <c r="L99" s="23" t="str">
        <f t="shared" si="3"/>
        <v/>
      </c>
      <c r="M99" s="23" t="str">
        <f>IF($B99="","",ROUND(SUMIF(账户名,$B99,账户期初)+SUMIFS($K$6:K99,$B$6:B99,$B99),2))</f>
        <v/>
      </c>
      <c r="N99" s="23" t="str">
        <f>IF($B99="","",IFERROR(ROUND(INDEX(账户期初本位,MATCH($B99,账户名,0))+SUMIFS($L$6:L99,$B$6:B99,$B99),2),""))</f>
        <v/>
      </c>
      <c r="O99" s="46"/>
      <c r="P99" s="47"/>
      <c r="Q99" s="46"/>
      <c r="R99" s="46"/>
      <c r="S99" s="6" t="str">
        <f>IF($B99="","",IF(ISNA(MATCH($B99,账户名,0)),"※这个账户不在【参数设置】的账户档案里",IF($A99="","※没填日期，这一笔不会进任何月份的报表",IF(AND($G99&lt;&gt;"",$H99&lt;&gt;""),"※收入和支出不能同时填",IF(AND(N($G99)=0,N($H99)=0),"※收入和支出都没填",IF($E99="","※没填收支类别，分类报表会漏掉这一笔",IF(ISNA(MATCH($E99,类别表,0)),"※收支类别不在【参数设置】的清单里",IF($J99="","△"&amp;$D99&amp;" 还没填汇率，去【月度汇率】补上就自动算了",IF(YEAR($A99)&lt;&gt;管理年度,"△不是管理年度的单据，年报里看不到",IF(AND($F99="内部转账",$Q99=""),"△内部转账建议在「往来单位」写上对方账户",IF($M99&lt;0,"△这一笔之后该账户余额成负数了，核一下","")))))))))))</f>
        <v/>
      </c>
    </row>
    <row r="100" ht="16.5" spans="1:19">
      <c r="A100" s="45"/>
      <c r="B100" s="46"/>
      <c r="C100" s="12" t="str">
        <f>IF($B100="","",IFERROR(INDEX(账户银行,MATCH($B100,账户名,0)),""))</f>
        <v/>
      </c>
      <c r="D100" s="12" t="str">
        <f>IF($B100="","",IFERROR(INDEX(账户币种,MATCH($B100,账户名,0)),""))</f>
        <v/>
      </c>
      <c r="E100" s="47"/>
      <c r="F100" s="12" t="str">
        <f>IF($E100="","",IFERROR(INDEX(类别属性,MATCH($E100,类别表,0)),""))</f>
        <v/>
      </c>
      <c r="G100" s="48"/>
      <c r="H100" s="48"/>
      <c r="I100" s="49"/>
      <c r="J100" s="24" t="str">
        <f>IF(OR($A100="",$B100=""),"",IF($I100&lt;&gt;"",$I100,IF($D100=本位币,1,IFERROR(LOOKUP(2,1/((汇率月份&lt;=$A100)*(INDEX(记账汇率区,0,MATCH($D100,汇率币种头,0))&lt;&gt;"")),INDEX(记账汇率区,0,MATCH($D100,汇率币种头,0))),""))))</f>
        <v/>
      </c>
      <c r="K100" s="23" t="str">
        <f t="shared" si="2"/>
        <v/>
      </c>
      <c r="L100" s="23" t="str">
        <f t="shared" si="3"/>
        <v/>
      </c>
      <c r="M100" s="23" t="str">
        <f>IF($B100="","",ROUND(SUMIF(账户名,$B100,账户期初)+SUMIFS($K$6:K100,$B$6:B100,$B100),2))</f>
        <v/>
      </c>
      <c r="N100" s="23" t="str">
        <f>IF($B100="","",IFERROR(ROUND(INDEX(账户期初本位,MATCH($B100,账户名,0))+SUMIFS($L$6:L100,$B$6:B100,$B100),2),""))</f>
        <v/>
      </c>
      <c r="O100" s="46"/>
      <c r="P100" s="47"/>
      <c r="Q100" s="46"/>
      <c r="R100" s="46"/>
      <c r="S100" s="6" t="str">
        <f>IF($B100="","",IF(ISNA(MATCH($B100,账户名,0)),"※这个账户不在【参数设置】的账户档案里",IF($A100="","※没填日期，这一笔不会进任何月份的报表",IF(AND($G100&lt;&gt;"",$H100&lt;&gt;""),"※收入和支出不能同时填",IF(AND(N($G100)=0,N($H100)=0),"※收入和支出都没填",IF($E100="","※没填收支类别，分类报表会漏掉这一笔",IF(ISNA(MATCH($E100,类别表,0)),"※收支类别不在【参数设置】的清单里",IF($J100="","△"&amp;$D100&amp;" 还没填汇率，去【月度汇率】补上就自动算了",IF(YEAR($A100)&lt;&gt;管理年度,"△不是管理年度的单据，年报里看不到",IF(AND($F100="内部转账",$Q100=""),"△内部转账建议在「往来单位」写上对方账户",IF($M100&lt;0,"△这一笔之后该账户余额成负数了，核一下","")))))))))))</f>
        <v/>
      </c>
    </row>
    <row r="101" ht="16.5" spans="1:19">
      <c r="A101" s="45"/>
      <c r="B101" s="46"/>
      <c r="C101" s="12" t="str">
        <f>IF($B101="","",IFERROR(INDEX(账户银行,MATCH($B101,账户名,0)),""))</f>
        <v/>
      </c>
      <c r="D101" s="12" t="str">
        <f>IF($B101="","",IFERROR(INDEX(账户币种,MATCH($B101,账户名,0)),""))</f>
        <v/>
      </c>
      <c r="E101" s="47"/>
      <c r="F101" s="12" t="str">
        <f>IF($E101="","",IFERROR(INDEX(类别属性,MATCH($E101,类别表,0)),""))</f>
        <v/>
      </c>
      <c r="G101" s="48"/>
      <c r="H101" s="48"/>
      <c r="I101" s="49"/>
      <c r="J101" s="24" t="str">
        <f>IF(OR($A101="",$B101=""),"",IF($I101&lt;&gt;"",$I101,IF($D101=本位币,1,IFERROR(LOOKUP(2,1/((汇率月份&lt;=$A101)*(INDEX(记账汇率区,0,MATCH($D101,汇率币种头,0))&lt;&gt;"")),INDEX(记账汇率区,0,MATCH($D101,汇率币种头,0))),""))))</f>
        <v/>
      </c>
      <c r="K101" s="23" t="str">
        <f t="shared" si="2"/>
        <v/>
      </c>
      <c r="L101" s="23" t="str">
        <f t="shared" si="3"/>
        <v/>
      </c>
      <c r="M101" s="23" t="str">
        <f>IF($B101="","",ROUND(SUMIF(账户名,$B101,账户期初)+SUMIFS($K$6:K101,$B$6:B101,$B101),2))</f>
        <v/>
      </c>
      <c r="N101" s="23" t="str">
        <f>IF($B101="","",IFERROR(ROUND(INDEX(账户期初本位,MATCH($B101,账户名,0))+SUMIFS($L$6:L101,$B$6:B101,$B101),2),""))</f>
        <v/>
      </c>
      <c r="O101" s="46"/>
      <c r="P101" s="47"/>
      <c r="Q101" s="46"/>
      <c r="R101" s="46"/>
      <c r="S101" s="6" t="str">
        <f>IF($B101="","",IF(ISNA(MATCH($B101,账户名,0)),"※这个账户不在【参数设置】的账户档案里",IF($A101="","※没填日期，这一笔不会进任何月份的报表",IF(AND($G101&lt;&gt;"",$H101&lt;&gt;""),"※收入和支出不能同时填",IF(AND(N($G101)=0,N($H101)=0),"※收入和支出都没填",IF($E101="","※没填收支类别，分类报表会漏掉这一笔",IF(ISNA(MATCH($E101,类别表,0)),"※收支类别不在【参数设置】的清单里",IF($J101="","△"&amp;$D101&amp;" 还没填汇率，去【月度汇率】补上就自动算了",IF(YEAR($A101)&lt;&gt;管理年度,"△不是管理年度的单据，年报里看不到",IF(AND($F101="内部转账",$Q101=""),"△内部转账建议在「往来单位」写上对方账户",IF($M101&lt;0,"△这一笔之后该账户余额成负数了，核一下","")))))))))))</f>
        <v/>
      </c>
    </row>
    <row r="102" ht="16.5" spans="1:19">
      <c r="A102" s="45"/>
      <c r="B102" s="46"/>
      <c r="C102" s="12" t="str">
        <f>IF($B102="","",IFERROR(INDEX(账户银行,MATCH($B102,账户名,0)),""))</f>
        <v/>
      </c>
      <c r="D102" s="12" t="str">
        <f>IF($B102="","",IFERROR(INDEX(账户币种,MATCH($B102,账户名,0)),""))</f>
        <v/>
      </c>
      <c r="E102" s="47"/>
      <c r="F102" s="12" t="str">
        <f>IF($E102="","",IFERROR(INDEX(类别属性,MATCH($E102,类别表,0)),""))</f>
        <v/>
      </c>
      <c r="G102" s="48"/>
      <c r="H102" s="48"/>
      <c r="I102" s="49"/>
      <c r="J102" s="24" t="str">
        <f>IF(OR($A102="",$B102=""),"",IF($I102&lt;&gt;"",$I102,IF($D102=本位币,1,IFERROR(LOOKUP(2,1/((汇率月份&lt;=$A102)*(INDEX(记账汇率区,0,MATCH($D102,汇率币种头,0))&lt;&gt;"")),INDEX(记账汇率区,0,MATCH($D102,汇率币种头,0))),""))))</f>
        <v/>
      </c>
      <c r="K102" s="23" t="str">
        <f t="shared" si="2"/>
        <v/>
      </c>
      <c r="L102" s="23" t="str">
        <f t="shared" si="3"/>
        <v/>
      </c>
      <c r="M102" s="23" t="str">
        <f>IF($B102="","",ROUND(SUMIF(账户名,$B102,账户期初)+SUMIFS($K$6:K102,$B$6:B102,$B102),2))</f>
        <v/>
      </c>
      <c r="N102" s="23" t="str">
        <f>IF($B102="","",IFERROR(ROUND(INDEX(账户期初本位,MATCH($B102,账户名,0))+SUMIFS($L$6:L102,$B$6:B102,$B102),2),""))</f>
        <v/>
      </c>
      <c r="O102" s="46"/>
      <c r="P102" s="47"/>
      <c r="Q102" s="46"/>
      <c r="R102" s="46"/>
      <c r="S102" s="6" t="str">
        <f>IF($B102="","",IF(ISNA(MATCH($B102,账户名,0)),"※这个账户不在【参数设置】的账户档案里",IF($A102="","※没填日期，这一笔不会进任何月份的报表",IF(AND($G102&lt;&gt;"",$H102&lt;&gt;""),"※收入和支出不能同时填",IF(AND(N($G102)=0,N($H102)=0),"※收入和支出都没填",IF($E102="","※没填收支类别，分类报表会漏掉这一笔",IF(ISNA(MATCH($E102,类别表,0)),"※收支类别不在【参数设置】的清单里",IF($J102="","△"&amp;$D102&amp;" 还没填汇率，去【月度汇率】补上就自动算了",IF(YEAR($A102)&lt;&gt;管理年度,"△不是管理年度的单据，年报里看不到",IF(AND($F102="内部转账",$Q102=""),"△内部转账建议在「往来单位」写上对方账户",IF($M102&lt;0,"△这一笔之后该账户余额成负数了，核一下","")))))))))))</f>
        <v/>
      </c>
    </row>
    <row r="103" ht="16.5" spans="1:19">
      <c r="A103" s="45"/>
      <c r="B103" s="46"/>
      <c r="C103" s="12" t="str">
        <f>IF($B103="","",IFERROR(INDEX(账户银行,MATCH($B103,账户名,0)),""))</f>
        <v/>
      </c>
      <c r="D103" s="12" t="str">
        <f>IF($B103="","",IFERROR(INDEX(账户币种,MATCH($B103,账户名,0)),""))</f>
        <v/>
      </c>
      <c r="E103" s="47"/>
      <c r="F103" s="12" t="str">
        <f>IF($E103="","",IFERROR(INDEX(类别属性,MATCH($E103,类别表,0)),""))</f>
        <v/>
      </c>
      <c r="G103" s="48"/>
      <c r="H103" s="48"/>
      <c r="I103" s="49"/>
      <c r="J103" s="24" t="str">
        <f>IF(OR($A103="",$B103=""),"",IF($I103&lt;&gt;"",$I103,IF($D103=本位币,1,IFERROR(LOOKUP(2,1/((汇率月份&lt;=$A103)*(INDEX(记账汇率区,0,MATCH($D103,汇率币种头,0))&lt;&gt;"")),INDEX(记账汇率区,0,MATCH($D103,汇率币种头,0))),""))))</f>
        <v/>
      </c>
      <c r="K103" s="23" t="str">
        <f t="shared" si="2"/>
        <v/>
      </c>
      <c r="L103" s="23" t="str">
        <f t="shared" si="3"/>
        <v/>
      </c>
      <c r="M103" s="23" t="str">
        <f>IF($B103="","",ROUND(SUMIF(账户名,$B103,账户期初)+SUMIFS($K$6:K103,$B$6:B103,$B103),2))</f>
        <v/>
      </c>
      <c r="N103" s="23" t="str">
        <f>IF($B103="","",IFERROR(ROUND(INDEX(账户期初本位,MATCH($B103,账户名,0))+SUMIFS($L$6:L103,$B$6:B103,$B103),2),""))</f>
        <v/>
      </c>
      <c r="O103" s="46"/>
      <c r="P103" s="47"/>
      <c r="Q103" s="46"/>
      <c r="R103" s="46"/>
      <c r="S103" s="6" t="str">
        <f>IF($B103="","",IF(ISNA(MATCH($B103,账户名,0)),"※这个账户不在【参数设置】的账户档案里",IF($A103="","※没填日期，这一笔不会进任何月份的报表",IF(AND($G103&lt;&gt;"",$H103&lt;&gt;""),"※收入和支出不能同时填",IF(AND(N($G103)=0,N($H103)=0),"※收入和支出都没填",IF($E103="","※没填收支类别，分类报表会漏掉这一笔",IF(ISNA(MATCH($E103,类别表,0)),"※收支类别不在【参数设置】的清单里",IF($J103="","△"&amp;$D103&amp;" 还没填汇率，去【月度汇率】补上就自动算了",IF(YEAR($A103)&lt;&gt;管理年度,"△不是管理年度的单据，年报里看不到",IF(AND($F103="内部转账",$Q103=""),"△内部转账建议在「往来单位」写上对方账户",IF($M103&lt;0,"△这一笔之后该账户余额成负数了，核一下","")))))))))))</f>
        <v/>
      </c>
    </row>
    <row r="104" ht="16.5" spans="1:19">
      <c r="A104" s="45"/>
      <c r="B104" s="46"/>
      <c r="C104" s="12" t="str">
        <f>IF($B104="","",IFERROR(INDEX(账户银行,MATCH($B104,账户名,0)),""))</f>
        <v/>
      </c>
      <c r="D104" s="12" t="str">
        <f>IF($B104="","",IFERROR(INDEX(账户币种,MATCH($B104,账户名,0)),""))</f>
        <v/>
      </c>
      <c r="E104" s="47"/>
      <c r="F104" s="12" t="str">
        <f>IF($E104="","",IFERROR(INDEX(类别属性,MATCH($E104,类别表,0)),""))</f>
        <v/>
      </c>
      <c r="G104" s="48"/>
      <c r="H104" s="48"/>
      <c r="I104" s="49"/>
      <c r="J104" s="24" t="str">
        <f>IF(OR($A104="",$B104=""),"",IF($I104&lt;&gt;"",$I104,IF($D104=本位币,1,IFERROR(LOOKUP(2,1/((汇率月份&lt;=$A104)*(INDEX(记账汇率区,0,MATCH($D104,汇率币种头,0))&lt;&gt;"")),INDEX(记账汇率区,0,MATCH($D104,汇率币种头,0))),""))))</f>
        <v/>
      </c>
      <c r="K104" s="23" t="str">
        <f t="shared" si="2"/>
        <v/>
      </c>
      <c r="L104" s="23" t="str">
        <f t="shared" si="3"/>
        <v/>
      </c>
      <c r="M104" s="23" t="str">
        <f>IF($B104="","",ROUND(SUMIF(账户名,$B104,账户期初)+SUMIFS($K$6:K104,$B$6:B104,$B104),2))</f>
        <v/>
      </c>
      <c r="N104" s="23" t="str">
        <f>IF($B104="","",IFERROR(ROUND(INDEX(账户期初本位,MATCH($B104,账户名,0))+SUMIFS($L$6:L104,$B$6:B104,$B104),2),""))</f>
        <v/>
      </c>
      <c r="O104" s="46"/>
      <c r="P104" s="47"/>
      <c r="Q104" s="46"/>
      <c r="R104" s="46"/>
      <c r="S104" s="6" t="str">
        <f>IF($B104="","",IF(ISNA(MATCH($B104,账户名,0)),"※这个账户不在【参数设置】的账户档案里",IF($A104="","※没填日期，这一笔不会进任何月份的报表",IF(AND($G104&lt;&gt;"",$H104&lt;&gt;""),"※收入和支出不能同时填",IF(AND(N($G104)=0,N($H104)=0),"※收入和支出都没填",IF($E104="","※没填收支类别，分类报表会漏掉这一笔",IF(ISNA(MATCH($E104,类别表,0)),"※收支类别不在【参数设置】的清单里",IF($J104="","△"&amp;$D104&amp;" 还没填汇率，去【月度汇率】补上就自动算了",IF(YEAR($A104)&lt;&gt;管理年度,"△不是管理年度的单据，年报里看不到",IF(AND($F104="内部转账",$Q104=""),"△内部转账建议在「往来单位」写上对方账户",IF($M104&lt;0,"△这一笔之后该账户余额成负数了，核一下","")))))))))))</f>
        <v/>
      </c>
    </row>
    <row r="105" ht="16.5" spans="1:19">
      <c r="A105" s="45"/>
      <c r="B105" s="46"/>
      <c r="C105" s="12" t="str">
        <f>IF($B105="","",IFERROR(INDEX(账户银行,MATCH($B105,账户名,0)),""))</f>
        <v/>
      </c>
      <c r="D105" s="12" t="str">
        <f>IF($B105="","",IFERROR(INDEX(账户币种,MATCH($B105,账户名,0)),""))</f>
        <v/>
      </c>
      <c r="E105" s="47"/>
      <c r="F105" s="12" t="str">
        <f>IF($E105="","",IFERROR(INDEX(类别属性,MATCH($E105,类别表,0)),""))</f>
        <v/>
      </c>
      <c r="G105" s="48"/>
      <c r="H105" s="48"/>
      <c r="I105" s="49"/>
      <c r="J105" s="24" t="str">
        <f>IF(OR($A105="",$B105=""),"",IF($I105&lt;&gt;"",$I105,IF($D105=本位币,1,IFERROR(LOOKUP(2,1/((汇率月份&lt;=$A105)*(INDEX(记账汇率区,0,MATCH($D105,汇率币种头,0))&lt;&gt;"")),INDEX(记账汇率区,0,MATCH($D105,汇率币种头,0))),""))))</f>
        <v/>
      </c>
      <c r="K105" s="23" t="str">
        <f t="shared" si="2"/>
        <v/>
      </c>
      <c r="L105" s="23" t="str">
        <f t="shared" si="3"/>
        <v/>
      </c>
      <c r="M105" s="23" t="str">
        <f>IF($B105="","",ROUND(SUMIF(账户名,$B105,账户期初)+SUMIFS($K$6:K105,$B$6:B105,$B105),2))</f>
        <v/>
      </c>
      <c r="N105" s="23" t="str">
        <f>IF($B105="","",IFERROR(ROUND(INDEX(账户期初本位,MATCH($B105,账户名,0))+SUMIFS($L$6:L105,$B$6:B105,$B105),2),""))</f>
        <v/>
      </c>
      <c r="O105" s="46"/>
      <c r="P105" s="47"/>
      <c r="Q105" s="46"/>
      <c r="R105" s="46"/>
      <c r="S105" s="6" t="str">
        <f>IF($B105="","",IF(ISNA(MATCH($B105,账户名,0)),"※这个账户不在【参数设置】的账户档案里",IF($A105="","※没填日期，这一笔不会进任何月份的报表",IF(AND($G105&lt;&gt;"",$H105&lt;&gt;""),"※收入和支出不能同时填",IF(AND(N($G105)=0,N($H105)=0),"※收入和支出都没填",IF($E105="","※没填收支类别，分类报表会漏掉这一笔",IF(ISNA(MATCH($E105,类别表,0)),"※收支类别不在【参数设置】的清单里",IF($J105="","△"&amp;$D105&amp;" 还没填汇率，去【月度汇率】补上就自动算了",IF(YEAR($A105)&lt;&gt;管理年度,"△不是管理年度的单据，年报里看不到",IF(AND($F105="内部转账",$Q105=""),"△内部转账建议在「往来单位」写上对方账户",IF($M105&lt;0,"△这一笔之后该账户余额成负数了，核一下","")))))))))))</f>
        <v/>
      </c>
    </row>
    <row r="106" ht="16.5" spans="1:19">
      <c r="A106" s="45"/>
      <c r="B106" s="46"/>
      <c r="C106" s="12" t="str">
        <f>IF($B106="","",IFERROR(INDEX(账户银行,MATCH($B106,账户名,0)),""))</f>
        <v/>
      </c>
      <c r="D106" s="12" t="str">
        <f>IF($B106="","",IFERROR(INDEX(账户币种,MATCH($B106,账户名,0)),""))</f>
        <v/>
      </c>
      <c r="E106" s="47"/>
      <c r="F106" s="12" t="str">
        <f>IF($E106="","",IFERROR(INDEX(类别属性,MATCH($E106,类别表,0)),""))</f>
        <v/>
      </c>
      <c r="G106" s="48"/>
      <c r="H106" s="48"/>
      <c r="I106" s="49"/>
      <c r="J106" s="24" t="str">
        <f>IF(OR($A106="",$B106=""),"",IF($I106&lt;&gt;"",$I106,IF($D106=本位币,1,IFERROR(LOOKUP(2,1/((汇率月份&lt;=$A106)*(INDEX(记账汇率区,0,MATCH($D106,汇率币种头,0))&lt;&gt;"")),INDEX(记账汇率区,0,MATCH($D106,汇率币种头,0))),""))))</f>
        <v/>
      </c>
      <c r="K106" s="23" t="str">
        <f t="shared" si="2"/>
        <v/>
      </c>
      <c r="L106" s="23" t="str">
        <f t="shared" si="3"/>
        <v/>
      </c>
      <c r="M106" s="23" t="str">
        <f>IF($B106="","",ROUND(SUMIF(账户名,$B106,账户期初)+SUMIFS($K$6:K106,$B$6:B106,$B106),2))</f>
        <v/>
      </c>
      <c r="N106" s="23" t="str">
        <f>IF($B106="","",IFERROR(ROUND(INDEX(账户期初本位,MATCH($B106,账户名,0))+SUMIFS($L$6:L106,$B$6:B106,$B106),2),""))</f>
        <v/>
      </c>
      <c r="O106" s="46"/>
      <c r="P106" s="47"/>
      <c r="Q106" s="46"/>
      <c r="R106" s="46"/>
      <c r="S106" s="6" t="str">
        <f>IF($B106="","",IF(ISNA(MATCH($B106,账户名,0)),"※这个账户不在【参数设置】的账户档案里",IF($A106="","※没填日期，这一笔不会进任何月份的报表",IF(AND($G106&lt;&gt;"",$H106&lt;&gt;""),"※收入和支出不能同时填",IF(AND(N($G106)=0,N($H106)=0),"※收入和支出都没填",IF($E106="","※没填收支类别，分类报表会漏掉这一笔",IF(ISNA(MATCH($E106,类别表,0)),"※收支类别不在【参数设置】的清单里",IF($J106="","△"&amp;$D106&amp;" 还没填汇率，去【月度汇率】补上就自动算了",IF(YEAR($A106)&lt;&gt;管理年度,"△不是管理年度的单据，年报里看不到",IF(AND($F106="内部转账",$Q106=""),"△内部转账建议在「往来单位」写上对方账户",IF($M106&lt;0,"△这一笔之后该账户余额成负数了，核一下","")))))))))))</f>
        <v/>
      </c>
    </row>
    <row r="107" ht="16.5" spans="1:19">
      <c r="A107" s="45"/>
      <c r="B107" s="46"/>
      <c r="C107" s="12" t="str">
        <f>IF($B107="","",IFERROR(INDEX(账户银行,MATCH($B107,账户名,0)),""))</f>
        <v/>
      </c>
      <c r="D107" s="12" t="str">
        <f>IF($B107="","",IFERROR(INDEX(账户币种,MATCH($B107,账户名,0)),""))</f>
        <v/>
      </c>
      <c r="E107" s="47"/>
      <c r="F107" s="12" t="str">
        <f>IF($E107="","",IFERROR(INDEX(类别属性,MATCH($E107,类别表,0)),""))</f>
        <v/>
      </c>
      <c r="G107" s="48"/>
      <c r="H107" s="48"/>
      <c r="I107" s="49"/>
      <c r="J107" s="24" t="str">
        <f>IF(OR($A107="",$B107=""),"",IF($I107&lt;&gt;"",$I107,IF($D107=本位币,1,IFERROR(LOOKUP(2,1/((汇率月份&lt;=$A107)*(INDEX(记账汇率区,0,MATCH($D107,汇率币种头,0))&lt;&gt;"")),INDEX(记账汇率区,0,MATCH($D107,汇率币种头,0))),""))))</f>
        <v/>
      </c>
      <c r="K107" s="23" t="str">
        <f t="shared" si="2"/>
        <v/>
      </c>
      <c r="L107" s="23" t="str">
        <f t="shared" si="3"/>
        <v/>
      </c>
      <c r="M107" s="23" t="str">
        <f>IF($B107="","",ROUND(SUMIF(账户名,$B107,账户期初)+SUMIFS($K$6:K107,$B$6:B107,$B107),2))</f>
        <v/>
      </c>
      <c r="N107" s="23" t="str">
        <f>IF($B107="","",IFERROR(ROUND(INDEX(账户期初本位,MATCH($B107,账户名,0))+SUMIFS($L$6:L107,$B$6:B107,$B107),2),""))</f>
        <v/>
      </c>
      <c r="O107" s="46"/>
      <c r="P107" s="47"/>
      <c r="Q107" s="46"/>
      <c r="R107" s="46"/>
      <c r="S107" s="6" t="str">
        <f>IF($B107="","",IF(ISNA(MATCH($B107,账户名,0)),"※这个账户不在【参数设置】的账户档案里",IF($A107="","※没填日期，这一笔不会进任何月份的报表",IF(AND($G107&lt;&gt;"",$H107&lt;&gt;""),"※收入和支出不能同时填",IF(AND(N($G107)=0,N($H107)=0),"※收入和支出都没填",IF($E107="","※没填收支类别，分类报表会漏掉这一笔",IF(ISNA(MATCH($E107,类别表,0)),"※收支类别不在【参数设置】的清单里",IF($J107="","△"&amp;$D107&amp;" 还没填汇率，去【月度汇率】补上就自动算了",IF(YEAR($A107)&lt;&gt;管理年度,"△不是管理年度的单据，年报里看不到",IF(AND($F107="内部转账",$Q107=""),"△内部转账建议在「往来单位」写上对方账户",IF($M107&lt;0,"△这一笔之后该账户余额成负数了，核一下","")))))))))))</f>
        <v/>
      </c>
    </row>
    <row r="108" ht="16.5" spans="1:19">
      <c r="A108" s="45"/>
      <c r="B108" s="46"/>
      <c r="C108" s="12" t="str">
        <f>IF($B108="","",IFERROR(INDEX(账户银行,MATCH($B108,账户名,0)),""))</f>
        <v/>
      </c>
      <c r="D108" s="12" t="str">
        <f>IF($B108="","",IFERROR(INDEX(账户币种,MATCH($B108,账户名,0)),""))</f>
        <v/>
      </c>
      <c r="E108" s="47"/>
      <c r="F108" s="12" t="str">
        <f>IF($E108="","",IFERROR(INDEX(类别属性,MATCH($E108,类别表,0)),""))</f>
        <v/>
      </c>
      <c r="G108" s="48"/>
      <c r="H108" s="48"/>
      <c r="I108" s="49"/>
      <c r="J108" s="24" t="str">
        <f>IF(OR($A108="",$B108=""),"",IF($I108&lt;&gt;"",$I108,IF($D108=本位币,1,IFERROR(LOOKUP(2,1/((汇率月份&lt;=$A108)*(INDEX(记账汇率区,0,MATCH($D108,汇率币种头,0))&lt;&gt;"")),INDEX(记账汇率区,0,MATCH($D108,汇率币种头,0))),""))))</f>
        <v/>
      </c>
      <c r="K108" s="23" t="str">
        <f t="shared" si="2"/>
        <v/>
      </c>
      <c r="L108" s="23" t="str">
        <f t="shared" si="3"/>
        <v/>
      </c>
      <c r="M108" s="23" t="str">
        <f>IF($B108="","",ROUND(SUMIF(账户名,$B108,账户期初)+SUMIFS($K$6:K108,$B$6:B108,$B108),2))</f>
        <v/>
      </c>
      <c r="N108" s="23" t="str">
        <f>IF($B108="","",IFERROR(ROUND(INDEX(账户期初本位,MATCH($B108,账户名,0))+SUMIFS($L$6:L108,$B$6:B108,$B108),2),""))</f>
        <v/>
      </c>
      <c r="O108" s="46"/>
      <c r="P108" s="47"/>
      <c r="Q108" s="46"/>
      <c r="R108" s="46"/>
      <c r="S108" s="6" t="str">
        <f>IF($B108="","",IF(ISNA(MATCH($B108,账户名,0)),"※这个账户不在【参数设置】的账户档案里",IF($A108="","※没填日期，这一笔不会进任何月份的报表",IF(AND($G108&lt;&gt;"",$H108&lt;&gt;""),"※收入和支出不能同时填",IF(AND(N($G108)=0,N($H108)=0),"※收入和支出都没填",IF($E108="","※没填收支类别，分类报表会漏掉这一笔",IF(ISNA(MATCH($E108,类别表,0)),"※收支类别不在【参数设置】的清单里",IF($J108="","△"&amp;$D108&amp;" 还没填汇率，去【月度汇率】补上就自动算了",IF(YEAR($A108)&lt;&gt;管理年度,"△不是管理年度的单据，年报里看不到",IF(AND($F108="内部转账",$Q108=""),"△内部转账建议在「往来单位」写上对方账户",IF($M108&lt;0,"△这一笔之后该账户余额成负数了，核一下","")))))))))))</f>
        <v/>
      </c>
    </row>
    <row r="109" ht="16.5" spans="1:19">
      <c r="A109" s="45"/>
      <c r="B109" s="46"/>
      <c r="C109" s="12" t="str">
        <f>IF($B109="","",IFERROR(INDEX(账户银行,MATCH($B109,账户名,0)),""))</f>
        <v/>
      </c>
      <c r="D109" s="12" t="str">
        <f>IF($B109="","",IFERROR(INDEX(账户币种,MATCH($B109,账户名,0)),""))</f>
        <v/>
      </c>
      <c r="E109" s="47"/>
      <c r="F109" s="12" t="str">
        <f>IF($E109="","",IFERROR(INDEX(类别属性,MATCH($E109,类别表,0)),""))</f>
        <v/>
      </c>
      <c r="G109" s="48"/>
      <c r="H109" s="48"/>
      <c r="I109" s="49"/>
      <c r="J109" s="24" t="str">
        <f>IF(OR($A109="",$B109=""),"",IF($I109&lt;&gt;"",$I109,IF($D109=本位币,1,IFERROR(LOOKUP(2,1/((汇率月份&lt;=$A109)*(INDEX(记账汇率区,0,MATCH($D109,汇率币种头,0))&lt;&gt;"")),INDEX(记账汇率区,0,MATCH($D109,汇率币种头,0))),""))))</f>
        <v/>
      </c>
      <c r="K109" s="23" t="str">
        <f t="shared" si="2"/>
        <v/>
      </c>
      <c r="L109" s="23" t="str">
        <f t="shared" si="3"/>
        <v/>
      </c>
      <c r="M109" s="23" t="str">
        <f>IF($B109="","",ROUND(SUMIF(账户名,$B109,账户期初)+SUMIFS($K$6:K109,$B$6:B109,$B109),2))</f>
        <v/>
      </c>
      <c r="N109" s="23" t="str">
        <f>IF($B109="","",IFERROR(ROUND(INDEX(账户期初本位,MATCH($B109,账户名,0))+SUMIFS($L$6:L109,$B$6:B109,$B109),2),""))</f>
        <v/>
      </c>
      <c r="O109" s="46"/>
      <c r="P109" s="47"/>
      <c r="Q109" s="46"/>
      <c r="R109" s="46"/>
      <c r="S109" s="6" t="str">
        <f>IF($B109="","",IF(ISNA(MATCH($B109,账户名,0)),"※这个账户不在【参数设置】的账户档案里",IF($A109="","※没填日期，这一笔不会进任何月份的报表",IF(AND($G109&lt;&gt;"",$H109&lt;&gt;""),"※收入和支出不能同时填",IF(AND(N($G109)=0,N($H109)=0),"※收入和支出都没填",IF($E109="","※没填收支类别，分类报表会漏掉这一笔",IF(ISNA(MATCH($E109,类别表,0)),"※收支类别不在【参数设置】的清单里",IF($J109="","△"&amp;$D109&amp;" 还没填汇率，去【月度汇率】补上就自动算了",IF(YEAR($A109)&lt;&gt;管理年度,"△不是管理年度的单据，年报里看不到",IF(AND($F109="内部转账",$Q109=""),"△内部转账建议在「往来单位」写上对方账户",IF($M109&lt;0,"△这一笔之后该账户余额成负数了，核一下","")))))))))))</f>
        <v/>
      </c>
    </row>
    <row r="110" ht="16.5" spans="1:19">
      <c r="A110" s="45"/>
      <c r="B110" s="46"/>
      <c r="C110" s="12" t="str">
        <f>IF($B110="","",IFERROR(INDEX(账户银行,MATCH($B110,账户名,0)),""))</f>
        <v/>
      </c>
      <c r="D110" s="12" t="str">
        <f>IF($B110="","",IFERROR(INDEX(账户币种,MATCH($B110,账户名,0)),""))</f>
        <v/>
      </c>
      <c r="E110" s="47"/>
      <c r="F110" s="12" t="str">
        <f>IF($E110="","",IFERROR(INDEX(类别属性,MATCH($E110,类别表,0)),""))</f>
        <v/>
      </c>
      <c r="G110" s="48"/>
      <c r="H110" s="48"/>
      <c r="I110" s="49"/>
      <c r="J110" s="24" t="str">
        <f>IF(OR($A110="",$B110=""),"",IF($I110&lt;&gt;"",$I110,IF($D110=本位币,1,IFERROR(LOOKUP(2,1/((汇率月份&lt;=$A110)*(INDEX(记账汇率区,0,MATCH($D110,汇率币种头,0))&lt;&gt;"")),INDEX(记账汇率区,0,MATCH($D110,汇率币种头,0))),""))))</f>
        <v/>
      </c>
      <c r="K110" s="23" t="str">
        <f t="shared" si="2"/>
        <v/>
      </c>
      <c r="L110" s="23" t="str">
        <f t="shared" si="3"/>
        <v/>
      </c>
      <c r="M110" s="23" t="str">
        <f>IF($B110="","",ROUND(SUMIF(账户名,$B110,账户期初)+SUMIFS($K$6:K110,$B$6:B110,$B110),2))</f>
        <v/>
      </c>
      <c r="N110" s="23" t="str">
        <f>IF($B110="","",IFERROR(ROUND(INDEX(账户期初本位,MATCH($B110,账户名,0))+SUMIFS($L$6:L110,$B$6:B110,$B110),2),""))</f>
        <v/>
      </c>
      <c r="O110" s="46"/>
      <c r="P110" s="47"/>
      <c r="Q110" s="46"/>
      <c r="R110" s="46"/>
      <c r="S110" s="6" t="str">
        <f>IF($B110="","",IF(ISNA(MATCH($B110,账户名,0)),"※这个账户不在【参数设置】的账户档案里",IF($A110="","※没填日期，这一笔不会进任何月份的报表",IF(AND($G110&lt;&gt;"",$H110&lt;&gt;""),"※收入和支出不能同时填",IF(AND(N($G110)=0,N($H110)=0),"※收入和支出都没填",IF($E110="","※没填收支类别，分类报表会漏掉这一笔",IF(ISNA(MATCH($E110,类别表,0)),"※收支类别不在【参数设置】的清单里",IF($J110="","△"&amp;$D110&amp;" 还没填汇率，去【月度汇率】补上就自动算了",IF(YEAR($A110)&lt;&gt;管理年度,"△不是管理年度的单据，年报里看不到",IF(AND($F110="内部转账",$Q110=""),"△内部转账建议在「往来单位」写上对方账户",IF($M110&lt;0,"△这一笔之后该账户余额成负数了，核一下","")))))))))))</f>
        <v/>
      </c>
    </row>
    <row r="111" ht="16.5" spans="1:19">
      <c r="A111" s="45"/>
      <c r="B111" s="46"/>
      <c r="C111" s="12" t="str">
        <f>IF($B111="","",IFERROR(INDEX(账户银行,MATCH($B111,账户名,0)),""))</f>
        <v/>
      </c>
      <c r="D111" s="12" t="str">
        <f>IF($B111="","",IFERROR(INDEX(账户币种,MATCH($B111,账户名,0)),""))</f>
        <v/>
      </c>
      <c r="E111" s="47"/>
      <c r="F111" s="12" t="str">
        <f>IF($E111="","",IFERROR(INDEX(类别属性,MATCH($E111,类别表,0)),""))</f>
        <v/>
      </c>
      <c r="G111" s="48"/>
      <c r="H111" s="48"/>
      <c r="I111" s="49"/>
      <c r="J111" s="24" t="str">
        <f>IF(OR($A111="",$B111=""),"",IF($I111&lt;&gt;"",$I111,IF($D111=本位币,1,IFERROR(LOOKUP(2,1/((汇率月份&lt;=$A111)*(INDEX(记账汇率区,0,MATCH($D111,汇率币种头,0))&lt;&gt;"")),INDEX(记账汇率区,0,MATCH($D111,汇率币种头,0))),""))))</f>
        <v/>
      </c>
      <c r="K111" s="23" t="str">
        <f t="shared" si="2"/>
        <v/>
      </c>
      <c r="L111" s="23" t="str">
        <f t="shared" si="3"/>
        <v/>
      </c>
      <c r="M111" s="23" t="str">
        <f>IF($B111="","",ROUND(SUMIF(账户名,$B111,账户期初)+SUMIFS($K$6:K111,$B$6:B111,$B111),2))</f>
        <v/>
      </c>
      <c r="N111" s="23" t="str">
        <f>IF($B111="","",IFERROR(ROUND(INDEX(账户期初本位,MATCH($B111,账户名,0))+SUMIFS($L$6:L111,$B$6:B111,$B111),2),""))</f>
        <v/>
      </c>
      <c r="O111" s="46"/>
      <c r="P111" s="47"/>
      <c r="Q111" s="46"/>
      <c r="R111" s="46"/>
      <c r="S111" s="6" t="str">
        <f>IF($B111="","",IF(ISNA(MATCH($B111,账户名,0)),"※这个账户不在【参数设置】的账户档案里",IF($A111="","※没填日期，这一笔不会进任何月份的报表",IF(AND($G111&lt;&gt;"",$H111&lt;&gt;""),"※收入和支出不能同时填",IF(AND(N($G111)=0,N($H111)=0),"※收入和支出都没填",IF($E111="","※没填收支类别，分类报表会漏掉这一笔",IF(ISNA(MATCH($E111,类别表,0)),"※收支类别不在【参数设置】的清单里",IF($J111="","△"&amp;$D111&amp;" 还没填汇率，去【月度汇率】补上就自动算了",IF(YEAR($A111)&lt;&gt;管理年度,"△不是管理年度的单据，年报里看不到",IF(AND($F111="内部转账",$Q111=""),"△内部转账建议在「往来单位」写上对方账户",IF($M111&lt;0,"△这一笔之后该账户余额成负数了，核一下","")))))))))))</f>
        <v/>
      </c>
    </row>
    <row r="112" ht="16.5" spans="1:19">
      <c r="A112" s="45"/>
      <c r="B112" s="46"/>
      <c r="C112" s="12" t="str">
        <f>IF($B112="","",IFERROR(INDEX(账户银行,MATCH($B112,账户名,0)),""))</f>
        <v/>
      </c>
      <c r="D112" s="12" t="str">
        <f>IF($B112="","",IFERROR(INDEX(账户币种,MATCH($B112,账户名,0)),""))</f>
        <v/>
      </c>
      <c r="E112" s="47"/>
      <c r="F112" s="12" t="str">
        <f>IF($E112="","",IFERROR(INDEX(类别属性,MATCH($E112,类别表,0)),""))</f>
        <v/>
      </c>
      <c r="G112" s="48"/>
      <c r="H112" s="48"/>
      <c r="I112" s="49"/>
      <c r="J112" s="24" t="str">
        <f>IF(OR($A112="",$B112=""),"",IF($I112&lt;&gt;"",$I112,IF($D112=本位币,1,IFERROR(LOOKUP(2,1/((汇率月份&lt;=$A112)*(INDEX(记账汇率区,0,MATCH($D112,汇率币种头,0))&lt;&gt;"")),INDEX(记账汇率区,0,MATCH($D112,汇率币种头,0))),""))))</f>
        <v/>
      </c>
      <c r="K112" s="23" t="str">
        <f t="shared" si="2"/>
        <v/>
      </c>
      <c r="L112" s="23" t="str">
        <f t="shared" si="3"/>
        <v/>
      </c>
      <c r="M112" s="23" t="str">
        <f>IF($B112="","",ROUND(SUMIF(账户名,$B112,账户期初)+SUMIFS($K$6:K112,$B$6:B112,$B112),2))</f>
        <v/>
      </c>
      <c r="N112" s="23" t="str">
        <f>IF($B112="","",IFERROR(ROUND(INDEX(账户期初本位,MATCH($B112,账户名,0))+SUMIFS($L$6:L112,$B$6:B112,$B112),2),""))</f>
        <v/>
      </c>
      <c r="O112" s="46"/>
      <c r="P112" s="47"/>
      <c r="Q112" s="46"/>
      <c r="R112" s="46"/>
      <c r="S112" s="6" t="str">
        <f>IF($B112="","",IF(ISNA(MATCH($B112,账户名,0)),"※这个账户不在【参数设置】的账户档案里",IF($A112="","※没填日期，这一笔不会进任何月份的报表",IF(AND($G112&lt;&gt;"",$H112&lt;&gt;""),"※收入和支出不能同时填",IF(AND(N($G112)=0,N($H112)=0),"※收入和支出都没填",IF($E112="","※没填收支类别，分类报表会漏掉这一笔",IF(ISNA(MATCH($E112,类别表,0)),"※收支类别不在【参数设置】的清单里",IF($J112="","△"&amp;$D112&amp;" 还没填汇率，去【月度汇率】补上就自动算了",IF(YEAR($A112)&lt;&gt;管理年度,"△不是管理年度的单据，年报里看不到",IF(AND($F112="内部转账",$Q112=""),"△内部转账建议在「往来单位」写上对方账户",IF($M112&lt;0,"△这一笔之后该账户余额成负数了，核一下","")))))))))))</f>
        <v/>
      </c>
    </row>
    <row r="113" ht="16.5" spans="1:19">
      <c r="A113" s="45"/>
      <c r="B113" s="46"/>
      <c r="C113" s="12" t="str">
        <f>IF($B113="","",IFERROR(INDEX(账户银行,MATCH($B113,账户名,0)),""))</f>
        <v/>
      </c>
      <c r="D113" s="12" t="str">
        <f>IF($B113="","",IFERROR(INDEX(账户币种,MATCH($B113,账户名,0)),""))</f>
        <v/>
      </c>
      <c r="E113" s="47"/>
      <c r="F113" s="12" t="str">
        <f>IF($E113="","",IFERROR(INDEX(类别属性,MATCH($E113,类别表,0)),""))</f>
        <v/>
      </c>
      <c r="G113" s="48"/>
      <c r="H113" s="48"/>
      <c r="I113" s="49"/>
      <c r="J113" s="24" t="str">
        <f>IF(OR($A113="",$B113=""),"",IF($I113&lt;&gt;"",$I113,IF($D113=本位币,1,IFERROR(LOOKUP(2,1/((汇率月份&lt;=$A113)*(INDEX(记账汇率区,0,MATCH($D113,汇率币种头,0))&lt;&gt;"")),INDEX(记账汇率区,0,MATCH($D113,汇率币种头,0))),""))))</f>
        <v/>
      </c>
      <c r="K113" s="23" t="str">
        <f t="shared" si="2"/>
        <v/>
      </c>
      <c r="L113" s="23" t="str">
        <f t="shared" si="3"/>
        <v/>
      </c>
      <c r="M113" s="23" t="str">
        <f>IF($B113="","",ROUND(SUMIF(账户名,$B113,账户期初)+SUMIFS($K$6:K113,$B$6:B113,$B113),2))</f>
        <v/>
      </c>
      <c r="N113" s="23" t="str">
        <f>IF($B113="","",IFERROR(ROUND(INDEX(账户期初本位,MATCH($B113,账户名,0))+SUMIFS($L$6:L113,$B$6:B113,$B113),2),""))</f>
        <v/>
      </c>
      <c r="O113" s="46"/>
      <c r="P113" s="47"/>
      <c r="Q113" s="46"/>
      <c r="R113" s="46"/>
      <c r="S113" s="6" t="str">
        <f>IF($B113="","",IF(ISNA(MATCH($B113,账户名,0)),"※这个账户不在【参数设置】的账户档案里",IF($A113="","※没填日期，这一笔不会进任何月份的报表",IF(AND($G113&lt;&gt;"",$H113&lt;&gt;""),"※收入和支出不能同时填",IF(AND(N($G113)=0,N($H113)=0),"※收入和支出都没填",IF($E113="","※没填收支类别，分类报表会漏掉这一笔",IF(ISNA(MATCH($E113,类别表,0)),"※收支类别不在【参数设置】的清单里",IF($J113="","△"&amp;$D113&amp;" 还没填汇率，去【月度汇率】补上就自动算了",IF(YEAR($A113)&lt;&gt;管理年度,"△不是管理年度的单据，年报里看不到",IF(AND($F113="内部转账",$Q113=""),"△内部转账建议在「往来单位」写上对方账户",IF($M113&lt;0,"△这一笔之后该账户余额成负数了，核一下","")))))))))))</f>
        <v/>
      </c>
    </row>
    <row r="114" ht="16.5" spans="1:19">
      <c r="A114" s="45"/>
      <c r="B114" s="46"/>
      <c r="C114" s="12" t="str">
        <f>IF($B114="","",IFERROR(INDEX(账户银行,MATCH($B114,账户名,0)),""))</f>
        <v/>
      </c>
      <c r="D114" s="12" t="str">
        <f>IF($B114="","",IFERROR(INDEX(账户币种,MATCH($B114,账户名,0)),""))</f>
        <v/>
      </c>
      <c r="E114" s="47"/>
      <c r="F114" s="12" t="str">
        <f>IF($E114="","",IFERROR(INDEX(类别属性,MATCH($E114,类别表,0)),""))</f>
        <v/>
      </c>
      <c r="G114" s="48"/>
      <c r="H114" s="48"/>
      <c r="I114" s="49"/>
      <c r="J114" s="24" t="str">
        <f>IF(OR($A114="",$B114=""),"",IF($I114&lt;&gt;"",$I114,IF($D114=本位币,1,IFERROR(LOOKUP(2,1/((汇率月份&lt;=$A114)*(INDEX(记账汇率区,0,MATCH($D114,汇率币种头,0))&lt;&gt;"")),INDEX(记账汇率区,0,MATCH($D114,汇率币种头,0))),""))))</f>
        <v/>
      </c>
      <c r="K114" s="23" t="str">
        <f t="shared" si="2"/>
        <v/>
      </c>
      <c r="L114" s="23" t="str">
        <f t="shared" si="3"/>
        <v/>
      </c>
      <c r="M114" s="23" t="str">
        <f>IF($B114="","",ROUND(SUMIF(账户名,$B114,账户期初)+SUMIFS($K$6:K114,$B$6:B114,$B114),2))</f>
        <v/>
      </c>
      <c r="N114" s="23" t="str">
        <f>IF($B114="","",IFERROR(ROUND(INDEX(账户期初本位,MATCH($B114,账户名,0))+SUMIFS($L$6:L114,$B$6:B114,$B114),2),""))</f>
        <v/>
      </c>
      <c r="O114" s="46"/>
      <c r="P114" s="47"/>
      <c r="Q114" s="46"/>
      <c r="R114" s="46"/>
      <c r="S114" s="6" t="str">
        <f>IF($B114="","",IF(ISNA(MATCH($B114,账户名,0)),"※这个账户不在【参数设置】的账户档案里",IF($A114="","※没填日期，这一笔不会进任何月份的报表",IF(AND($G114&lt;&gt;"",$H114&lt;&gt;""),"※收入和支出不能同时填",IF(AND(N($G114)=0,N($H114)=0),"※收入和支出都没填",IF($E114="","※没填收支类别，分类报表会漏掉这一笔",IF(ISNA(MATCH($E114,类别表,0)),"※收支类别不在【参数设置】的清单里",IF($J114="","△"&amp;$D114&amp;" 还没填汇率，去【月度汇率】补上就自动算了",IF(YEAR($A114)&lt;&gt;管理年度,"△不是管理年度的单据，年报里看不到",IF(AND($F114="内部转账",$Q114=""),"△内部转账建议在「往来单位」写上对方账户",IF($M114&lt;0,"△这一笔之后该账户余额成负数了，核一下","")))))))))))</f>
        <v/>
      </c>
    </row>
    <row r="115" ht="16.5" spans="1:19">
      <c r="A115" s="45"/>
      <c r="B115" s="46"/>
      <c r="C115" s="12" t="str">
        <f>IF($B115="","",IFERROR(INDEX(账户银行,MATCH($B115,账户名,0)),""))</f>
        <v/>
      </c>
      <c r="D115" s="12" t="str">
        <f>IF($B115="","",IFERROR(INDEX(账户币种,MATCH($B115,账户名,0)),""))</f>
        <v/>
      </c>
      <c r="E115" s="47"/>
      <c r="F115" s="12" t="str">
        <f>IF($E115="","",IFERROR(INDEX(类别属性,MATCH($E115,类别表,0)),""))</f>
        <v/>
      </c>
      <c r="G115" s="48"/>
      <c r="H115" s="48"/>
      <c r="I115" s="49"/>
      <c r="J115" s="24" t="str">
        <f>IF(OR($A115="",$B115=""),"",IF($I115&lt;&gt;"",$I115,IF($D115=本位币,1,IFERROR(LOOKUP(2,1/((汇率月份&lt;=$A115)*(INDEX(记账汇率区,0,MATCH($D115,汇率币种头,0))&lt;&gt;"")),INDEX(记账汇率区,0,MATCH($D115,汇率币种头,0))),""))))</f>
        <v/>
      </c>
      <c r="K115" s="23" t="str">
        <f t="shared" si="2"/>
        <v/>
      </c>
      <c r="L115" s="23" t="str">
        <f t="shared" si="3"/>
        <v/>
      </c>
      <c r="M115" s="23" t="str">
        <f>IF($B115="","",ROUND(SUMIF(账户名,$B115,账户期初)+SUMIFS($K$6:K115,$B$6:B115,$B115),2))</f>
        <v/>
      </c>
      <c r="N115" s="23" t="str">
        <f>IF($B115="","",IFERROR(ROUND(INDEX(账户期初本位,MATCH($B115,账户名,0))+SUMIFS($L$6:L115,$B$6:B115,$B115),2),""))</f>
        <v/>
      </c>
      <c r="O115" s="46"/>
      <c r="P115" s="47"/>
      <c r="Q115" s="46"/>
      <c r="R115" s="46"/>
      <c r="S115" s="6" t="str">
        <f>IF($B115="","",IF(ISNA(MATCH($B115,账户名,0)),"※这个账户不在【参数设置】的账户档案里",IF($A115="","※没填日期，这一笔不会进任何月份的报表",IF(AND($G115&lt;&gt;"",$H115&lt;&gt;""),"※收入和支出不能同时填",IF(AND(N($G115)=0,N($H115)=0),"※收入和支出都没填",IF($E115="","※没填收支类别，分类报表会漏掉这一笔",IF(ISNA(MATCH($E115,类别表,0)),"※收支类别不在【参数设置】的清单里",IF($J115="","△"&amp;$D115&amp;" 还没填汇率，去【月度汇率】补上就自动算了",IF(YEAR($A115)&lt;&gt;管理年度,"△不是管理年度的单据，年报里看不到",IF(AND($F115="内部转账",$Q115=""),"△内部转账建议在「往来单位」写上对方账户",IF($M115&lt;0,"△这一笔之后该账户余额成负数了，核一下","")))))))))))</f>
        <v/>
      </c>
    </row>
    <row r="116" ht="16.5" spans="1:19">
      <c r="A116" s="45"/>
      <c r="B116" s="46"/>
      <c r="C116" s="12" t="str">
        <f>IF($B116="","",IFERROR(INDEX(账户银行,MATCH($B116,账户名,0)),""))</f>
        <v/>
      </c>
      <c r="D116" s="12" t="str">
        <f>IF($B116="","",IFERROR(INDEX(账户币种,MATCH($B116,账户名,0)),""))</f>
        <v/>
      </c>
      <c r="E116" s="47"/>
      <c r="F116" s="12" t="str">
        <f>IF($E116="","",IFERROR(INDEX(类别属性,MATCH($E116,类别表,0)),""))</f>
        <v/>
      </c>
      <c r="G116" s="48"/>
      <c r="H116" s="48"/>
      <c r="I116" s="49"/>
      <c r="J116" s="24" t="str">
        <f>IF(OR($A116="",$B116=""),"",IF($I116&lt;&gt;"",$I116,IF($D116=本位币,1,IFERROR(LOOKUP(2,1/((汇率月份&lt;=$A116)*(INDEX(记账汇率区,0,MATCH($D116,汇率币种头,0))&lt;&gt;"")),INDEX(记账汇率区,0,MATCH($D116,汇率币种头,0))),""))))</f>
        <v/>
      </c>
      <c r="K116" s="23" t="str">
        <f t="shared" si="2"/>
        <v/>
      </c>
      <c r="L116" s="23" t="str">
        <f t="shared" si="3"/>
        <v/>
      </c>
      <c r="M116" s="23" t="str">
        <f>IF($B116="","",ROUND(SUMIF(账户名,$B116,账户期初)+SUMIFS($K$6:K116,$B$6:B116,$B116),2))</f>
        <v/>
      </c>
      <c r="N116" s="23" t="str">
        <f>IF($B116="","",IFERROR(ROUND(INDEX(账户期初本位,MATCH($B116,账户名,0))+SUMIFS($L$6:L116,$B$6:B116,$B116),2),""))</f>
        <v/>
      </c>
      <c r="O116" s="46"/>
      <c r="P116" s="47"/>
      <c r="Q116" s="46"/>
      <c r="R116" s="46"/>
      <c r="S116" s="6" t="str">
        <f>IF($B116="","",IF(ISNA(MATCH($B116,账户名,0)),"※这个账户不在【参数设置】的账户档案里",IF($A116="","※没填日期，这一笔不会进任何月份的报表",IF(AND($G116&lt;&gt;"",$H116&lt;&gt;""),"※收入和支出不能同时填",IF(AND(N($G116)=0,N($H116)=0),"※收入和支出都没填",IF($E116="","※没填收支类别，分类报表会漏掉这一笔",IF(ISNA(MATCH($E116,类别表,0)),"※收支类别不在【参数设置】的清单里",IF($J116="","△"&amp;$D116&amp;" 还没填汇率，去【月度汇率】补上就自动算了",IF(YEAR($A116)&lt;&gt;管理年度,"△不是管理年度的单据，年报里看不到",IF(AND($F116="内部转账",$Q116=""),"△内部转账建议在「往来单位」写上对方账户",IF($M116&lt;0,"△这一笔之后该账户余额成负数了，核一下","")))))))))))</f>
        <v/>
      </c>
    </row>
    <row r="117" ht="16.5" spans="1:19">
      <c r="A117" s="45"/>
      <c r="B117" s="46"/>
      <c r="C117" s="12" t="str">
        <f>IF($B117="","",IFERROR(INDEX(账户银行,MATCH($B117,账户名,0)),""))</f>
        <v/>
      </c>
      <c r="D117" s="12" t="str">
        <f>IF($B117="","",IFERROR(INDEX(账户币种,MATCH($B117,账户名,0)),""))</f>
        <v/>
      </c>
      <c r="E117" s="47"/>
      <c r="F117" s="12" t="str">
        <f>IF($E117="","",IFERROR(INDEX(类别属性,MATCH($E117,类别表,0)),""))</f>
        <v/>
      </c>
      <c r="G117" s="48"/>
      <c r="H117" s="48"/>
      <c r="I117" s="49"/>
      <c r="J117" s="24" t="str">
        <f>IF(OR($A117="",$B117=""),"",IF($I117&lt;&gt;"",$I117,IF($D117=本位币,1,IFERROR(LOOKUP(2,1/((汇率月份&lt;=$A117)*(INDEX(记账汇率区,0,MATCH($D117,汇率币种头,0))&lt;&gt;"")),INDEX(记账汇率区,0,MATCH($D117,汇率币种头,0))),""))))</f>
        <v/>
      </c>
      <c r="K117" s="23" t="str">
        <f t="shared" si="2"/>
        <v/>
      </c>
      <c r="L117" s="23" t="str">
        <f t="shared" si="3"/>
        <v/>
      </c>
      <c r="M117" s="23" t="str">
        <f>IF($B117="","",ROUND(SUMIF(账户名,$B117,账户期初)+SUMIFS($K$6:K117,$B$6:B117,$B117),2))</f>
        <v/>
      </c>
      <c r="N117" s="23" t="str">
        <f>IF($B117="","",IFERROR(ROUND(INDEX(账户期初本位,MATCH($B117,账户名,0))+SUMIFS($L$6:L117,$B$6:B117,$B117),2),""))</f>
        <v/>
      </c>
      <c r="O117" s="46"/>
      <c r="P117" s="47"/>
      <c r="Q117" s="46"/>
      <c r="R117" s="46"/>
      <c r="S117" s="6" t="str">
        <f>IF($B117="","",IF(ISNA(MATCH($B117,账户名,0)),"※这个账户不在【参数设置】的账户档案里",IF($A117="","※没填日期，这一笔不会进任何月份的报表",IF(AND($G117&lt;&gt;"",$H117&lt;&gt;""),"※收入和支出不能同时填",IF(AND(N($G117)=0,N($H117)=0),"※收入和支出都没填",IF($E117="","※没填收支类别，分类报表会漏掉这一笔",IF(ISNA(MATCH($E117,类别表,0)),"※收支类别不在【参数设置】的清单里",IF($J117="","△"&amp;$D117&amp;" 还没填汇率，去【月度汇率】补上就自动算了",IF(YEAR($A117)&lt;&gt;管理年度,"△不是管理年度的单据，年报里看不到",IF(AND($F117="内部转账",$Q117=""),"△内部转账建议在「往来单位」写上对方账户",IF($M117&lt;0,"△这一笔之后该账户余额成负数了，核一下","")))))))))))</f>
        <v/>
      </c>
    </row>
    <row r="118" ht="16.5" spans="1:19">
      <c r="A118" s="45"/>
      <c r="B118" s="46"/>
      <c r="C118" s="12" t="str">
        <f>IF($B118="","",IFERROR(INDEX(账户银行,MATCH($B118,账户名,0)),""))</f>
        <v/>
      </c>
      <c r="D118" s="12" t="str">
        <f>IF($B118="","",IFERROR(INDEX(账户币种,MATCH($B118,账户名,0)),""))</f>
        <v/>
      </c>
      <c r="E118" s="47"/>
      <c r="F118" s="12" t="str">
        <f>IF($E118="","",IFERROR(INDEX(类别属性,MATCH($E118,类别表,0)),""))</f>
        <v/>
      </c>
      <c r="G118" s="48"/>
      <c r="H118" s="48"/>
      <c r="I118" s="49"/>
      <c r="J118" s="24" t="str">
        <f>IF(OR($A118="",$B118=""),"",IF($I118&lt;&gt;"",$I118,IF($D118=本位币,1,IFERROR(LOOKUP(2,1/((汇率月份&lt;=$A118)*(INDEX(记账汇率区,0,MATCH($D118,汇率币种头,0))&lt;&gt;"")),INDEX(记账汇率区,0,MATCH($D118,汇率币种头,0))),""))))</f>
        <v/>
      </c>
      <c r="K118" s="23" t="str">
        <f t="shared" si="2"/>
        <v/>
      </c>
      <c r="L118" s="23" t="str">
        <f t="shared" si="3"/>
        <v/>
      </c>
      <c r="M118" s="23" t="str">
        <f>IF($B118="","",ROUND(SUMIF(账户名,$B118,账户期初)+SUMIFS($K$6:K118,$B$6:B118,$B118),2))</f>
        <v/>
      </c>
      <c r="N118" s="23" t="str">
        <f>IF($B118="","",IFERROR(ROUND(INDEX(账户期初本位,MATCH($B118,账户名,0))+SUMIFS($L$6:L118,$B$6:B118,$B118),2),""))</f>
        <v/>
      </c>
      <c r="O118" s="46"/>
      <c r="P118" s="47"/>
      <c r="Q118" s="46"/>
      <c r="R118" s="46"/>
      <c r="S118" s="6" t="str">
        <f>IF($B118="","",IF(ISNA(MATCH($B118,账户名,0)),"※这个账户不在【参数设置】的账户档案里",IF($A118="","※没填日期，这一笔不会进任何月份的报表",IF(AND($G118&lt;&gt;"",$H118&lt;&gt;""),"※收入和支出不能同时填",IF(AND(N($G118)=0,N($H118)=0),"※收入和支出都没填",IF($E118="","※没填收支类别，分类报表会漏掉这一笔",IF(ISNA(MATCH($E118,类别表,0)),"※收支类别不在【参数设置】的清单里",IF($J118="","△"&amp;$D118&amp;" 还没填汇率，去【月度汇率】补上就自动算了",IF(YEAR($A118)&lt;&gt;管理年度,"△不是管理年度的单据，年报里看不到",IF(AND($F118="内部转账",$Q118=""),"△内部转账建议在「往来单位」写上对方账户",IF($M118&lt;0,"△这一笔之后该账户余额成负数了，核一下","")))))))))))</f>
        <v/>
      </c>
    </row>
    <row r="119" ht="16.5" spans="1:19">
      <c r="A119" s="45"/>
      <c r="B119" s="46"/>
      <c r="C119" s="12" t="str">
        <f>IF($B119="","",IFERROR(INDEX(账户银行,MATCH($B119,账户名,0)),""))</f>
        <v/>
      </c>
      <c r="D119" s="12" t="str">
        <f>IF($B119="","",IFERROR(INDEX(账户币种,MATCH($B119,账户名,0)),""))</f>
        <v/>
      </c>
      <c r="E119" s="47"/>
      <c r="F119" s="12" t="str">
        <f>IF($E119="","",IFERROR(INDEX(类别属性,MATCH($E119,类别表,0)),""))</f>
        <v/>
      </c>
      <c r="G119" s="48"/>
      <c r="H119" s="48"/>
      <c r="I119" s="49"/>
      <c r="J119" s="24" t="str">
        <f>IF(OR($A119="",$B119=""),"",IF($I119&lt;&gt;"",$I119,IF($D119=本位币,1,IFERROR(LOOKUP(2,1/((汇率月份&lt;=$A119)*(INDEX(记账汇率区,0,MATCH($D119,汇率币种头,0))&lt;&gt;"")),INDEX(记账汇率区,0,MATCH($D119,汇率币种头,0))),""))))</f>
        <v/>
      </c>
      <c r="K119" s="23" t="str">
        <f t="shared" si="2"/>
        <v/>
      </c>
      <c r="L119" s="23" t="str">
        <f t="shared" si="3"/>
        <v/>
      </c>
      <c r="M119" s="23" t="str">
        <f>IF($B119="","",ROUND(SUMIF(账户名,$B119,账户期初)+SUMIFS($K$6:K119,$B$6:B119,$B119),2))</f>
        <v/>
      </c>
      <c r="N119" s="23" t="str">
        <f>IF($B119="","",IFERROR(ROUND(INDEX(账户期初本位,MATCH($B119,账户名,0))+SUMIFS($L$6:L119,$B$6:B119,$B119),2),""))</f>
        <v/>
      </c>
      <c r="O119" s="46"/>
      <c r="P119" s="47"/>
      <c r="Q119" s="46"/>
      <c r="R119" s="46"/>
      <c r="S119" s="6" t="str">
        <f>IF($B119="","",IF(ISNA(MATCH($B119,账户名,0)),"※这个账户不在【参数设置】的账户档案里",IF($A119="","※没填日期，这一笔不会进任何月份的报表",IF(AND($G119&lt;&gt;"",$H119&lt;&gt;""),"※收入和支出不能同时填",IF(AND(N($G119)=0,N($H119)=0),"※收入和支出都没填",IF($E119="","※没填收支类别，分类报表会漏掉这一笔",IF(ISNA(MATCH($E119,类别表,0)),"※收支类别不在【参数设置】的清单里",IF($J119="","△"&amp;$D119&amp;" 还没填汇率，去【月度汇率】补上就自动算了",IF(YEAR($A119)&lt;&gt;管理年度,"△不是管理年度的单据，年报里看不到",IF(AND($F119="内部转账",$Q119=""),"△内部转账建议在「往来单位」写上对方账户",IF($M119&lt;0,"△这一笔之后该账户余额成负数了，核一下","")))))))))))</f>
        <v/>
      </c>
    </row>
    <row r="120" ht="16.5" spans="1:19">
      <c r="A120" s="45"/>
      <c r="B120" s="46"/>
      <c r="C120" s="12" t="str">
        <f>IF($B120="","",IFERROR(INDEX(账户银行,MATCH($B120,账户名,0)),""))</f>
        <v/>
      </c>
      <c r="D120" s="12" t="str">
        <f>IF($B120="","",IFERROR(INDEX(账户币种,MATCH($B120,账户名,0)),""))</f>
        <v/>
      </c>
      <c r="E120" s="47"/>
      <c r="F120" s="12" t="str">
        <f>IF($E120="","",IFERROR(INDEX(类别属性,MATCH($E120,类别表,0)),""))</f>
        <v/>
      </c>
      <c r="G120" s="48"/>
      <c r="H120" s="48"/>
      <c r="I120" s="49"/>
      <c r="J120" s="24" t="str">
        <f>IF(OR($A120="",$B120=""),"",IF($I120&lt;&gt;"",$I120,IF($D120=本位币,1,IFERROR(LOOKUP(2,1/((汇率月份&lt;=$A120)*(INDEX(记账汇率区,0,MATCH($D120,汇率币种头,0))&lt;&gt;"")),INDEX(记账汇率区,0,MATCH($D120,汇率币种头,0))),""))))</f>
        <v/>
      </c>
      <c r="K120" s="23" t="str">
        <f t="shared" si="2"/>
        <v/>
      </c>
      <c r="L120" s="23" t="str">
        <f t="shared" si="3"/>
        <v/>
      </c>
      <c r="M120" s="23" t="str">
        <f>IF($B120="","",ROUND(SUMIF(账户名,$B120,账户期初)+SUMIFS($K$6:K120,$B$6:B120,$B120),2))</f>
        <v/>
      </c>
      <c r="N120" s="23" t="str">
        <f>IF($B120="","",IFERROR(ROUND(INDEX(账户期初本位,MATCH($B120,账户名,0))+SUMIFS($L$6:L120,$B$6:B120,$B120),2),""))</f>
        <v/>
      </c>
      <c r="O120" s="46"/>
      <c r="P120" s="47"/>
      <c r="Q120" s="46"/>
      <c r="R120" s="46"/>
      <c r="S120" s="6" t="str">
        <f>IF($B120="","",IF(ISNA(MATCH($B120,账户名,0)),"※这个账户不在【参数设置】的账户档案里",IF($A120="","※没填日期，这一笔不会进任何月份的报表",IF(AND($G120&lt;&gt;"",$H120&lt;&gt;""),"※收入和支出不能同时填",IF(AND(N($G120)=0,N($H120)=0),"※收入和支出都没填",IF($E120="","※没填收支类别，分类报表会漏掉这一笔",IF(ISNA(MATCH($E120,类别表,0)),"※收支类别不在【参数设置】的清单里",IF($J120="","△"&amp;$D120&amp;" 还没填汇率，去【月度汇率】补上就自动算了",IF(YEAR($A120)&lt;&gt;管理年度,"△不是管理年度的单据，年报里看不到",IF(AND($F120="内部转账",$Q120=""),"△内部转账建议在「往来单位」写上对方账户",IF($M120&lt;0,"△这一笔之后该账户余额成负数了，核一下","")))))))))))</f>
        <v/>
      </c>
    </row>
    <row r="121" ht="16.5" spans="1:19">
      <c r="A121" s="45"/>
      <c r="B121" s="46"/>
      <c r="C121" s="12" t="str">
        <f>IF($B121="","",IFERROR(INDEX(账户银行,MATCH($B121,账户名,0)),""))</f>
        <v/>
      </c>
      <c r="D121" s="12" t="str">
        <f>IF($B121="","",IFERROR(INDEX(账户币种,MATCH($B121,账户名,0)),""))</f>
        <v/>
      </c>
      <c r="E121" s="47"/>
      <c r="F121" s="12" t="str">
        <f>IF($E121="","",IFERROR(INDEX(类别属性,MATCH($E121,类别表,0)),""))</f>
        <v/>
      </c>
      <c r="G121" s="48"/>
      <c r="H121" s="48"/>
      <c r="I121" s="49"/>
      <c r="J121" s="24" t="str">
        <f>IF(OR($A121="",$B121=""),"",IF($I121&lt;&gt;"",$I121,IF($D121=本位币,1,IFERROR(LOOKUP(2,1/((汇率月份&lt;=$A121)*(INDEX(记账汇率区,0,MATCH($D121,汇率币种头,0))&lt;&gt;"")),INDEX(记账汇率区,0,MATCH($D121,汇率币种头,0))),""))))</f>
        <v/>
      </c>
      <c r="K121" s="23" t="str">
        <f t="shared" si="2"/>
        <v/>
      </c>
      <c r="L121" s="23" t="str">
        <f t="shared" si="3"/>
        <v/>
      </c>
      <c r="M121" s="23" t="str">
        <f>IF($B121="","",ROUND(SUMIF(账户名,$B121,账户期初)+SUMIFS($K$6:K121,$B$6:B121,$B121),2))</f>
        <v/>
      </c>
      <c r="N121" s="23" t="str">
        <f>IF($B121="","",IFERROR(ROUND(INDEX(账户期初本位,MATCH($B121,账户名,0))+SUMIFS($L$6:L121,$B$6:B121,$B121),2),""))</f>
        <v/>
      </c>
      <c r="O121" s="46"/>
      <c r="P121" s="47"/>
      <c r="Q121" s="46"/>
      <c r="R121" s="46"/>
      <c r="S121" s="6" t="str">
        <f>IF($B121="","",IF(ISNA(MATCH($B121,账户名,0)),"※这个账户不在【参数设置】的账户档案里",IF($A121="","※没填日期，这一笔不会进任何月份的报表",IF(AND($G121&lt;&gt;"",$H121&lt;&gt;""),"※收入和支出不能同时填",IF(AND(N($G121)=0,N($H121)=0),"※收入和支出都没填",IF($E121="","※没填收支类别，分类报表会漏掉这一笔",IF(ISNA(MATCH($E121,类别表,0)),"※收支类别不在【参数设置】的清单里",IF($J121="","△"&amp;$D121&amp;" 还没填汇率，去【月度汇率】补上就自动算了",IF(YEAR($A121)&lt;&gt;管理年度,"△不是管理年度的单据，年报里看不到",IF(AND($F121="内部转账",$Q121=""),"△内部转账建议在「往来单位」写上对方账户",IF($M121&lt;0,"△这一笔之后该账户余额成负数了，核一下","")))))))))))</f>
        <v/>
      </c>
    </row>
    <row r="122" ht="16.5" spans="1:19">
      <c r="A122" s="45"/>
      <c r="B122" s="46"/>
      <c r="C122" s="12" t="str">
        <f>IF($B122="","",IFERROR(INDEX(账户银行,MATCH($B122,账户名,0)),""))</f>
        <v/>
      </c>
      <c r="D122" s="12" t="str">
        <f>IF($B122="","",IFERROR(INDEX(账户币种,MATCH($B122,账户名,0)),""))</f>
        <v/>
      </c>
      <c r="E122" s="47"/>
      <c r="F122" s="12" t="str">
        <f>IF($E122="","",IFERROR(INDEX(类别属性,MATCH($E122,类别表,0)),""))</f>
        <v/>
      </c>
      <c r="G122" s="48"/>
      <c r="H122" s="48"/>
      <c r="I122" s="49"/>
      <c r="J122" s="24" t="str">
        <f>IF(OR($A122="",$B122=""),"",IF($I122&lt;&gt;"",$I122,IF($D122=本位币,1,IFERROR(LOOKUP(2,1/((汇率月份&lt;=$A122)*(INDEX(记账汇率区,0,MATCH($D122,汇率币种头,0))&lt;&gt;"")),INDEX(记账汇率区,0,MATCH($D122,汇率币种头,0))),""))))</f>
        <v/>
      </c>
      <c r="K122" s="23" t="str">
        <f t="shared" si="2"/>
        <v/>
      </c>
      <c r="L122" s="23" t="str">
        <f t="shared" si="3"/>
        <v/>
      </c>
      <c r="M122" s="23" t="str">
        <f>IF($B122="","",ROUND(SUMIF(账户名,$B122,账户期初)+SUMIFS($K$6:K122,$B$6:B122,$B122),2))</f>
        <v/>
      </c>
      <c r="N122" s="23" t="str">
        <f>IF($B122="","",IFERROR(ROUND(INDEX(账户期初本位,MATCH($B122,账户名,0))+SUMIFS($L$6:L122,$B$6:B122,$B122),2),""))</f>
        <v/>
      </c>
      <c r="O122" s="46"/>
      <c r="P122" s="47"/>
      <c r="Q122" s="46"/>
      <c r="R122" s="46"/>
      <c r="S122" s="6" t="str">
        <f>IF($B122="","",IF(ISNA(MATCH($B122,账户名,0)),"※这个账户不在【参数设置】的账户档案里",IF($A122="","※没填日期，这一笔不会进任何月份的报表",IF(AND($G122&lt;&gt;"",$H122&lt;&gt;""),"※收入和支出不能同时填",IF(AND(N($G122)=0,N($H122)=0),"※收入和支出都没填",IF($E122="","※没填收支类别，分类报表会漏掉这一笔",IF(ISNA(MATCH($E122,类别表,0)),"※收支类别不在【参数设置】的清单里",IF($J122="","△"&amp;$D122&amp;" 还没填汇率，去【月度汇率】补上就自动算了",IF(YEAR($A122)&lt;&gt;管理年度,"△不是管理年度的单据，年报里看不到",IF(AND($F122="内部转账",$Q122=""),"△内部转账建议在「往来单位」写上对方账户",IF($M122&lt;0,"△这一笔之后该账户余额成负数了，核一下","")))))))))))</f>
        <v/>
      </c>
    </row>
    <row r="123" ht="16.5" spans="1:19">
      <c r="A123" s="45"/>
      <c r="B123" s="46"/>
      <c r="C123" s="12" t="str">
        <f>IF($B123="","",IFERROR(INDEX(账户银行,MATCH($B123,账户名,0)),""))</f>
        <v/>
      </c>
      <c r="D123" s="12" t="str">
        <f>IF($B123="","",IFERROR(INDEX(账户币种,MATCH($B123,账户名,0)),""))</f>
        <v/>
      </c>
      <c r="E123" s="47"/>
      <c r="F123" s="12" t="str">
        <f>IF($E123="","",IFERROR(INDEX(类别属性,MATCH($E123,类别表,0)),""))</f>
        <v/>
      </c>
      <c r="G123" s="48"/>
      <c r="H123" s="48"/>
      <c r="I123" s="49"/>
      <c r="J123" s="24" t="str">
        <f>IF(OR($A123="",$B123=""),"",IF($I123&lt;&gt;"",$I123,IF($D123=本位币,1,IFERROR(LOOKUP(2,1/((汇率月份&lt;=$A123)*(INDEX(记账汇率区,0,MATCH($D123,汇率币种头,0))&lt;&gt;"")),INDEX(记账汇率区,0,MATCH($D123,汇率币种头,0))),""))))</f>
        <v/>
      </c>
      <c r="K123" s="23" t="str">
        <f t="shared" si="2"/>
        <v/>
      </c>
      <c r="L123" s="23" t="str">
        <f t="shared" si="3"/>
        <v/>
      </c>
      <c r="M123" s="23" t="str">
        <f>IF($B123="","",ROUND(SUMIF(账户名,$B123,账户期初)+SUMIFS($K$6:K123,$B$6:B123,$B123),2))</f>
        <v/>
      </c>
      <c r="N123" s="23" t="str">
        <f>IF($B123="","",IFERROR(ROUND(INDEX(账户期初本位,MATCH($B123,账户名,0))+SUMIFS($L$6:L123,$B$6:B123,$B123),2),""))</f>
        <v/>
      </c>
      <c r="O123" s="46"/>
      <c r="P123" s="47"/>
      <c r="Q123" s="46"/>
      <c r="R123" s="46"/>
      <c r="S123" s="6" t="str">
        <f>IF($B123="","",IF(ISNA(MATCH($B123,账户名,0)),"※这个账户不在【参数设置】的账户档案里",IF($A123="","※没填日期，这一笔不会进任何月份的报表",IF(AND($G123&lt;&gt;"",$H123&lt;&gt;""),"※收入和支出不能同时填",IF(AND(N($G123)=0,N($H123)=0),"※收入和支出都没填",IF($E123="","※没填收支类别，分类报表会漏掉这一笔",IF(ISNA(MATCH($E123,类别表,0)),"※收支类别不在【参数设置】的清单里",IF($J123="","△"&amp;$D123&amp;" 还没填汇率，去【月度汇率】补上就自动算了",IF(YEAR($A123)&lt;&gt;管理年度,"△不是管理年度的单据，年报里看不到",IF(AND($F123="内部转账",$Q123=""),"△内部转账建议在「往来单位」写上对方账户",IF($M123&lt;0,"△这一笔之后该账户余额成负数了，核一下","")))))))))))</f>
        <v/>
      </c>
    </row>
    <row r="124" ht="16.5" spans="1:19">
      <c r="A124" s="45"/>
      <c r="B124" s="46"/>
      <c r="C124" s="12" t="str">
        <f>IF($B124="","",IFERROR(INDEX(账户银行,MATCH($B124,账户名,0)),""))</f>
        <v/>
      </c>
      <c r="D124" s="12" t="str">
        <f>IF($B124="","",IFERROR(INDEX(账户币种,MATCH($B124,账户名,0)),""))</f>
        <v/>
      </c>
      <c r="E124" s="47"/>
      <c r="F124" s="12" t="str">
        <f>IF($E124="","",IFERROR(INDEX(类别属性,MATCH($E124,类别表,0)),""))</f>
        <v/>
      </c>
      <c r="G124" s="48"/>
      <c r="H124" s="48"/>
      <c r="I124" s="49"/>
      <c r="J124" s="24" t="str">
        <f>IF(OR($A124="",$B124=""),"",IF($I124&lt;&gt;"",$I124,IF($D124=本位币,1,IFERROR(LOOKUP(2,1/((汇率月份&lt;=$A124)*(INDEX(记账汇率区,0,MATCH($D124,汇率币种头,0))&lt;&gt;"")),INDEX(记账汇率区,0,MATCH($D124,汇率币种头,0))),""))))</f>
        <v/>
      </c>
      <c r="K124" s="23" t="str">
        <f t="shared" si="2"/>
        <v/>
      </c>
      <c r="L124" s="23" t="str">
        <f t="shared" si="3"/>
        <v/>
      </c>
      <c r="M124" s="23" t="str">
        <f>IF($B124="","",ROUND(SUMIF(账户名,$B124,账户期初)+SUMIFS($K$6:K124,$B$6:B124,$B124),2))</f>
        <v/>
      </c>
      <c r="N124" s="23" t="str">
        <f>IF($B124="","",IFERROR(ROUND(INDEX(账户期初本位,MATCH($B124,账户名,0))+SUMIFS($L$6:L124,$B$6:B124,$B124),2),""))</f>
        <v/>
      </c>
      <c r="O124" s="46"/>
      <c r="P124" s="47"/>
      <c r="Q124" s="46"/>
      <c r="R124" s="46"/>
      <c r="S124" s="6" t="str">
        <f>IF($B124="","",IF(ISNA(MATCH($B124,账户名,0)),"※这个账户不在【参数设置】的账户档案里",IF($A124="","※没填日期，这一笔不会进任何月份的报表",IF(AND($G124&lt;&gt;"",$H124&lt;&gt;""),"※收入和支出不能同时填",IF(AND(N($G124)=0,N($H124)=0),"※收入和支出都没填",IF($E124="","※没填收支类别，分类报表会漏掉这一笔",IF(ISNA(MATCH($E124,类别表,0)),"※收支类别不在【参数设置】的清单里",IF($J124="","△"&amp;$D124&amp;" 还没填汇率，去【月度汇率】补上就自动算了",IF(YEAR($A124)&lt;&gt;管理年度,"△不是管理年度的单据，年报里看不到",IF(AND($F124="内部转账",$Q124=""),"△内部转账建议在「往来单位」写上对方账户",IF($M124&lt;0,"△这一笔之后该账户余额成负数了，核一下","")))))))))))</f>
        <v/>
      </c>
    </row>
    <row r="125" ht="16.5" spans="1:19">
      <c r="A125" s="45"/>
      <c r="B125" s="46"/>
      <c r="C125" s="12" t="str">
        <f>IF($B125="","",IFERROR(INDEX(账户银行,MATCH($B125,账户名,0)),""))</f>
        <v/>
      </c>
      <c r="D125" s="12" t="str">
        <f>IF($B125="","",IFERROR(INDEX(账户币种,MATCH($B125,账户名,0)),""))</f>
        <v/>
      </c>
      <c r="E125" s="47"/>
      <c r="F125" s="12" t="str">
        <f>IF($E125="","",IFERROR(INDEX(类别属性,MATCH($E125,类别表,0)),""))</f>
        <v/>
      </c>
      <c r="G125" s="48"/>
      <c r="H125" s="48"/>
      <c r="I125" s="49"/>
      <c r="J125" s="24" t="str">
        <f>IF(OR($A125="",$B125=""),"",IF($I125&lt;&gt;"",$I125,IF($D125=本位币,1,IFERROR(LOOKUP(2,1/((汇率月份&lt;=$A125)*(INDEX(记账汇率区,0,MATCH($D125,汇率币种头,0))&lt;&gt;"")),INDEX(记账汇率区,0,MATCH($D125,汇率币种头,0))),""))))</f>
        <v/>
      </c>
      <c r="K125" s="23" t="str">
        <f t="shared" si="2"/>
        <v/>
      </c>
      <c r="L125" s="23" t="str">
        <f t="shared" si="3"/>
        <v/>
      </c>
      <c r="M125" s="23" t="str">
        <f>IF($B125="","",ROUND(SUMIF(账户名,$B125,账户期初)+SUMIFS($K$6:K125,$B$6:B125,$B125),2))</f>
        <v/>
      </c>
      <c r="N125" s="23" t="str">
        <f>IF($B125="","",IFERROR(ROUND(INDEX(账户期初本位,MATCH($B125,账户名,0))+SUMIFS($L$6:L125,$B$6:B125,$B125),2),""))</f>
        <v/>
      </c>
      <c r="O125" s="46"/>
      <c r="P125" s="47"/>
      <c r="Q125" s="46"/>
      <c r="R125" s="46"/>
      <c r="S125" s="6" t="str">
        <f>IF($B125="","",IF(ISNA(MATCH($B125,账户名,0)),"※这个账户不在【参数设置】的账户档案里",IF($A125="","※没填日期，这一笔不会进任何月份的报表",IF(AND($G125&lt;&gt;"",$H125&lt;&gt;""),"※收入和支出不能同时填",IF(AND(N($G125)=0,N($H125)=0),"※收入和支出都没填",IF($E125="","※没填收支类别，分类报表会漏掉这一笔",IF(ISNA(MATCH($E125,类别表,0)),"※收支类别不在【参数设置】的清单里",IF($J125="","△"&amp;$D125&amp;" 还没填汇率，去【月度汇率】补上就自动算了",IF(YEAR($A125)&lt;&gt;管理年度,"△不是管理年度的单据，年报里看不到",IF(AND($F125="内部转账",$Q125=""),"△内部转账建议在「往来单位」写上对方账户",IF($M125&lt;0,"△这一笔之后该账户余额成负数了，核一下","")))))))))))</f>
        <v/>
      </c>
    </row>
    <row r="126" ht="16.5" spans="1:19">
      <c r="A126" s="45"/>
      <c r="B126" s="46"/>
      <c r="C126" s="12" t="str">
        <f>IF($B126="","",IFERROR(INDEX(账户银行,MATCH($B126,账户名,0)),""))</f>
        <v/>
      </c>
      <c r="D126" s="12" t="str">
        <f>IF($B126="","",IFERROR(INDEX(账户币种,MATCH($B126,账户名,0)),""))</f>
        <v/>
      </c>
      <c r="E126" s="47"/>
      <c r="F126" s="12" t="str">
        <f>IF($E126="","",IFERROR(INDEX(类别属性,MATCH($E126,类别表,0)),""))</f>
        <v/>
      </c>
      <c r="G126" s="48"/>
      <c r="H126" s="48"/>
      <c r="I126" s="49"/>
      <c r="J126" s="24" t="str">
        <f>IF(OR($A126="",$B126=""),"",IF($I126&lt;&gt;"",$I126,IF($D126=本位币,1,IFERROR(LOOKUP(2,1/((汇率月份&lt;=$A126)*(INDEX(记账汇率区,0,MATCH($D126,汇率币种头,0))&lt;&gt;"")),INDEX(记账汇率区,0,MATCH($D126,汇率币种头,0))),""))))</f>
        <v/>
      </c>
      <c r="K126" s="23" t="str">
        <f t="shared" si="2"/>
        <v/>
      </c>
      <c r="L126" s="23" t="str">
        <f t="shared" si="3"/>
        <v/>
      </c>
      <c r="M126" s="23" t="str">
        <f>IF($B126="","",ROUND(SUMIF(账户名,$B126,账户期初)+SUMIFS($K$6:K126,$B$6:B126,$B126),2))</f>
        <v/>
      </c>
      <c r="N126" s="23" t="str">
        <f>IF($B126="","",IFERROR(ROUND(INDEX(账户期初本位,MATCH($B126,账户名,0))+SUMIFS($L$6:L126,$B$6:B126,$B126),2),""))</f>
        <v/>
      </c>
      <c r="O126" s="46"/>
      <c r="P126" s="47"/>
      <c r="Q126" s="46"/>
      <c r="R126" s="46"/>
      <c r="S126" s="6" t="str">
        <f>IF($B126="","",IF(ISNA(MATCH($B126,账户名,0)),"※这个账户不在【参数设置】的账户档案里",IF($A126="","※没填日期，这一笔不会进任何月份的报表",IF(AND($G126&lt;&gt;"",$H126&lt;&gt;""),"※收入和支出不能同时填",IF(AND(N($G126)=0,N($H126)=0),"※收入和支出都没填",IF($E126="","※没填收支类别，分类报表会漏掉这一笔",IF(ISNA(MATCH($E126,类别表,0)),"※收支类别不在【参数设置】的清单里",IF($J126="","△"&amp;$D126&amp;" 还没填汇率，去【月度汇率】补上就自动算了",IF(YEAR($A126)&lt;&gt;管理年度,"△不是管理年度的单据，年报里看不到",IF(AND($F126="内部转账",$Q126=""),"△内部转账建议在「往来单位」写上对方账户",IF($M126&lt;0,"△这一笔之后该账户余额成负数了，核一下","")))))))))))</f>
        <v/>
      </c>
    </row>
    <row r="127" ht="16.5" spans="1:19">
      <c r="A127" s="45"/>
      <c r="B127" s="46"/>
      <c r="C127" s="12" t="str">
        <f>IF($B127="","",IFERROR(INDEX(账户银行,MATCH($B127,账户名,0)),""))</f>
        <v/>
      </c>
      <c r="D127" s="12" t="str">
        <f>IF($B127="","",IFERROR(INDEX(账户币种,MATCH($B127,账户名,0)),""))</f>
        <v/>
      </c>
      <c r="E127" s="47"/>
      <c r="F127" s="12" t="str">
        <f>IF($E127="","",IFERROR(INDEX(类别属性,MATCH($E127,类别表,0)),""))</f>
        <v/>
      </c>
      <c r="G127" s="48"/>
      <c r="H127" s="48"/>
      <c r="I127" s="49"/>
      <c r="J127" s="24" t="str">
        <f>IF(OR($A127="",$B127=""),"",IF($I127&lt;&gt;"",$I127,IF($D127=本位币,1,IFERROR(LOOKUP(2,1/((汇率月份&lt;=$A127)*(INDEX(记账汇率区,0,MATCH($D127,汇率币种头,0))&lt;&gt;"")),INDEX(记账汇率区,0,MATCH($D127,汇率币种头,0))),""))))</f>
        <v/>
      </c>
      <c r="K127" s="23" t="str">
        <f t="shared" si="2"/>
        <v/>
      </c>
      <c r="L127" s="23" t="str">
        <f t="shared" si="3"/>
        <v/>
      </c>
      <c r="M127" s="23" t="str">
        <f>IF($B127="","",ROUND(SUMIF(账户名,$B127,账户期初)+SUMIFS($K$6:K127,$B$6:B127,$B127),2))</f>
        <v/>
      </c>
      <c r="N127" s="23" t="str">
        <f>IF($B127="","",IFERROR(ROUND(INDEX(账户期初本位,MATCH($B127,账户名,0))+SUMIFS($L$6:L127,$B$6:B127,$B127),2),""))</f>
        <v/>
      </c>
      <c r="O127" s="46"/>
      <c r="P127" s="47"/>
      <c r="Q127" s="46"/>
      <c r="R127" s="46"/>
      <c r="S127" s="6" t="str">
        <f>IF($B127="","",IF(ISNA(MATCH($B127,账户名,0)),"※这个账户不在【参数设置】的账户档案里",IF($A127="","※没填日期，这一笔不会进任何月份的报表",IF(AND($G127&lt;&gt;"",$H127&lt;&gt;""),"※收入和支出不能同时填",IF(AND(N($G127)=0,N($H127)=0),"※收入和支出都没填",IF($E127="","※没填收支类别，分类报表会漏掉这一笔",IF(ISNA(MATCH($E127,类别表,0)),"※收支类别不在【参数设置】的清单里",IF($J127="","△"&amp;$D127&amp;" 还没填汇率，去【月度汇率】补上就自动算了",IF(YEAR($A127)&lt;&gt;管理年度,"△不是管理年度的单据，年报里看不到",IF(AND($F127="内部转账",$Q127=""),"△内部转账建议在「往来单位」写上对方账户",IF($M127&lt;0,"△这一笔之后该账户余额成负数了，核一下","")))))))))))</f>
        <v/>
      </c>
    </row>
    <row r="128" ht="16.5" spans="1:19">
      <c r="A128" s="45"/>
      <c r="B128" s="46"/>
      <c r="C128" s="12" t="str">
        <f>IF($B128="","",IFERROR(INDEX(账户银行,MATCH($B128,账户名,0)),""))</f>
        <v/>
      </c>
      <c r="D128" s="12" t="str">
        <f>IF($B128="","",IFERROR(INDEX(账户币种,MATCH($B128,账户名,0)),""))</f>
        <v/>
      </c>
      <c r="E128" s="47"/>
      <c r="F128" s="12" t="str">
        <f>IF($E128="","",IFERROR(INDEX(类别属性,MATCH($E128,类别表,0)),""))</f>
        <v/>
      </c>
      <c r="G128" s="48"/>
      <c r="H128" s="48"/>
      <c r="I128" s="49"/>
      <c r="J128" s="24" t="str">
        <f>IF(OR($A128="",$B128=""),"",IF($I128&lt;&gt;"",$I128,IF($D128=本位币,1,IFERROR(LOOKUP(2,1/((汇率月份&lt;=$A128)*(INDEX(记账汇率区,0,MATCH($D128,汇率币种头,0))&lt;&gt;"")),INDEX(记账汇率区,0,MATCH($D128,汇率币种头,0))),""))))</f>
        <v/>
      </c>
      <c r="K128" s="23" t="str">
        <f t="shared" si="2"/>
        <v/>
      </c>
      <c r="L128" s="23" t="str">
        <f t="shared" si="3"/>
        <v/>
      </c>
      <c r="M128" s="23" t="str">
        <f>IF($B128="","",ROUND(SUMIF(账户名,$B128,账户期初)+SUMIFS($K$6:K128,$B$6:B128,$B128),2))</f>
        <v/>
      </c>
      <c r="N128" s="23" t="str">
        <f>IF($B128="","",IFERROR(ROUND(INDEX(账户期初本位,MATCH($B128,账户名,0))+SUMIFS($L$6:L128,$B$6:B128,$B128),2),""))</f>
        <v/>
      </c>
      <c r="O128" s="46"/>
      <c r="P128" s="47"/>
      <c r="Q128" s="46"/>
      <c r="R128" s="46"/>
      <c r="S128" s="6" t="str">
        <f>IF($B128="","",IF(ISNA(MATCH($B128,账户名,0)),"※这个账户不在【参数设置】的账户档案里",IF($A128="","※没填日期，这一笔不会进任何月份的报表",IF(AND($G128&lt;&gt;"",$H128&lt;&gt;""),"※收入和支出不能同时填",IF(AND(N($G128)=0,N($H128)=0),"※收入和支出都没填",IF($E128="","※没填收支类别，分类报表会漏掉这一笔",IF(ISNA(MATCH($E128,类别表,0)),"※收支类别不在【参数设置】的清单里",IF($J128="","△"&amp;$D128&amp;" 还没填汇率，去【月度汇率】补上就自动算了",IF(YEAR($A128)&lt;&gt;管理年度,"△不是管理年度的单据，年报里看不到",IF(AND($F128="内部转账",$Q128=""),"△内部转账建议在「往来单位」写上对方账户",IF($M128&lt;0,"△这一笔之后该账户余额成负数了，核一下","")))))))))))</f>
        <v/>
      </c>
    </row>
    <row r="129" ht="16.5" spans="1:19">
      <c r="A129" s="45"/>
      <c r="B129" s="46"/>
      <c r="C129" s="12" t="str">
        <f>IF($B129="","",IFERROR(INDEX(账户银行,MATCH($B129,账户名,0)),""))</f>
        <v/>
      </c>
      <c r="D129" s="12" t="str">
        <f>IF($B129="","",IFERROR(INDEX(账户币种,MATCH($B129,账户名,0)),""))</f>
        <v/>
      </c>
      <c r="E129" s="47"/>
      <c r="F129" s="12" t="str">
        <f>IF($E129="","",IFERROR(INDEX(类别属性,MATCH($E129,类别表,0)),""))</f>
        <v/>
      </c>
      <c r="G129" s="48"/>
      <c r="H129" s="48"/>
      <c r="I129" s="49"/>
      <c r="J129" s="24" t="str">
        <f>IF(OR($A129="",$B129=""),"",IF($I129&lt;&gt;"",$I129,IF($D129=本位币,1,IFERROR(LOOKUP(2,1/((汇率月份&lt;=$A129)*(INDEX(记账汇率区,0,MATCH($D129,汇率币种头,0))&lt;&gt;"")),INDEX(记账汇率区,0,MATCH($D129,汇率币种头,0))),""))))</f>
        <v/>
      </c>
      <c r="K129" s="23" t="str">
        <f t="shared" si="2"/>
        <v/>
      </c>
      <c r="L129" s="23" t="str">
        <f t="shared" si="3"/>
        <v/>
      </c>
      <c r="M129" s="23" t="str">
        <f>IF($B129="","",ROUND(SUMIF(账户名,$B129,账户期初)+SUMIFS($K$6:K129,$B$6:B129,$B129),2))</f>
        <v/>
      </c>
      <c r="N129" s="23" t="str">
        <f>IF($B129="","",IFERROR(ROUND(INDEX(账户期初本位,MATCH($B129,账户名,0))+SUMIFS($L$6:L129,$B$6:B129,$B129),2),""))</f>
        <v/>
      </c>
      <c r="O129" s="46"/>
      <c r="P129" s="47"/>
      <c r="Q129" s="46"/>
      <c r="R129" s="46"/>
      <c r="S129" s="6" t="str">
        <f>IF($B129="","",IF(ISNA(MATCH($B129,账户名,0)),"※这个账户不在【参数设置】的账户档案里",IF($A129="","※没填日期，这一笔不会进任何月份的报表",IF(AND($G129&lt;&gt;"",$H129&lt;&gt;""),"※收入和支出不能同时填",IF(AND(N($G129)=0,N($H129)=0),"※收入和支出都没填",IF($E129="","※没填收支类别，分类报表会漏掉这一笔",IF(ISNA(MATCH($E129,类别表,0)),"※收支类别不在【参数设置】的清单里",IF($J129="","△"&amp;$D129&amp;" 还没填汇率，去【月度汇率】补上就自动算了",IF(YEAR($A129)&lt;&gt;管理年度,"△不是管理年度的单据，年报里看不到",IF(AND($F129="内部转账",$Q129=""),"△内部转账建议在「往来单位」写上对方账户",IF($M129&lt;0,"△这一笔之后该账户余额成负数了，核一下","")))))))))))</f>
        <v/>
      </c>
    </row>
    <row r="130" ht="16.5" spans="1:19">
      <c r="A130" s="45"/>
      <c r="B130" s="46"/>
      <c r="C130" s="12" t="str">
        <f>IF($B130="","",IFERROR(INDEX(账户银行,MATCH($B130,账户名,0)),""))</f>
        <v/>
      </c>
      <c r="D130" s="12" t="str">
        <f>IF($B130="","",IFERROR(INDEX(账户币种,MATCH($B130,账户名,0)),""))</f>
        <v/>
      </c>
      <c r="E130" s="47"/>
      <c r="F130" s="12" t="str">
        <f>IF($E130="","",IFERROR(INDEX(类别属性,MATCH($E130,类别表,0)),""))</f>
        <v/>
      </c>
      <c r="G130" s="48"/>
      <c r="H130" s="48"/>
      <c r="I130" s="49"/>
      <c r="J130" s="24" t="str">
        <f>IF(OR($A130="",$B130=""),"",IF($I130&lt;&gt;"",$I130,IF($D130=本位币,1,IFERROR(LOOKUP(2,1/((汇率月份&lt;=$A130)*(INDEX(记账汇率区,0,MATCH($D130,汇率币种头,0))&lt;&gt;"")),INDEX(记账汇率区,0,MATCH($D130,汇率币种头,0))),""))))</f>
        <v/>
      </c>
      <c r="K130" s="23" t="str">
        <f t="shared" si="2"/>
        <v/>
      </c>
      <c r="L130" s="23" t="str">
        <f t="shared" si="3"/>
        <v/>
      </c>
      <c r="M130" s="23" t="str">
        <f>IF($B130="","",ROUND(SUMIF(账户名,$B130,账户期初)+SUMIFS($K$6:K130,$B$6:B130,$B130),2))</f>
        <v/>
      </c>
      <c r="N130" s="23" t="str">
        <f>IF($B130="","",IFERROR(ROUND(INDEX(账户期初本位,MATCH($B130,账户名,0))+SUMIFS($L$6:L130,$B$6:B130,$B130),2),""))</f>
        <v/>
      </c>
      <c r="O130" s="46"/>
      <c r="P130" s="47"/>
      <c r="Q130" s="46"/>
      <c r="R130" s="46"/>
      <c r="S130" s="6" t="str">
        <f>IF($B130="","",IF(ISNA(MATCH($B130,账户名,0)),"※这个账户不在【参数设置】的账户档案里",IF($A130="","※没填日期，这一笔不会进任何月份的报表",IF(AND($G130&lt;&gt;"",$H130&lt;&gt;""),"※收入和支出不能同时填",IF(AND(N($G130)=0,N($H130)=0),"※收入和支出都没填",IF($E130="","※没填收支类别，分类报表会漏掉这一笔",IF(ISNA(MATCH($E130,类别表,0)),"※收支类别不在【参数设置】的清单里",IF($J130="","△"&amp;$D130&amp;" 还没填汇率，去【月度汇率】补上就自动算了",IF(YEAR($A130)&lt;&gt;管理年度,"△不是管理年度的单据，年报里看不到",IF(AND($F130="内部转账",$Q130=""),"△内部转账建议在「往来单位」写上对方账户",IF($M130&lt;0,"△这一笔之后该账户余额成负数了，核一下","")))))))))))</f>
        <v/>
      </c>
    </row>
    <row r="131" ht="16.5" spans="1:19">
      <c r="A131" s="45"/>
      <c r="B131" s="46"/>
      <c r="C131" s="12" t="str">
        <f>IF($B131="","",IFERROR(INDEX(账户银行,MATCH($B131,账户名,0)),""))</f>
        <v/>
      </c>
      <c r="D131" s="12" t="str">
        <f>IF($B131="","",IFERROR(INDEX(账户币种,MATCH($B131,账户名,0)),""))</f>
        <v/>
      </c>
      <c r="E131" s="47"/>
      <c r="F131" s="12" t="str">
        <f>IF($E131="","",IFERROR(INDEX(类别属性,MATCH($E131,类别表,0)),""))</f>
        <v/>
      </c>
      <c r="G131" s="48"/>
      <c r="H131" s="48"/>
      <c r="I131" s="49"/>
      <c r="J131" s="24" t="str">
        <f>IF(OR($A131="",$B131=""),"",IF($I131&lt;&gt;"",$I131,IF($D131=本位币,1,IFERROR(LOOKUP(2,1/((汇率月份&lt;=$A131)*(INDEX(记账汇率区,0,MATCH($D131,汇率币种头,0))&lt;&gt;"")),INDEX(记账汇率区,0,MATCH($D131,汇率币种头,0))),""))))</f>
        <v/>
      </c>
      <c r="K131" s="23" t="str">
        <f t="shared" si="2"/>
        <v/>
      </c>
      <c r="L131" s="23" t="str">
        <f t="shared" si="3"/>
        <v/>
      </c>
      <c r="M131" s="23" t="str">
        <f>IF($B131="","",ROUND(SUMIF(账户名,$B131,账户期初)+SUMIFS($K$6:K131,$B$6:B131,$B131),2))</f>
        <v/>
      </c>
      <c r="N131" s="23" t="str">
        <f>IF($B131="","",IFERROR(ROUND(INDEX(账户期初本位,MATCH($B131,账户名,0))+SUMIFS($L$6:L131,$B$6:B131,$B131),2),""))</f>
        <v/>
      </c>
      <c r="O131" s="46"/>
      <c r="P131" s="47"/>
      <c r="Q131" s="46"/>
      <c r="R131" s="46"/>
      <c r="S131" s="6" t="str">
        <f>IF($B131="","",IF(ISNA(MATCH($B131,账户名,0)),"※这个账户不在【参数设置】的账户档案里",IF($A131="","※没填日期，这一笔不会进任何月份的报表",IF(AND($G131&lt;&gt;"",$H131&lt;&gt;""),"※收入和支出不能同时填",IF(AND(N($G131)=0,N($H131)=0),"※收入和支出都没填",IF($E131="","※没填收支类别，分类报表会漏掉这一笔",IF(ISNA(MATCH($E131,类别表,0)),"※收支类别不在【参数设置】的清单里",IF($J131="","△"&amp;$D131&amp;" 还没填汇率，去【月度汇率】补上就自动算了",IF(YEAR($A131)&lt;&gt;管理年度,"△不是管理年度的单据，年报里看不到",IF(AND($F131="内部转账",$Q131=""),"△内部转账建议在「往来单位」写上对方账户",IF($M131&lt;0,"△这一笔之后该账户余额成负数了，核一下","")))))))))))</f>
        <v/>
      </c>
    </row>
    <row r="132" ht="16.5" spans="1:19">
      <c r="A132" s="45"/>
      <c r="B132" s="46"/>
      <c r="C132" s="12" t="str">
        <f>IF($B132="","",IFERROR(INDEX(账户银行,MATCH($B132,账户名,0)),""))</f>
        <v/>
      </c>
      <c r="D132" s="12" t="str">
        <f>IF($B132="","",IFERROR(INDEX(账户币种,MATCH($B132,账户名,0)),""))</f>
        <v/>
      </c>
      <c r="E132" s="47"/>
      <c r="F132" s="12" t="str">
        <f>IF($E132="","",IFERROR(INDEX(类别属性,MATCH($E132,类别表,0)),""))</f>
        <v/>
      </c>
      <c r="G132" s="48"/>
      <c r="H132" s="48"/>
      <c r="I132" s="49"/>
      <c r="J132" s="24" t="str">
        <f>IF(OR($A132="",$B132=""),"",IF($I132&lt;&gt;"",$I132,IF($D132=本位币,1,IFERROR(LOOKUP(2,1/((汇率月份&lt;=$A132)*(INDEX(记账汇率区,0,MATCH($D132,汇率币种头,0))&lt;&gt;"")),INDEX(记账汇率区,0,MATCH($D132,汇率币种头,0))),""))))</f>
        <v/>
      </c>
      <c r="K132" s="23" t="str">
        <f t="shared" si="2"/>
        <v/>
      </c>
      <c r="L132" s="23" t="str">
        <f t="shared" si="3"/>
        <v/>
      </c>
      <c r="M132" s="23" t="str">
        <f>IF($B132="","",ROUND(SUMIF(账户名,$B132,账户期初)+SUMIFS($K$6:K132,$B$6:B132,$B132),2))</f>
        <v/>
      </c>
      <c r="N132" s="23" t="str">
        <f>IF($B132="","",IFERROR(ROUND(INDEX(账户期初本位,MATCH($B132,账户名,0))+SUMIFS($L$6:L132,$B$6:B132,$B132),2),""))</f>
        <v/>
      </c>
      <c r="O132" s="46"/>
      <c r="P132" s="47"/>
      <c r="Q132" s="46"/>
      <c r="R132" s="46"/>
      <c r="S132" s="6" t="str">
        <f>IF($B132="","",IF(ISNA(MATCH($B132,账户名,0)),"※这个账户不在【参数设置】的账户档案里",IF($A132="","※没填日期，这一笔不会进任何月份的报表",IF(AND($G132&lt;&gt;"",$H132&lt;&gt;""),"※收入和支出不能同时填",IF(AND(N($G132)=0,N($H132)=0),"※收入和支出都没填",IF($E132="","※没填收支类别，分类报表会漏掉这一笔",IF(ISNA(MATCH($E132,类别表,0)),"※收支类别不在【参数设置】的清单里",IF($J132="","△"&amp;$D132&amp;" 还没填汇率，去【月度汇率】补上就自动算了",IF(YEAR($A132)&lt;&gt;管理年度,"△不是管理年度的单据，年报里看不到",IF(AND($F132="内部转账",$Q132=""),"△内部转账建议在「往来单位」写上对方账户",IF($M132&lt;0,"△这一笔之后该账户余额成负数了，核一下","")))))))))))</f>
        <v/>
      </c>
    </row>
    <row r="133" ht="16.5" spans="1:19">
      <c r="A133" s="45"/>
      <c r="B133" s="46"/>
      <c r="C133" s="12" t="str">
        <f>IF($B133="","",IFERROR(INDEX(账户银行,MATCH($B133,账户名,0)),""))</f>
        <v/>
      </c>
      <c r="D133" s="12" t="str">
        <f>IF($B133="","",IFERROR(INDEX(账户币种,MATCH($B133,账户名,0)),""))</f>
        <v/>
      </c>
      <c r="E133" s="47"/>
      <c r="F133" s="12" t="str">
        <f>IF($E133="","",IFERROR(INDEX(类别属性,MATCH($E133,类别表,0)),""))</f>
        <v/>
      </c>
      <c r="G133" s="48"/>
      <c r="H133" s="48"/>
      <c r="I133" s="49"/>
      <c r="J133" s="24" t="str">
        <f>IF(OR($A133="",$B133=""),"",IF($I133&lt;&gt;"",$I133,IF($D133=本位币,1,IFERROR(LOOKUP(2,1/((汇率月份&lt;=$A133)*(INDEX(记账汇率区,0,MATCH($D133,汇率币种头,0))&lt;&gt;"")),INDEX(记账汇率区,0,MATCH($D133,汇率币种头,0))),""))))</f>
        <v/>
      </c>
      <c r="K133" s="23" t="str">
        <f t="shared" si="2"/>
        <v/>
      </c>
      <c r="L133" s="23" t="str">
        <f t="shared" si="3"/>
        <v/>
      </c>
      <c r="M133" s="23" t="str">
        <f>IF($B133="","",ROUND(SUMIF(账户名,$B133,账户期初)+SUMIFS($K$6:K133,$B$6:B133,$B133),2))</f>
        <v/>
      </c>
      <c r="N133" s="23" t="str">
        <f>IF($B133="","",IFERROR(ROUND(INDEX(账户期初本位,MATCH($B133,账户名,0))+SUMIFS($L$6:L133,$B$6:B133,$B133),2),""))</f>
        <v/>
      </c>
      <c r="O133" s="46"/>
      <c r="P133" s="47"/>
      <c r="Q133" s="46"/>
      <c r="R133" s="46"/>
      <c r="S133" s="6" t="str">
        <f>IF($B133="","",IF(ISNA(MATCH($B133,账户名,0)),"※这个账户不在【参数设置】的账户档案里",IF($A133="","※没填日期，这一笔不会进任何月份的报表",IF(AND($G133&lt;&gt;"",$H133&lt;&gt;""),"※收入和支出不能同时填",IF(AND(N($G133)=0,N($H133)=0),"※收入和支出都没填",IF($E133="","※没填收支类别，分类报表会漏掉这一笔",IF(ISNA(MATCH($E133,类别表,0)),"※收支类别不在【参数设置】的清单里",IF($J133="","△"&amp;$D133&amp;" 还没填汇率，去【月度汇率】补上就自动算了",IF(YEAR($A133)&lt;&gt;管理年度,"△不是管理年度的单据，年报里看不到",IF(AND($F133="内部转账",$Q133=""),"△内部转账建议在「往来单位」写上对方账户",IF($M133&lt;0,"△这一笔之后该账户余额成负数了，核一下","")))))))))))</f>
        <v/>
      </c>
    </row>
    <row r="134" ht="16.5" spans="1:19">
      <c r="A134" s="45"/>
      <c r="B134" s="46"/>
      <c r="C134" s="12" t="str">
        <f>IF($B134="","",IFERROR(INDEX(账户银行,MATCH($B134,账户名,0)),""))</f>
        <v/>
      </c>
      <c r="D134" s="12" t="str">
        <f>IF($B134="","",IFERROR(INDEX(账户币种,MATCH($B134,账户名,0)),""))</f>
        <v/>
      </c>
      <c r="E134" s="47"/>
      <c r="F134" s="12" t="str">
        <f>IF($E134="","",IFERROR(INDEX(类别属性,MATCH($E134,类别表,0)),""))</f>
        <v/>
      </c>
      <c r="G134" s="48"/>
      <c r="H134" s="48"/>
      <c r="I134" s="49"/>
      <c r="J134" s="24" t="str">
        <f>IF(OR($A134="",$B134=""),"",IF($I134&lt;&gt;"",$I134,IF($D134=本位币,1,IFERROR(LOOKUP(2,1/((汇率月份&lt;=$A134)*(INDEX(记账汇率区,0,MATCH($D134,汇率币种头,0))&lt;&gt;"")),INDEX(记账汇率区,0,MATCH($D134,汇率币种头,0))),""))))</f>
        <v/>
      </c>
      <c r="K134" s="23" t="str">
        <f t="shared" ref="K134:K197" si="4">IF(AND($G134="",$H134=""),"",ROUND(N($G134)-N($H134),2))</f>
        <v/>
      </c>
      <c r="L134" s="23" t="str">
        <f t="shared" ref="L134:L197" si="5">IF(OR($K134="",$J134=""),"",ROUND($K134*$J134,2))</f>
        <v/>
      </c>
      <c r="M134" s="23" t="str">
        <f>IF($B134="","",ROUND(SUMIF(账户名,$B134,账户期初)+SUMIFS($K$6:K134,$B$6:B134,$B134),2))</f>
        <v/>
      </c>
      <c r="N134" s="23" t="str">
        <f>IF($B134="","",IFERROR(ROUND(INDEX(账户期初本位,MATCH($B134,账户名,0))+SUMIFS($L$6:L134,$B$6:B134,$B134),2),""))</f>
        <v/>
      </c>
      <c r="O134" s="46"/>
      <c r="P134" s="47"/>
      <c r="Q134" s="46"/>
      <c r="R134" s="46"/>
      <c r="S134" s="6" t="str">
        <f>IF($B134="","",IF(ISNA(MATCH($B134,账户名,0)),"※这个账户不在【参数设置】的账户档案里",IF($A134="","※没填日期，这一笔不会进任何月份的报表",IF(AND($G134&lt;&gt;"",$H134&lt;&gt;""),"※收入和支出不能同时填",IF(AND(N($G134)=0,N($H134)=0),"※收入和支出都没填",IF($E134="","※没填收支类别，分类报表会漏掉这一笔",IF(ISNA(MATCH($E134,类别表,0)),"※收支类别不在【参数设置】的清单里",IF($J134="","△"&amp;$D134&amp;" 还没填汇率，去【月度汇率】补上就自动算了",IF(YEAR($A134)&lt;&gt;管理年度,"△不是管理年度的单据，年报里看不到",IF(AND($F134="内部转账",$Q134=""),"△内部转账建议在「往来单位」写上对方账户",IF($M134&lt;0,"△这一笔之后该账户余额成负数了，核一下","")))))))))))</f>
        <v/>
      </c>
    </row>
    <row r="135" ht="16.5" spans="1:19">
      <c r="A135" s="45"/>
      <c r="B135" s="46"/>
      <c r="C135" s="12" t="str">
        <f>IF($B135="","",IFERROR(INDEX(账户银行,MATCH($B135,账户名,0)),""))</f>
        <v/>
      </c>
      <c r="D135" s="12" t="str">
        <f>IF($B135="","",IFERROR(INDEX(账户币种,MATCH($B135,账户名,0)),""))</f>
        <v/>
      </c>
      <c r="E135" s="47"/>
      <c r="F135" s="12" t="str">
        <f>IF($E135="","",IFERROR(INDEX(类别属性,MATCH($E135,类别表,0)),""))</f>
        <v/>
      </c>
      <c r="G135" s="48"/>
      <c r="H135" s="48"/>
      <c r="I135" s="49"/>
      <c r="J135" s="24" t="str">
        <f>IF(OR($A135="",$B135=""),"",IF($I135&lt;&gt;"",$I135,IF($D135=本位币,1,IFERROR(LOOKUP(2,1/((汇率月份&lt;=$A135)*(INDEX(记账汇率区,0,MATCH($D135,汇率币种头,0))&lt;&gt;"")),INDEX(记账汇率区,0,MATCH($D135,汇率币种头,0))),""))))</f>
        <v/>
      </c>
      <c r="K135" s="23" t="str">
        <f t="shared" si="4"/>
        <v/>
      </c>
      <c r="L135" s="23" t="str">
        <f t="shared" si="5"/>
        <v/>
      </c>
      <c r="M135" s="23" t="str">
        <f>IF($B135="","",ROUND(SUMIF(账户名,$B135,账户期初)+SUMIFS($K$6:K135,$B$6:B135,$B135),2))</f>
        <v/>
      </c>
      <c r="N135" s="23" t="str">
        <f>IF($B135="","",IFERROR(ROUND(INDEX(账户期初本位,MATCH($B135,账户名,0))+SUMIFS($L$6:L135,$B$6:B135,$B135),2),""))</f>
        <v/>
      </c>
      <c r="O135" s="46"/>
      <c r="P135" s="47"/>
      <c r="Q135" s="46"/>
      <c r="R135" s="46"/>
      <c r="S135" s="6" t="str">
        <f>IF($B135="","",IF(ISNA(MATCH($B135,账户名,0)),"※这个账户不在【参数设置】的账户档案里",IF($A135="","※没填日期，这一笔不会进任何月份的报表",IF(AND($G135&lt;&gt;"",$H135&lt;&gt;""),"※收入和支出不能同时填",IF(AND(N($G135)=0,N($H135)=0),"※收入和支出都没填",IF($E135="","※没填收支类别，分类报表会漏掉这一笔",IF(ISNA(MATCH($E135,类别表,0)),"※收支类别不在【参数设置】的清单里",IF($J135="","△"&amp;$D135&amp;" 还没填汇率，去【月度汇率】补上就自动算了",IF(YEAR($A135)&lt;&gt;管理年度,"△不是管理年度的单据，年报里看不到",IF(AND($F135="内部转账",$Q135=""),"△内部转账建议在「往来单位」写上对方账户",IF($M135&lt;0,"△这一笔之后该账户余额成负数了，核一下","")))))))))))</f>
        <v/>
      </c>
    </row>
    <row r="136" ht="16.5" spans="1:19">
      <c r="A136" s="45"/>
      <c r="B136" s="46"/>
      <c r="C136" s="12" t="str">
        <f>IF($B136="","",IFERROR(INDEX(账户银行,MATCH($B136,账户名,0)),""))</f>
        <v/>
      </c>
      <c r="D136" s="12" t="str">
        <f>IF($B136="","",IFERROR(INDEX(账户币种,MATCH($B136,账户名,0)),""))</f>
        <v/>
      </c>
      <c r="E136" s="47"/>
      <c r="F136" s="12" t="str">
        <f>IF($E136="","",IFERROR(INDEX(类别属性,MATCH($E136,类别表,0)),""))</f>
        <v/>
      </c>
      <c r="G136" s="48"/>
      <c r="H136" s="48"/>
      <c r="I136" s="49"/>
      <c r="J136" s="24" t="str">
        <f>IF(OR($A136="",$B136=""),"",IF($I136&lt;&gt;"",$I136,IF($D136=本位币,1,IFERROR(LOOKUP(2,1/((汇率月份&lt;=$A136)*(INDEX(记账汇率区,0,MATCH($D136,汇率币种头,0))&lt;&gt;"")),INDEX(记账汇率区,0,MATCH($D136,汇率币种头,0))),""))))</f>
        <v/>
      </c>
      <c r="K136" s="23" t="str">
        <f t="shared" si="4"/>
        <v/>
      </c>
      <c r="L136" s="23" t="str">
        <f t="shared" si="5"/>
        <v/>
      </c>
      <c r="M136" s="23" t="str">
        <f>IF($B136="","",ROUND(SUMIF(账户名,$B136,账户期初)+SUMIFS($K$6:K136,$B$6:B136,$B136),2))</f>
        <v/>
      </c>
      <c r="N136" s="23" t="str">
        <f>IF($B136="","",IFERROR(ROUND(INDEX(账户期初本位,MATCH($B136,账户名,0))+SUMIFS($L$6:L136,$B$6:B136,$B136),2),""))</f>
        <v/>
      </c>
      <c r="O136" s="46"/>
      <c r="P136" s="47"/>
      <c r="Q136" s="46"/>
      <c r="R136" s="46"/>
      <c r="S136" s="6" t="str">
        <f>IF($B136="","",IF(ISNA(MATCH($B136,账户名,0)),"※这个账户不在【参数设置】的账户档案里",IF($A136="","※没填日期，这一笔不会进任何月份的报表",IF(AND($G136&lt;&gt;"",$H136&lt;&gt;""),"※收入和支出不能同时填",IF(AND(N($G136)=0,N($H136)=0),"※收入和支出都没填",IF($E136="","※没填收支类别，分类报表会漏掉这一笔",IF(ISNA(MATCH($E136,类别表,0)),"※收支类别不在【参数设置】的清单里",IF($J136="","△"&amp;$D136&amp;" 还没填汇率，去【月度汇率】补上就自动算了",IF(YEAR($A136)&lt;&gt;管理年度,"△不是管理年度的单据，年报里看不到",IF(AND($F136="内部转账",$Q136=""),"△内部转账建议在「往来单位」写上对方账户",IF($M136&lt;0,"△这一笔之后该账户余额成负数了，核一下","")))))))))))</f>
        <v/>
      </c>
    </row>
    <row r="137" ht="16.5" spans="1:19">
      <c r="A137" s="45"/>
      <c r="B137" s="46"/>
      <c r="C137" s="12" t="str">
        <f>IF($B137="","",IFERROR(INDEX(账户银行,MATCH($B137,账户名,0)),""))</f>
        <v/>
      </c>
      <c r="D137" s="12" t="str">
        <f>IF($B137="","",IFERROR(INDEX(账户币种,MATCH($B137,账户名,0)),""))</f>
        <v/>
      </c>
      <c r="E137" s="47"/>
      <c r="F137" s="12" t="str">
        <f>IF($E137="","",IFERROR(INDEX(类别属性,MATCH($E137,类别表,0)),""))</f>
        <v/>
      </c>
      <c r="G137" s="48"/>
      <c r="H137" s="48"/>
      <c r="I137" s="49"/>
      <c r="J137" s="24" t="str">
        <f>IF(OR($A137="",$B137=""),"",IF($I137&lt;&gt;"",$I137,IF($D137=本位币,1,IFERROR(LOOKUP(2,1/((汇率月份&lt;=$A137)*(INDEX(记账汇率区,0,MATCH($D137,汇率币种头,0))&lt;&gt;"")),INDEX(记账汇率区,0,MATCH($D137,汇率币种头,0))),""))))</f>
        <v/>
      </c>
      <c r="K137" s="23" t="str">
        <f t="shared" si="4"/>
        <v/>
      </c>
      <c r="L137" s="23" t="str">
        <f t="shared" si="5"/>
        <v/>
      </c>
      <c r="M137" s="23" t="str">
        <f>IF($B137="","",ROUND(SUMIF(账户名,$B137,账户期初)+SUMIFS($K$6:K137,$B$6:B137,$B137),2))</f>
        <v/>
      </c>
      <c r="N137" s="23" t="str">
        <f>IF($B137="","",IFERROR(ROUND(INDEX(账户期初本位,MATCH($B137,账户名,0))+SUMIFS($L$6:L137,$B$6:B137,$B137),2),""))</f>
        <v/>
      </c>
      <c r="O137" s="46"/>
      <c r="P137" s="47"/>
      <c r="Q137" s="46"/>
      <c r="R137" s="46"/>
      <c r="S137" s="6" t="str">
        <f>IF($B137="","",IF(ISNA(MATCH($B137,账户名,0)),"※这个账户不在【参数设置】的账户档案里",IF($A137="","※没填日期，这一笔不会进任何月份的报表",IF(AND($G137&lt;&gt;"",$H137&lt;&gt;""),"※收入和支出不能同时填",IF(AND(N($G137)=0,N($H137)=0),"※收入和支出都没填",IF($E137="","※没填收支类别，分类报表会漏掉这一笔",IF(ISNA(MATCH($E137,类别表,0)),"※收支类别不在【参数设置】的清单里",IF($J137="","△"&amp;$D137&amp;" 还没填汇率，去【月度汇率】补上就自动算了",IF(YEAR($A137)&lt;&gt;管理年度,"△不是管理年度的单据，年报里看不到",IF(AND($F137="内部转账",$Q137=""),"△内部转账建议在「往来单位」写上对方账户",IF($M137&lt;0,"△这一笔之后该账户余额成负数了，核一下","")))))))))))</f>
        <v/>
      </c>
    </row>
    <row r="138" ht="16.5" spans="1:19">
      <c r="A138" s="45"/>
      <c r="B138" s="46"/>
      <c r="C138" s="12" t="str">
        <f>IF($B138="","",IFERROR(INDEX(账户银行,MATCH($B138,账户名,0)),""))</f>
        <v/>
      </c>
      <c r="D138" s="12" t="str">
        <f>IF($B138="","",IFERROR(INDEX(账户币种,MATCH($B138,账户名,0)),""))</f>
        <v/>
      </c>
      <c r="E138" s="47"/>
      <c r="F138" s="12" t="str">
        <f>IF($E138="","",IFERROR(INDEX(类别属性,MATCH($E138,类别表,0)),""))</f>
        <v/>
      </c>
      <c r="G138" s="48"/>
      <c r="H138" s="48"/>
      <c r="I138" s="49"/>
      <c r="J138" s="24" t="str">
        <f>IF(OR($A138="",$B138=""),"",IF($I138&lt;&gt;"",$I138,IF($D138=本位币,1,IFERROR(LOOKUP(2,1/((汇率月份&lt;=$A138)*(INDEX(记账汇率区,0,MATCH($D138,汇率币种头,0))&lt;&gt;"")),INDEX(记账汇率区,0,MATCH($D138,汇率币种头,0))),""))))</f>
        <v/>
      </c>
      <c r="K138" s="23" t="str">
        <f t="shared" si="4"/>
        <v/>
      </c>
      <c r="L138" s="23" t="str">
        <f t="shared" si="5"/>
        <v/>
      </c>
      <c r="M138" s="23" t="str">
        <f>IF($B138="","",ROUND(SUMIF(账户名,$B138,账户期初)+SUMIFS($K$6:K138,$B$6:B138,$B138),2))</f>
        <v/>
      </c>
      <c r="N138" s="23" t="str">
        <f>IF($B138="","",IFERROR(ROUND(INDEX(账户期初本位,MATCH($B138,账户名,0))+SUMIFS($L$6:L138,$B$6:B138,$B138),2),""))</f>
        <v/>
      </c>
      <c r="O138" s="46"/>
      <c r="P138" s="47"/>
      <c r="Q138" s="46"/>
      <c r="R138" s="46"/>
      <c r="S138" s="6" t="str">
        <f>IF($B138="","",IF(ISNA(MATCH($B138,账户名,0)),"※这个账户不在【参数设置】的账户档案里",IF($A138="","※没填日期，这一笔不会进任何月份的报表",IF(AND($G138&lt;&gt;"",$H138&lt;&gt;""),"※收入和支出不能同时填",IF(AND(N($G138)=0,N($H138)=0),"※收入和支出都没填",IF($E138="","※没填收支类别，分类报表会漏掉这一笔",IF(ISNA(MATCH($E138,类别表,0)),"※收支类别不在【参数设置】的清单里",IF($J138="","△"&amp;$D138&amp;" 还没填汇率，去【月度汇率】补上就自动算了",IF(YEAR($A138)&lt;&gt;管理年度,"△不是管理年度的单据，年报里看不到",IF(AND($F138="内部转账",$Q138=""),"△内部转账建议在「往来单位」写上对方账户",IF($M138&lt;0,"△这一笔之后该账户余额成负数了，核一下","")))))))))))</f>
        <v/>
      </c>
    </row>
    <row r="139" ht="16.5" spans="1:19">
      <c r="A139" s="45"/>
      <c r="B139" s="46"/>
      <c r="C139" s="12" t="str">
        <f>IF($B139="","",IFERROR(INDEX(账户银行,MATCH($B139,账户名,0)),""))</f>
        <v/>
      </c>
      <c r="D139" s="12" t="str">
        <f>IF($B139="","",IFERROR(INDEX(账户币种,MATCH($B139,账户名,0)),""))</f>
        <v/>
      </c>
      <c r="E139" s="47"/>
      <c r="F139" s="12" t="str">
        <f>IF($E139="","",IFERROR(INDEX(类别属性,MATCH($E139,类别表,0)),""))</f>
        <v/>
      </c>
      <c r="G139" s="48"/>
      <c r="H139" s="48"/>
      <c r="I139" s="49"/>
      <c r="J139" s="24" t="str">
        <f>IF(OR($A139="",$B139=""),"",IF($I139&lt;&gt;"",$I139,IF($D139=本位币,1,IFERROR(LOOKUP(2,1/((汇率月份&lt;=$A139)*(INDEX(记账汇率区,0,MATCH($D139,汇率币种头,0))&lt;&gt;"")),INDEX(记账汇率区,0,MATCH($D139,汇率币种头,0))),""))))</f>
        <v/>
      </c>
      <c r="K139" s="23" t="str">
        <f t="shared" si="4"/>
        <v/>
      </c>
      <c r="L139" s="23" t="str">
        <f t="shared" si="5"/>
        <v/>
      </c>
      <c r="M139" s="23" t="str">
        <f>IF($B139="","",ROUND(SUMIF(账户名,$B139,账户期初)+SUMIFS($K$6:K139,$B$6:B139,$B139),2))</f>
        <v/>
      </c>
      <c r="N139" s="23" t="str">
        <f>IF($B139="","",IFERROR(ROUND(INDEX(账户期初本位,MATCH($B139,账户名,0))+SUMIFS($L$6:L139,$B$6:B139,$B139),2),""))</f>
        <v/>
      </c>
      <c r="O139" s="46"/>
      <c r="P139" s="47"/>
      <c r="Q139" s="46"/>
      <c r="R139" s="46"/>
      <c r="S139" s="6" t="str">
        <f>IF($B139="","",IF(ISNA(MATCH($B139,账户名,0)),"※这个账户不在【参数设置】的账户档案里",IF($A139="","※没填日期，这一笔不会进任何月份的报表",IF(AND($G139&lt;&gt;"",$H139&lt;&gt;""),"※收入和支出不能同时填",IF(AND(N($G139)=0,N($H139)=0),"※收入和支出都没填",IF($E139="","※没填收支类别，分类报表会漏掉这一笔",IF(ISNA(MATCH($E139,类别表,0)),"※收支类别不在【参数设置】的清单里",IF($J139="","△"&amp;$D139&amp;" 还没填汇率，去【月度汇率】补上就自动算了",IF(YEAR($A139)&lt;&gt;管理年度,"△不是管理年度的单据，年报里看不到",IF(AND($F139="内部转账",$Q139=""),"△内部转账建议在「往来单位」写上对方账户",IF($M139&lt;0,"△这一笔之后该账户余额成负数了，核一下","")))))))))))</f>
        <v/>
      </c>
    </row>
    <row r="140" ht="16.5" spans="1:19">
      <c r="A140" s="45"/>
      <c r="B140" s="46"/>
      <c r="C140" s="12" t="str">
        <f>IF($B140="","",IFERROR(INDEX(账户银行,MATCH($B140,账户名,0)),""))</f>
        <v/>
      </c>
      <c r="D140" s="12" t="str">
        <f>IF($B140="","",IFERROR(INDEX(账户币种,MATCH($B140,账户名,0)),""))</f>
        <v/>
      </c>
      <c r="E140" s="47"/>
      <c r="F140" s="12" t="str">
        <f>IF($E140="","",IFERROR(INDEX(类别属性,MATCH($E140,类别表,0)),""))</f>
        <v/>
      </c>
      <c r="G140" s="48"/>
      <c r="H140" s="48"/>
      <c r="I140" s="49"/>
      <c r="J140" s="24" t="str">
        <f>IF(OR($A140="",$B140=""),"",IF($I140&lt;&gt;"",$I140,IF($D140=本位币,1,IFERROR(LOOKUP(2,1/((汇率月份&lt;=$A140)*(INDEX(记账汇率区,0,MATCH($D140,汇率币种头,0))&lt;&gt;"")),INDEX(记账汇率区,0,MATCH($D140,汇率币种头,0))),""))))</f>
        <v/>
      </c>
      <c r="K140" s="23" t="str">
        <f t="shared" si="4"/>
        <v/>
      </c>
      <c r="L140" s="23" t="str">
        <f t="shared" si="5"/>
        <v/>
      </c>
      <c r="M140" s="23" t="str">
        <f>IF($B140="","",ROUND(SUMIF(账户名,$B140,账户期初)+SUMIFS($K$6:K140,$B$6:B140,$B140),2))</f>
        <v/>
      </c>
      <c r="N140" s="23" t="str">
        <f>IF($B140="","",IFERROR(ROUND(INDEX(账户期初本位,MATCH($B140,账户名,0))+SUMIFS($L$6:L140,$B$6:B140,$B140),2),""))</f>
        <v/>
      </c>
      <c r="O140" s="46"/>
      <c r="P140" s="47"/>
      <c r="Q140" s="46"/>
      <c r="R140" s="46"/>
      <c r="S140" s="6" t="str">
        <f>IF($B140="","",IF(ISNA(MATCH($B140,账户名,0)),"※这个账户不在【参数设置】的账户档案里",IF($A140="","※没填日期，这一笔不会进任何月份的报表",IF(AND($G140&lt;&gt;"",$H140&lt;&gt;""),"※收入和支出不能同时填",IF(AND(N($G140)=0,N($H140)=0),"※收入和支出都没填",IF($E140="","※没填收支类别，分类报表会漏掉这一笔",IF(ISNA(MATCH($E140,类别表,0)),"※收支类别不在【参数设置】的清单里",IF($J140="","△"&amp;$D140&amp;" 还没填汇率，去【月度汇率】补上就自动算了",IF(YEAR($A140)&lt;&gt;管理年度,"△不是管理年度的单据，年报里看不到",IF(AND($F140="内部转账",$Q140=""),"△内部转账建议在「往来单位」写上对方账户",IF($M140&lt;0,"△这一笔之后该账户余额成负数了，核一下","")))))))))))</f>
        <v/>
      </c>
    </row>
    <row r="141" ht="16.5" spans="1:19">
      <c r="A141" s="45"/>
      <c r="B141" s="46"/>
      <c r="C141" s="12" t="str">
        <f>IF($B141="","",IFERROR(INDEX(账户银行,MATCH($B141,账户名,0)),""))</f>
        <v/>
      </c>
      <c r="D141" s="12" t="str">
        <f>IF($B141="","",IFERROR(INDEX(账户币种,MATCH($B141,账户名,0)),""))</f>
        <v/>
      </c>
      <c r="E141" s="47"/>
      <c r="F141" s="12" t="str">
        <f>IF($E141="","",IFERROR(INDEX(类别属性,MATCH($E141,类别表,0)),""))</f>
        <v/>
      </c>
      <c r="G141" s="48"/>
      <c r="H141" s="48"/>
      <c r="I141" s="49"/>
      <c r="J141" s="24" t="str">
        <f>IF(OR($A141="",$B141=""),"",IF($I141&lt;&gt;"",$I141,IF($D141=本位币,1,IFERROR(LOOKUP(2,1/((汇率月份&lt;=$A141)*(INDEX(记账汇率区,0,MATCH($D141,汇率币种头,0))&lt;&gt;"")),INDEX(记账汇率区,0,MATCH($D141,汇率币种头,0))),""))))</f>
        <v/>
      </c>
      <c r="K141" s="23" t="str">
        <f t="shared" si="4"/>
        <v/>
      </c>
      <c r="L141" s="23" t="str">
        <f t="shared" si="5"/>
        <v/>
      </c>
      <c r="M141" s="23" t="str">
        <f>IF($B141="","",ROUND(SUMIF(账户名,$B141,账户期初)+SUMIFS($K$6:K141,$B$6:B141,$B141),2))</f>
        <v/>
      </c>
      <c r="N141" s="23" t="str">
        <f>IF($B141="","",IFERROR(ROUND(INDEX(账户期初本位,MATCH($B141,账户名,0))+SUMIFS($L$6:L141,$B$6:B141,$B141),2),""))</f>
        <v/>
      </c>
      <c r="O141" s="46"/>
      <c r="P141" s="47"/>
      <c r="Q141" s="46"/>
      <c r="R141" s="46"/>
      <c r="S141" s="6" t="str">
        <f>IF($B141="","",IF(ISNA(MATCH($B141,账户名,0)),"※这个账户不在【参数设置】的账户档案里",IF($A141="","※没填日期，这一笔不会进任何月份的报表",IF(AND($G141&lt;&gt;"",$H141&lt;&gt;""),"※收入和支出不能同时填",IF(AND(N($G141)=0,N($H141)=0),"※收入和支出都没填",IF($E141="","※没填收支类别，分类报表会漏掉这一笔",IF(ISNA(MATCH($E141,类别表,0)),"※收支类别不在【参数设置】的清单里",IF($J141="","△"&amp;$D141&amp;" 还没填汇率，去【月度汇率】补上就自动算了",IF(YEAR($A141)&lt;&gt;管理年度,"△不是管理年度的单据，年报里看不到",IF(AND($F141="内部转账",$Q141=""),"△内部转账建议在「往来单位」写上对方账户",IF($M141&lt;0,"△这一笔之后该账户余额成负数了，核一下","")))))))))))</f>
        <v/>
      </c>
    </row>
    <row r="142" ht="16.5" spans="1:19">
      <c r="A142" s="45"/>
      <c r="B142" s="46"/>
      <c r="C142" s="12" t="str">
        <f>IF($B142="","",IFERROR(INDEX(账户银行,MATCH($B142,账户名,0)),""))</f>
        <v/>
      </c>
      <c r="D142" s="12" t="str">
        <f>IF($B142="","",IFERROR(INDEX(账户币种,MATCH($B142,账户名,0)),""))</f>
        <v/>
      </c>
      <c r="E142" s="47"/>
      <c r="F142" s="12" t="str">
        <f>IF($E142="","",IFERROR(INDEX(类别属性,MATCH($E142,类别表,0)),""))</f>
        <v/>
      </c>
      <c r="G142" s="48"/>
      <c r="H142" s="48"/>
      <c r="I142" s="49"/>
      <c r="J142" s="24" t="str">
        <f>IF(OR($A142="",$B142=""),"",IF($I142&lt;&gt;"",$I142,IF($D142=本位币,1,IFERROR(LOOKUP(2,1/((汇率月份&lt;=$A142)*(INDEX(记账汇率区,0,MATCH($D142,汇率币种头,0))&lt;&gt;"")),INDEX(记账汇率区,0,MATCH($D142,汇率币种头,0))),""))))</f>
        <v/>
      </c>
      <c r="K142" s="23" t="str">
        <f t="shared" si="4"/>
        <v/>
      </c>
      <c r="L142" s="23" t="str">
        <f t="shared" si="5"/>
        <v/>
      </c>
      <c r="M142" s="23" t="str">
        <f>IF($B142="","",ROUND(SUMIF(账户名,$B142,账户期初)+SUMIFS($K$6:K142,$B$6:B142,$B142),2))</f>
        <v/>
      </c>
      <c r="N142" s="23" t="str">
        <f>IF($B142="","",IFERROR(ROUND(INDEX(账户期初本位,MATCH($B142,账户名,0))+SUMIFS($L$6:L142,$B$6:B142,$B142),2),""))</f>
        <v/>
      </c>
      <c r="O142" s="46"/>
      <c r="P142" s="47"/>
      <c r="Q142" s="46"/>
      <c r="R142" s="46"/>
      <c r="S142" s="6" t="str">
        <f>IF($B142="","",IF(ISNA(MATCH($B142,账户名,0)),"※这个账户不在【参数设置】的账户档案里",IF($A142="","※没填日期，这一笔不会进任何月份的报表",IF(AND($G142&lt;&gt;"",$H142&lt;&gt;""),"※收入和支出不能同时填",IF(AND(N($G142)=0,N($H142)=0),"※收入和支出都没填",IF($E142="","※没填收支类别，分类报表会漏掉这一笔",IF(ISNA(MATCH($E142,类别表,0)),"※收支类别不在【参数设置】的清单里",IF($J142="","△"&amp;$D142&amp;" 还没填汇率，去【月度汇率】补上就自动算了",IF(YEAR($A142)&lt;&gt;管理年度,"△不是管理年度的单据，年报里看不到",IF(AND($F142="内部转账",$Q142=""),"△内部转账建议在「往来单位」写上对方账户",IF($M142&lt;0,"△这一笔之后该账户余额成负数了，核一下","")))))))))))</f>
        <v/>
      </c>
    </row>
    <row r="143" ht="16.5" spans="1:19">
      <c r="A143" s="45"/>
      <c r="B143" s="46"/>
      <c r="C143" s="12" t="str">
        <f>IF($B143="","",IFERROR(INDEX(账户银行,MATCH($B143,账户名,0)),""))</f>
        <v/>
      </c>
      <c r="D143" s="12" t="str">
        <f>IF($B143="","",IFERROR(INDEX(账户币种,MATCH($B143,账户名,0)),""))</f>
        <v/>
      </c>
      <c r="E143" s="47"/>
      <c r="F143" s="12" t="str">
        <f>IF($E143="","",IFERROR(INDEX(类别属性,MATCH($E143,类别表,0)),""))</f>
        <v/>
      </c>
      <c r="G143" s="48"/>
      <c r="H143" s="48"/>
      <c r="I143" s="49"/>
      <c r="J143" s="24" t="str">
        <f>IF(OR($A143="",$B143=""),"",IF($I143&lt;&gt;"",$I143,IF($D143=本位币,1,IFERROR(LOOKUP(2,1/((汇率月份&lt;=$A143)*(INDEX(记账汇率区,0,MATCH($D143,汇率币种头,0))&lt;&gt;"")),INDEX(记账汇率区,0,MATCH($D143,汇率币种头,0))),""))))</f>
        <v/>
      </c>
      <c r="K143" s="23" t="str">
        <f t="shared" si="4"/>
        <v/>
      </c>
      <c r="L143" s="23" t="str">
        <f t="shared" si="5"/>
        <v/>
      </c>
      <c r="M143" s="23" t="str">
        <f>IF($B143="","",ROUND(SUMIF(账户名,$B143,账户期初)+SUMIFS($K$6:K143,$B$6:B143,$B143),2))</f>
        <v/>
      </c>
      <c r="N143" s="23" t="str">
        <f>IF($B143="","",IFERROR(ROUND(INDEX(账户期初本位,MATCH($B143,账户名,0))+SUMIFS($L$6:L143,$B$6:B143,$B143),2),""))</f>
        <v/>
      </c>
      <c r="O143" s="46"/>
      <c r="P143" s="47"/>
      <c r="Q143" s="46"/>
      <c r="R143" s="46"/>
      <c r="S143" s="6" t="str">
        <f>IF($B143="","",IF(ISNA(MATCH($B143,账户名,0)),"※这个账户不在【参数设置】的账户档案里",IF($A143="","※没填日期，这一笔不会进任何月份的报表",IF(AND($G143&lt;&gt;"",$H143&lt;&gt;""),"※收入和支出不能同时填",IF(AND(N($G143)=0,N($H143)=0),"※收入和支出都没填",IF($E143="","※没填收支类别，分类报表会漏掉这一笔",IF(ISNA(MATCH($E143,类别表,0)),"※收支类别不在【参数设置】的清单里",IF($J143="","△"&amp;$D143&amp;" 还没填汇率，去【月度汇率】补上就自动算了",IF(YEAR($A143)&lt;&gt;管理年度,"△不是管理年度的单据，年报里看不到",IF(AND($F143="内部转账",$Q143=""),"△内部转账建议在「往来单位」写上对方账户",IF($M143&lt;0,"△这一笔之后该账户余额成负数了，核一下","")))))))))))</f>
        <v/>
      </c>
    </row>
    <row r="144" ht="16.5" spans="1:19">
      <c r="A144" s="45"/>
      <c r="B144" s="46"/>
      <c r="C144" s="12" t="str">
        <f>IF($B144="","",IFERROR(INDEX(账户银行,MATCH($B144,账户名,0)),""))</f>
        <v/>
      </c>
      <c r="D144" s="12" t="str">
        <f>IF($B144="","",IFERROR(INDEX(账户币种,MATCH($B144,账户名,0)),""))</f>
        <v/>
      </c>
      <c r="E144" s="47"/>
      <c r="F144" s="12" t="str">
        <f>IF($E144="","",IFERROR(INDEX(类别属性,MATCH($E144,类别表,0)),""))</f>
        <v/>
      </c>
      <c r="G144" s="48"/>
      <c r="H144" s="48"/>
      <c r="I144" s="49"/>
      <c r="J144" s="24" t="str">
        <f>IF(OR($A144="",$B144=""),"",IF($I144&lt;&gt;"",$I144,IF($D144=本位币,1,IFERROR(LOOKUP(2,1/((汇率月份&lt;=$A144)*(INDEX(记账汇率区,0,MATCH($D144,汇率币种头,0))&lt;&gt;"")),INDEX(记账汇率区,0,MATCH($D144,汇率币种头,0))),""))))</f>
        <v/>
      </c>
      <c r="K144" s="23" t="str">
        <f t="shared" si="4"/>
        <v/>
      </c>
      <c r="L144" s="23" t="str">
        <f t="shared" si="5"/>
        <v/>
      </c>
      <c r="M144" s="23" t="str">
        <f>IF($B144="","",ROUND(SUMIF(账户名,$B144,账户期初)+SUMIFS($K$6:K144,$B$6:B144,$B144),2))</f>
        <v/>
      </c>
      <c r="N144" s="23" t="str">
        <f>IF($B144="","",IFERROR(ROUND(INDEX(账户期初本位,MATCH($B144,账户名,0))+SUMIFS($L$6:L144,$B$6:B144,$B144),2),""))</f>
        <v/>
      </c>
      <c r="O144" s="46"/>
      <c r="P144" s="47"/>
      <c r="Q144" s="46"/>
      <c r="R144" s="46"/>
      <c r="S144" s="6" t="str">
        <f>IF($B144="","",IF(ISNA(MATCH($B144,账户名,0)),"※这个账户不在【参数设置】的账户档案里",IF($A144="","※没填日期，这一笔不会进任何月份的报表",IF(AND($G144&lt;&gt;"",$H144&lt;&gt;""),"※收入和支出不能同时填",IF(AND(N($G144)=0,N($H144)=0),"※收入和支出都没填",IF($E144="","※没填收支类别，分类报表会漏掉这一笔",IF(ISNA(MATCH($E144,类别表,0)),"※收支类别不在【参数设置】的清单里",IF($J144="","△"&amp;$D144&amp;" 还没填汇率，去【月度汇率】补上就自动算了",IF(YEAR($A144)&lt;&gt;管理年度,"△不是管理年度的单据，年报里看不到",IF(AND($F144="内部转账",$Q144=""),"△内部转账建议在「往来单位」写上对方账户",IF($M144&lt;0,"△这一笔之后该账户余额成负数了，核一下","")))))))))))</f>
        <v/>
      </c>
    </row>
    <row r="145" ht="16.5" spans="1:19">
      <c r="A145" s="45"/>
      <c r="B145" s="46"/>
      <c r="C145" s="12" t="str">
        <f>IF($B145="","",IFERROR(INDEX(账户银行,MATCH($B145,账户名,0)),""))</f>
        <v/>
      </c>
      <c r="D145" s="12" t="str">
        <f>IF($B145="","",IFERROR(INDEX(账户币种,MATCH($B145,账户名,0)),""))</f>
        <v/>
      </c>
      <c r="E145" s="47"/>
      <c r="F145" s="12" t="str">
        <f>IF($E145="","",IFERROR(INDEX(类别属性,MATCH($E145,类别表,0)),""))</f>
        <v/>
      </c>
      <c r="G145" s="48"/>
      <c r="H145" s="48"/>
      <c r="I145" s="49"/>
      <c r="J145" s="24" t="str">
        <f>IF(OR($A145="",$B145=""),"",IF($I145&lt;&gt;"",$I145,IF($D145=本位币,1,IFERROR(LOOKUP(2,1/((汇率月份&lt;=$A145)*(INDEX(记账汇率区,0,MATCH($D145,汇率币种头,0))&lt;&gt;"")),INDEX(记账汇率区,0,MATCH($D145,汇率币种头,0))),""))))</f>
        <v/>
      </c>
      <c r="K145" s="23" t="str">
        <f t="shared" si="4"/>
        <v/>
      </c>
      <c r="L145" s="23" t="str">
        <f t="shared" si="5"/>
        <v/>
      </c>
      <c r="M145" s="23" t="str">
        <f>IF($B145="","",ROUND(SUMIF(账户名,$B145,账户期初)+SUMIFS($K$6:K145,$B$6:B145,$B145),2))</f>
        <v/>
      </c>
      <c r="N145" s="23" t="str">
        <f>IF($B145="","",IFERROR(ROUND(INDEX(账户期初本位,MATCH($B145,账户名,0))+SUMIFS($L$6:L145,$B$6:B145,$B145),2),""))</f>
        <v/>
      </c>
      <c r="O145" s="46"/>
      <c r="P145" s="47"/>
      <c r="Q145" s="46"/>
      <c r="R145" s="46"/>
      <c r="S145" s="6" t="str">
        <f>IF($B145="","",IF(ISNA(MATCH($B145,账户名,0)),"※这个账户不在【参数设置】的账户档案里",IF($A145="","※没填日期，这一笔不会进任何月份的报表",IF(AND($G145&lt;&gt;"",$H145&lt;&gt;""),"※收入和支出不能同时填",IF(AND(N($G145)=0,N($H145)=0),"※收入和支出都没填",IF($E145="","※没填收支类别，分类报表会漏掉这一笔",IF(ISNA(MATCH($E145,类别表,0)),"※收支类别不在【参数设置】的清单里",IF($J145="","△"&amp;$D145&amp;" 还没填汇率，去【月度汇率】补上就自动算了",IF(YEAR($A145)&lt;&gt;管理年度,"△不是管理年度的单据，年报里看不到",IF(AND($F145="内部转账",$Q145=""),"△内部转账建议在「往来单位」写上对方账户",IF($M145&lt;0,"△这一笔之后该账户余额成负数了，核一下","")))))))))))</f>
        <v/>
      </c>
    </row>
    <row r="146" ht="16.5" spans="1:19">
      <c r="A146" s="45"/>
      <c r="B146" s="46"/>
      <c r="C146" s="12" t="str">
        <f>IF($B146="","",IFERROR(INDEX(账户银行,MATCH($B146,账户名,0)),""))</f>
        <v/>
      </c>
      <c r="D146" s="12" t="str">
        <f>IF($B146="","",IFERROR(INDEX(账户币种,MATCH($B146,账户名,0)),""))</f>
        <v/>
      </c>
      <c r="E146" s="47"/>
      <c r="F146" s="12" t="str">
        <f>IF($E146="","",IFERROR(INDEX(类别属性,MATCH($E146,类别表,0)),""))</f>
        <v/>
      </c>
      <c r="G146" s="48"/>
      <c r="H146" s="48"/>
      <c r="I146" s="49"/>
      <c r="J146" s="24" t="str">
        <f>IF(OR($A146="",$B146=""),"",IF($I146&lt;&gt;"",$I146,IF($D146=本位币,1,IFERROR(LOOKUP(2,1/((汇率月份&lt;=$A146)*(INDEX(记账汇率区,0,MATCH($D146,汇率币种头,0))&lt;&gt;"")),INDEX(记账汇率区,0,MATCH($D146,汇率币种头,0))),""))))</f>
        <v/>
      </c>
      <c r="K146" s="23" t="str">
        <f t="shared" si="4"/>
        <v/>
      </c>
      <c r="L146" s="23" t="str">
        <f t="shared" si="5"/>
        <v/>
      </c>
      <c r="M146" s="23" t="str">
        <f>IF($B146="","",ROUND(SUMIF(账户名,$B146,账户期初)+SUMIFS($K$6:K146,$B$6:B146,$B146),2))</f>
        <v/>
      </c>
      <c r="N146" s="23" t="str">
        <f>IF($B146="","",IFERROR(ROUND(INDEX(账户期初本位,MATCH($B146,账户名,0))+SUMIFS($L$6:L146,$B$6:B146,$B146),2),""))</f>
        <v/>
      </c>
      <c r="O146" s="46"/>
      <c r="P146" s="47"/>
      <c r="Q146" s="46"/>
      <c r="R146" s="46"/>
      <c r="S146" s="6" t="str">
        <f>IF($B146="","",IF(ISNA(MATCH($B146,账户名,0)),"※这个账户不在【参数设置】的账户档案里",IF($A146="","※没填日期，这一笔不会进任何月份的报表",IF(AND($G146&lt;&gt;"",$H146&lt;&gt;""),"※收入和支出不能同时填",IF(AND(N($G146)=0,N($H146)=0),"※收入和支出都没填",IF($E146="","※没填收支类别，分类报表会漏掉这一笔",IF(ISNA(MATCH($E146,类别表,0)),"※收支类别不在【参数设置】的清单里",IF($J146="","△"&amp;$D146&amp;" 还没填汇率，去【月度汇率】补上就自动算了",IF(YEAR($A146)&lt;&gt;管理年度,"△不是管理年度的单据，年报里看不到",IF(AND($F146="内部转账",$Q146=""),"△内部转账建议在「往来单位」写上对方账户",IF($M146&lt;0,"△这一笔之后该账户余额成负数了，核一下","")))))))))))</f>
        <v/>
      </c>
    </row>
    <row r="147" ht="16.5" spans="1:19">
      <c r="A147" s="45"/>
      <c r="B147" s="46"/>
      <c r="C147" s="12" t="str">
        <f>IF($B147="","",IFERROR(INDEX(账户银行,MATCH($B147,账户名,0)),""))</f>
        <v/>
      </c>
      <c r="D147" s="12" t="str">
        <f>IF($B147="","",IFERROR(INDEX(账户币种,MATCH($B147,账户名,0)),""))</f>
        <v/>
      </c>
      <c r="E147" s="47"/>
      <c r="F147" s="12" t="str">
        <f>IF($E147="","",IFERROR(INDEX(类别属性,MATCH($E147,类别表,0)),""))</f>
        <v/>
      </c>
      <c r="G147" s="48"/>
      <c r="H147" s="48"/>
      <c r="I147" s="49"/>
      <c r="J147" s="24" t="str">
        <f>IF(OR($A147="",$B147=""),"",IF($I147&lt;&gt;"",$I147,IF($D147=本位币,1,IFERROR(LOOKUP(2,1/((汇率月份&lt;=$A147)*(INDEX(记账汇率区,0,MATCH($D147,汇率币种头,0))&lt;&gt;"")),INDEX(记账汇率区,0,MATCH($D147,汇率币种头,0))),""))))</f>
        <v/>
      </c>
      <c r="K147" s="23" t="str">
        <f t="shared" si="4"/>
        <v/>
      </c>
      <c r="L147" s="23" t="str">
        <f t="shared" si="5"/>
        <v/>
      </c>
      <c r="M147" s="23" t="str">
        <f>IF($B147="","",ROUND(SUMIF(账户名,$B147,账户期初)+SUMIFS($K$6:K147,$B$6:B147,$B147),2))</f>
        <v/>
      </c>
      <c r="N147" s="23" t="str">
        <f>IF($B147="","",IFERROR(ROUND(INDEX(账户期初本位,MATCH($B147,账户名,0))+SUMIFS($L$6:L147,$B$6:B147,$B147),2),""))</f>
        <v/>
      </c>
      <c r="O147" s="46"/>
      <c r="P147" s="47"/>
      <c r="Q147" s="46"/>
      <c r="R147" s="46"/>
      <c r="S147" s="6" t="str">
        <f>IF($B147="","",IF(ISNA(MATCH($B147,账户名,0)),"※这个账户不在【参数设置】的账户档案里",IF($A147="","※没填日期，这一笔不会进任何月份的报表",IF(AND($G147&lt;&gt;"",$H147&lt;&gt;""),"※收入和支出不能同时填",IF(AND(N($G147)=0,N($H147)=0),"※收入和支出都没填",IF($E147="","※没填收支类别，分类报表会漏掉这一笔",IF(ISNA(MATCH($E147,类别表,0)),"※收支类别不在【参数设置】的清单里",IF($J147="","△"&amp;$D147&amp;" 还没填汇率，去【月度汇率】补上就自动算了",IF(YEAR($A147)&lt;&gt;管理年度,"△不是管理年度的单据，年报里看不到",IF(AND($F147="内部转账",$Q147=""),"△内部转账建议在「往来单位」写上对方账户",IF($M147&lt;0,"△这一笔之后该账户余额成负数了，核一下","")))))))))))</f>
        <v/>
      </c>
    </row>
    <row r="148" ht="16.5" spans="1:19">
      <c r="A148" s="45"/>
      <c r="B148" s="46"/>
      <c r="C148" s="12" t="str">
        <f>IF($B148="","",IFERROR(INDEX(账户银行,MATCH($B148,账户名,0)),""))</f>
        <v/>
      </c>
      <c r="D148" s="12" t="str">
        <f>IF($B148="","",IFERROR(INDEX(账户币种,MATCH($B148,账户名,0)),""))</f>
        <v/>
      </c>
      <c r="E148" s="47"/>
      <c r="F148" s="12" t="str">
        <f>IF($E148="","",IFERROR(INDEX(类别属性,MATCH($E148,类别表,0)),""))</f>
        <v/>
      </c>
      <c r="G148" s="48"/>
      <c r="H148" s="48"/>
      <c r="I148" s="49"/>
      <c r="J148" s="24" t="str">
        <f>IF(OR($A148="",$B148=""),"",IF($I148&lt;&gt;"",$I148,IF($D148=本位币,1,IFERROR(LOOKUP(2,1/((汇率月份&lt;=$A148)*(INDEX(记账汇率区,0,MATCH($D148,汇率币种头,0))&lt;&gt;"")),INDEX(记账汇率区,0,MATCH($D148,汇率币种头,0))),""))))</f>
        <v/>
      </c>
      <c r="K148" s="23" t="str">
        <f t="shared" si="4"/>
        <v/>
      </c>
      <c r="L148" s="23" t="str">
        <f t="shared" si="5"/>
        <v/>
      </c>
      <c r="M148" s="23" t="str">
        <f>IF($B148="","",ROUND(SUMIF(账户名,$B148,账户期初)+SUMIFS($K$6:K148,$B$6:B148,$B148),2))</f>
        <v/>
      </c>
      <c r="N148" s="23" t="str">
        <f>IF($B148="","",IFERROR(ROUND(INDEX(账户期初本位,MATCH($B148,账户名,0))+SUMIFS($L$6:L148,$B$6:B148,$B148),2),""))</f>
        <v/>
      </c>
      <c r="O148" s="46"/>
      <c r="P148" s="47"/>
      <c r="Q148" s="46"/>
      <c r="R148" s="46"/>
      <c r="S148" s="6" t="str">
        <f>IF($B148="","",IF(ISNA(MATCH($B148,账户名,0)),"※这个账户不在【参数设置】的账户档案里",IF($A148="","※没填日期，这一笔不会进任何月份的报表",IF(AND($G148&lt;&gt;"",$H148&lt;&gt;""),"※收入和支出不能同时填",IF(AND(N($G148)=0,N($H148)=0),"※收入和支出都没填",IF($E148="","※没填收支类别，分类报表会漏掉这一笔",IF(ISNA(MATCH($E148,类别表,0)),"※收支类别不在【参数设置】的清单里",IF($J148="","△"&amp;$D148&amp;" 还没填汇率，去【月度汇率】补上就自动算了",IF(YEAR($A148)&lt;&gt;管理年度,"△不是管理年度的单据，年报里看不到",IF(AND($F148="内部转账",$Q148=""),"△内部转账建议在「往来单位」写上对方账户",IF($M148&lt;0,"△这一笔之后该账户余额成负数了，核一下","")))))))))))</f>
        <v/>
      </c>
    </row>
    <row r="149" ht="16.5" spans="1:19">
      <c r="A149" s="45"/>
      <c r="B149" s="46"/>
      <c r="C149" s="12" t="str">
        <f>IF($B149="","",IFERROR(INDEX(账户银行,MATCH($B149,账户名,0)),""))</f>
        <v/>
      </c>
      <c r="D149" s="12" t="str">
        <f>IF($B149="","",IFERROR(INDEX(账户币种,MATCH($B149,账户名,0)),""))</f>
        <v/>
      </c>
      <c r="E149" s="47"/>
      <c r="F149" s="12" t="str">
        <f>IF($E149="","",IFERROR(INDEX(类别属性,MATCH($E149,类别表,0)),""))</f>
        <v/>
      </c>
      <c r="G149" s="48"/>
      <c r="H149" s="48"/>
      <c r="I149" s="49"/>
      <c r="J149" s="24" t="str">
        <f>IF(OR($A149="",$B149=""),"",IF($I149&lt;&gt;"",$I149,IF($D149=本位币,1,IFERROR(LOOKUP(2,1/((汇率月份&lt;=$A149)*(INDEX(记账汇率区,0,MATCH($D149,汇率币种头,0))&lt;&gt;"")),INDEX(记账汇率区,0,MATCH($D149,汇率币种头,0))),""))))</f>
        <v/>
      </c>
      <c r="K149" s="23" t="str">
        <f t="shared" si="4"/>
        <v/>
      </c>
      <c r="L149" s="23" t="str">
        <f t="shared" si="5"/>
        <v/>
      </c>
      <c r="M149" s="23" t="str">
        <f>IF($B149="","",ROUND(SUMIF(账户名,$B149,账户期初)+SUMIFS($K$6:K149,$B$6:B149,$B149),2))</f>
        <v/>
      </c>
      <c r="N149" s="23" t="str">
        <f>IF($B149="","",IFERROR(ROUND(INDEX(账户期初本位,MATCH($B149,账户名,0))+SUMIFS($L$6:L149,$B$6:B149,$B149),2),""))</f>
        <v/>
      </c>
      <c r="O149" s="46"/>
      <c r="P149" s="47"/>
      <c r="Q149" s="46"/>
      <c r="R149" s="46"/>
      <c r="S149" s="6" t="str">
        <f>IF($B149="","",IF(ISNA(MATCH($B149,账户名,0)),"※这个账户不在【参数设置】的账户档案里",IF($A149="","※没填日期，这一笔不会进任何月份的报表",IF(AND($G149&lt;&gt;"",$H149&lt;&gt;""),"※收入和支出不能同时填",IF(AND(N($G149)=0,N($H149)=0),"※收入和支出都没填",IF($E149="","※没填收支类别，分类报表会漏掉这一笔",IF(ISNA(MATCH($E149,类别表,0)),"※收支类别不在【参数设置】的清单里",IF($J149="","△"&amp;$D149&amp;" 还没填汇率，去【月度汇率】补上就自动算了",IF(YEAR($A149)&lt;&gt;管理年度,"△不是管理年度的单据，年报里看不到",IF(AND($F149="内部转账",$Q149=""),"△内部转账建议在「往来单位」写上对方账户",IF($M149&lt;0,"△这一笔之后该账户余额成负数了，核一下","")))))))))))</f>
        <v/>
      </c>
    </row>
    <row r="150" ht="16.5" spans="1:19">
      <c r="A150" s="45"/>
      <c r="B150" s="46"/>
      <c r="C150" s="12" t="str">
        <f>IF($B150="","",IFERROR(INDEX(账户银行,MATCH($B150,账户名,0)),""))</f>
        <v/>
      </c>
      <c r="D150" s="12" t="str">
        <f>IF($B150="","",IFERROR(INDEX(账户币种,MATCH($B150,账户名,0)),""))</f>
        <v/>
      </c>
      <c r="E150" s="47"/>
      <c r="F150" s="12" t="str">
        <f>IF($E150="","",IFERROR(INDEX(类别属性,MATCH($E150,类别表,0)),""))</f>
        <v/>
      </c>
      <c r="G150" s="48"/>
      <c r="H150" s="48"/>
      <c r="I150" s="49"/>
      <c r="J150" s="24" t="str">
        <f>IF(OR($A150="",$B150=""),"",IF($I150&lt;&gt;"",$I150,IF($D150=本位币,1,IFERROR(LOOKUP(2,1/((汇率月份&lt;=$A150)*(INDEX(记账汇率区,0,MATCH($D150,汇率币种头,0))&lt;&gt;"")),INDEX(记账汇率区,0,MATCH($D150,汇率币种头,0))),""))))</f>
        <v/>
      </c>
      <c r="K150" s="23" t="str">
        <f t="shared" si="4"/>
        <v/>
      </c>
      <c r="L150" s="23" t="str">
        <f t="shared" si="5"/>
        <v/>
      </c>
      <c r="M150" s="23" t="str">
        <f>IF($B150="","",ROUND(SUMIF(账户名,$B150,账户期初)+SUMIFS($K$6:K150,$B$6:B150,$B150),2))</f>
        <v/>
      </c>
      <c r="N150" s="23" t="str">
        <f>IF($B150="","",IFERROR(ROUND(INDEX(账户期初本位,MATCH($B150,账户名,0))+SUMIFS($L$6:L150,$B$6:B150,$B150),2),""))</f>
        <v/>
      </c>
      <c r="O150" s="46"/>
      <c r="P150" s="47"/>
      <c r="Q150" s="46"/>
      <c r="R150" s="46"/>
      <c r="S150" s="6" t="str">
        <f>IF($B150="","",IF(ISNA(MATCH($B150,账户名,0)),"※这个账户不在【参数设置】的账户档案里",IF($A150="","※没填日期，这一笔不会进任何月份的报表",IF(AND($G150&lt;&gt;"",$H150&lt;&gt;""),"※收入和支出不能同时填",IF(AND(N($G150)=0,N($H150)=0),"※收入和支出都没填",IF($E150="","※没填收支类别，分类报表会漏掉这一笔",IF(ISNA(MATCH($E150,类别表,0)),"※收支类别不在【参数设置】的清单里",IF($J150="","△"&amp;$D150&amp;" 还没填汇率，去【月度汇率】补上就自动算了",IF(YEAR($A150)&lt;&gt;管理年度,"△不是管理年度的单据，年报里看不到",IF(AND($F150="内部转账",$Q150=""),"△内部转账建议在「往来单位」写上对方账户",IF($M150&lt;0,"△这一笔之后该账户余额成负数了，核一下","")))))))))))</f>
        <v/>
      </c>
    </row>
    <row r="151" ht="16.5" spans="1:19">
      <c r="A151" s="45"/>
      <c r="B151" s="46"/>
      <c r="C151" s="12" t="str">
        <f>IF($B151="","",IFERROR(INDEX(账户银行,MATCH($B151,账户名,0)),""))</f>
        <v/>
      </c>
      <c r="D151" s="12" t="str">
        <f>IF($B151="","",IFERROR(INDEX(账户币种,MATCH($B151,账户名,0)),""))</f>
        <v/>
      </c>
      <c r="E151" s="47"/>
      <c r="F151" s="12" t="str">
        <f>IF($E151="","",IFERROR(INDEX(类别属性,MATCH($E151,类别表,0)),""))</f>
        <v/>
      </c>
      <c r="G151" s="48"/>
      <c r="H151" s="48"/>
      <c r="I151" s="49"/>
      <c r="J151" s="24" t="str">
        <f>IF(OR($A151="",$B151=""),"",IF($I151&lt;&gt;"",$I151,IF($D151=本位币,1,IFERROR(LOOKUP(2,1/((汇率月份&lt;=$A151)*(INDEX(记账汇率区,0,MATCH($D151,汇率币种头,0))&lt;&gt;"")),INDEX(记账汇率区,0,MATCH($D151,汇率币种头,0))),""))))</f>
        <v/>
      </c>
      <c r="K151" s="23" t="str">
        <f t="shared" si="4"/>
        <v/>
      </c>
      <c r="L151" s="23" t="str">
        <f t="shared" si="5"/>
        <v/>
      </c>
      <c r="M151" s="23" t="str">
        <f>IF($B151="","",ROUND(SUMIF(账户名,$B151,账户期初)+SUMIFS($K$6:K151,$B$6:B151,$B151),2))</f>
        <v/>
      </c>
      <c r="N151" s="23" t="str">
        <f>IF($B151="","",IFERROR(ROUND(INDEX(账户期初本位,MATCH($B151,账户名,0))+SUMIFS($L$6:L151,$B$6:B151,$B151),2),""))</f>
        <v/>
      </c>
      <c r="O151" s="46"/>
      <c r="P151" s="47"/>
      <c r="Q151" s="46"/>
      <c r="R151" s="46"/>
      <c r="S151" s="6" t="str">
        <f>IF($B151="","",IF(ISNA(MATCH($B151,账户名,0)),"※这个账户不在【参数设置】的账户档案里",IF($A151="","※没填日期，这一笔不会进任何月份的报表",IF(AND($G151&lt;&gt;"",$H151&lt;&gt;""),"※收入和支出不能同时填",IF(AND(N($G151)=0,N($H151)=0),"※收入和支出都没填",IF($E151="","※没填收支类别，分类报表会漏掉这一笔",IF(ISNA(MATCH($E151,类别表,0)),"※收支类别不在【参数设置】的清单里",IF($J151="","△"&amp;$D151&amp;" 还没填汇率，去【月度汇率】补上就自动算了",IF(YEAR($A151)&lt;&gt;管理年度,"△不是管理年度的单据，年报里看不到",IF(AND($F151="内部转账",$Q151=""),"△内部转账建议在「往来单位」写上对方账户",IF($M151&lt;0,"△这一笔之后该账户余额成负数了，核一下","")))))))))))</f>
        <v/>
      </c>
    </row>
    <row r="152" ht="16.5" spans="1:19">
      <c r="A152" s="45"/>
      <c r="B152" s="46"/>
      <c r="C152" s="12" t="str">
        <f>IF($B152="","",IFERROR(INDEX(账户银行,MATCH($B152,账户名,0)),""))</f>
        <v/>
      </c>
      <c r="D152" s="12" t="str">
        <f>IF($B152="","",IFERROR(INDEX(账户币种,MATCH($B152,账户名,0)),""))</f>
        <v/>
      </c>
      <c r="E152" s="47"/>
      <c r="F152" s="12" t="str">
        <f>IF($E152="","",IFERROR(INDEX(类别属性,MATCH($E152,类别表,0)),""))</f>
        <v/>
      </c>
      <c r="G152" s="48"/>
      <c r="H152" s="48"/>
      <c r="I152" s="49"/>
      <c r="J152" s="24" t="str">
        <f>IF(OR($A152="",$B152=""),"",IF($I152&lt;&gt;"",$I152,IF($D152=本位币,1,IFERROR(LOOKUP(2,1/((汇率月份&lt;=$A152)*(INDEX(记账汇率区,0,MATCH($D152,汇率币种头,0))&lt;&gt;"")),INDEX(记账汇率区,0,MATCH($D152,汇率币种头,0))),""))))</f>
        <v/>
      </c>
      <c r="K152" s="23" t="str">
        <f t="shared" si="4"/>
        <v/>
      </c>
      <c r="L152" s="23" t="str">
        <f t="shared" si="5"/>
        <v/>
      </c>
      <c r="M152" s="23" t="str">
        <f>IF($B152="","",ROUND(SUMIF(账户名,$B152,账户期初)+SUMIFS($K$6:K152,$B$6:B152,$B152),2))</f>
        <v/>
      </c>
      <c r="N152" s="23" t="str">
        <f>IF($B152="","",IFERROR(ROUND(INDEX(账户期初本位,MATCH($B152,账户名,0))+SUMIFS($L$6:L152,$B$6:B152,$B152),2),""))</f>
        <v/>
      </c>
      <c r="O152" s="46"/>
      <c r="P152" s="47"/>
      <c r="Q152" s="46"/>
      <c r="R152" s="46"/>
      <c r="S152" s="6" t="str">
        <f>IF($B152="","",IF(ISNA(MATCH($B152,账户名,0)),"※这个账户不在【参数设置】的账户档案里",IF($A152="","※没填日期，这一笔不会进任何月份的报表",IF(AND($G152&lt;&gt;"",$H152&lt;&gt;""),"※收入和支出不能同时填",IF(AND(N($G152)=0,N($H152)=0),"※收入和支出都没填",IF($E152="","※没填收支类别，分类报表会漏掉这一笔",IF(ISNA(MATCH($E152,类别表,0)),"※收支类别不在【参数设置】的清单里",IF($J152="","△"&amp;$D152&amp;" 还没填汇率，去【月度汇率】补上就自动算了",IF(YEAR($A152)&lt;&gt;管理年度,"△不是管理年度的单据，年报里看不到",IF(AND($F152="内部转账",$Q152=""),"△内部转账建议在「往来单位」写上对方账户",IF($M152&lt;0,"△这一笔之后该账户余额成负数了，核一下","")))))))))))</f>
        <v/>
      </c>
    </row>
    <row r="153" ht="16.5" spans="1:19">
      <c r="A153" s="45"/>
      <c r="B153" s="46"/>
      <c r="C153" s="12" t="str">
        <f>IF($B153="","",IFERROR(INDEX(账户银行,MATCH($B153,账户名,0)),""))</f>
        <v/>
      </c>
      <c r="D153" s="12" t="str">
        <f>IF($B153="","",IFERROR(INDEX(账户币种,MATCH($B153,账户名,0)),""))</f>
        <v/>
      </c>
      <c r="E153" s="47"/>
      <c r="F153" s="12" t="str">
        <f>IF($E153="","",IFERROR(INDEX(类别属性,MATCH($E153,类别表,0)),""))</f>
        <v/>
      </c>
      <c r="G153" s="48"/>
      <c r="H153" s="48"/>
      <c r="I153" s="49"/>
      <c r="J153" s="24" t="str">
        <f>IF(OR($A153="",$B153=""),"",IF($I153&lt;&gt;"",$I153,IF($D153=本位币,1,IFERROR(LOOKUP(2,1/((汇率月份&lt;=$A153)*(INDEX(记账汇率区,0,MATCH($D153,汇率币种头,0))&lt;&gt;"")),INDEX(记账汇率区,0,MATCH($D153,汇率币种头,0))),""))))</f>
        <v/>
      </c>
      <c r="K153" s="23" t="str">
        <f t="shared" si="4"/>
        <v/>
      </c>
      <c r="L153" s="23" t="str">
        <f t="shared" si="5"/>
        <v/>
      </c>
      <c r="M153" s="23" t="str">
        <f>IF($B153="","",ROUND(SUMIF(账户名,$B153,账户期初)+SUMIFS($K$6:K153,$B$6:B153,$B153),2))</f>
        <v/>
      </c>
      <c r="N153" s="23" t="str">
        <f>IF($B153="","",IFERROR(ROUND(INDEX(账户期初本位,MATCH($B153,账户名,0))+SUMIFS($L$6:L153,$B$6:B153,$B153),2),""))</f>
        <v/>
      </c>
      <c r="O153" s="46"/>
      <c r="P153" s="47"/>
      <c r="Q153" s="46"/>
      <c r="R153" s="46"/>
      <c r="S153" s="6" t="str">
        <f>IF($B153="","",IF(ISNA(MATCH($B153,账户名,0)),"※这个账户不在【参数设置】的账户档案里",IF($A153="","※没填日期，这一笔不会进任何月份的报表",IF(AND($G153&lt;&gt;"",$H153&lt;&gt;""),"※收入和支出不能同时填",IF(AND(N($G153)=0,N($H153)=0),"※收入和支出都没填",IF($E153="","※没填收支类别，分类报表会漏掉这一笔",IF(ISNA(MATCH($E153,类别表,0)),"※收支类别不在【参数设置】的清单里",IF($J153="","△"&amp;$D153&amp;" 还没填汇率，去【月度汇率】补上就自动算了",IF(YEAR($A153)&lt;&gt;管理年度,"△不是管理年度的单据，年报里看不到",IF(AND($F153="内部转账",$Q153=""),"△内部转账建议在「往来单位」写上对方账户",IF($M153&lt;0,"△这一笔之后该账户余额成负数了，核一下","")))))))))))</f>
        <v/>
      </c>
    </row>
    <row r="154" ht="16.5" spans="1:19">
      <c r="A154" s="45"/>
      <c r="B154" s="46"/>
      <c r="C154" s="12" t="str">
        <f>IF($B154="","",IFERROR(INDEX(账户银行,MATCH($B154,账户名,0)),""))</f>
        <v/>
      </c>
      <c r="D154" s="12" t="str">
        <f>IF($B154="","",IFERROR(INDEX(账户币种,MATCH($B154,账户名,0)),""))</f>
        <v/>
      </c>
      <c r="E154" s="47"/>
      <c r="F154" s="12" t="str">
        <f>IF($E154="","",IFERROR(INDEX(类别属性,MATCH($E154,类别表,0)),""))</f>
        <v/>
      </c>
      <c r="G154" s="48"/>
      <c r="H154" s="48"/>
      <c r="I154" s="49"/>
      <c r="J154" s="24" t="str">
        <f>IF(OR($A154="",$B154=""),"",IF($I154&lt;&gt;"",$I154,IF($D154=本位币,1,IFERROR(LOOKUP(2,1/((汇率月份&lt;=$A154)*(INDEX(记账汇率区,0,MATCH($D154,汇率币种头,0))&lt;&gt;"")),INDEX(记账汇率区,0,MATCH($D154,汇率币种头,0))),""))))</f>
        <v/>
      </c>
      <c r="K154" s="23" t="str">
        <f t="shared" si="4"/>
        <v/>
      </c>
      <c r="L154" s="23" t="str">
        <f t="shared" si="5"/>
        <v/>
      </c>
      <c r="M154" s="23" t="str">
        <f>IF($B154="","",ROUND(SUMIF(账户名,$B154,账户期初)+SUMIFS($K$6:K154,$B$6:B154,$B154),2))</f>
        <v/>
      </c>
      <c r="N154" s="23" t="str">
        <f>IF($B154="","",IFERROR(ROUND(INDEX(账户期初本位,MATCH($B154,账户名,0))+SUMIFS($L$6:L154,$B$6:B154,$B154),2),""))</f>
        <v/>
      </c>
      <c r="O154" s="46"/>
      <c r="P154" s="47"/>
      <c r="Q154" s="46"/>
      <c r="R154" s="46"/>
      <c r="S154" s="6" t="str">
        <f>IF($B154="","",IF(ISNA(MATCH($B154,账户名,0)),"※这个账户不在【参数设置】的账户档案里",IF($A154="","※没填日期，这一笔不会进任何月份的报表",IF(AND($G154&lt;&gt;"",$H154&lt;&gt;""),"※收入和支出不能同时填",IF(AND(N($G154)=0,N($H154)=0),"※收入和支出都没填",IF($E154="","※没填收支类别，分类报表会漏掉这一笔",IF(ISNA(MATCH($E154,类别表,0)),"※收支类别不在【参数设置】的清单里",IF($J154="","△"&amp;$D154&amp;" 还没填汇率，去【月度汇率】补上就自动算了",IF(YEAR($A154)&lt;&gt;管理年度,"△不是管理年度的单据，年报里看不到",IF(AND($F154="内部转账",$Q154=""),"△内部转账建议在「往来单位」写上对方账户",IF($M154&lt;0,"△这一笔之后该账户余额成负数了，核一下","")))))))))))</f>
        <v/>
      </c>
    </row>
    <row r="155" ht="16.5" spans="1:19">
      <c r="A155" s="45"/>
      <c r="B155" s="46"/>
      <c r="C155" s="12" t="str">
        <f>IF($B155="","",IFERROR(INDEX(账户银行,MATCH($B155,账户名,0)),""))</f>
        <v/>
      </c>
      <c r="D155" s="12" t="str">
        <f>IF($B155="","",IFERROR(INDEX(账户币种,MATCH($B155,账户名,0)),""))</f>
        <v/>
      </c>
      <c r="E155" s="47"/>
      <c r="F155" s="12" t="str">
        <f>IF($E155="","",IFERROR(INDEX(类别属性,MATCH($E155,类别表,0)),""))</f>
        <v/>
      </c>
      <c r="G155" s="48"/>
      <c r="H155" s="48"/>
      <c r="I155" s="49"/>
      <c r="J155" s="24" t="str">
        <f>IF(OR($A155="",$B155=""),"",IF($I155&lt;&gt;"",$I155,IF($D155=本位币,1,IFERROR(LOOKUP(2,1/((汇率月份&lt;=$A155)*(INDEX(记账汇率区,0,MATCH($D155,汇率币种头,0))&lt;&gt;"")),INDEX(记账汇率区,0,MATCH($D155,汇率币种头,0))),""))))</f>
        <v/>
      </c>
      <c r="K155" s="23" t="str">
        <f t="shared" si="4"/>
        <v/>
      </c>
      <c r="L155" s="23" t="str">
        <f t="shared" si="5"/>
        <v/>
      </c>
      <c r="M155" s="23" t="str">
        <f>IF($B155="","",ROUND(SUMIF(账户名,$B155,账户期初)+SUMIFS($K$6:K155,$B$6:B155,$B155),2))</f>
        <v/>
      </c>
      <c r="N155" s="23" t="str">
        <f>IF($B155="","",IFERROR(ROUND(INDEX(账户期初本位,MATCH($B155,账户名,0))+SUMIFS($L$6:L155,$B$6:B155,$B155),2),""))</f>
        <v/>
      </c>
      <c r="O155" s="46"/>
      <c r="P155" s="47"/>
      <c r="Q155" s="46"/>
      <c r="R155" s="46"/>
      <c r="S155" s="6" t="str">
        <f>IF($B155="","",IF(ISNA(MATCH($B155,账户名,0)),"※这个账户不在【参数设置】的账户档案里",IF($A155="","※没填日期，这一笔不会进任何月份的报表",IF(AND($G155&lt;&gt;"",$H155&lt;&gt;""),"※收入和支出不能同时填",IF(AND(N($G155)=0,N($H155)=0),"※收入和支出都没填",IF($E155="","※没填收支类别，分类报表会漏掉这一笔",IF(ISNA(MATCH($E155,类别表,0)),"※收支类别不在【参数设置】的清单里",IF($J155="","△"&amp;$D155&amp;" 还没填汇率，去【月度汇率】补上就自动算了",IF(YEAR($A155)&lt;&gt;管理年度,"△不是管理年度的单据，年报里看不到",IF(AND($F155="内部转账",$Q155=""),"△内部转账建议在「往来单位」写上对方账户",IF($M155&lt;0,"△这一笔之后该账户余额成负数了，核一下","")))))))))))</f>
        <v/>
      </c>
    </row>
    <row r="156" ht="16.5" spans="1:19">
      <c r="A156" s="45"/>
      <c r="B156" s="46"/>
      <c r="C156" s="12" t="str">
        <f>IF($B156="","",IFERROR(INDEX(账户银行,MATCH($B156,账户名,0)),""))</f>
        <v/>
      </c>
      <c r="D156" s="12" t="str">
        <f>IF($B156="","",IFERROR(INDEX(账户币种,MATCH($B156,账户名,0)),""))</f>
        <v/>
      </c>
      <c r="E156" s="47"/>
      <c r="F156" s="12" t="str">
        <f>IF($E156="","",IFERROR(INDEX(类别属性,MATCH($E156,类别表,0)),""))</f>
        <v/>
      </c>
      <c r="G156" s="48"/>
      <c r="H156" s="48"/>
      <c r="I156" s="49"/>
      <c r="J156" s="24" t="str">
        <f>IF(OR($A156="",$B156=""),"",IF($I156&lt;&gt;"",$I156,IF($D156=本位币,1,IFERROR(LOOKUP(2,1/((汇率月份&lt;=$A156)*(INDEX(记账汇率区,0,MATCH($D156,汇率币种头,0))&lt;&gt;"")),INDEX(记账汇率区,0,MATCH($D156,汇率币种头,0))),""))))</f>
        <v/>
      </c>
      <c r="K156" s="23" t="str">
        <f t="shared" si="4"/>
        <v/>
      </c>
      <c r="L156" s="23" t="str">
        <f t="shared" si="5"/>
        <v/>
      </c>
      <c r="M156" s="23" t="str">
        <f>IF($B156="","",ROUND(SUMIF(账户名,$B156,账户期初)+SUMIFS($K$6:K156,$B$6:B156,$B156),2))</f>
        <v/>
      </c>
      <c r="N156" s="23" t="str">
        <f>IF($B156="","",IFERROR(ROUND(INDEX(账户期初本位,MATCH($B156,账户名,0))+SUMIFS($L$6:L156,$B$6:B156,$B156),2),""))</f>
        <v/>
      </c>
      <c r="O156" s="46"/>
      <c r="P156" s="47"/>
      <c r="Q156" s="46"/>
      <c r="R156" s="46"/>
      <c r="S156" s="6" t="str">
        <f>IF($B156="","",IF(ISNA(MATCH($B156,账户名,0)),"※这个账户不在【参数设置】的账户档案里",IF($A156="","※没填日期，这一笔不会进任何月份的报表",IF(AND($G156&lt;&gt;"",$H156&lt;&gt;""),"※收入和支出不能同时填",IF(AND(N($G156)=0,N($H156)=0),"※收入和支出都没填",IF($E156="","※没填收支类别，分类报表会漏掉这一笔",IF(ISNA(MATCH($E156,类别表,0)),"※收支类别不在【参数设置】的清单里",IF($J156="","△"&amp;$D156&amp;" 还没填汇率，去【月度汇率】补上就自动算了",IF(YEAR($A156)&lt;&gt;管理年度,"△不是管理年度的单据，年报里看不到",IF(AND($F156="内部转账",$Q156=""),"△内部转账建议在「往来单位」写上对方账户",IF($M156&lt;0,"△这一笔之后该账户余额成负数了，核一下","")))))))))))</f>
        <v/>
      </c>
    </row>
    <row r="157" ht="16.5" spans="1:19">
      <c r="A157" s="45"/>
      <c r="B157" s="46"/>
      <c r="C157" s="12" t="str">
        <f>IF($B157="","",IFERROR(INDEX(账户银行,MATCH($B157,账户名,0)),""))</f>
        <v/>
      </c>
      <c r="D157" s="12" t="str">
        <f>IF($B157="","",IFERROR(INDEX(账户币种,MATCH($B157,账户名,0)),""))</f>
        <v/>
      </c>
      <c r="E157" s="47"/>
      <c r="F157" s="12" t="str">
        <f>IF($E157="","",IFERROR(INDEX(类别属性,MATCH($E157,类别表,0)),""))</f>
        <v/>
      </c>
      <c r="G157" s="48"/>
      <c r="H157" s="48"/>
      <c r="I157" s="49"/>
      <c r="J157" s="24" t="str">
        <f>IF(OR($A157="",$B157=""),"",IF($I157&lt;&gt;"",$I157,IF($D157=本位币,1,IFERROR(LOOKUP(2,1/((汇率月份&lt;=$A157)*(INDEX(记账汇率区,0,MATCH($D157,汇率币种头,0))&lt;&gt;"")),INDEX(记账汇率区,0,MATCH($D157,汇率币种头,0))),""))))</f>
        <v/>
      </c>
      <c r="K157" s="23" t="str">
        <f t="shared" si="4"/>
        <v/>
      </c>
      <c r="L157" s="23" t="str">
        <f t="shared" si="5"/>
        <v/>
      </c>
      <c r="M157" s="23" t="str">
        <f>IF($B157="","",ROUND(SUMIF(账户名,$B157,账户期初)+SUMIFS($K$6:K157,$B$6:B157,$B157),2))</f>
        <v/>
      </c>
      <c r="N157" s="23" t="str">
        <f>IF($B157="","",IFERROR(ROUND(INDEX(账户期初本位,MATCH($B157,账户名,0))+SUMIFS($L$6:L157,$B$6:B157,$B157),2),""))</f>
        <v/>
      </c>
      <c r="O157" s="46"/>
      <c r="P157" s="47"/>
      <c r="Q157" s="46"/>
      <c r="R157" s="46"/>
      <c r="S157" s="6" t="str">
        <f>IF($B157="","",IF(ISNA(MATCH($B157,账户名,0)),"※这个账户不在【参数设置】的账户档案里",IF($A157="","※没填日期，这一笔不会进任何月份的报表",IF(AND($G157&lt;&gt;"",$H157&lt;&gt;""),"※收入和支出不能同时填",IF(AND(N($G157)=0,N($H157)=0),"※收入和支出都没填",IF($E157="","※没填收支类别，分类报表会漏掉这一笔",IF(ISNA(MATCH($E157,类别表,0)),"※收支类别不在【参数设置】的清单里",IF($J157="","△"&amp;$D157&amp;" 还没填汇率，去【月度汇率】补上就自动算了",IF(YEAR($A157)&lt;&gt;管理年度,"△不是管理年度的单据，年报里看不到",IF(AND($F157="内部转账",$Q157=""),"△内部转账建议在「往来单位」写上对方账户",IF($M157&lt;0,"△这一笔之后该账户余额成负数了，核一下","")))))))))))</f>
        <v/>
      </c>
    </row>
    <row r="158" ht="16.5" spans="1:19">
      <c r="A158" s="45"/>
      <c r="B158" s="46"/>
      <c r="C158" s="12" t="str">
        <f>IF($B158="","",IFERROR(INDEX(账户银行,MATCH($B158,账户名,0)),""))</f>
        <v/>
      </c>
      <c r="D158" s="12" t="str">
        <f>IF($B158="","",IFERROR(INDEX(账户币种,MATCH($B158,账户名,0)),""))</f>
        <v/>
      </c>
      <c r="E158" s="47"/>
      <c r="F158" s="12" t="str">
        <f>IF($E158="","",IFERROR(INDEX(类别属性,MATCH($E158,类别表,0)),""))</f>
        <v/>
      </c>
      <c r="G158" s="48"/>
      <c r="H158" s="48"/>
      <c r="I158" s="49"/>
      <c r="J158" s="24" t="str">
        <f>IF(OR($A158="",$B158=""),"",IF($I158&lt;&gt;"",$I158,IF($D158=本位币,1,IFERROR(LOOKUP(2,1/((汇率月份&lt;=$A158)*(INDEX(记账汇率区,0,MATCH($D158,汇率币种头,0))&lt;&gt;"")),INDEX(记账汇率区,0,MATCH($D158,汇率币种头,0))),""))))</f>
        <v/>
      </c>
      <c r="K158" s="23" t="str">
        <f t="shared" si="4"/>
        <v/>
      </c>
      <c r="L158" s="23" t="str">
        <f t="shared" si="5"/>
        <v/>
      </c>
      <c r="M158" s="23" t="str">
        <f>IF($B158="","",ROUND(SUMIF(账户名,$B158,账户期初)+SUMIFS($K$6:K158,$B$6:B158,$B158),2))</f>
        <v/>
      </c>
      <c r="N158" s="23" t="str">
        <f>IF($B158="","",IFERROR(ROUND(INDEX(账户期初本位,MATCH($B158,账户名,0))+SUMIFS($L$6:L158,$B$6:B158,$B158),2),""))</f>
        <v/>
      </c>
      <c r="O158" s="46"/>
      <c r="P158" s="47"/>
      <c r="Q158" s="46"/>
      <c r="R158" s="46"/>
      <c r="S158" s="6" t="str">
        <f>IF($B158="","",IF(ISNA(MATCH($B158,账户名,0)),"※这个账户不在【参数设置】的账户档案里",IF($A158="","※没填日期，这一笔不会进任何月份的报表",IF(AND($G158&lt;&gt;"",$H158&lt;&gt;""),"※收入和支出不能同时填",IF(AND(N($G158)=0,N($H158)=0),"※收入和支出都没填",IF($E158="","※没填收支类别，分类报表会漏掉这一笔",IF(ISNA(MATCH($E158,类别表,0)),"※收支类别不在【参数设置】的清单里",IF($J158="","△"&amp;$D158&amp;" 还没填汇率，去【月度汇率】补上就自动算了",IF(YEAR($A158)&lt;&gt;管理年度,"△不是管理年度的单据，年报里看不到",IF(AND($F158="内部转账",$Q158=""),"△内部转账建议在「往来单位」写上对方账户",IF($M158&lt;0,"△这一笔之后该账户余额成负数了，核一下","")))))))))))</f>
        <v/>
      </c>
    </row>
    <row r="159" ht="16.5" spans="1:19">
      <c r="A159" s="45"/>
      <c r="B159" s="46"/>
      <c r="C159" s="12" t="str">
        <f>IF($B159="","",IFERROR(INDEX(账户银行,MATCH($B159,账户名,0)),""))</f>
        <v/>
      </c>
      <c r="D159" s="12" t="str">
        <f>IF($B159="","",IFERROR(INDEX(账户币种,MATCH($B159,账户名,0)),""))</f>
        <v/>
      </c>
      <c r="E159" s="47"/>
      <c r="F159" s="12" t="str">
        <f>IF($E159="","",IFERROR(INDEX(类别属性,MATCH($E159,类别表,0)),""))</f>
        <v/>
      </c>
      <c r="G159" s="48"/>
      <c r="H159" s="48"/>
      <c r="I159" s="49"/>
      <c r="J159" s="24" t="str">
        <f>IF(OR($A159="",$B159=""),"",IF($I159&lt;&gt;"",$I159,IF($D159=本位币,1,IFERROR(LOOKUP(2,1/((汇率月份&lt;=$A159)*(INDEX(记账汇率区,0,MATCH($D159,汇率币种头,0))&lt;&gt;"")),INDEX(记账汇率区,0,MATCH($D159,汇率币种头,0))),""))))</f>
        <v/>
      </c>
      <c r="K159" s="23" t="str">
        <f t="shared" si="4"/>
        <v/>
      </c>
      <c r="L159" s="23" t="str">
        <f t="shared" si="5"/>
        <v/>
      </c>
      <c r="M159" s="23" t="str">
        <f>IF($B159="","",ROUND(SUMIF(账户名,$B159,账户期初)+SUMIFS($K$6:K159,$B$6:B159,$B159),2))</f>
        <v/>
      </c>
      <c r="N159" s="23" t="str">
        <f>IF($B159="","",IFERROR(ROUND(INDEX(账户期初本位,MATCH($B159,账户名,0))+SUMIFS($L$6:L159,$B$6:B159,$B159),2),""))</f>
        <v/>
      </c>
      <c r="O159" s="46"/>
      <c r="P159" s="47"/>
      <c r="Q159" s="46"/>
      <c r="R159" s="46"/>
      <c r="S159" s="6" t="str">
        <f>IF($B159="","",IF(ISNA(MATCH($B159,账户名,0)),"※这个账户不在【参数设置】的账户档案里",IF($A159="","※没填日期，这一笔不会进任何月份的报表",IF(AND($G159&lt;&gt;"",$H159&lt;&gt;""),"※收入和支出不能同时填",IF(AND(N($G159)=0,N($H159)=0),"※收入和支出都没填",IF($E159="","※没填收支类别，分类报表会漏掉这一笔",IF(ISNA(MATCH($E159,类别表,0)),"※收支类别不在【参数设置】的清单里",IF($J159="","△"&amp;$D159&amp;" 还没填汇率，去【月度汇率】补上就自动算了",IF(YEAR($A159)&lt;&gt;管理年度,"△不是管理年度的单据，年报里看不到",IF(AND($F159="内部转账",$Q159=""),"△内部转账建议在「往来单位」写上对方账户",IF($M159&lt;0,"△这一笔之后该账户余额成负数了，核一下","")))))))))))</f>
        <v/>
      </c>
    </row>
    <row r="160" ht="16.5" spans="1:19">
      <c r="A160" s="45"/>
      <c r="B160" s="46"/>
      <c r="C160" s="12" t="str">
        <f>IF($B160="","",IFERROR(INDEX(账户银行,MATCH($B160,账户名,0)),""))</f>
        <v/>
      </c>
      <c r="D160" s="12" t="str">
        <f>IF($B160="","",IFERROR(INDEX(账户币种,MATCH($B160,账户名,0)),""))</f>
        <v/>
      </c>
      <c r="E160" s="47"/>
      <c r="F160" s="12" t="str">
        <f>IF($E160="","",IFERROR(INDEX(类别属性,MATCH($E160,类别表,0)),""))</f>
        <v/>
      </c>
      <c r="G160" s="48"/>
      <c r="H160" s="48"/>
      <c r="I160" s="49"/>
      <c r="J160" s="24" t="str">
        <f>IF(OR($A160="",$B160=""),"",IF($I160&lt;&gt;"",$I160,IF($D160=本位币,1,IFERROR(LOOKUP(2,1/((汇率月份&lt;=$A160)*(INDEX(记账汇率区,0,MATCH($D160,汇率币种头,0))&lt;&gt;"")),INDEX(记账汇率区,0,MATCH($D160,汇率币种头,0))),""))))</f>
        <v/>
      </c>
      <c r="K160" s="23" t="str">
        <f t="shared" si="4"/>
        <v/>
      </c>
      <c r="L160" s="23" t="str">
        <f t="shared" si="5"/>
        <v/>
      </c>
      <c r="M160" s="23" t="str">
        <f>IF($B160="","",ROUND(SUMIF(账户名,$B160,账户期初)+SUMIFS($K$6:K160,$B$6:B160,$B160),2))</f>
        <v/>
      </c>
      <c r="N160" s="23" t="str">
        <f>IF($B160="","",IFERROR(ROUND(INDEX(账户期初本位,MATCH($B160,账户名,0))+SUMIFS($L$6:L160,$B$6:B160,$B160),2),""))</f>
        <v/>
      </c>
      <c r="O160" s="46"/>
      <c r="P160" s="47"/>
      <c r="Q160" s="46"/>
      <c r="R160" s="46"/>
      <c r="S160" s="6" t="str">
        <f>IF($B160="","",IF(ISNA(MATCH($B160,账户名,0)),"※这个账户不在【参数设置】的账户档案里",IF($A160="","※没填日期，这一笔不会进任何月份的报表",IF(AND($G160&lt;&gt;"",$H160&lt;&gt;""),"※收入和支出不能同时填",IF(AND(N($G160)=0,N($H160)=0),"※收入和支出都没填",IF($E160="","※没填收支类别，分类报表会漏掉这一笔",IF(ISNA(MATCH($E160,类别表,0)),"※收支类别不在【参数设置】的清单里",IF($J160="","△"&amp;$D160&amp;" 还没填汇率，去【月度汇率】补上就自动算了",IF(YEAR($A160)&lt;&gt;管理年度,"△不是管理年度的单据，年报里看不到",IF(AND($F160="内部转账",$Q160=""),"△内部转账建议在「往来单位」写上对方账户",IF($M160&lt;0,"△这一笔之后该账户余额成负数了，核一下","")))))))))))</f>
        <v/>
      </c>
    </row>
    <row r="161" ht="16.5" spans="1:19">
      <c r="A161" s="45"/>
      <c r="B161" s="46"/>
      <c r="C161" s="12" t="str">
        <f>IF($B161="","",IFERROR(INDEX(账户银行,MATCH($B161,账户名,0)),""))</f>
        <v/>
      </c>
      <c r="D161" s="12" t="str">
        <f>IF($B161="","",IFERROR(INDEX(账户币种,MATCH($B161,账户名,0)),""))</f>
        <v/>
      </c>
      <c r="E161" s="47"/>
      <c r="F161" s="12" t="str">
        <f>IF($E161="","",IFERROR(INDEX(类别属性,MATCH($E161,类别表,0)),""))</f>
        <v/>
      </c>
      <c r="G161" s="48"/>
      <c r="H161" s="48"/>
      <c r="I161" s="49"/>
      <c r="J161" s="24" t="str">
        <f>IF(OR($A161="",$B161=""),"",IF($I161&lt;&gt;"",$I161,IF($D161=本位币,1,IFERROR(LOOKUP(2,1/((汇率月份&lt;=$A161)*(INDEX(记账汇率区,0,MATCH($D161,汇率币种头,0))&lt;&gt;"")),INDEX(记账汇率区,0,MATCH($D161,汇率币种头,0))),""))))</f>
        <v/>
      </c>
      <c r="K161" s="23" t="str">
        <f t="shared" si="4"/>
        <v/>
      </c>
      <c r="L161" s="23" t="str">
        <f t="shared" si="5"/>
        <v/>
      </c>
      <c r="M161" s="23" t="str">
        <f>IF($B161="","",ROUND(SUMIF(账户名,$B161,账户期初)+SUMIFS($K$6:K161,$B$6:B161,$B161),2))</f>
        <v/>
      </c>
      <c r="N161" s="23" t="str">
        <f>IF($B161="","",IFERROR(ROUND(INDEX(账户期初本位,MATCH($B161,账户名,0))+SUMIFS($L$6:L161,$B$6:B161,$B161),2),""))</f>
        <v/>
      </c>
      <c r="O161" s="46"/>
      <c r="P161" s="47"/>
      <c r="Q161" s="46"/>
      <c r="R161" s="46"/>
      <c r="S161" s="6" t="str">
        <f>IF($B161="","",IF(ISNA(MATCH($B161,账户名,0)),"※这个账户不在【参数设置】的账户档案里",IF($A161="","※没填日期，这一笔不会进任何月份的报表",IF(AND($G161&lt;&gt;"",$H161&lt;&gt;""),"※收入和支出不能同时填",IF(AND(N($G161)=0,N($H161)=0),"※收入和支出都没填",IF($E161="","※没填收支类别，分类报表会漏掉这一笔",IF(ISNA(MATCH($E161,类别表,0)),"※收支类别不在【参数设置】的清单里",IF($J161="","△"&amp;$D161&amp;" 还没填汇率，去【月度汇率】补上就自动算了",IF(YEAR($A161)&lt;&gt;管理年度,"△不是管理年度的单据，年报里看不到",IF(AND($F161="内部转账",$Q161=""),"△内部转账建议在「往来单位」写上对方账户",IF($M161&lt;0,"△这一笔之后该账户余额成负数了，核一下","")))))))))))</f>
        <v/>
      </c>
    </row>
    <row r="162" ht="16.5" spans="1:19">
      <c r="A162" s="45"/>
      <c r="B162" s="46"/>
      <c r="C162" s="12" t="str">
        <f>IF($B162="","",IFERROR(INDEX(账户银行,MATCH($B162,账户名,0)),""))</f>
        <v/>
      </c>
      <c r="D162" s="12" t="str">
        <f>IF($B162="","",IFERROR(INDEX(账户币种,MATCH($B162,账户名,0)),""))</f>
        <v/>
      </c>
      <c r="E162" s="47"/>
      <c r="F162" s="12" t="str">
        <f>IF($E162="","",IFERROR(INDEX(类别属性,MATCH($E162,类别表,0)),""))</f>
        <v/>
      </c>
      <c r="G162" s="48"/>
      <c r="H162" s="48"/>
      <c r="I162" s="49"/>
      <c r="J162" s="24" t="str">
        <f>IF(OR($A162="",$B162=""),"",IF($I162&lt;&gt;"",$I162,IF($D162=本位币,1,IFERROR(LOOKUP(2,1/((汇率月份&lt;=$A162)*(INDEX(记账汇率区,0,MATCH($D162,汇率币种头,0))&lt;&gt;"")),INDEX(记账汇率区,0,MATCH($D162,汇率币种头,0))),""))))</f>
        <v/>
      </c>
      <c r="K162" s="23" t="str">
        <f t="shared" si="4"/>
        <v/>
      </c>
      <c r="L162" s="23" t="str">
        <f t="shared" si="5"/>
        <v/>
      </c>
      <c r="M162" s="23" t="str">
        <f>IF($B162="","",ROUND(SUMIF(账户名,$B162,账户期初)+SUMIFS($K$6:K162,$B$6:B162,$B162),2))</f>
        <v/>
      </c>
      <c r="N162" s="23" t="str">
        <f>IF($B162="","",IFERROR(ROUND(INDEX(账户期初本位,MATCH($B162,账户名,0))+SUMIFS($L$6:L162,$B$6:B162,$B162),2),""))</f>
        <v/>
      </c>
      <c r="O162" s="46"/>
      <c r="P162" s="47"/>
      <c r="Q162" s="46"/>
      <c r="R162" s="46"/>
      <c r="S162" s="6" t="str">
        <f>IF($B162="","",IF(ISNA(MATCH($B162,账户名,0)),"※这个账户不在【参数设置】的账户档案里",IF($A162="","※没填日期，这一笔不会进任何月份的报表",IF(AND($G162&lt;&gt;"",$H162&lt;&gt;""),"※收入和支出不能同时填",IF(AND(N($G162)=0,N($H162)=0),"※收入和支出都没填",IF($E162="","※没填收支类别，分类报表会漏掉这一笔",IF(ISNA(MATCH($E162,类别表,0)),"※收支类别不在【参数设置】的清单里",IF($J162="","△"&amp;$D162&amp;" 还没填汇率，去【月度汇率】补上就自动算了",IF(YEAR($A162)&lt;&gt;管理年度,"△不是管理年度的单据，年报里看不到",IF(AND($F162="内部转账",$Q162=""),"△内部转账建议在「往来单位」写上对方账户",IF($M162&lt;0,"△这一笔之后该账户余额成负数了，核一下","")))))))))))</f>
        <v/>
      </c>
    </row>
    <row r="163" ht="16.5" spans="1:19">
      <c r="A163" s="45"/>
      <c r="B163" s="46"/>
      <c r="C163" s="12" t="str">
        <f>IF($B163="","",IFERROR(INDEX(账户银行,MATCH($B163,账户名,0)),""))</f>
        <v/>
      </c>
      <c r="D163" s="12" t="str">
        <f>IF($B163="","",IFERROR(INDEX(账户币种,MATCH($B163,账户名,0)),""))</f>
        <v/>
      </c>
      <c r="E163" s="47"/>
      <c r="F163" s="12" t="str">
        <f>IF($E163="","",IFERROR(INDEX(类别属性,MATCH($E163,类别表,0)),""))</f>
        <v/>
      </c>
      <c r="G163" s="48"/>
      <c r="H163" s="48"/>
      <c r="I163" s="49"/>
      <c r="J163" s="24" t="str">
        <f>IF(OR($A163="",$B163=""),"",IF($I163&lt;&gt;"",$I163,IF($D163=本位币,1,IFERROR(LOOKUP(2,1/((汇率月份&lt;=$A163)*(INDEX(记账汇率区,0,MATCH($D163,汇率币种头,0))&lt;&gt;"")),INDEX(记账汇率区,0,MATCH($D163,汇率币种头,0))),""))))</f>
        <v/>
      </c>
      <c r="K163" s="23" t="str">
        <f t="shared" si="4"/>
        <v/>
      </c>
      <c r="L163" s="23" t="str">
        <f t="shared" si="5"/>
        <v/>
      </c>
      <c r="M163" s="23" t="str">
        <f>IF($B163="","",ROUND(SUMIF(账户名,$B163,账户期初)+SUMIFS($K$6:K163,$B$6:B163,$B163),2))</f>
        <v/>
      </c>
      <c r="N163" s="23" t="str">
        <f>IF($B163="","",IFERROR(ROUND(INDEX(账户期初本位,MATCH($B163,账户名,0))+SUMIFS($L$6:L163,$B$6:B163,$B163),2),""))</f>
        <v/>
      </c>
      <c r="O163" s="46"/>
      <c r="P163" s="47"/>
      <c r="Q163" s="46"/>
      <c r="R163" s="46"/>
      <c r="S163" s="6" t="str">
        <f>IF($B163="","",IF(ISNA(MATCH($B163,账户名,0)),"※这个账户不在【参数设置】的账户档案里",IF($A163="","※没填日期，这一笔不会进任何月份的报表",IF(AND($G163&lt;&gt;"",$H163&lt;&gt;""),"※收入和支出不能同时填",IF(AND(N($G163)=0,N($H163)=0),"※收入和支出都没填",IF($E163="","※没填收支类别，分类报表会漏掉这一笔",IF(ISNA(MATCH($E163,类别表,0)),"※收支类别不在【参数设置】的清单里",IF($J163="","△"&amp;$D163&amp;" 还没填汇率，去【月度汇率】补上就自动算了",IF(YEAR($A163)&lt;&gt;管理年度,"△不是管理年度的单据，年报里看不到",IF(AND($F163="内部转账",$Q163=""),"△内部转账建议在「往来单位」写上对方账户",IF($M163&lt;0,"△这一笔之后该账户余额成负数了，核一下","")))))))))))</f>
        <v/>
      </c>
    </row>
    <row r="164" ht="16.5" spans="1:19">
      <c r="A164" s="45"/>
      <c r="B164" s="46"/>
      <c r="C164" s="12" t="str">
        <f>IF($B164="","",IFERROR(INDEX(账户银行,MATCH($B164,账户名,0)),""))</f>
        <v/>
      </c>
      <c r="D164" s="12" t="str">
        <f>IF($B164="","",IFERROR(INDEX(账户币种,MATCH($B164,账户名,0)),""))</f>
        <v/>
      </c>
      <c r="E164" s="47"/>
      <c r="F164" s="12" t="str">
        <f>IF($E164="","",IFERROR(INDEX(类别属性,MATCH($E164,类别表,0)),""))</f>
        <v/>
      </c>
      <c r="G164" s="48"/>
      <c r="H164" s="48"/>
      <c r="I164" s="49"/>
      <c r="J164" s="24" t="str">
        <f>IF(OR($A164="",$B164=""),"",IF($I164&lt;&gt;"",$I164,IF($D164=本位币,1,IFERROR(LOOKUP(2,1/((汇率月份&lt;=$A164)*(INDEX(记账汇率区,0,MATCH($D164,汇率币种头,0))&lt;&gt;"")),INDEX(记账汇率区,0,MATCH($D164,汇率币种头,0))),""))))</f>
        <v/>
      </c>
      <c r="K164" s="23" t="str">
        <f t="shared" si="4"/>
        <v/>
      </c>
      <c r="L164" s="23" t="str">
        <f t="shared" si="5"/>
        <v/>
      </c>
      <c r="M164" s="23" t="str">
        <f>IF($B164="","",ROUND(SUMIF(账户名,$B164,账户期初)+SUMIFS($K$6:K164,$B$6:B164,$B164),2))</f>
        <v/>
      </c>
      <c r="N164" s="23" t="str">
        <f>IF($B164="","",IFERROR(ROUND(INDEX(账户期初本位,MATCH($B164,账户名,0))+SUMIFS($L$6:L164,$B$6:B164,$B164),2),""))</f>
        <v/>
      </c>
      <c r="O164" s="46"/>
      <c r="P164" s="47"/>
      <c r="Q164" s="46"/>
      <c r="R164" s="46"/>
      <c r="S164" s="6" t="str">
        <f>IF($B164="","",IF(ISNA(MATCH($B164,账户名,0)),"※这个账户不在【参数设置】的账户档案里",IF($A164="","※没填日期，这一笔不会进任何月份的报表",IF(AND($G164&lt;&gt;"",$H164&lt;&gt;""),"※收入和支出不能同时填",IF(AND(N($G164)=0,N($H164)=0),"※收入和支出都没填",IF($E164="","※没填收支类别，分类报表会漏掉这一笔",IF(ISNA(MATCH($E164,类别表,0)),"※收支类别不在【参数设置】的清单里",IF($J164="","△"&amp;$D164&amp;" 还没填汇率，去【月度汇率】补上就自动算了",IF(YEAR($A164)&lt;&gt;管理年度,"△不是管理年度的单据，年报里看不到",IF(AND($F164="内部转账",$Q164=""),"△内部转账建议在「往来单位」写上对方账户",IF($M164&lt;0,"△这一笔之后该账户余额成负数了，核一下","")))))))))))</f>
        <v/>
      </c>
    </row>
    <row r="165" ht="16.5" spans="1:19">
      <c r="A165" s="45"/>
      <c r="B165" s="46"/>
      <c r="C165" s="12" t="str">
        <f>IF($B165="","",IFERROR(INDEX(账户银行,MATCH($B165,账户名,0)),""))</f>
        <v/>
      </c>
      <c r="D165" s="12" t="str">
        <f>IF($B165="","",IFERROR(INDEX(账户币种,MATCH($B165,账户名,0)),""))</f>
        <v/>
      </c>
      <c r="E165" s="47"/>
      <c r="F165" s="12" t="str">
        <f>IF($E165="","",IFERROR(INDEX(类别属性,MATCH($E165,类别表,0)),""))</f>
        <v/>
      </c>
      <c r="G165" s="48"/>
      <c r="H165" s="48"/>
      <c r="I165" s="49"/>
      <c r="J165" s="24" t="str">
        <f>IF(OR($A165="",$B165=""),"",IF($I165&lt;&gt;"",$I165,IF($D165=本位币,1,IFERROR(LOOKUP(2,1/((汇率月份&lt;=$A165)*(INDEX(记账汇率区,0,MATCH($D165,汇率币种头,0))&lt;&gt;"")),INDEX(记账汇率区,0,MATCH($D165,汇率币种头,0))),""))))</f>
        <v/>
      </c>
      <c r="K165" s="23" t="str">
        <f t="shared" si="4"/>
        <v/>
      </c>
      <c r="L165" s="23" t="str">
        <f t="shared" si="5"/>
        <v/>
      </c>
      <c r="M165" s="23" t="str">
        <f>IF($B165="","",ROUND(SUMIF(账户名,$B165,账户期初)+SUMIFS($K$6:K165,$B$6:B165,$B165),2))</f>
        <v/>
      </c>
      <c r="N165" s="23" t="str">
        <f>IF($B165="","",IFERROR(ROUND(INDEX(账户期初本位,MATCH($B165,账户名,0))+SUMIFS($L$6:L165,$B$6:B165,$B165),2),""))</f>
        <v/>
      </c>
      <c r="O165" s="46"/>
      <c r="P165" s="47"/>
      <c r="Q165" s="46"/>
      <c r="R165" s="46"/>
      <c r="S165" s="6" t="str">
        <f>IF($B165="","",IF(ISNA(MATCH($B165,账户名,0)),"※这个账户不在【参数设置】的账户档案里",IF($A165="","※没填日期，这一笔不会进任何月份的报表",IF(AND($G165&lt;&gt;"",$H165&lt;&gt;""),"※收入和支出不能同时填",IF(AND(N($G165)=0,N($H165)=0),"※收入和支出都没填",IF($E165="","※没填收支类别，分类报表会漏掉这一笔",IF(ISNA(MATCH($E165,类别表,0)),"※收支类别不在【参数设置】的清单里",IF($J165="","△"&amp;$D165&amp;" 还没填汇率，去【月度汇率】补上就自动算了",IF(YEAR($A165)&lt;&gt;管理年度,"△不是管理年度的单据，年报里看不到",IF(AND($F165="内部转账",$Q165=""),"△内部转账建议在「往来单位」写上对方账户",IF($M165&lt;0,"△这一笔之后该账户余额成负数了，核一下","")))))))))))</f>
        <v/>
      </c>
    </row>
    <row r="166" ht="16.5" spans="1:19">
      <c r="A166" s="45"/>
      <c r="B166" s="46"/>
      <c r="C166" s="12" t="str">
        <f>IF($B166="","",IFERROR(INDEX(账户银行,MATCH($B166,账户名,0)),""))</f>
        <v/>
      </c>
      <c r="D166" s="12" t="str">
        <f>IF($B166="","",IFERROR(INDEX(账户币种,MATCH($B166,账户名,0)),""))</f>
        <v/>
      </c>
      <c r="E166" s="47"/>
      <c r="F166" s="12" t="str">
        <f>IF($E166="","",IFERROR(INDEX(类别属性,MATCH($E166,类别表,0)),""))</f>
        <v/>
      </c>
      <c r="G166" s="48"/>
      <c r="H166" s="48"/>
      <c r="I166" s="49"/>
      <c r="J166" s="24" t="str">
        <f>IF(OR($A166="",$B166=""),"",IF($I166&lt;&gt;"",$I166,IF($D166=本位币,1,IFERROR(LOOKUP(2,1/((汇率月份&lt;=$A166)*(INDEX(记账汇率区,0,MATCH($D166,汇率币种头,0))&lt;&gt;"")),INDEX(记账汇率区,0,MATCH($D166,汇率币种头,0))),""))))</f>
        <v/>
      </c>
      <c r="K166" s="23" t="str">
        <f t="shared" si="4"/>
        <v/>
      </c>
      <c r="L166" s="23" t="str">
        <f t="shared" si="5"/>
        <v/>
      </c>
      <c r="M166" s="23" t="str">
        <f>IF($B166="","",ROUND(SUMIF(账户名,$B166,账户期初)+SUMIFS($K$6:K166,$B$6:B166,$B166),2))</f>
        <v/>
      </c>
      <c r="N166" s="23" t="str">
        <f>IF($B166="","",IFERROR(ROUND(INDEX(账户期初本位,MATCH($B166,账户名,0))+SUMIFS($L$6:L166,$B$6:B166,$B166),2),""))</f>
        <v/>
      </c>
      <c r="O166" s="46"/>
      <c r="P166" s="47"/>
      <c r="Q166" s="46"/>
      <c r="R166" s="46"/>
      <c r="S166" s="6" t="str">
        <f>IF($B166="","",IF(ISNA(MATCH($B166,账户名,0)),"※这个账户不在【参数设置】的账户档案里",IF($A166="","※没填日期，这一笔不会进任何月份的报表",IF(AND($G166&lt;&gt;"",$H166&lt;&gt;""),"※收入和支出不能同时填",IF(AND(N($G166)=0,N($H166)=0),"※收入和支出都没填",IF($E166="","※没填收支类别，分类报表会漏掉这一笔",IF(ISNA(MATCH($E166,类别表,0)),"※收支类别不在【参数设置】的清单里",IF($J166="","△"&amp;$D166&amp;" 还没填汇率，去【月度汇率】补上就自动算了",IF(YEAR($A166)&lt;&gt;管理年度,"△不是管理年度的单据，年报里看不到",IF(AND($F166="内部转账",$Q166=""),"△内部转账建议在「往来单位」写上对方账户",IF($M166&lt;0,"△这一笔之后该账户余额成负数了，核一下","")))))))))))</f>
        <v/>
      </c>
    </row>
    <row r="167" ht="16.5" spans="1:19">
      <c r="A167" s="45"/>
      <c r="B167" s="46"/>
      <c r="C167" s="12" t="str">
        <f>IF($B167="","",IFERROR(INDEX(账户银行,MATCH($B167,账户名,0)),""))</f>
        <v/>
      </c>
      <c r="D167" s="12" t="str">
        <f>IF($B167="","",IFERROR(INDEX(账户币种,MATCH($B167,账户名,0)),""))</f>
        <v/>
      </c>
      <c r="E167" s="47"/>
      <c r="F167" s="12" t="str">
        <f>IF($E167="","",IFERROR(INDEX(类别属性,MATCH($E167,类别表,0)),""))</f>
        <v/>
      </c>
      <c r="G167" s="48"/>
      <c r="H167" s="48"/>
      <c r="I167" s="49"/>
      <c r="J167" s="24" t="str">
        <f>IF(OR($A167="",$B167=""),"",IF($I167&lt;&gt;"",$I167,IF($D167=本位币,1,IFERROR(LOOKUP(2,1/((汇率月份&lt;=$A167)*(INDEX(记账汇率区,0,MATCH($D167,汇率币种头,0))&lt;&gt;"")),INDEX(记账汇率区,0,MATCH($D167,汇率币种头,0))),""))))</f>
        <v/>
      </c>
      <c r="K167" s="23" t="str">
        <f t="shared" si="4"/>
        <v/>
      </c>
      <c r="L167" s="23" t="str">
        <f t="shared" si="5"/>
        <v/>
      </c>
      <c r="M167" s="23" t="str">
        <f>IF($B167="","",ROUND(SUMIF(账户名,$B167,账户期初)+SUMIFS($K$6:K167,$B$6:B167,$B167),2))</f>
        <v/>
      </c>
      <c r="N167" s="23" t="str">
        <f>IF($B167="","",IFERROR(ROUND(INDEX(账户期初本位,MATCH($B167,账户名,0))+SUMIFS($L$6:L167,$B$6:B167,$B167),2),""))</f>
        <v/>
      </c>
      <c r="O167" s="46"/>
      <c r="P167" s="47"/>
      <c r="Q167" s="46"/>
      <c r="R167" s="46"/>
      <c r="S167" s="6" t="str">
        <f>IF($B167="","",IF(ISNA(MATCH($B167,账户名,0)),"※这个账户不在【参数设置】的账户档案里",IF($A167="","※没填日期，这一笔不会进任何月份的报表",IF(AND($G167&lt;&gt;"",$H167&lt;&gt;""),"※收入和支出不能同时填",IF(AND(N($G167)=0,N($H167)=0),"※收入和支出都没填",IF($E167="","※没填收支类别，分类报表会漏掉这一笔",IF(ISNA(MATCH($E167,类别表,0)),"※收支类别不在【参数设置】的清单里",IF($J167="","△"&amp;$D167&amp;" 还没填汇率，去【月度汇率】补上就自动算了",IF(YEAR($A167)&lt;&gt;管理年度,"△不是管理年度的单据，年报里看不到",IF(AND($F167="内部转账",$Q167=""),"△内部转账建议在「往来单位」写上对方账户",IF($M167&lt;0,"△这一笔之后该账户余额成负数了，核一下","")))))))))))</f>
        <v/>
      </c>
    </row>
    <row r="168" ht="16.5" spans="1:19">
      <c r="A168" s="45"/>
      <c r="B168" s="46"/>
      <c r="C168" s="12" t="str">
        <f>IF($B168="","",IFERROR(INDEX(账户银行,MATCH($B168,账户名,0)),""))</f>
        <v/>
      </c>
      <c r="D168" s="12" t="str">
        <f>IF($B168="","",IFERROR(INDEX(账户币种,MATCH($B168,账户名,0)),""))</f>
        <v/>
      </c>
      <c r="E168" s="47"/>
      <c r="F168" s="12" t="str">
        <f>IF($E168="","",IFERROR(INDEX(类别属性,MATCH($E168,类别表,0)),""))</f>
        <v/>
      </c>
      <c r="G168" s="48"/>
      <c r="H168" s="48"/>
      <c r="I168" s="49"/>
      <c r="J168" s="24" t="str">
        <f>IF(OR($A168="",$B168=""),"",IF($I168&lt;&gt;"",$I168,IF($D168=本位币,1,IFERROR(LOOKUP(2,1/((汇率月份&lt;=$A168)*(INDEX(记账汇率区,0,MATCH($D168,汇率币种头,0))&lt;&gt;"")),INDEX(记账汇率区,0,MATCH($D168,汇率币种头,0))),""))))</f>
        <v/>
      </c>
      <c r="K168" s="23" t="str">
        <f t="shared" si="4"/>
        <v/>
      </c>
      <c r="L168" s="23" t="str">
        <f t="shared" si="5"/>
        <v/>
      </c>
      <c r="M168" s="23" t="str">
        <f>IF($B168="","",ROUND(SUMIF(账户名,$B168,账户期初)+SUMIFS($K$6:K168,$B$6:B168,$B168),2))</f>
        <v/>
      </c>
      <c r="N168" s="23" t="str">
        <f>IF($B168="","",IFERROR(ROUND(INDEX(账户期初本位,MATCH($B168,账户名,0))+SUMIFS($L$6:L168,$B$6:B168,$B168),2),""))</f>
        <v/>
      </c>
      <c r="O168" s="46"/>
      <c r="P168" s="47"/>
      <c r="Q168" s="46"/>
      <c r="R168" s="46"/>
      <c r="S168" s="6" t="str">
        <f>IF($B168="","",IF(ISNA(MATCH($B168,账户名,0)),"※这个账户不在【参数设置】的账户档案里",IF($A168="","※没填日期，这一笔不会进任何月份的报表",IF(AND($G168&lt;&gt;"",$H168&lt;&gt;""),"※收入和支出不能同时填",IF(AND(N($G168)=0,N($H168)=0),"※收入和支出都没填",IF($E168="","※没填收支类别，分类报表会漏掉这一笔",IF(ISNA(MATCH($E168,类别表,0)),"※收支类别不在【参数设置】的清单里",IF($J168="","△"&amp;$D168&amp;" 还没填汇率，去【月度汇率】补上就自动算了",IF(YEAR($A168)&lt;&gt;管理年度,"△不是管理年度的单据，年报里看不到",IF(AND($F168="内部转账",$Q168=""),"△内部转账建议在「往来单位」写上对方账户",IF($M168&lt;0,"△这一笔之后该账户余额成负数了，核一下","")))))))))))</f>
        <v/>
      </c>
    </row>
    <row r="169" ht="16.5" spans="1:19">
      <c r="A169" s="45"/>
      <c r="B169" s="46"/>
      <c r="C169" s="12" t="str">
        <f>IF($B169="","",IFERROR(INDEX(账户银行,MATCH($B169,账户名,0)),""))</f>
        <v/>
      </c>
      <c r="D169" s="12" t="str">
        <f>IF($B169="","",IFERROR(INDEX(账户币种,MATCH($B169,账户名,0)),""))</f>
        <v/>
      </c>
      <c r="E169" s="47"/>
      <c r="F169" s="12" t="str">
        <f>IF($E169="","",IFERROR(INDEX(类别属性,MATCH($E169,类别表,0)),""))</f>
        <v/>
      </c>
      <c r="G169" s="48"/>
      <c r="H169" s="48"/>
      <c r="I169" s="49"/>
      <c r="J169" s="24" t="str">
        <f>IF(OR($A169="",$B169=""),"",IF($I169&lt;&gt;"",$I169,IF($D169=本位币,1,IFERROR(LOOKUP(2,1/((汇率月份&lt;=$A169)*(INDEX(记账汇率区,0,MATCH($D169,汇率币种头,0))&lt;&gt;"")),INDEX(记账汇率区,0,MATCH($D169,汇率币种头,0))),""))))</f>
        <v/>
      </c>
      <c r="K169" s="23" t="str">
        <f t="shared" si="4"/>
        <v/>
      </c>
      <c r="L169" s="23" t="str">
        <f t="shared" si="5"/>
        <v/>
      </c>
      <c r="M169" s="23" t="str">
        <f>IF($B169="","",ROUND(SUMIF(账户名,$B169,账户期初)+SUMIFS($K$6:K169,$B$6:B169,$B169),2))</f>
        <v/>
      </c>
      <c r="N169" s="23" t="str">
        <f>IF($B169="","",IFERROR(ROUND(INDEX(账户期初本位,MATCH($B169,账户名,0))+SUMIFS($L$6:L169,$B$6:B169,$B169),2),""))</f>
        <v/>
      </c>
      <c r="O169" s="46"/>
      <c r="P169" s="47"/>
      <c r="Q169" s="46"/>
      <c r="R169" s="46"/>
      <c r="S169" s="6" t="str">
        <f>IF($B169="","",IF(ISNA(MATCH($B169,账户名,0)),"※这个账户不在【参数设置】的账户档案里",IF($A169="","※没填日期，这一笔不会进任何月份的报表",IF(AND($G169&lt;&gt;"",$H169&lt;&gt;""),"※收入和支出不能同时填",IF(AND(N($G169)=0,N($H169)=0),"※收入和支出都没填",IF($E169="","※没填收支类别，分类报表会漏掉这一笔",IF(ISNA(MATCH($E169,类别表,0)),"※收支类别不在【参数设置】的清单里",IF($J169="","△"&amp;$D169&amp;" 还没填汇率，去【月度汇率】补上就自动算了",IF(YEAR($A169)&lt;&gt;管理年度,"△不是管理年度的单据，年报里看不到",IF(AND($F169="内部转账",$Q169=""),"△内部转账建议在「往来单位」写上对方账户",IF($M169&lt;0,"△这一笔之后该账户余额成负数了，核一下","")))))))))))</f>
        <v/>
      </c>
    </row>
    <row r="170" ht="16.5" spans="1:19">
      <c r="A170" s="45"/>
      <c r="B170" s="46"/>
      <c r="C170" s="12" t="str">
        <f>IF($B170="","",IFERROR(INDEX(账户银行,MATCH($B170,账户名,0)),""))</f>
        <v/>
      </c>
      <c r="D170" s="12" t="str">
        <f>IF($B170="","",IFERROR(INDEX(账户币种,MATCH($B170,账户名,0)),""))</f>
        <v/>
      </c>
      <c r="E170" s="47"/>
      <c r="F170" s="12" t="str">
        <f>IF($E170="","",IFERROR(INDEX(类别属性,MATCH($E170,类别表,0)),""))</f>
        <v/>
      </c>
      <c r="G170" s="48"/>
      <c r="H170" s="48"/>
      <c r="I170" s="49"/>
      <c r="J170" s="24" t="str">
        <f>IF(OR($A170="",$B170=""),"",IF($I170&lt;&gt;"",$I170,IF($D170=本位币,1,IFERROR(LOOKUP(2,1/((汇率月份&lt;=$A170)*(INDEX(记账汇率区,0,MATCH($D170,汇率币种头,0))&lt;&gt;"")),INDEX(记账汇率区,0,MATCH($D170,汇率币种头,0))),""))))</f>
        <v/>
      </c>
      <c r="K170" s="23" t="str">
        <f t="shared" si="4"/>
        <v/>
      </c>
      <c r="L170" s="23" t="str">
        <f t="shared" si="5"/>
        <v/>
      </c>
      <c r="M170" s="23" t="str">
        <f>IF($B170="","",ROUND(SUMIF(账户名,$B170,账户期初)+SUMIFS($K$6:K170,$B$6:B170,$B170),2))</f>
        <v/>
      </c>
      <c r="N170" s="23" t="str">
        <f>IF($B170="","",IFERROR(ROUND(INDEX(账户期初本位,MATCH($B170,账户名,0))+SUMIFS($L$6:L170,$B$6:B170,$B170),2),""))</f>
        <v/>
      </c>
      <c r="O170" s="46"/>
      <c r="P170" s="47"/>
      <c r="Q170" s="46"/>
      <c r="R170" s="46"/>
      <c r="S170" s="6" t="str">
        <f>IF($B170="","",IF(ISNA(MATCH($B170,账户名,0)),"※这个账户不在【参数设置】的账户档案里",IF($A170="","※没填日期，这一笔不会进任何月份的报表",IF(AND($G170&lt;&gt;"",$H170&lt;&gt;""),"※收入和支出不能同时填",IF(AND(N($G170)=0,N($H170)=0),"※收入和支出都没填",IF($E170="","※没填收支类别，分类报表会漏掉这一笔",IF(ISNA(MATCH($E170,类别表,0)),"※收支类别不在【参数设置】的清单里",IF($J170="","△"&amp;$D170&amp;" 还没填汇率，去【月度汇率】补上就自动算了",IF(YEAR($A170)&lt;&gt;管理年度,"△不是管理年度的单据，年报里看不到",IF(AND($F170="内部转账",$Q170=""),"△内部转账建议在「往来单位」写上对方账户",IF($M170&lt;0,"△这一笔之后该账户余额成负数了，核一下","")))))))))))</f>
        <v/>
      </c>
    </row>
    <row r="171" ht="16.5" spans="1:19">
      <c r="A171" s="45"/>
      <c r="B171" s="46"/>
      <c r="C171" s="12" t="str">
        <f>IF($B171="","",IFERROR(INDEX(账户银行,MATCH($B171,账户名,0)),""))</f>
        <v/>
      </c>
      <c r="D171" s="12" t="str">
        <f>IF($B171="","",IFERROR(INDEX(账户币种,MATCH($B171,账户名,0)),""))</f>
        <v/>
      </c>
      <c r="E171" s="47"/>
      <c r="F171" s="12" t="str">
        <f>IF($E171="","",IFERROR(INDEX(类别属性,MATCH($E171,类别表,0)),""))</f>
        <v/>
      </c>
      <c r="G171" s="48"/>
      <c r="H171" s="48"/>
      <c r="I171" s="49"/>
      <c r="J171" s="24" t="str">
        <f>IF(OR($A171="",$B171=""),"",IF($I171&lt;&gt;"",$I171,IF($D171=本位币,1,IFERROR(LOOKUP(2,1/((汇率月份&lt;=$A171)*(INDEX(记账汇率区,0,MATCH($D171,汇率币种头,0))&lt;&gt;"")),INDEX(记账汇率区,0,MATCH($D171,汇率币种头,0))),""))))</f>
        <v/>
      </c>
      <c r="K171" s="23" t="str">
        <f t="shared" si="4"/>
        <v/>
      </c>
      <c r="L171" s="23" t="str">
        <f t="shared" si="5"/>
        <v/>
      </c>
      <c r="M171" s="23" t="str">
        <f>IF($B171="","",ROUND(SUMIF(账户名,$B171,账户期初)+SUMIFS($K$6:K171,$B$6:B171,$B171),2))</f>
        <v/>
      </c>
      <c r="N171" s="23" t="str">
        <f>IF($B171="","",IFERROR(ROUND(INDEX(账户期初本位,MATCH($B171,账户名,0))+SUMIFS($L$6:L171,$B$6:B171,$B171),2),""))</f>
        <v/>
      </c>
      <c r="O171" s="46"/>
      <c r="P171" s="47"/>
      <c r="Q171" s="46"/>
      <c r="R171" s="46"/>
      <c r="S171" s="6" t="str">
        <f>IF($B171="","",IF(ISNA(MATCH($B171,账户名,0)),"※这个账户不在【参数设置】的账户档案里",IF($A171="","※没填日期，这一笔不会进任何月份的报表",IF(AND($G171&lt;&gt;"",$H171&lt;&gt;""),"※收入和支出不能同时填",IF(AND(N($G171)=0,N($H171)=0),"※收入和支出都没填",IF($E171="","※没填收支类别，分类报表会漏掉这一笔",IF(ISNA(MATCH($E171,类别表,0)),"※收支类别不在【参数设置】的清单里",IF($J171="","△"&amp;$D171&amp;" 还没填汇率，去【月度汇率】补上就自动算了",IF(YEAR($A171)&lt;&gt;管理年度,"△不是管理年度的单据，年报里看不到",IF(AND($F171="内部转账",$Q171=""),"△内部转账建议在「往来单位」写上对方账户",IF($M171&lt;0,"△这一笔之后该账户余额成负数了，核一下","")))))))))))</f>
        <v/>
      </c>
    </row>
    <row r="172" ht="16.5" spans="1:19">
      <c r="A172" s="45"/>
      <c r="B172" s="46"/>
      <c r="C172" s="12" t="str">
        <f>IF($B172="","",IFERROR(INDEX(账户银行,MATCH($B172,账户名,0)),""))</f>
        <v/>
      </c>
      <c r="D172" s="12" t="str">
        <f>IF($B172="","",IFERROR(INDEX(账户币种,MATCH($B172,账户名,0)),""))</f>
        <v/>
      </c>
      <c r="E172" s="47"/>
      <c r="F172" s="12" t="str">
        <f>IF($E172="","",IFERROR(INDEX(类别属性,MATCH($E172,类别表,0)),""))</f>
        <v/>
      </c>
      <c r="G172" s="48"/>
      <c r="H172" s="48"/>
      <c r="I172" s="49"/>
      <c r="J172" s="24" t="str">
        <f>IF(OR($A172="",$B172=""),"",IF($I172&lt;&gt;"",$I172,IF($D172=本位币,1,IFERROR(LOOKUP(2,1/((汇率月份&lt;=$A172)*(INDEX(记账汇率区,0,MATCH($D172,汇率币种头,0))&lt;&gt;"")),INDEX(记账汇率区,0,MATCH($D172,汇率币种头,0))),""))))</f>
        <v/>
      </c>
      <c r="K172" s="23" t="str">
        <f t="shared" si="4"/>
        <v/>
      </c>
      <c r="L172" s="23" t="str">
        <f t="shared" si="5"/>
        <v/>
      </c>
      <c r="M172" s="23" t="str">
        <f>IF($B172="","",ROUND(SUMIF(账户名,$B172,账户期初)+SUMIFS($K$6:K172,$B$6:B172,$B172),2))</f>
        <v/>
      </c>
      <c r="N172" s="23" t="str">
        <f>IF($B172="","",IFERROR(ROUND(INDEX(账户期初本位,MATCH($B172,账户名,0))+SUMIFS($L$6:L172,$B$6:B172,$B172),2),""))</f>
        <v/>
      </c>
      <c r="O172" s="46"/>
      <c r="P172" s="47"/>
      <c r="Q172" s="46"/>
      <c r="R172" s="46"/>
      <c r="S172" s="6" t="str">
        <f>IF($B172="","",IF(ISNA(MATCH($B172,账户名,0)),"※这个账户不在【参数设置】的账户档案里",IF($A172="","※没填日期，这一笔不会进任何月份的报表",IF(AND($G172&lt;&gt;"",$H172&lt;&gt;""),"※收入和支出不能同时填",IF(AND(N($G172)=0,N($H172)=0),"※收入和支出都没填",IF($E172="","※没填收支类别，分类报表会漏掉这一笔",IF(ISNA(MATCH($E172,类别表,0)),"※收支类别不在【参数设置】的清单里",IF($J172="","△"&amp;$D172&amp;" 还没填汇率，去【月度汇率】补上就自动算了",IF(YEAR($A172)&lt;&gt;管理年度,"△不是管理年度的单据，年报里看不到",IF(AND($F172="内部转账",$Q172=""),"△内部转账建议在「往来单位」写上对方账户",IF($M172&lt;0,"△这一笔之后该账户余额成负数了，核一下","")))))))))))</f>
        <v/>
      </c>
    </row>
    <row r="173" ht="16.5" spans="1:19">
      <c r="A173" s="45"/>
      <c r="B173" s="46"/>
      <c r="C173" s="12" t="str">
        <f>IF($B173="","",IFERROR(INDEX(账户银行,MATCH($B173,账户名,0)),""))</f>
        <v/>
      </c>
      <c r="D173" s="12" t="str">
        <f>IF($B173="","",IFERROR(INDEX(账户币种,MATCH($B173,账户名,0)),""))</f>
        <v/>
      </c>
      <c r="E173" s="47"/>
      <c r="F173" s="12" t="str">
        <f>IF($E173="","",IFERROR(INDEX(类别属性,MATCH($E173,类别表,0)),""))</f>
        <v/>
      </c>
      <c r="G173" s="48"/>
      <c r="H173" s="48"/>
      <c r="I173" s="49"/>
      <c r="J173" s="24" t="str">
        <f>IF(OR($A173="",$B173=""),"",IF($I173&lt;&gt;"",$I173,IF($D173=本位币,1,IFERROR(LOOKUP(2,1/((汇率月份&lt;=$A173)*(INDEX(记账汇率区,0,MATCH($D173,汇率币种头,0))&lt;&gt;"")),INDEX(记账汇率区,0,MATCH($D173,汇率币种头,0))),""))))</f>
        <v/>
      </c>
      <c r="K173" s="23" t="str">
        <f t="shared" si="4"/>
        <v/>
      </c>
      <c r="L173" s="23" t="str">
        <f t="shared" si="5"/>
        <v/>
      </c>
      <c r="M173" s="23" t="str">
        <f>IF($B173="","",ROUND(SUMIF(账户名,$B173,账户期初)+SUMIFS($K$6:K173,$B$6:B173,$B173),2))</f>
        <v/>
      </c>
      <c r="N173" s="23" t="str">
        <f>IF($B173="","",IFERROR(ROUND(INDEX(账户期初本位,MATCH($B173,账户名,0))+SUMIFS($L$6:L173,$B$6:B173,$B173),2),""))</f>
        <v/>
      </c>
      <c r="O173" s="46"/>
      <c r="P173" s="47"/>
      <c r="Q173" s="46"/>
      <c r="R173" s="46"/>
      <c r="S173" s="6" t="str">
        <f>IF($B173="","",IF(ISNA(MATCH($B173,账户名,0)),"※这个账户不在【参数设置】的账户档案里",IF($A173="","※没填日期，这一笔不会进任何月份的报表",IF(AND($G173&lt;&gt;"",$H173&lt;&gt;""),"※收入和支出不能同时填",IF(AND(N($G173)=0,N($H173)=0),"※收入和支出都没填",IF($E173="","※没填收支类别，分类报表会漏掉这一笔",IF(ISNA(MATCH($E173,类别表,0)),"※收支类别不在【参数设置】的清单里",IF($J173="","△"&amp;$D173&amp;" 还没填汇率，去【月度汇率】补上就自动算了",IF(YEAR($A173)&lt;&gt;管理年度,"△不是管理年度的单据，年报里看不到",IF(AND($F173="内部转账",$Q173=""),"△内部转账建议在「往来单位」写上对方账户",IF($M173&lt;0,"△这一笔之后该账户余额成负数了，核一下","")))))))))))</f>
        <v/>
      </c>
    </row>
    <row r="174" ht="16.5" spans="1:19">
      <c r="A174" s="45"/>
      <c r="B174" s="46"/>
      <c r="C174" s="12" t="str">
        <f>IF($B174="","",IFERROR(INDEX(账户银行,MATCH($B174,账户名,0)),""))</f>
        <v/>
      </c>
      <c r="D174" s="12" t="str">
        <f>IF($B174="","",IFERROR(INDEX(账户币种,MATCH($B174,账户名,0)),""))</f>
        <v/>
      </c>
      <c r="E174" s="47"/>
      <c r="F174" s="12" t="str">
        <f>IF($E174="","",IFERROR(INDEX(类别属性,MATCH($E174,类别表,0)),""))</f>
        <v/>
      </c>
      <c r="G174" s="48"/>
      <c r="H174" s="48"/>
      <c r="I174" s="49"/>
      <c r="J174" s="24" t="str">
        <f>IF(OR($A174="",$B174=""),"",IF($I174&lt;&gt;"",$I174,IF($D174=本位币,1,IFERROR(LOOKUP(2,1/((汇率月份&lt;=$A174)*(INDEX(记账汇率区,0,MATCH($D174,汇率币种头,0))&lt;&gt;"")),INDEX(记账汇率区,0,MATCH($D174,汇率币种头,0))),""))))</f>
        <v/>
      </c>
      <c r="K174" s="23" t="str">
        <f t="shared" si="4"/>
        <v/>
      </c>
      <c r="L174" s="23" t="str">
        <f t="shared" si="5"/>
        <v/>
      </c>
      <c r="M174" s="23" t="str">
        <f>IF($B174="","",ROUND(SUMIF(账户名,$B174,账户期初)+SUMIFS($K$6:K174,$B$6:B174,$B174),2))</f>
        <v/>
      </c>
      <c r="N174" s="23" t="str">
        <f>IF($B174="","",IFERROR(ROUND(INDEX(账户期初本位,MATCH($B174,账户名,0))+SUMIFS($L$6:L174,$B$6:B174,$B174),2),""))</f>
        <v/>
      </c>
      <c r="O174" s="46"/>
      <c r="P174" s="47"/>
      <c r="Q174" s="46"/>
      <c r="R174" s="46"/>
      <c r="S174" s="6" t="str">
        <f>IF($B174="","",IF(ISNA(MATCH($B174,账户名,0)),"※这个账户不在【参数设置】的账户档案里",IF($A174="","※没填日期，这一笔不会进任何月份的报表",IF(AND($G174&lt;&gt;"",$H174&lt;&gt;""),"※收入和支出不能同时填",IF(AND(N($G174)=0,N($H174)=0),"※收入和支出都没填",IF($E174="","※没填收支类别，分类报表会漏掉这一笔",IF(ISNA(MATCH($E174,类别表,0)),"※收支类别不在【参数设置】的清单里",IF($J174="","△"&amp;$D174&amp;" 还没填汇率，去【月度汇率】补上就自动算了",IF(YEAR($A174)&lt;&gt;管理年度,"△不是管理年度的单据，年报里看不到",IF(AND($F174="内部转账",$Q174=""),"△内部转账建议在「往来单位」写上对方账户",IF($M174&lt;0,"△这一笔之后该账户余额成负数了，核一下","")))))))))))</f>
        <v/>
      </c>
    </row>
    <row r="175" ht="16.5" spans="1:19">
      <c r="A175" s="45"/>
      <c r="B175" s="46"/>
      <c r="C175" s="12" t="str">
        <f>IF($B175="","",IFERROR(INDEX(账户银行,MATCH($B175,账户名,0)),""))</f>
        <v/>
      </c>
      <c r="D175" s="12" t="str">
        <f>IF($B175="","",IFERROR(INDEX(账户币种,MATCH($B175,账户名,0)),""))</f>
        <v/>
      </c>
      <c r="E175" s="47"/>
      <c r="F175" s="12" t="str">
        <f>IF($E175="","",IFERROR(INDEX(类别属性,MATCH($E175,类别表,0)),""))</f>
        <v/>
      </c>
      <c r="G175" s="48"/>
      <c r="H175" s="48"/>
      <c r="I175" s="49"/>
      <c r="J175" s="24" t="str">
        <f>IF(OR($A175="",$B175=""),"",IF($I175&lt;&gt;"",$I175,IF($D175=本位币,1,IFERROR(LOOKUP(2,1/((汇率月份&lt;=$A175)*(INDEX(记账汇率区,0,MATCH($D175,汇率币种头,0))&lt;&gt;"")),INDEX(记账汇率区,0,MATCH($D175,汇率币种头,0))),""))))</f>
        <v/>
      </c>
      <c r="K175" s="23" t="str">
        <f t="shared" si="4"/>
        <v/>
      </c>
      <c r="L175" s="23" t="str">
        <f t="shared" si="5"/>
        <v/>
      </c>
      <c r="M175" s="23" t="str">
        <f>IF($B175="","",ROUND(SUMIF(账户名,$B175,账户期初)+SUMIFS($K$6:K175,$B$6:B175,$B175),2))</f>
        <v/>
      </c>
      <c r="N175" s="23" t="str">
        <f>IF($B175="","",IFERROR(ROUND(INDEX(账户期初本位,MATCH($B175,账户名,0))+SUMIFS($L$6:L175,$B$6:B175,$B175),2),""))</f>
        <v/>
      </c>
      <c r="O175" s="46"/>
      <c r="P175" s="47"/>
      <c r="Q175" s="46"/>
      <c r="R175" s="46"/>
      <c r="S175" s="6" t="str">
        <f>IF($B175="","",IF(ISNA(MATCH($B175,账户名,0)),"※这个账户不在【参数设置】的账户档案里",IF($A175="","※没填日期，这一笔不会进任何月份的报表",IF(AND($G175&lt;&gt;"",$H175&lt;&gt;""),"※收入和支出不能同时填",IF(AND(N($G175)=0,N($H175)=0),"※收入和支出都没填",IF($E175="","※没填收支类别，分类报表会漏掉这一笔",IF(ISNA(MATCH($E175,类别表,0)),"※收支类别不在【参数设置】的清单里",IF($J175="","△"&amp;$D175&amp;" 还没填汇率，去【月度汇率】补上就自动算了",IF(YEAR($A175)&lt;&gt;管理年度,"△不是管理年度的单据，年报里看不到",IF(AND($F175="内部转账",$Q175=""),"△内部转账建议在「往来单位」写上对方账户",IF($M175&lt;0,"△这一笔之后该账户余额成负数了，核一下","")))))))))))</f>
        <v/>
      </c>
    </row>
    <row r="176" ht="16.5" spans="1:19">
      <c r="A176" s="45"/>
      <c r="B176" s="46"/>
      <c r="C176" s="12" t="str">
        <f>IF($B176="","",IFERROR(INDEX(账户银行,MATCH($B176,账户名,0)),""))</f>
        <v/>
      </c>
      <c r="D176" s="12" t="str">
        <f>IF($B176="","",IFERROR(INDEX(账户币种,MATCH($B176,账户名,0)),""))</f>
        <v/>
      </c>
      <c r="E176" s="47"/>
      <c r="F176" s="12" t="str">
        <f>IF($E176="","",IFERROR(INDEX(类别属性,MATCH($E176,类别表,0)),""))</f>
        <v/>
      </c>
      <c r="G176" s="48"/>
      <c r="H176" s="48"/>
      <c r="I176" s="49"/>
      <c r="J176" s="24" t="str">
        <f>IF(OR($A176="",$B176=""),"",IF($I176&lt;&gt;"",$I176,IF($D176=本位币,1,IFERROR(LOOKUP(2,1/((汇率月份&lt;=$A176)*(INDEX(记账汇率区,0,MATCH($D176,汇率币种头,0))&lt;&gt;"")),INDEX(记账汇率区,0,MATCH($D176,汇率币种头,0))),""))))</f>
        <v/>
      </c>
      <c r="K176" s="23" t="str">
        <f t="shared" si="4"/>
        <v/>
      </c>
      <c r="L176" s="23" t="str">
        <f t="shared" si="5"/>
        <v/>
      </c>
      <c r="M176" s="23" t="str">
        <f>IF($B176="","",ROUND(SUMIF(账户名,$B176,账户期初)+SUMIFS($K$6:K176,$B$6:B176,$B176),2))</f>
        <v/>
      </c>
      <c r="N176" s="23" t="str">
        <f>IF($B176="","",IFERROR(ROUND(INDEX(账户期初本位,MATCH($B176,账户名,0))+SUMIFS($L$6:L176,$B$6:B176,$B176),2),""))</f>
        <v/>
      </c>
      <c r="O176" s="46"/>
      <c r="P176" s="47"/>
      <c r="Q176" s="46"/>
      <c r="R176" s="46"/>
      <c r="S176" s="6" t="str">
        <f>IF($B176="","",IF(ISNA(MATCH($B176,账户名,0)),"※这个账户不在【参数设置】的账户档案里",IF($A176="","※没填日期，这一笔不会进任何月份的报表",IF(AND($G176&lt;&gt;"",$H176&lt;&gt;""),"※收入和支出不能同时填",IF(AND(N($G176)=0,N($H176)=0),"※收入和支出都没填",IF($E176="","※没填收支类别，分类报表会漏掉这一笔",IF(ISNA(MATCH($E176,类别表,0)),"※收支类别不在【参数设置】的清单里",IF($J176="","△"&amp;$D176&amp;" 还没填汇率，去【月度汇率】补上就自动算了",IF(YEAR($A176)&lt;&gt;管理年度,"△不是管理年度的单据，年报里看不到",IF(AND($F176="内部转账",$Q176=""),"△内部转账建议在「往来单位」写上对方账户",IF($M176&lt;0,"△这一笔之后该账户余额成负数了，核一下","")))))))))))</f>
        <v/>
      </c>
    </row>
    <row r="177" ht="16.5" spans="1:19">
      <c r="A177" s="45"/>
      <c r="B177" s="46"/>
      <c r="C177" s="12" t="str">
        <f>IF($B177="","",IFERROR(INDEX(账户银行,MATCH($B177,账户名,0)),""))</f>
        <v/>
      </c>
      <c r="D177" s="12" t="str">
        <f>IF($B177="","",IFERROR(INDEX(账户币种,MATCH($B177,账户名,0)),""))</f>
        <v/>
      </c>
      <c r="E177" s="47"/>
      <c r="F177" s="12" t="str">
        <f>IF($E177="","",IFERROR(INDEX(类别属性,MATCH($E177,类别表,0)),""))</f>
        <v/>
      </c>
      <c r="G177" s="48"/>
      <c r="H177" s="48"/>
      <c r="I177" s="49"/>
      <c r="J177" s="24" t="str">
        <f>IF(OR($A177="",$B177=""),"",IF($I177&lt;&gt;"",$I177,IF($D177=本位币,1,IFERROR(LOOKUP(2,1/((汇率月份&lt;=$A177)*(INDEX(记账汇率区,0,MATCH($D177,汇率币种头,0))&lt;&gt;"")),INDEX(记账汇率区,0,MATCH($D177,汇率币种头,0))),""))))</f>
        <v/>
      </c>
      <c r="K177" s="23" t="str">
        <f t="shared" si="4"/>
        <v/>
      </c>
      <c r="L177" s="23" t="str">
        <f t="shared" si="5"/>
        <v/>
      </c>
      <c r="M177" s="23" t="str">
        <f>IF($B177="","",ROUND(SUMIF(账户名,$B177,账户期初)+SUMIFS($K$6:K177,$B$6:B177,$B177),2))</f>
        <v/>
      </c>
      <c r="N177" s="23" t="str">
        <f>IF($B177="","",IFERROR(ROUND(INDEX(账户期初本位,MATCH($B177,账户名,0))+SUMIFS($L$6:L177,$B$6:B177,$B177),2),""))</f>
        <v/>
      </c>
      <c r="O177" s="46"/>
      <c r="P177" s="47"/>
      <c r="Q177" s="46"/>
      <c r="R177" s="46"/>
      <c r="S177" s="6" t="str">
        <f>IF($B177="","",IF(ISNA(MATCH($B177,账户名,0)),"※这个账户不在【参数设置】的账户档案里",IF($A177="","※没填日期，这一笔不会进任何月份的报表",IF(AND($G177&lt;&gt;"",$H177&lt;&gt;""),"※收入和支出不能同时填",IF(AND(N($G177)=0,N($H177)=0),"※收入和支出都没填",IF($E177="","※没填收支类别，分类报表会漏掉这一笔",IF(ISNA(MATCH($E177,类别表,0)),"※收支类别不在【参数设置】的清单里",IF($J177="","△"&amp;$D177&amp;" 还没填汇率，去【月度汇率】补上就自动算了",IF(YEAR($A177)&lt;&gt;管理年度,"△不是管理年度的单据，年报里看不到",IF(AND($F177="内部转账",$Q177=""),"△内部转账建议在「往来单位」写上对方账户",IF($M177&lt;0,"△这一笔之后该账户余额成负数了，核一下","")))))))))))</f>
        <v/>
      </c>
    </row>
    <row r="178" ht="16.5" spans="1:19">
      <c r="A178" s="45"/>
      <c r="B178" s="46"/>
      <c r="C178" s="12" t="str">
        <f>IF($B178="","",IFERROR(INDEX(账户银行,MATCH($B178,账户名,0)),""))</f>
        <v/>
      </c>
      <c r="D178" s="12" t="str">
        <f>IF($B178="","",IFERROR(INDEX(账户币种,MATCH($B178,账户名,0)),""))</f>
        <v/>
      </c>
      <c r="E178" s="47"/>
      <c r="F178" s="12" t="str">
        <f>IF($E178="","",IFERROR(INDEX(类别属性,MATCH($E178,类别表,0)),""))</f>
        <v/>
      </c>
      <c r="G178" s="48"/>
      <c r="H178" s="48"/>
      <c r="I178" s="49"/>
      <c r="J178" s="24" t="str">
        <f>IF(OR($A178="",$B178=""),"",IF($I178&lt;&gt;"",$I178,IF($D178=本位币,1,IFERROR(LOOKUP(2,1/((汇率月份&lt;=$A178)*(INDEX(记账汇率区,0,MATCH($D178,汇率币种头,0))&lt;&gt;"")),INDEX(记账汇率区,0,MATCH($D178,汇率币种头,0))),""))))</f>
        <v/>
      </c>
      <c r="K178" s="23" t="str">
        <f t="shared" si="4"/>
        <v/>
      </c>
      <c r="L178" s="23" t="str">
        <f t="shared" si="5"/>
        <v/>
      </c>
      <c r="M178" s="23" t="str">
        <f>IF($B178="","",ROUND(SUMIF(账户名,$B178,账户期初)+SUMIFS($K$6:K178,$B$6:B178,$B178),2))</f>
        <v/>
      </c>
      <c r="N178" s="23" t="str">
        <f>IF($B178="","",IFERROR(ROUND(INDEX(账户期初本位,MATCH($B178,账户名,0))+SUMIFS($L$6:L178,$B$6:B178,$B178),2),""))</f>
        <v/>
      </c>
      <c r="O178" s="46"/>
      <c r="P178" s="47"/>
      <c r="Q178" s="46"/>
      <c r="R178" s="46"/>
      <c r="S178" s="6" t="str">
        <f>IF($B178="","",IF(ISNA(MATCH($B178,账户名,0)),"※这个账户不在【参数设置】的账户档案里",IF($A178="","※没填日期，这一笔不会进任何月份的报表",IF(AND($G178&lt;&gt;"",$H178&lt;&gt;""),"※收入和支出不能同时填",IF(AND(N($G178)=0,N($H178)=0),"※收入和支出都没填",IF($E178="","※没填收支类别，分类报表会漏掉这一笔",IF(ISNA(MATCH($E178,类别表,0)),"※收支类别不在【参数设置】的清单里",IF($J178="","△"&amp;$D178&amp;" 还没填汇率，去【月度汇率】补上就自动算了",IF(YEAR($A178)&lt;&gt;管理年度,"△不是管理年度的单据，年报里看不到",IF(AND($F178="内部转账",$Q178=""),"△内部转账建议在「往来单位」写上对方账户",IF($M178&lt;0,"△这一笔之后该账户余额成负数了，核一下","")))))))))))</f>
        <v/>
      </c>
    </row>
    <row r="179" ht="16.5" spans="1:19">
      <c r="A179" s="45"/>
      <c r="B179" s="46"/>
      <c r="C179" s="12" t="str">
        <f>IF($B179="","",IFERROR(INDEX(账户银行,MATCH($B179,账户名,0)),""))</f>
        <v/>
      </c>
      <c r="D179" s="12" t="str">
        <f>IF($B179="","",IFERROR(INDEX(账户币种,MATCH($B179,账户名,0)),""))</f>
        <v/>
      </c>
      <c r="E179" s="47"/>
      <c r="F179" s="12" t="str">
        <f>IF($E179="","",IFERROR(INDEX(类别属性,MATCH($E179,类别表,0)),""))</f>
        <v/>
      </c>
      <c r="G179" s="48"/>
      <c r="H179" s="48"/>
      <c r="I179" s="49"/>
      <c r="J179" s="24" t="str">
        <f>IF(OR($A179="",$B179=""),"",IF($I179&lt;&gt;"",$I179,IF($D179=本位币,1,IFERROR(LOOKUP(2,1/((汇率月份&lt;=$A179)*(INDEX(记账汇率区,0,MATCH($D179,汇率币种头,0))&lt;&gt;"")),INDEX(记账汇率区,0,MATCH($D179,汇率币种头,0))),""))))</f>
        <v/>
      </c>
      <c r="K179" s="23" t="str">
        <f t="shared" si="4"/>
        <v/>
      </c>
      <c r="L179" s="23" t="str">
        <f t="shared" si="5"/>
        <v/>
      </c>
      <c r="M179" s="23" t="str">
        <f>IF($B179="","",ROUND(SUMIF(账户名,$B179,账户期初)+SUMIFS($K$6:K179,$B$6:B179,$B179),2))</f>
        <v/>
      </c>
      <c r="N179" s="23" t="str">
        <f>IF($B179="","",IFERROR(ROUND(INDEX(账户期初本位,MATCH($B179,账户名,0))+SUMIFS($L$6:L179,$B$6:B179,$B179),2),""))</f>
        <v/>
      </c>
      <c r="O179" s="46"/>
      <c r="P179" s="47"/>
      <c r="Q179" s="46"/>
      <c r="R179" s="46"/>
      <c r="S179" s="6" t="str">
        <f>IF($B179="","",IF(ISNA(MATCH($B179,账户名,0)),"※这个账户不在【参数设置】的账户档案里",IF($A179="","※没填日期，这一笔不会进任何月份的报表",IF(AND($G179&lt;&gt;"",$H179&lt;&gt;""),"※收入和支出不能同时填",IF(AND(N($G179)=0,N($H179)=0),"※收入和支出都没填",IF($E179="","※没填收支类别，分类报表会漏掉这一笔",IF(ISNA(MATCH($E179,类别表,0)),"※收支类别不在【参数设置】的清单里",IF($J179="","△"&amp;$D179&amp;" 还没填汇率，去【月度汇率】补上就自动算了",IF(YEAR($A179)&lt;&gt;管理年度,"△不是管理年度的单据，年报里看不到",IF(AND($F179="内部转账",$Q179=""),"△内部转账建议在「往来单位」写上对方账户",IF($M179&lt;0,"△这一笔之后该账户余额成负数了，核一下","")))))))))))</f>
        <v/>
      </c>
    </row>
    <row r="180" ht="16.5" spans="1:19">
      <c r="A180" s="45"/>
      <c r="B180" s="46"/>
      <c r="C180" s="12" t="str">
        <f>IF($B180="","",IFERROR(INDEX(账户银行,MATCH($B180,账户名,0)),""))</f>
        <v/>
      </c>
      <c r="D180" s="12" t="str">
        <f>IF($B180="","",IFERROR(INDEX(账户币种,MATCH($B180,账户名,0)),""))</f>
        <v/>
      </c>
      <c r="E180" s="47"/>
      <c r="F180" s="12" t="str">
        <f>IF($E180="","",IFERROR(INDEX(类别属性,MATCH($E180,类别表,0)),""))</f>
        <v/>
      </c>
      <c r="G180" s="48"/>
      <c r="H180" s="48"/>
      <c r="I180" s="49"/>
      <c r="J180" s="24" t="str">
        <f>IF(OR($A180="",$B180=""),"",IF($I180&lt;&gt;"",$I180,IF($D180=本位币,1,IFERROR(LOOKUP(2,1/((汇率月份&lt;=$A180)*(INDEX(记账汇率区,0,MATCH($D180,汇率币种头,0))&lt;&gt;"")),INDEX(记账汇率区,0,MATCH($D180,汇率币种头,0))),""))))</f>
        <v/>
      </c>
      <c r="K180" s="23" t="str">
        <f t="shared" si="4"/>
        <v/>
      </c>
      <c r="L180" s="23" t="str">
        <f t="shared" si="5"/>
        <v/>
      </c>
      <c r="M180" s="23" t="str">
        <f>IF($B180="","",ROUND(SUMIF(账户名,$B180,账户期初)+SUMIFS($K$6:K180,$B$6:B180,$B180),2))</f>
        <v/>
      </c>
      <c r="N180" s="23" t="str">
        <f>IF($B180="","",IFERROR(ROUND(INDEX(账户期初本位,MATCH($B180,账户名,0))+SUMIFS($L$6:L180,$B$6:B180,$B180),2),""))</f>
        <v/>
      </c>
      <c r="O180" s="46"/>
      <c r="P180" s="47"/>
      <c r="Q180" s="46"/>
      <c r="R180" s="46"/>
      <c r="S180" s="6" t="str">
        <f>IF($B180="","",IF(ISNA(MATCH($B180,账户名,0)),"※这个账户不在【参数设置】的账户档案里",IF($A180="","※没填日期，这一笔不会进任何月份的报表",IF(AND($G180&lt;&gt;"",$H180&lt;&gt;""),"※收入和支出不能同时填",IF(AND(N($G180)=0,N($H180)=0),"※收入和支出都没填",IF($E180="","※没填收支类别，分类报表会漏掉这一笔",IF(ISNA(MATCH($E180,类别表,0)),"※收支类别不在【参数设置】的清单里",IF($J180="","△"&amp;$D180&amp;" 还没填汇率，去【月度汇率】补上就自动算了",IF(YEAR($A180)&lt;&gt;管理年度,"△不是管理年度的单据，年报里看不到",IF(AND($F180="内部转账",$Q180=""),"△内部转账建议在「往来单位」写上对方账户",IF($M180&lt;0,"△这一笔之后该账户余额成负数了，核一下","")))))))))))</f>
        <v/>
      </c>
    </row>
    <row r="181" ht="16.5" spans="1:19">
      <c r="A181" s="45"/>
      <c r="B181" s="46"/>
      <c r="C181" s="12" t="str">
        <f>IF($B181="","",IFERROR(INDEX(账户银行,MATCH($B181,账户名,0)),""))</f>
        <v/>
      </c>
      <c r="D181" s="12" t="str">
        <f>IF($B181="","",IFERROR(INDEX(账户币种,MATCH($B181,账户名,0)),""))</f>
        <v/>
      </c>
      <c r="E181" s="47"/>
      <c r="F181" s="12" t="str">
        <f>IF($E181="","",IFERROR(INDEX(类别属性,MATCH($E181,类别表,0)),""))</f>
        <v/>
      </c>
      <c r="G181" s="48"/>
      <c r="H181" s="48"/>
      <c r="I181" s="49"/>
      <c r="J181" s="24" t="str">
        <f>IF(OR($A181="",$B181=""),"",IF($I181&lt;&gt;"",$I181,IF($D181=本位币,1,IFERROR(LOOKUP(2,1/((汇率月份&lt;=$A181)*(INDEX(记账汇率区,0,MATCH($D181,汇率币种头,0))&lt;&gt;"")),INDEX(记账汇率区,0,MATCH($D181,汇率币种头,0))),""))))</f>
        <v/>
      </c>
      <c r="K181" s="23" t="str">
        <f t="shared" si="4"/>
        <v/>
      </c>
      <c r="L181" s="23" t="str">
        <f t="shared" si="5"/>
        <v/>
      </c>
      <c r="M181" s="23" t="str">
        <f>IF($B181="","",ROUND(SUMIF(账户名,$B181,账户期初)+SUMIFS($K$6:K181,$B$6:B181,$B181),2))</f>
        <v/>
      </c>
      <c r="N181" s="23" t="str">
        <f>IF($B181="","",IFERROR(ROUND(INDEX(账户期初本位,MATCH($B181,账户名,0))+SUMIFS($L$6:L181,$B$6:B181,$B181),2),""))</f>
        <v/>
      </c>
      <c r="O181" s="46"/>
      <c r="P181" s="47"/>
      <c r="Q181" s="46"/>
      <c r="R181" s="46"/>
      <c r="S181" s="6" t="str">
        <f>IF($B181="","",IF(ISNA(MATCH($B181,账户名,0)),"※这个账户不在【参数设置】的账户档案里",IF($A181="","※没填日期，这一笔不会进任何月份的报表",IF(AND($G181&lt;&gt;"",$H181&lt;&gt;""),"※收入和支出不能同时填",IF(AND(N($G181)=0,N($H181)=0),"※收入和支出都没填",IF($E181="","※没填收支类别，分类报表会漏掉这一笔",IF(ISNA(MATCH($E181,类别表,0)),"※收支类别不在【参数设置】的清单里",IF($J181="","△"&amp;$D181&amp;" 还没填汇率，去【月度汇率】补上就自动算了",IF(YEAR($A181)&lt;&gt;管理年度,"△不是管理年度的单据，年报里看不到",IF(AND($F181="内部转账",$Q181=""),"△内部转账建议在「往来单位」写上对方账户",IF($M181&lt;0,"△这一笔之后该账户余额成负数了，核一下","")))))))))))</f>
        <v/>
      </c>
    </row>
    <row r="182" ht="16.5" spans="1:19">
      <c r="A182" s="45"/>
      <c r="B182" s="46"/>
      <c r="C182" s="12" t="str">
        <f>IF($B182="","",IFERROR(INDEX(账户银行,MATCH($B182,账户名,0)),""))</f>
        <v/>
      </c>
      <c r="D182" s="12" t="str">
        <f>IF($B182="","",IFERROR(INDEX(账户币种,MATCH($B182,账户名,0)),""))</f>
        <v/>
      </c>
      <c r="E182" s="47"/>
      <c r="F182" s="12" t="str">
        <f>IF($E182="","",IFERROR(INDEX(类别属性,MATCH($E182,类别表,0)),""))</f>
        <v/>
      </c>
      <c r="G182" s="48"/>
      <c r="H182" s="48"/>
      <c r="I182" s="49"/>
      <c r="J182" s="24" t="str">
        <f>IF(OR($A182="",$B182=""),"",IF($I182&lt;&gt;"",$I182,IF($D182=本位币,1,IFERROR(LOOKUP(2,1/((汇率月份&lt;=$A182)*(INDEX(记账汇率区,0,MATCH($D182,汇率币种头,0))&lt;&gt;"")),INDEX(记账汇率区,0,MATCH($D182,汇率币种头,0))),""))))</f>
        <v/>
      </c>
      <c r="K182" s="23" t="str">
        <f t="shared" si="4"/>
        <v/>
      </c>
      <c r="L182" s="23" t="str">
        <f t="shared" si="5"/>
        <v/>
      </c>
      <c r="M182" s="23" t="str">
        <f>IF($B182="","",ROUND(SUMIF(账户名,$B182,账户期初)+SUMIFS($K$6:K182,$B$6:B182,$B182),2))</f>
        <v/>
      </c>
      <c r="N182" s="23" t="str">
        <f>IF($B182="","",IFERROR(ROUND(INDEX(账户期初本位,MATCH($B182,账户名,0))+SUMIFS($L$6:L182,$B$6:B182,$B182),2),""))</f>
        <v/>
      </c>
      <c r="O182" s="46"/>
      <c r="P182" s="47"/>
      <c r="Q182" s="46"/>
      <c r="R182" s="46"/>
      <c r="S182" s="6" t="str">
        <f>IF($B182="","",IF(ISNA(MATCH($B182,账户名,0)),"※这个账户不在【参数设置】的账户档案里",IF($A182="","※没填日期，这一笔不会进任何月份的报表",IF(AND($G182&lt;&gt;"",$H182&lt;&gt;""),"※收入和支出不能同时填",IF(AND(N($G182)=0,N($H182)=0),"※收入和支出都没填",IF($E182="","※没填收支类别，分类报表会漏掉这一笔",IF(ISNA(MATCH($E182,类别表,0)),"※收支类别不在【参数设置】的清单里",IF($J182="","△"&amp;$D182&amp;" 还没填汇率，去【月度汇率】补上就自动算了",IF(YEAR($A182)&lt;&gt;管理年度,"△不是管理年度的单据，年报里看不到",IF(AND($F182="内部转账",$Q182=""),"△内部转账建议在「往来单位」写上对方账户",IF($M182&lt;0,"△这一笔之后该账户余额成负数了，核一下","")))))))))))</f>
        <v/>
      </c>
    </row>
    <row r="183" ht="16.5" spans="1:19">
      <c r="A183" s="45"/>
      <c r="B183" s="46"/>
      <c r="C183" s="12" t="str">
        <f>IF($B183="","",IFERROR(INDEX(账户银行,MATCH($B183,账户名,0)),""))</f>
        <v/>
      </c>
      <c r="D183" s="12" t="str">
        <f>IF($B183="","",IFERROR(INDEX(账户币种,MATCH($B183,账户名,0)),""))</f>
        <v/>
      </c>
      <c r="E183" s="47"/>
      <c r="F183" s="12" t="str">
        <f>IF($E183="","",IFERROR(INDEX(类别属性,MATCH($E183,类别表,0)),""))</f>
        <v/>
      </c>
      <c r="G183" s="48"/>
      <c r="H183" s="48"/>
      <c r="I183" s="49"/>
      <c r="J183" s="24" t="str">
        <f>IF(OR($A183="",$B183=""),"",IF($I183&lt;&gt;"",$I183,IF($D183=本位币,1,IFERROR(LOOKUP(2,1/((汇率月份&lt;=$A183)*(INDEX(记账汇率区,0,MATCH($D183,汇率币种头,0))&lt;&gt;"")),INDEX(记账汇率区,0,MATCH($D183,汇率币种头,0))),""))))</f>
        <v/>
      </c>
      <c r="K183" s="23" t="str">
        <f t="shared" si="4"/>
        <v/>
      </c>
      <c r="L183" s="23" t="str">
        <f t="shared" si="5"/>
        <v/>
      </c>
      <c r="M183" s="23" t="str">
        <f>IF($B183="","",ROUND(SUMIF(账户名,$B183,账户期初)+SUMIFS($K$6:K183,$B$6:B183,$B183),2))</f>
        <v/>
      </c>
      <c r="N183" s="23" t="str">
        <f>IF($B183="","",IFERROR(ROUND(INDEX(账户期初本位,MATCH($B183,账户名,0))+SUMIFS($L$6:L183,$B$6:B183,$B183),2),""))</f>
        <v/>
      </c>
      <c r="O183" s="46"/>
      <c r="P183" s="47"/>
      <c r="Q183" s="46"/>
      <c r="R183" s="46"/>
      <c r="S183" s="6" t="str">
        <f>IF($B183="","",IF(ISNA(MATCH($B183,账户名,0)),"※这个账户不在【参数设置】的账户档案里",IF($A183="","※没填日期，这一笔不会进任何月份的报表",IF(AND($G183&lt;&gt;"",$H183&lt;&gt;""),"※收入和支出不能同时填",IF(AND(N($G183)=0,N($H183)=0),"※收入和支出都没填",IF($E183="","※没填收支类别，分类报表会漏掉这一笔",IF(ISNA(MATCH($E183,类别表,0)),"※收支类别不在【参数设置】的清单里",IF($J183="","△"&amp;$D183&amp;" 还没填汇率，去【月度汇率】补上就自动算了",IF(YEAR($A183)&lt;&gt;管理年度,"△不是管理年度的单据，年报里看不到",IF(AND($F183="内部转账",$Q183=""),"△内部转账建议在「往来单位」写上对方账户",IF($M183&lt;0,"△这一笔之后该账户余额成负数了，核一下","")))))))))))</f>
        <v/>
      </c>
    </row>
    <row r="184" ht="16.5" spans="1:19">
      <c r="A184" s="45"/>
      <c r="B184" s="46"/>
      <c r="C184" s="12" t="str">
        <f>IF($B184="","",IFERROR(INDEX(账户银行,MATCH($B184,账户名,0)),""))</f>
        <v/>
      </c>
      <c r="D184" s="12" t="str">
        <f>IF($B184="","",IFERROR(INDEX(账户币种,MATCH($B184,账户名,0)),""))</f>
        <v/>
      </c>
      <c r="E184" s="47"/>
      <c r="F184" s="12" t="str">
        <f>IF($E184="","",IFERROR(INDEX(类别属性,MATCH($E184,类别表,0)),""))</f>
        <v/>
      </c>
      <c r="G184" s="48"/>
      <c r="H184" s="48"/>
      <c r="I184" s="49"/>
      <c r="J184" s="24" t="str">
        <f>IF(OR($A184="",$B184=""),"",IF($I184&lt;&gt;"",$I184,IF($D184=本位币,1,IFERROR(LOOKUP(2,1/((汇率月份&lt;=$A184)*(INDEX(记账汇率区,0,MATCH($D184,汇率币种头,0))&lt;&gt;"")),INDEX(记账汇率区,0,MATCH($D184,汇率币种头,0))),""))))</f>
        <v/>
      </c>
      <c r="K184" s="23" t="str">
        <f t="shared" si="4"/>
        <v/>
      </c>
      <c r="L184" s="23" t="str">
        <f t="shared" si="5"/>
        <v/>
      </c>
      <c r="M184" s="23" t="str">
        <f>IF($B184="","",ROUND(SUMIF(账户名,$B184,账户期初)+SUMIFS($K$6:K184,$B$6:B184,$B184),2))</f>
        <v/>
      </c>
      <c r="N184" s="23" t="str">
        <f>IF($B184="","",IFERROR(ROUND(INDEX(账户期初本位,MATCH($B184,账户名,0))+SUMIFS($L$6:L184,$B$6:B184,$B184),2),""))</f>
        <v/>
      </c>
      <c r="O184" s="46"/>
      <c r="P184" s="47"/>
      <c r="Q184" s="46"/>
      <c r="R184" s="46"/>
      <c r="S184" s="6" t="str">
        <f>IF($B184="","",IF(ISNA(MATCH($B184,账户名,0)),"※这个账户不在【参数设置】的账户档案里",IF($A184="","※没填日期，这一笔不会进任何月份的报表",IF(AND($G184&lt;&gt;"",$H184&lt;&gt;""),"※收入和支出不能同时填",IF(AND(N($G184)=0,N($H184)=0),"※收入和支出都没填",IF($E184="","※没填收支类别，分类报表会漏掉这一笔",IF(ISNA(MATCH($E184,类别表,0)),"※收支类别不在【参数设置】的清单里",IF($J184="","△"&amp;$D184&amp;" 还没填汇率，去【月度汇率】补上就自动算了",IF(YEAR($A184)&lt;&gt;管理年度,"△不是管理年度的单据，年报里看不到",IF(AND($F184="内部转账",$Q184=""),"△内部转账建议在「往来单位」写上对方账户",IF($M184&lt;0,"△这一笔之后该账户余额成负数了，核一下","")))))))))))</f>
        <v/>
      </c>
    </row>
    <row r="185" ht="16.5" spans="1:19">
      <c r="A185" s="45"/>
      <c r="B185" s="46"/>
      <c r="C185" s="12" t="str">
        <f>IF($B185="","",IFERROR(INDEX(账户银行,MATCH($B185,账户名,0)),""))</f>
        <v/>
      </c>
      <c r="D185" s="12" t="str">
        <f>IF($B185="","",IFERROR(INDEX(账户币种,MATCH($B185,账户名,0)),""))</f>
        <v/>
      </c>
      <c r="E185" s="47"/>
      <c r="F185" s="12" t="str">
        <f>IF($E185="","",IFERROR(INDEX(类别属性,MATCH($E185,类别表,0)),""))</f>
        <v/>
      </c>
      <c r="G185" s="48"/>
      <c r="H185" s="48"/>
      <c r="I185" s="49"/>
      <c r="J185" s="24" t="str">
        <f>IF(OR($A185="",$B185=""),"",IF($I185&lt;&gt;"",$I185,IF($D185=本位币,1,IFERROR(LOOKUP(2,1/((汇率月份&lt;=$A185)*(INDEX(记账汇率区,0,MATCH($D185,汇率币种头,0))&lt;&gt;"")),INDEX(记账汇率区,0,MATCH($D185,汇率币种头,0))),""))))</f>
        <v/>
      </c>
      <c r="K185" s="23" t="str">
        <f t="shared" si="4"/>
        <v/>
      </c>
      <c r="L185" s="23" t="str">
        <f t="shared" si="5"/>
        <v/>
      </c>
      <c r="M185" s="23" t="str">
        <f>IF($B185="","",ROUND(SUMIF(账户名,$B185,账户期初)+SUMIFS($K$6:K185,$B$6:B185,$B185),2))</f>
        <v/>
      </c>
      <c r="N185" s="23" t="str">
        <f>IF($B185="","",IFERROR(ROUND(INDEX(账户期初本位,MATCH($B185,账户名,0))+SUMIFS($L$6:L185,$B$6:B185,$B185),2),""))</f>
        <v/>
      </c>
      <c r="O185" s="46"/>
      <c r="P185" s="47"/>
      <c r="Q185" s="46"/>
      <c r="R185" s="46"/>
      <c r="S185" s="6" t="str">
        <f>IF($B185="","",IF(ISNA(MATCH($B185,账户名,0)),"※这个账户不在【参数设置】的账户档案里",IF($A185="","※没填日期，这一笔不会进任何月份的报表",IF(AND($G185&lt;&gt;"",$H185&lt;&gt;""),"※收入和支出不能同时填",IF(AND(N($G185)=0,N($H185)=0),"※收入和支出都没填",IF($E185="","※没填收支类别，分类报表会漏掉这一笔",IF(ISNA(MATCH($E185,类别表,0)),"※收支类别不在【参数设置】的清单里",IF($J185="","△"&amp;$D185&amp;" 还没填汇率，去【月度汇率】补上就自动算了",IF(YEAR($A185)&lt;&gt;管理年度,"△不是管理年度的单据，年报里看不到",IF(AND($F185="内部转账",$Q185=""),"△内部转账建议在「往来单位」写上对方账户",IF($M185&lt;0,"△这一笔之后该账户余额成负数了，核一下","")))))))))))</f>
        <v/>
      </c>
    </row>
    <row r="186" ht="16.5" spans="1:19">
      <c r="A186" s="45"/>
      <c r="B186" s="46"/>
      <c r="C186" s="12" t="str">
        <f>IF($B186="","",IFERROR(INDEX(账户银行,MATCH($B186,账户名,0)),""))</f>
        <v/>
      </c>
      <c r="D186" s="12" t="str">
        <f>IF($B186="","",IFERROR(INDEX(账户币种,MATCH($B186,账户名,0)),""))</f>
        <v/>
      </c>
      <c r="E186" s="47"/>
      <c r="F186" s="12" t="str">
        <f>IF($E186="","",IFERROR(INDEX(类别属性,MATCH($E186,类别表,0)),""))</f>
        <v/>
      </c>
      <c r="G186" s="48"/>
      <c r="H186" s="48"/>
      <c r="I186" s="49"/>
      <c r="J186" s="24" t="str">
        <f>IF(OR($A186="",$B186=""),"",IF($I186&lt;&gt;"",$I186,IF($D186=本位币,1,IFERROR(LOOKUP(2,1/((汇率月份&lt;=$A186)*(INDEX(记账汇率区,0,MATCH($D186,汇率币种头,0))&lt;&gt;"")),INDEX(记账汇率区,0,MATCH($D186,汇率币种头,0))),""))))</f>
        <v/>
      </c>
      <c r="K186" s="23" t="str">
        <f t="shared" si="4"/>
        <v/>
      </c>
      <c r="L186" s="23" t="str">
        <f t="shared" si="5"/>
        <v/>
      </c>
      <c r="M186" s="23" t="str">
        <f>IF($B186="","",ROUND(SUMIF(账户名,$B186,账户期初)+SUMIFS($K$6:K186,$B$6:B186,$B186),2))</f>
        <v/>
      </c>
      <c r="N186" s="23" t="str">
        <f>IF($B186="","",IFERROR(ROUND(INDEX(账户期初本位,MATCH($B186,账户名,0))+SUMIFS($L$6:L186,$B$6:B186,$B186),2),""))</f>
        <v/>
      </c>
      <c r="O186" s="46"/>
      <c r="P186" s="47"/>
      <c r="Q186" s="46"/>
      <c r="R186" s="46"/>
      <c r="S186" s="6" t="str">
        <f>IF($B186="","",IF(ISNA(MATCH($B186,账户名,0)),"※这个账户不在【参数设置】的账户档案里",IF($A186="","※没填日期，这一笔不会进任何月份的报表",IF(AND($G186&lt;&gt;"",$H186&lt;&gt;""),"※收入和支出不能同时填",IF(AND(N($G186)=0,N($H186)=0),"※收入和支出都没填",IF($E186="","※没填收支类别，分类报表会漏掉这一笔",IF(ISNA(MATCH($E186,类别表,0)),"※收支类别不在【参数设置】的清单里",IF($J186="","△"&amp;$D186&amp;" 还没填汇率，去【月度汇率】补上就自动算了",IF(YEAR($A186)&lt;&gt;管理年度,"△不是管理年度的单据，年报里看不到",IF(AND($F186="内部转账",$Q186=""),"△内部转账建议在「往来单位」写上对方账户",IF($M186&lt;0,"△这一笔之后该账户余额成负数了，核一下","")))))))))))</f>
        <v/>
      </c>
    </row>
    <row r="187" ht="16.5" spans="1:19">
      <c r="A187" s="45"/>
      <c r="B187" s="46"/>
      <c r="C187" s="12" t="str">
        <f>IF($B187="","",IFERROR(INDEX(账户银行,MATCH($B187,账户名,0)),""))</f>
        <v/>
      </c>
      <c r="D187" s="12" t="str">
        <f>IF($B187="","",IFERROR(INDEX(账户币种,MATCH($B187,账户名,0)),""))</f>
        <v/>
      </c>
      <c r="E187" s="47"/>
      <c r="F187" s="12" t="str">
        <f>IF($E187="","",IFERROR(INDEX(类别属性,MATCH($E187,类别表,0)),""))</f>
        <v/>
      </c>
      <c r="G187" s="48"/>
      <c r="H187" s="48"/>
      <c r="I187" s="49"/>
      <c r="J187" s="24" t="str">
        <f>IF(OR($A187="",$B187=""),"",IF($I187&lt;&gt;"",$I187,IF($D187=本位币,1,IFERROR(LOOKUP(2,1/((汇率月份&lt;=$A187)*(INDEX(记账汇率区,0,MATCH($D187,汇率币种头,0))&lt;&gt;"")),INDEX(记账汇率区,0,MATCH($D187,汇率币种头,0))),""))))</f>
        <v/>
      </c>
      <c r="K187" s="23" t="str">
        <f t="shared" si="4"/>
        <v/>
      </c>
      <c r="L187" s="23" t="str">
        <f t="shared" si="5"/>
        <v/>
      </c>
      <c r="M187" s="23" t="str">
        <f>IF($B187="","",ROUND(SUMIF(账户名,$B187,账户期初)+SUMIFS($K$6:K187,$B$6:B187,$B187),2))</f>
        <v/>
      </c>
      <c r="N187" s="23" t="str">
        <f>IF($B187="","",IFERROR(ROUND(INDEX(账户期初本位,MATCH($B187,账户名,0))+SUMIFS($L$6:L187,$B$6:B187,$B187),2),""))</f>
        <v/>
      </c>
      <c r="O187" s="46"/>
      <c r="P187" s="47"/>
      <c r="Q187" s="46"/>
      <c r="R187" s="46"/>
      <c r="S187" s="6" t="str">
        <f>IF($B187="","",IF(ISNA(MATCH($B187,账户名,0)),"※这个账户不在【参数设置】的账户档案里",IF($A187="","※没填日期，这一笔不会进任何月份的报表",IF(AND($G187&lt;&gt;"",$H187&lt;&gt;""),"※收入和支出不能同时填",IF(AND(N($G187)=0,N($H187)=0),"※收入和支出都没填",IF($E187="","※没填收支类别，分类报表会漏掉这一笔",IF(ISNA(MATCH($E187,类别表,0)),"※收支类别不在【参数设置】的清单里",IF($J187="","△"&amp;$D187&amp;" 还没填汇率，去【月度汇率】补上就自动算了",IF(YEAR($A187)&lt;&gt;管理年度,"△不是管理年度的单据，年报里看不到",IF(AND($F187="内部转账",$Q187=""),"△内部转账建议在「往来单位」写上对方账户",IF($M187&lt;0,"△这一笔之后该账户余额成负数了，核一下","")))))))))))</f>
        <v/>
      </c>
    </row>
    <row r="188" ht="16.5" spans="1:19">
      <c r="A188" s="45"/>
      <c r="B188" s="46"/>
      <c r="C188" s="12" t="str">
        <f>IF($B188="","",IFERROR(INDEX(账户银行,MATCH($B188,账户名,0)),""))</f>
        <v/>
      </c>
      <c r="D188" s="12" t="str">
        <f>IF($B188="","",IFERROR(INDEX(账户币种,MATCH($B188,账户名,0)),""))</f>
        <v/>
      </c>
      <c r="E188" s="47"/>
      <c r="F188" s="12" t="str">
        <f>IF($E188="","",IFERROR(INDEX(类别属性,MATCH($E188,类别表,0)),""))</f>
        <v/>
      </c>
      <c r="G188" s="48"/>
      <c r="H188" s="48"/>
      <c r="I188" s="49"/>
      <c r="J188" s="24" t="str">
        <f>IF(OR($A188="",$B188=""),"",IF($I188&lt;&gt;"",$I188,IF($D188=本位币,1,IFERROR(LOOKUP(2,1/((汇率月份&lt;=$A188)*(INDEX(记账汇率区,0,MATCH($D188,汇率币种头,0))&lt;&gt;"")),INDEX(记账汇率区,0,MATCH($D188,汇率币种头,0))),""))))</f>
        <v/>
      </c>
      <c r="K188" s="23" t="str">
        <f t="shared" si="4"/>
        <v/>
      </c>
      <c r="L188" s="23" t="str">
        <f t="shared" si="5"/>
        <v/>
      </c>
      <c r="M188" s="23" t="str">
        <f>IF($B188="","",ROUND(SUMIF(账户名,$B188,账户期初)+SUMIFS($K$6:K188,$B$6:B188,$B188),2))</f>
        <v/>
      </c>
      <c r="N188" s="23" t="str">
        <f>IF($B188="","",IFERROR(ROUND(INDEX(账户期初本位,MATCH($B188,账户名,0))+SUMIFS($L$6:L188,$B$6:B188,$B188),2),""))</f>
        <v/>
      </c>
      <c r="O188" s="46"/>
      <c r="P188" s="47"/>
      <c r="Q188" s="46"/>
      <c r="R188" s="46"/>
      <c r="S188" s="6" t="str">
        <f>IF($B188="","",IF(ISNA(MATCH($B188,账户名,0)),"※这个账户不在【参数设置】的账户档案里",IF($A188="","※没填日期，这一笔不会进任何月份的报表",IF(AND($G188&lt;&gt;"",$H188&lt;&gt;""),"※收入和支出不能同时填",IF(AND(N($G188)=0,N($H188)=0),"※收入和支出都没填",IF($E188="","※没填收支类别，分类报表会漏掉这一笔",IF(ISNA(MATCH($E188,类别表,0)),"※收支类别不在【参数设置】的清单里",IF($J188="","△"&amp;$D188&amp;" 还没填汇率，去【月度汇率】补上就自动算了",IF(YEAR($A188)&lt;&gt;管理年度,"△不是管理年度的单据，年报里看不到",IF(AND($F188="内部转账",$Q188=""),"△内部转账建议在「往来单位」写上对方账户",IF($M188&lt;0,"△这一笔之后该账户余额成负数了，核一下","")))))))))))</f>
        <v/>
      </c>
    </row>
    <row r="189" ht="16.5" spans="1:19">
      <c r="A189" s="45"/>
      <c r="B189" s="46"/>
      <c r="C189" s="12" t="str">
        <f>IF($B189="","",IFERROR(INDEX(账户银行,MATCH($B189,账户名,0)),""))</f>
        <v/>
      </c>
      <c r="D189" s="12" t="str">
        <f>IF($B189="","",IFERROR(INDEX(账户币种,MATCH($B189,账户名,0)),""))</f>
        <v/>
      </c>
      <c r="E189" s="47"/>
      <c r="F189" s="12" t="str">
        <f>IF($E189="","",IFERROR(INDEX(类别属性,MATCH($E189,类别表,0)),""))</f>
        <v/>
      </c>
      <c r="G189" s="48"/>
      <c r="H189" s="48"/>
      <c r="I189" s="49"/>
      <c r="J189" s="24" t="str">
        <f>IF(OR($A189="",$B189=""),"",IF($I189&lt;&gt;"",$I189,IF($D189=本位币,1,IFERROR(LOOKUP(2,1/((汇率月份&lt;=$A189)*(INDEX(记账汇率区,0,MATCH($D189,汇率币种头,0))&lt;&gt;"")),INDEX(记账汇率区,0,MATCH($D189,汇率币种头,0))),""))))</f>
        <v/>
      </c>
      <c r="K189" s="23" t="str">
        <f t="shared" si="4"/>
        <v/>
      </c>
      <c r="L189" s="23" t="str">
        <f t="shared" si="5"/>
        <v/>
      </c>
      <c r="M189" s="23" t="str">
        <f>IF($B189="","",ROUND(SUMIF(账户名,$B189,账户期初)+SUMIFS($K$6:K189,$B$6:B189,$B189),2))</f>
        <v/>
      </c>
      <c r="N189" s="23" t="str">
        <f>IF($B189="","",IFERROR(ROUND(INDEX(账户期初本位,MATCH($B189,账户名,0))+SUMIFS($L$6:L189,$B$6:B189,$B189),2),""))</f>
        <v/>
      </c>
      <c r="O189" s="46"/>
      <c r="P189" s="47"/>
      <c r="Q189" s="46"/>
      <c r="R189" s="46"/>
      <c r="S189" s="6" t="str">
        <f>IF($B189="","",IF(ISNA(MATCH($B189,账户名,0)),"※这个账户不在【参数设置】的账户档案里",IF($A189="","※没填日期，这一笔不会进任何月份的报表",IF(AND($G189&lt;&gt;"",$H189&lt;&gt;""),"※收入和支出不能同时填",IF(AND(N($G189)=0,N($H189)=0),"※收入和支出都没填",IF($E189="","※没填收支类别，分类报表会漏掉这一笔",IF(ISNA(MATCH($E189,类别表,0)),"※收支类别不在【参数设置】的清单里",IF($J189="","△"&amp;$D189&amp;" 还没填汇率，去【月度汇率】补上就自动算了",IF(YEAR($A189)&lt;&gt;管理年度,"△不是管理年度的单据，年报里看不到",IF(AND($F189="内部转账",$Q189=""),"△内部转账建议在「往来单位」写上对方账户",IF($M189&lt;0,"△这一笔之后该账户余额成负数了，核一下","")))))))))))</f>
        <v/>
      </c>
    </row>
    <row r="190" ht="16.5" spans="1:19">
      <c r="A190" s="45"/>
      <c r="B190" s="46"/>
      <c r="C190" s="12" t="str">
        <f>IF($B190="","",IFERROR(INDEX(账户银行,MATCH($B190,账户名,0)),""))</f>
        <v/>
      </c>
      <c r="D190" s="12" t="str">
        <f>IF($B190="","",IFERROR(INDEX(账户币种,MATCH($B190,账户名,0)),""))</f>
        <v/>
      </c>
      <c r="E190" s="47"/>
      <c r="F190" s="12" t="str">
        <f>IF($E190="","",IFERROR(INDEX(类别属性,MATCH($E190,类别表,0)),""))</f>
        <v/>
      </c>
      <c r="G190" s="48"/>
      <c r="H190" s="48"/>
      <c r="I190" s="49"/>
      <c r="J190" s="24" t="str">
        <f>IF(OR($A190="",$B190=""),"",IF($I190&lt;&gt;"",$I190,IF($D190=本位币,1,IFERROR(LOOKUP(2,1/((汇率月份&lt;=$A190)*(INDEX(记账汇率区,0,MATCH($D190,汇率币种头,0))&lt;&gt;"")),INDEX(记账汇率区,0,MATCH($D190,汇率币种头,0))),""))))</f>
        <v/>
      </c>
      <c r="K190" s="23" t="str">
        <f t="shared" si="4"/>
        <v/>
      </c>
      <c r="L190" s="23" t="str">
        <f t="shared" si="5"/>
        <v/>
      </c>
      <c r="M190" s="23" t="str">
        <f>IF($B190="","",ROUND(SUMIF(账户名,$B190,账户期初)+SUMIFS($K$6:K190,$B$6:B190,$B190),2))</f>
        <v/>
      </c>
      <c r="N190" s="23" t="str">
        <f>IF($B190="","",IFERROR(ROUND(INDEX(账户期初本位,MATCH($B190,账户名,0))+SUMIFS($L$6:L190,$B$6:B190,$B190),2),""))</f>
        <v/>
      </c>
      <c r="O190" s="46"/>
      <c r="P190" s="47"/>
      <c r="Q190" s="46"/>
      <c r="R190" s="46"/>
      <c r="S190" s="6" t="str">
        <f>IF($B190="","",IF(ISNA(MATCH($B190,账户名,0)),"※这个账户不在【参数设置】的账户档案里",IF($A190="","※没填日期，这一笔不会进任何月份的报表",IF(AND($G190&lt;&gt;"",$H190&lt;&gt;""),"※收入和支出不能同时填",IF(AND(N($G190)=0,N($H190)=0),"※收入和支出都没填",IF($E190="","※没填收支类别，分类报表会漏掉这一笔",IF(ISNA(MATCH($E190,类别表,0)),"※收支类别不在【参数设置】的清单里",IF($J190="","△"&amp;$D190&amp;" 还没填汇率，去【月度汇率】补上就自动算了",IF(YEAR($A190)&lt;&gt;管理年度,"△不是管理年度的单据，年报里看不到",IF(AND($F190="内部转账",$Q190=""),"△内部转账建议在「往来单位」写上对方账户",IF($M190&lt;0,"△这一笔之后该账户余额成负数了，核一下","")))))))))))</f>
        <v/>
      </c>
    </row>
    <row r="191" ht="16.5" spans="1:19">
      <c r="A191" s="45"/>
      <c r="B191" s="46"/>
      <c r="C191" s="12" t="str">
        <f>IF($B191="","",IFERROR(INDEX(账户银行,MATCH($B191,账户名,0)),""))</f>
        <v/>
      </c>
      <c r="D191" s="12" t="str">
        <f>IF($B191="","",IFERROR(INDEX(账户币种,MATCH($B191,账户名,0)),""))</f>
        <v/>
      </c>
      <c r="E191" s="47"/>
      <c r="F191" s="12" t="str">
        <f>IF($E191="","",IFERROR(INDEX(类别属性,MATCH($E191,类别表,0)),""))</f>
        <v/>
      </c>
      <c r="G191" s="48"/>
      <c r="H191" s="48"/>
      <c r="I191" s="49"/>
      <c r="J191" s="24" t="str">
        <f>IF(OR($A191="",$B191=""),"",IF($I191&lt;&gt;"",$I191,IF($D191=本位币,1,IFERROR(LOOKUP(2,1/((汇率月份&lt;=$A191)*(INDEX(记账汇率区,0,MATCH($D191,汇率币种头,0))&lt;&gt;"")),INDEX(记账汇率区,0,MATCH($D191,汇率币种头,0))),""))))</f>
        <v/>
      </c>
      <c r="K191" s="23" t="str">
        <f t="shared" si="4"/>
        <v/>
      </c>
      <c r="L191" s="23" t="str">
        <f t="shared" si="5"/>
        <v/>
      </c>
      <c r="M191" s="23" t="str">
        <f>IF($B191="","",ROUND(SUMIF(账户名,$B191,账户期初)+SUMIFS($K$6:K191,$B$6:B191,$B191),2))</f>
        <v/>
      </c>
      <c r="N191" s="23" t="str">
        <f>IF($B191="","",IFERROR(ROUND(INDEX(账户期初本位,MATCH($B191,账户名,0))+SUMIFS($L$6:L191,$B$6:B191,$B191),2),""))</f>
        <v/>
      </c>
      <c r="O191" s="46"/>
      <c r="P191" s="47"/>
      <c r="Q191" s="46"/>
      <c r="R191" s="46"/>
      <c r="S191" s="6" t="str">
        <f>IF($B191="","",IF(ISNA(MATCH($B191,账户名,0)),"※这个账户不在【参数设置】的账户档案里",IF($A191="","※没填日期，这一笔不会进任何月份的报表",IF(AND($G191&lt;&gt;"",$H191&lt;&gt;""),"※收入和支出不能同时填",IF(AND(N($G191)=0,N($H191)=0),"※收入和支出都没填",IF($E191="","※没填收支类别，分类报表会漏掉这一笔",IF(ISNA(MATCH($E191,类别表,0)),"※收支类别不在【参数设置】的清单里",IF($J191="","△"&amp;$D191&amp;" 还没填汇率，去【月度汇率】补上就自动算了",IF(YEAR($A191)&lt;&gt;管理年度,"△不是管理年度的单据，年报里看不到",IF(AND($F191="内部转账",$Q191=""),"△内部转账建议在「往来单位」写上对方账户",IF($M191&lt;0,"△这一笔之后该账户余额成负数了，核一下","")))))))))))</f>
        <v/>
      </c>
    </row>
    <row r="192" ht="16.5" spans="1:19">
      <c r="A192" s="45"/>
      <c r="B192" s="46"/>
      <c r="C192" s="12" t="str">
        <f>IF($B192="","",IFERROR(INDEX(账户银行,MATCH($B192,账户名,0)),""))</f>
        <v/>
      </c>
      <c r="D192" s="12" t="str">
        <f>IF($B192="","",IFERROR(INDEX(账户币种,MATCH($B192,账户名,0)),""))</f>
        <v/>
      </c>
      <c r="E192" s="47"/>
      <c r="F192" s="12" t="str">
        <f>IF($E192="","",IFERROR(INDEX(类别属性,MATCH($E192,类别表,0)),""))</f>
        <v/>
      </c>
      <c r="G192" s="48"/>
      <c r="H192" s="48"/>
      <c r="I192" s="49"/>
      <c r="J192" s="24" t="str">
        <f>IF(OR($A192="",$B192=""),"",IF($I192&lt;&gt;"",$I192,IF($D192=本位币,1,IFERROR(LOOKUP(2,1/((汇率月份&lt;=$A192)*(INDEX(记账汇率区,0,MATCH($D192,汇率币种头,0))&lt;&gt;"")),INDEX(记账汇率区,0,MATCH($D192,汇率币种头,0))),""))))</f>
        <v/>
      </c>
      <c r="K192" s="23" t="str">
        <f t="shared" si="4"/>
        <v/>
      </c>
      <c r="L192" s="23" t="str">
        <f t="shared" si="5"/>
        <v/>
      </c>
      <c r="M192" s="23" t="str">
        <f>IF($B192="","",ROUND(SUMIF(账户名,$B192,账户期初)+SUMIFS($K$6:K192,$B$6:B192,$B192),2))</f>
        <v/>
      </c>
      <c r="N192" s="23" t="str">
        <f>IF($B192="","",IFERROR(ROUND(INDEX(账户期初本位,MATCH($B192,账户名,0))+SUMIFS($L$6:L192,$B$6:B192,$B192),2),""))</f>
        <v/>
      </c>
      <c r="O192" s="46"/>
      <c r="P192" s="47"/>
      <c r="Q192" s="46"/>
      <c r="R192" s="46"/>
      <c r="S192" s="6" t="str">
        <f>IF($B192="","",IF(ISNA(MATCH($B192,账户名,0)),"※这个账户不在【参数设置】的账户档案里",IF($A192="","※没填日期，这一笔不会进任何月份的报表",IF(AND($G192&lt;&gt;"",$H192&lt;&gt;""),"※收入和支出不能同时填",IF(AND(N($G192)=0,N($H192)=0),"※收入和支出都没填",IF($E192="","※没填收支类别，分类报表会漏掉这一笔",IF(ISNA(MATCH($E192,类别表,0)),"※收支类别不在【参数设置】的清单里",IF($J192="","△"&amp;$D192&amp;" 还没填汇率，去【月度汇率】补上就自动算了",IF(YEAR($A192)&lt;&gt;管理年度,"△不是管理年度的单据，年报里看不到",IF(AND($F192="内部转账",$Q192=""),"△内部转账建议在「往来单位」写上对方账户",IF($M192&lt;0,"△这一笔之后该账户余额成负数了，核一下","")))))))))))</f>
        <v/>
      </c>
    </row>
    <row r="193" ht="16.5" spans="1:19">
      <c r="A193" s="45"/>
      <c r="B193" s="46"/>
      <c r="C193" s="12" t="str">
        <f>IF($B193="","",IFERROR(INDEX(账户银行,MATCH($B193,账户名,0)),""))</f>
        <v/>
      </c>
      <c r="D193" s="12" t="str">
        <f>IF($B193="","",IFERROR(INDEX(账户币种,MATCH($B193,账户名,0)),""))</f>
        <v/>
      </c>
      <c r="E193" s="47"/>
      <c r="F193" s="12" t="str">
        <f>IF($E193="","",IFERROR(INDEX(类别属性,MATCH($E193,类别表,0)),""))</f>
        <v/>
      </c>
      <c r="G193" s="48"/>
      <c r="H193" s="48"/>
      <c r="I193" s="49"/>
      <c r="J193" s="24" t="str">
        <f>IF(OR($A193="",$B193=""),"",IF($I193&lt;&gt;"",$I193,IF($D193=本位币,1,IFERROR(LOOKUP(2,1/((汇率月份&lt;=$A193)*(INDEX(记账汇率区,0,MATCH($D193,汇率币种头,0))&lt;&gt;"")),INDEX(记账汇率区,0,MATCH($D193,汇率币种头,0))),""))))</f>
        <v/>
      </c>
      <c r="K193" s="23" t="str">
        <f t="shared" si="4"/>
        <v/>
      </c>
      <c r="L193" s="23" t="str">
        <f t="shared" si="5"/>
        <v/>
      </c>
      <c r="M193" s="23" t="str">
        <f>IF($B193="","",ROUND(SUMIF(账户名,$B193,账户期初)+SUMIFS($K$6:K193,$B$6:B193,$B193),2))</f>
        <v/>
      </c>
      <c r="N193" s="23" t="str">
        <f>IF($B193="","",IFERROR(ROUND(INDEX(账户期初本位,MATCH($B193,账户名,0))+SUMIFS($L$6:L193,$B$6:B193,$B193),2),""))</f>
        <v/>
      </c>
      <c r="O193" s="46"/>
      <c r="P193" s="47"/>
      <c r="Q193" s="46"/>
      <c r="R193" s="46"/>
      <c r="S193" s="6" t="str">
        <f>IF($B193="","",IF(ISNA(MATCH($B193,账户名,0)),"※这个账户不在【参数设置】的账户档案里",IF($A193="","※没填日期，这一笔不会进任何月份的报表",IF(AND($G193&lt;&gt;"",$H193&lt;&gt;""),"※收入和支出不能同时填",IF(AND(N($G193)=0,N($H193)=0),"※收入和支出都没填",IF($E193="","※没填收支类别，分类报表会漏掉这一笔",IF(ISNA(MATCH($E193,类别表,0)),"※收支类别不在【参数设置】的清单里",IF($J193="","△"&amp;$D193&amp;" 还没填汇率，去【月度汇率】补上就自动算了",IF(YEAR($A193)&lt;&gt;管理年度,"△不是管理年度的单据，年报里看不到",IF(AND($F193="内部转账",$Q193=""),"△内部转账建议在「往来单位」写上对方账户",IF($M193&lt;0,"△这一笔之后该账户余额成负数了，核一下","")))))))))))</f>
        <v/>
      </c>
    </row>
    <row r="194" ht="16.5" spans="1:19">
      <c r="A194" s="45"/>
      <c r="B194" s="46"/>
      <c r="C194" s="12" t="str">
        <f>IF($B194="","",IFERROR(INDEX(账户银行,MATCH($B194,账户名,0)),""))</f>
        <v/>
      </c>
      <c r="D194" s="12" t="str">
        <f>IF($B194="","",IFERROR(INDEX(账户币种,MATCH($B194,账户名,0)),""))</f>
        <v/>
      </c>
      <c r="E194" s="47"/>
      <c r="F194" s="12" t="str">
        <f>IF($E194="","",IFERROR(INDEX(类别属性,MATCH($E194,类别表,0)),""))</f>
        <v/>
      </c>
      <c r="G194" s="48"/>
      <c r="H194" s="48"/>
      <c r="I194" s="49"/>
      <c r="J194" s="24" t="str">
        <f>IF(OR($A194="",$B194=""),"",IF($I194&lt;&gt;"",$I194,IF($D194=本位币,1,IFERROR(LOOKUP(2,1/((汇率月份&lt;=$A194)*(INDEX(记账汇率区,0,MATCH($D194,汇率币种头,0))&lt;&gt;"")),INDEX(记账汇率区,0,MATCH($D194,汇率币种头,0))),""))))</f>
        <v/>
      </c>
      <c r="K194" s="23" t="str">
        <f t="shared" si="4"/>
        <v/>
      </c>
      <c r="L194" s="23" t="str">
        <f t="shared" si="5"/>
        <v/>
      </c>
      <c r="M194" s="23" t="str">
        <f>IF($B194="","",ROUND(SUMIF(账户名,$B194,账户期初)+SUMIFS($K$6:K194,$B$6:B194,$B194),2))</f>
        <v/>
      </c>
      <c r="N194" s="23" t="str">
        <f>IF($B194="","",IFERROR(ROUND(INDEX(账户期初本位,MATCH($B194,账户名,0))+SUMIFS($L$6:L194,$B$6:B194,$B194),2),""))</f>
        <v/>
      </c>
      <c r="O194" s="46"/>
      <c r="P194" s="47"/>
      <c r="Q194" s="46"/>
      <c r="R194" s="46"/>
      <c r="S194" s="6" t="str">
        <f>IF($B194="","",IF(ISNA(MATCH($B194,账户名,0)),"※这个账户不在【参数设置】的账户档案里",IF($A194="","※没填日期，这一笔不会进任何月份的报表",IF(AND($G194&lt;&gt;"",$H194&lt;&gt;""),"※收入和支出不能同时填",IF(AND(N($G194)=0,N($H194)=0),"※收入和支出都没填",IF($E194="","※没填收支类别，分类报表会漏掉这一笔",IF(ISNA(MATCH($E194,类别表,0)),"※收支类别不在【参数设置】的清单里",IF($J194="","△"&amp;$D194&amp;" 还没填汇率，去【月度汇率】补上就自动算了",IF(YEAR($A194)&lt;&gt;管理年度,"△不是管理年度的单据，年报里看不到",IF(AND($F194="内部转账",$Q194=""),"△内部转账建议在「往来单位」写上对方账户",IF($M194&lt;0,"△这一笔之后该账户余额成负数了，核一下","")))))))))))</f>
        <v/>
      </c>
    </row>
    <row r="195" ht="16.5" spans="1:19">
      <c r="A195" s="45"/>
      <c r="B195" s="46"/>
      <c r="C195" s="12" t="str">
        <f>IF($B195="","",IFERROR(INDEX(账户银行,MATCH($B195,账户名,0)),""))</f>
        <v/>
      </c>
      <c r="D195" s="12" t="str">
        <f>IF($B195="","",IFERROR(INDEX(账户币种,MATCH($B195,账户名,0)),""))</f>
        <v/>
      </c>
      <c r="E195" s="47"/>
      <c r="F195" s="12" t="str">
        <f>IF($E195="","",IFERROR(INDEX(类别属性,MATCH($E195,类别表,0)),""))</f>
        <v/>
      </c>
      <c r="G195" s="48"/>
      <c r="H195" s="48"/>
      <c r="I195" s="49"/>
      <c r="J195" s="24" t="str">
        <f>IF(OR($A195="",$B195=""),"",IF($I195&lt;&gt;"",$I195,IF($D195=本位币,1,IFERROR(LOOKUP(2,1/((汇率月份&lt;=$A195)*(INDEX(记账汇率区,0,MATCH($D195,汇率币种头,0))&lt;&gt;"")),INDEX(记账汇率区,0,MATCH($D195,汇率币种头,0))),""))))</f>
        <v/>
      </c>
      <c r="K195" s="23" t="str">
        <f t="shared" si="4"/>
        <v/>
      </c>
      <c r="L195" s="23" t="str">
        <f t="shared" si="5"/>
        <v/>
      </c>
      <c r="M195" s="23" t="str">
        <f>IF($B195="","",ROUND(SUMIF(账户名,$B195,账户期初)+SUMIFS($K$6:K195,$B$6:B195,$B195),2))</f>
        <v/>
      </c>
      <c r="N195" s="23" t="str">
        <f>IF($B195="","",IFERROR(ROUND(INDEX(账户期初本位,MATCH($B195,账户名,0))+SUMIFS($L$6:L195,$B$6:B195,$B195),2),""))</f>
        <v/>
      </c>
      <c r="O195" s="46"/>
      <c r="P195" s="47"/>
      <c r="Q195" s="46"/>
      <c r="R195" s="46"/>
      <c r="S195" s="6" t="str">
        <f>IF($B195="","",IF(ISNA(MATCH($B195,账户名,0)),"※这个账户不在【参数设置】的账户档案里",IF($A195="","※没填日期，这一笔不会进任何月份的报表",IF(AND($G195&lt;&gt;"",$H195&lt;&gt;""),"※收入和支出不能同时填",IF(AND(N($G195)=0,N($H195)=0),"※收入和支出都没填",IF($E195="","※没填收支类别，分类报表会漏掉这一笔",IF(ISNA(MATCH($E195,类别表,0)),"※收支类别不在【参数设置】的清单里",IF($J195="","△"&amp;$D195&amp;" 还没填汇率，去【月度汇率】补上就自动算了",IF(YEAR($A195)&lt;&gt;管理年度,"△不是管理年度的单据，年报里看不到",IF(AND($F195="内部转账",$Q195=""),"△内部转账建议在「往来单位」写上对方账户",IF($M195&lt;0,"△这一笔之后该账户余额成负数了，核一下","")))))))))))</f>
        <v/>
      </c>
    </row>
    <row r="196" ht="16.5" spans="1:19">
      <c r="A196" s="45"/>
      <c r="B196" s="46"/>
      <c r="C196" s="12" t="str">
        <f>IF($B196="","",IFERROR(INDEX(账户银行,MATCH($B196,账户名,0)),""))</f>
        <v/>
      </c>
      <c r="D196" s="12" t="str">
        <f>IF($B196="","",IFERROR(INDEX(账户币种,MATCH($B196,账户名,0)),""))</f>
        <v/>
      </c>
      <c r="E196" s="47"/>
      <c r="F196" s="12" t="str">
        <f>IF($E196="","",IFERROR(INDEX(类别属性,MATCH($E196,类别表,0)),""))</f>
        <v/>
      </c>
      <c r="G196" s="48"/>
      <c r="H196" s="48"/>
      <c r="I196" s="49"/>
      <c r="J196" s="24" t="str">
        <f>IF(OR($A196="",$B196=""),"",IF($I196&lt;&gt;"",$I196,IF($D196=本位币,1,IFERROR(LOOKUP(2,1/((汇率月份&lt;=$A196)*(INDEX(记账汇率区,0,MATCH($D196,汇率币种头,0))&lt;&gt;"")),INDEX(记账汇率区,0,MATCH($D196,汇率币种头,0))),""))))</f>
        <v/>
      </c>
      <c r="K196" s="23" t="str">
        <f t="shared" si="4"/>
        <v/>
      </c>
      <c r="L196" s="23" t="str">
        <f t="shared" si="5"/>
        <v/>
      </c>
      <c r="M196" s="23" t="str">
        <f>IF($B196="","",ROUND(SUMIF(账户名,$B196,账户期初)+SUMIFS($K$6:K196,$B$6:B196,$B196),2))</f>
        <v/>
      </c>
      <c r="N196" s="23" t="str">
        <f>IF($B196="","",IFERROR(ROUND(INDEX(账户期初本位,MATCH($B196,账户名,0))+SUMIFS($L$6:L196,$B$6:B196,$B196),2),""))</f>
        <v/>
      </c>
      <c r="O196" s="46"/>
      <c r="P196" s="47"/>
      <c r="Q196" s="46"/>
      <c r="R196" s="46"/>
      <c r="S196" s="6" t="str">
        <f>IF($B196="","",IF(ISNA(MATCH($B196,账户名,0)),"※这个账户不在【参数设置】的账户档案里",IF($A196="","※没填日期，这一笔不会进任何月份的报表",IF(AND($G196&lt;&gt;"",$H196&lt;&gt;""),"※收入和支出不能同时填",IF(AND(N($G196)=0,N($H196)=0),"※收入和支出都没填",IF($E196="","※没填收支类别，分类报表会漏掉这一笔",IF(ISNA(MATCH($E196,类别表,0)),"※收支类别不在【参数设置】的清单里",IF($J196="","△"&amp;$D196&amp;" 还没填汇率，去【月度汇率】补上就自动算了",IF(YEAR($A196)&lt;&gt;管理年度,"△不是管理年度的单据，年报里看不到",IF(AND($F196="内部转账",$Q196=""),"△内部转账建议在「往来单位」写上对方账户",IF($M196&lt;0,"△这一笔之后该账户余额成负数了，核一下","")))))))))))</f>
        <v/>
      </c>
    </row>
    <row r="197" ht="16.5" spans="1:19">
      <c r="A197" s="45"/>
      <c r="B197" s="46"/>
      <c r="C197" s="12" t="str">
        <f>IF($B197="","",IFERROR(INDEX(账户银行,MATCH($B197,账户名,0)),""))</f>
        <v/>
      </c>
      <c r="D197" s="12" t="str">
        <f>IF($B197="","",IFERROR(INDEX(账户币种,MATCH($B197,账户名,0)),""))</f>
        <v/>
      </c>
      <c r="E197" s="47"/>
      <c r="F197" s="12" t="str">
        <f>IF($E197="","",IFERROR(INDEX(类别属性,MATCH($E197,类别表,0)),""))</f>
        <v/>
      </c>
      <c r="G197" s="48"/>
      <c r="H197" s="48"/>
      <c r="I197" s="49"/>
      <c r="J197" s="24" t="str">
        <f>IF(OR($A197="",$B197=""),"",IF($I197&lt;&gt;"",$I197,IF($D197=本位币,1,IFERROR(LOOKUP(2,1/((汇率月份&lt;=$A197)*(INDEX(记账汇率区,0,MATCH($D197,汇率币种头,0))&lt;&gt;"")),INDEX(记账汇率区,0,MATCH($D197,汇率币种头,0))),""))))</f>
        <v/>
      </c>
      <c r="K197" s="23" t="str">
        <f t="shared" si="4"/>
        <v/>
      </c>
      <c r="L197" s="23" t="str">
        <f t="shared" si="5"/>
        <v/>
      </c>
      <c r="M197" s="23" t="str">
        <f>IF($B197="","",ROUND(SUMIF(账户名,$B197,账户期初)+SUMIFS($K$6:K197,$B$6:B197,$B197),2))</f>
        <v/>
      </c>
      <c r="N197" s="23" t="str">
        <f>IF($B197="","",IFERROR(ROUND(INDEX(账户期初本位,MATCH($B197,账户名,0))+SUMIFS($L$6:L197,$B$6:B197,$B197),2),""))</f>
        <v/>
      </c>
      <c r="O197" s="46"/>
      <c r="P197" s="47"/>
      <c r="Q197" s="46"/>
      <c r="R197" s="46"/>
      <c r="S197" s="6" t="str">
        <f>IF($B197="","",IF(ISNA(MATCH($B197,账户名,0)),"※这个账户不在【参数设置】的账户档案里",IF($A197="","※没填日期，这一笔不会进任何月份的报表",IF(AND($G197&lt;&gt;"",$H197&lt;&gt;""),"※收入和支出不能同时填",IF(AND(N($G197)=0,N($H197)=0),"※收入和支出都没填",IF($E197="","※没填收支类别，分类报表会漏掉这一笔",IF(ISNA(MATCH($E197,类别表,0)),"※收支类别不在【参数设置】的清单里",IF($J197="","△"&amp;$D197&amp;" 还没填汇率，去【月度汇率】补上就自动算了",IF(YEAR($A197)&lt;&gt;管理年度,"△不是管理年度的单据，年报里看不到",IF(AND($F197="内部转账",$Q197=""),"△内部转账建议在「往来单位」写上对方账户",IF($M197&lt;0,"△这一笔之后该账户余额成负数了，核一下","")))))))))))</f>
        <v/>
      </c>
    </row>
    <row r="198" ht="16.5" spans="1:19">
      <c r="A198" s="45"/>
      <c r="B198" s="46"/>
      <c r="C198" s="12" t="str">
        <f>IF($B198="","",IFERROR(INDEX(账户银行,MATCH($B198,账户名,0)),""))</f>
        <v/>
      </c>
      <c r="D198" s="12" t="str">
        <f>IF($B198="","",IFERROR(INDEX(账户币种,MATCH($B198,账户名,0)),""))</f>
        <v/>
      </c>
      <c r="E198" s="47"/>
      <c r="F198" s="12" t="str">
        <f>IF($E198="","",IFERROR(INDEX(类别属性,MATCH($E198,类别表,0)),""))</f>
        <v/>
      </c>
      <c r="G198" s="48"/>
      <c r="H198" s="48"/>
      <c r="I198" s="49"/>
      <c r="J198" s="24" t="str">
        <f>IF(OR($A198="",$B198=""),"",IF($I198&lt;&gt;"",$I198,IF($D198=本位币,1,IFERROR(LOOKUP(2,1/((汇率月份&lt;=$A198)*(INDEX(记账汇率区,0,MATCH($D198,汇率币种头,0))&lt;&gt;"")),INDEX(记账汇率区,0,MATCH($D198,汇率币种头,0))),""))))</f>
        <v/>
      </c>
      <c r="K198" s="23" t="str">
        <f t="shared" ref="K198:K261" si="6">IF(AND($G198="",$H198=""),"",ROUND(N($G198)-N($H198),2))</f>
        <v/>
      </c>
      <c r="L198" s="23" t="str">
        <f t="shared" ref="L198:L261" si="7">IF(OR($K198="",$J198=""),"",ROUND($K198*$J198,2))</f>
        <v/>
      </c>
      <c r="M198" s="23" t="str">
        <f>IF($B198="","",ROUND(SUMIF(账户名,$B198,账户期初)+SUMIFS($K$6:K198,$B$6:B198,$B198),2))</f>
        <v/>
      </c>
      <c r="N198" s="23" t="str">
        <f>IF($B198="","",IFERROR(ROUND(INDEX(账户期初本位,MATCH($B198,账户名,0))+SUMIFS($L$6:L198,$B$6:B198,$B198),2),""))</f>
        <v/>
      </c>
      <c r="O198" s="46"/>
      <c r="P198" s="47"/>
      <c r="Q198" s="46"/>
      <c r="R198" s="46"/>
      <c r="S198" s="6" t="str">
        <f>IF($B198="","",IF(ISNA(MATCH($B198,账户名,0)),"※这个账户不在【参数设置】的账户档案里",IF($A198="","※没填日期，这一笔不会进任何月份的报表",IF(AND($G198&lt;&gt;"",$H198&lt;&gt;""),"※收入和支出不能同时填",IF(AND(N($G198)=0,N($H198)=0),"※收入和支出都没填",IF($E198="","※没填收支类别，分类报表会漏掉这一笔",IF(ISNA(MATCH($E198,类别表,0)),"※收支类别不在【参数设置】的清单里",IF($J198="","△"&amp;$D198&amp;" 还没填汇率，去【月度汇率】补上就自动算了",IF(YEAR($A198)&lt;&gt;管理年度,"△不是管理年度的单据，年报里看不到",IF(AND($F198="内部转账",$Q198=""),"△内部转账建议在「往来单位」写上对方账户",IF($M198&lt;0,"△这一笔之后该账户余额成负数了，核一下","")))))))))))</f>
        <v/>
      </c>
    </row>
    <row r="199" ht="16.5" spans="1:19">
      <c r="A199" s="45"/>
      <c r="B199" s="46"/>
      <c r="C199" s="12" t="str">
        <f>IF($B199="","",IFERROR(INDEX(账户银行,MATCH($B199,账户名,0)),""))</f>
        <v/>
      </c>
      <c r="D199" s="12" t="str">
        <f>IF($B199="","",IFERROR(INDEX(账户币种,MATCH($B199,账户名,0)),""))</f>
        <v/>
      </c>
      <c r="E199" s="47"/>
      <c r="F199" s="12" t="str">
        <f>IF($E199="","",IFERROR(INDEX(类别属性,MATCH($E199,类别表,0)),""))</f>
        <v/>
      </c>
      <c r="G199" s="48"/>
      <c r="H199" s="48"/>
      <c r="I199" s="49"/>
      <c r="J199" s="24" t="str">
        <f>IF(OR($A199="",$B199=""),"",IF($I199&lt;&gt;"",$I199,IF($D199=本位币,1,IFERROR(LOOKUP(2,1/((汇率月份&lt;=$A199)*(INDEX(记账汇率区,0,MATCH($D199,汇率币种头,0))&lt;&gt;"")),INDEX(记账汇率区,0,MATCH($D199,汇率币种头,0))),""))))</f>
        <v/>
      </c>
      <c r="K199" s="23" t="str">
        <f t="shared" si="6"/>
        <v/>
      </c>
      <c r="L199" s="23" t="str">
        <f t="shared" si="7"/>
        <v/>
      </c>
      <c r="M199" s="23" t="str">
        <f>IF($B199="","",ROUND(SUMIF(账户名,$B199,账户期初)+SUMIFS($K$6:K199,$B$6:B199,$B199),2))</f>
        <v/>
      </c>
      <c r="N199" s="23" t="str">
        <f>IF($B199="","",IFERROR(ROUND(INDEX(账户期初本位,MATCH($B199,账户名,0))+SUMIFS($L$6:L199,$B$6:B199,$B199),2),""))</f>
        <v/>
      </c>
      <c r="O199" s="46"/>
      <c r="P199" s="47"/>
      <c r="Q199" s="46"/>
      <c r="R199" s="46"/>
      <c r="S199" s="6" t="str">
        <f>IF($B199="","",IF(ISNA(MATCH($B199,账户名,0)),"※这个账户不在【参数设置】的账户档案里",IF($A199="","※没填日期，这一笔不会进任何月份的报表",IF(AND($G199&lt;&gt;"",$H199&lt;&gt;""),"※收入和支出不能同时填",IF(AND(N($G199)=0,N($H199)=0),"※收入和支出都没填",IF($E199="","※没填收支类别，分类报表会漏掉这一笔",IF(ISNA(MATCH($E199,类别表,0)),"※收支类别不在【参数设置】的清单里",IF($J199="","△"&amp;$D199&amp;" 还没填汇率，去【月度汇率】补上就自动算了",IF(YEAR($A199)&lt;&gt;管理年度,"△不是管理年度的单据，年报里看不到",IF(AND($F199="内部转账",$Q199=""),"△内部转账建议在「往来单位」写上对方账户",IF($M199&lt;0,"△这一笔之后该账户余额成负数了，核一下","")))))))))))</f>
        <v/>
      </c>
    </row>
    <row r="200" ht="16.5" spans="1:19">
      <c r="A200" s="45"/>
      <c r="B200" s="46"/>
      <c r="C200" s="12" t="str">
        <f>IF($B200="","",IFERROR(INDEX(账户银行,MATCH($B200,账户名,0)),""))</f>
        <v/>
      </c>
      <c r="D200" s="12" t="str">
        <f>IF($B200="","",IFERROR(INDEX(账户币种,MATCH($B200,账户名,0)),""))</f>
        <v/>
      </c>
      <c r="E200" s="47"/>
      <c r="F200" s="12" t="str">
        <f>IF($E200="","",IFERROR(INDEX(类别属性,MATCH($E200,类别表,0)),""))</f>
        <v/>
      </c>
      <c r="G200" s="48"/>
      <c r="H200" s="48"/>
      <c r="I200" s="49"/>
      <c r="J200" s="24" t="str">
        <f>IF(OR($A200="",$B200=""),"",IF($I200&lt;&gt;"",$I200,IF($D200=本位币,1,IFERROR(LOOKUP(2,1/((汇率月份&lt;=$A200)*(INDEX(记账汇率区,0,MATCH($D200,汇率币种头,0))&lt;&gt;"")),INDEX(记账汇率区,0,MATCH($D200,汇率币种头,0))),""))))</f>
        <v/>
      </c>
      <c r="K200" s="23" t="str">
        <f t="shared" si="6"/>
        <v/>
      </c>
      <c r="L200" s="23" t="str">
        <f t="shared" si="7"/>
        <v/>
      </c>
      <c r="M200" s="23" t="str">
        <f>IF($B200="","",ROUND(SUMIF(账户名,$B200,账户期初)+SUMIFS($K$6:K200,$B$6:B200,$B200),2))</f>
        <v/>
      </c>
      <c r="N200" s="23" t="str">
        <f>IF($B200="","",IFERROR(ROUND(INDEX(账户期初本位,MATCH($B200,账户名,0))+SUMIFS($L$6:L200,$B$6:B200,$B200),2),""))</f>
        <v/>
      </c>
      <c r="O200" s="46"/>
      <c r="P200" s="47"/>
      <c r="Q200" s="46"/>
      <c r="R200" s="46"/>
      <c r="S200" s="6" t="str">
        <f>IF($B200="","",IF(ISNA(MATCH($B200,账户名,0)),"※这个账户不在【参数设置】的账户档案里",IF($A200="","※没填日期，这一笔不会进任何月份的报表",IF(AND($G200&lt;&gt;"",$H200&lt;&gt;""),"※收入和支出不能同时填",IF(AND(N($G200)=0,N($H200)=0),"※收入和支出都没填",IF($E200="","※没填收支类别，分类报表会漏掉这一笔",IF(ISNA(MATCH($E200,类别表,0)),"※收支类别不在【参数设置】的清单里",IF($J200="","△"&amp;$D200&amp;" 还没填汇率，去【月度汇率】补上就自动算了",IF(YEAR($A200)&lt;&gt;管理年度,"△不是管理年度的单据，年报里看不到",IF(AND($F200="内部转账",$Q200=""),"△内部转账建议在「往来单位」写上对方账户",IF($M200&lt;0,"△这一笔之后该账户余额成负数了，核一下","")))))))))))</f>
        <v/>
      </c>
    </row>
    <row r="201" ht="16.5" spans="1:19">
      <c r="A201" s="45"/>
      <c r="B201" s="46"/>
      <c r="C201" s="12" t="str">
        <f>IF($B201="","",IFERROR(INDEX(账户银行,MATCH($B201,账户名,0)),""))</f>
        <v/>
      </c>
      <c r="D201" s="12" t="str">
        <f>IF($B201="","",IFERROR(INDEX(账户币种,MATCH($B201,账户名,0)),""))</f>
        <v/>
      </c>
      <c r="E201" s="47"/>
      <c r="F201" s="12" t="str">
        <f>IF($E201="","",IFERROR(INDEX(类别属性,MATCH($E201,类别表,0)),""))</f>
        <v/>
      </c>
      <c r="G201" s="48"/>
      <c r="H201" s="48"/>
      <c r="I201" s="49"/>
      <c r="J201" s="24" t="str">
        <f>IF(OR($A201="",$B201=""),"",IF($I201&lt;&gt;"",$I201,IF($D201=本位币,1,IFERROR(LOOKUP(2,1/((汇率月份&lt;=$A201)*(INDEX(记账汇率区,0,MATCH($D201,汇率币种头,0))&lt;&gt;"")),INDEX(记账汇率区,0,MATCH($D201,汇率币种头,0))),""))))</f>
        <v/>
      </c>
      <c r="K201" s="23" t="str">
        <f t="shared" si="6"/>
        <v/>
      </c>
      <c r="L201" s="23" t="str">
        <f t="shared" si="7"/>
        <v/>
      </c>
      <c r="M201" s="23" t="str">
        <f>IF($B201="","",ROUND(SUMIF(账户名,$B201,账户期初)+SUMIFS($K$6:K201,$B$6:B201,$B201),2))</f>
        <v/>
      </c>
      <c r="N201" s="23" t="str">
        <f>IF($B201="","",IFERROR(ROUND(INDEX(账户期初本位,MATCH($B201,账户名,0))+SUMIFS($L$6:L201,$B$6:B201,$B201),2),""))</f>
        <v/>
      </c>
      <c r="O201" s="46"/>
      <c r="P201" s="47"/>
      <c r="Q201" s="46"/>
      <c r="R201" s="46"/>
      <c r="S201" s="6" t="str">
        <f>IF($B201="","",IF(ISNA(MATCH($B201,账户名,0)),"※这个账户不在【参数设置】的账户档案里",IF($A201="","※没填日期，这一笔不会进任何月份的报表",IF(AND($G201&lt;&gt;"",$H201&lt;&gt;""),"※收入和支出不能同时填",IF(AND(N($G201)=0,N($H201)=0),"※收入和支出都没填",IF($E201="","※没填收支类别，分类报表会漏掉这一笔",IF(ISNA(MATCH($E201,类别表,0)),"※收支类别不在【参数设置】的清单里",IF($J201="","△"&amp;$D201&amp;" 还没填汇率，去【月度汇率】补上就自动算了",IF(YEAR($A201)&lt;&gt;管理年度,"△不是管理年度的单据，年报里看不到",IF(AND($F201="内部转账",$Q201=""),"△内部转账建议在「往来单位」写上对方账户",IF($M201&lt;0,"△这一笔之后该账户余额成负数了，核一下","")))))))))))</f>
        <v/>
      </c>
    </row>
    <row r="202" ht="16.5" spans="1:19">
      <c r="A202" s="45"/>
      <c r="B202" s="46"/>
      <c r="C202" s="12" t="str">
        <f>IF($B202="","",IFERROR(INDEX(账户银行,MATCH($B202,账户名,0)),""))</f>
        <v/>
      </c>
      <c r="D202" s="12" t="str">
        <f>IF($B202="","",IFERROR(INDEX(账户币种,MATCH($B202,账户名,0)),""))</f>
        <v/>
      </c>
      <c r="E202" s="47"/>
      <c r="F202" s="12" t="str">
        <f>IF($E202="","",IFERROR(INDEX(类别属性,MATCH($E202,类别表,0)),""))</f>
        <v/>
      </c>
      <c r="G202" s="48"/>
      <c r="H202" s="48"/>
      <c r="I202" s="49"/>
      <c r="J202" s="24" t="str">
        <f>IF(OR($A202="",$B202=""),"",IF($I202&lt;&gt;"",$I202,IF($D202=本位币,1,IFERROR(LOOKUP(2,1/((汇率月份&lt;=$A202)*(INDEX(记账汇率区,0,MATCH($D202,汇率币种头,0))&lt;&gt;"")),INDEX(记账汇率区,0,MATCH($D202,汇率币种头,0))),""))))</f>
        <v/>
      </c>
      <c r="K202" s="23" t="str">
        <f t="shared" si="6"/>
        <v/>
      </c>
      <c r="L202" s="23" t="str">
        <f t="shared" si="7"/>
        <v/>
      </c>
      <c r="M202" s="23" t="str">
        <f>IF($B202="","",ROUND(SUMIF(账户名,$B202,账户期初)+SUMIFS($K$6:K202,$B$6:B202,$B202),2))</f>
        <v/>
      </c>
      <c r="N202" s="23" t="str">
        <f>IF($B202="","",IFERROR(ROUND(INDEX(账户期初本位,MATCH($B202,账户名,0))+SUMIFS($L$6:L202,$B$6:B202,$B202),2),""))</f>
        <v/>
      </c>
      <c r="O202" s="46"/>
      <c r="P202" s="47"/>
      <c r="Q202" s="46"/>
      <c r="R202" s="46"/>
      <c r="S202" s="6" t="str">
        <f>IF($B202="","",IF(ISNA(MATCH($B202,账户名,0)),"※这个账户不在【参数设置】的账户档案里",IF($A202="","※没填日期，这一笔不会进任何月份的报表",IF(AND($G202&lt;&gt;"",$H202&lt;&gt;""),"※收入和支出不能同时填",IF(AND(N($G202)=0,N($H202)=0),"※收入和支出都没填",IF($E202="","※没填收支类别，分类报表会漏掉这一笔",IF(ISNA(MATCH($E202,类别表,0)),"※收支类别不在【参数设置】的清单里",IF($J202="","△"&amp;$D202&amp;" 还没填汇率，去【月度汇率】补上就自动算了",IF(YEAR($A202)&lt;&gt;管理年度,"△不是管理年度的单据，年报里看不到",IF(AND($F202="内部转账",$Q202=""),"△内部转账建议在「往来单位」写上对方账户",IF($M202&lt;0,"△这一笔之后该账户余额成负数了，核一下","")))))))))))</f>
        <v/>
      </c>
    </row>
    <row r="203" ht="16.5" spans="1:19">
      <c r="A203" s="45"/>
      <c r="B203" s="46"/>
      <c r="C203" s="12" t="str">
        <f>IF($B203="","",IFERROR(INDEX(账户银行,MATCH($B203,账户名,0)),""))</f>
        <v/>
      </c>
      <c r="D203" s="12" t="str">
        <f>IF($B203="","",IFERROR(INDEX(账户币种,MATCH($B203,账户名,0)),""))</f>
        <v/>
      </c>
      <c r="E203" s="47"/>
      <c r="F203" s="12" t="str">
        <f>IF($E203="","",IFERROR(INDEX(类别属性,MATCH($E203,类别表,0)),""))</f>
        <v/>
      </c>
      <c r="G203" s="48"/>
      <c r="H203" s="48"/>
      <c r="I203" s="49"/>
      <c r="J203" s="24" t="str">
        <f>IF(OR($A203="",$B203=""),"",IF($I203&lt;&gt;"",$I203,IF($D203=本位币,1,IFERROR(LOOKUP(2,1/((汇率月份&lt;=$A203)*(INDEX(记账汇率区,0,MATCH($D203,汇率币种头,0))&lt;&gt;"")),INDEX(记账汇率区,0,MATCH($D203,汇率币种头,0))),""))))</f>
        <v/>
      </c>
      <c r="K203" s="23" t="str">
        <f t="shared" si="6"/>
        <v/>
      </c>
      <c r="L203" s="23" t="str">
        <f t="shared" si="7"/>
        <v/>
      </c>
      <c r="M203" s="23" t="str">
        <f>IF($B203="","",ROUND(SUMIF(账户名,$B203,账户期初)+SUMIFS($K$6:K203,$B$6:B203,$B203),2))</f>
        <v/>
      </c>
      <c r="N203" s="23" t="str">
        <f>IF($B203="","",IFERROR(ROUND(INDEX(账户期初本位,MATCH($B203,账户名,0))+SUMIFS($L$6:L203,$B$6:B203,$B203),2),""))</f>
        <v/>
      </c>
      <c r="O203" s="46"/>
      <c r="P203" s="47"/>
      <c r="Q203" s="46"/>
      <c r="R203" s="46"/>
      <c r="S203" s="6" t="str">
        <f>IF($B203="","",IF(ISNA(MATCH($B203,账户名,0)),"※这个账户不在【参数设置】的账户档案里",IF($A203="","※没填日期，这一笔不会进任何月份的报表",IF(AND($G203&lt;&gt;"",$H203&lt;&gt;""),"※收入和支出不能同时填",IF(AND(N($G203)=0,N($H203)=0),"※收入和支出都没填",IF($E203="","※没填收支类别，分类报表会漏掉这一笔",IF(ISNA(MATCH($E203,类别表,0)),"※收支类别不在【参数设置】的清单里",IF($J203="","△"&amp;$D203&amp;" 还没填汇率，去【月度汇率】补上就自动算了",IF(YEAR($A203)&lt;&gt;管理年度,"△不是管理年度的单据，年报里看不到",IF(AND($F203="内部转账",$Q203=""),"△内部转账建议在「往来单位」写上对方账户",IF($M203&lt;0,"△这一笔之后该账户余额成负数了，核一下","")))))))))))</f>
        <v/>
      </c>
    </row>
    <row r="204" ht="16.5" spans="1:19">
      <c r="A204" s="45"/>
      <c r="B204" s="46"/>
      <c r="C204" s="12" t="str">
        <f>IF($B204="","",IFERROR(INDEX(账户银行,MATCH($B204,账户名,0)),""))</f>
        <v/>
      </c>
      <c r="D204" s="12" t="str">
        <f>IF($B204="","",IFERROR(INDEX(账户币种,MATCH($B204,账户名,0)),""))</f>
        <v/>
      </c>
      <c r="E204" s="47"/>
      <c r="F204" s="12" t="str">
        <f>IF($E204="","",IFERROR(INDEX(类别属性,MATCH($E204,类别表,0)),""))</f>
        <v/>
      </c>
      <c r="G204" s="48"/>
      <c r="H204" s="48"/>
      <c r="I204" s="49"/>
      <c r="J204" s="24" t="str">
        <f>IF(OR($A204="",$B204=""),"",IF($I204&lt;&gt;"",$I204,IF($D204=本位币,1,IFERROR(LOOKUP(2,1/((汇率月份&lt;=$A204)*(INDEX(记账汇率区,0,MATCH($D204,汇率币种头,0))&lt;&gt;"")),INDEX(记账汇率区,0,MATCH($D204,汇率币种头,0))),""))))</f>
        <v/>
      </c>
      <c r="K204" s="23" t="str">
        <f t="shared" si="6"/>
        <v/>
      </c>
      <c r="L204" s="23" t="str">
        <f t="shared" si="7"/>
        <v/>
      </c>
      <c r="M204" s="23" t="str">
        <f>IF($B204="","",ROUND(SUMIF(账户名,$B204,账户期初)+SUMIFS($K$6:K204,$B$6:B204,$B204),2))</f>
        <v/>
      </c>
      <c r="N204" s="23" t="str">
        <f>IF($B204="","",IFERROR(ROUND(INDEX(账户期初本位,MATCH($B204,账户名,0))+SUMIFS($L$6:L204,$B$6:B204,$B204),2),""))</f>
        <v/>
      </c>
      <c r="O204" s="46"/>
      <c r="P204" s="47"/>
      <c r="Q204" s="46"/>
      <c r="R204" s="46"/>
      <c r="S204" s="6" t="str">
        <f>IF($B204="","",IF(ISNA(MATCH($B204,账户名,0)),"※这个账户不在【参数设置】的账户档案里",IF($A204="","※没填日期，这一笔不会进任何月份的报表",IF(AND($G204&lt;&gt;"",$H204&lt;&gt;""),"※收入和支出不能同时填",IF(AND(N($G204)=0,N($H204)=0),"※收入和支出都没填",IF($E204="","※没填收支类别，分类报表会漏掉这一笔",IF(ISNA(MATCH($E204,类别表,0)),"※收支类别不在【参数设置】的清单里",IF($J204="","△"&amp;$D204&amp;" 还没填汇率，去【月度汇率】补上就自动算了",IF(YEAR($A204)&lt;&gt;管理年度,"△不是管理年度的单据，年报里看不到",IF(AND($F204="内部转账",$Q204=""),"△内部转账建议在「往来单位」写上对方账户",IF($M204&lt;0,"△这一笔之后该账户余额成负数了，核一下","")))))))))))</f>
        <v/>
      </c>
    </row>
    <row r="205" ht="16.5" spans="1:19">
      <c r="A205" s="45"/>
      <c r="B205" s="46"/>
      <c r="C205" s="12" t="str">
        <f>IF($B205="","",IFERROR(INDEX(账户银行,MATCH($B205,账户名,0)),""))</f>
        <v/>
      </c>
      <c r="D205" s="12" t="str">
        <f>IF($B205="","",IFERROR(INDEX(账户币种,MATCH($B205,账户名,0)),""))</f>
        <v/>
      </c>
      <c r="E205" s="47"/>
      <c r="F205" s="12" t="str">
        <f>IF($E205="","",IFERROR(INDEX(类别属性,MATCH($E205,类别表,0)),""))</f>
        <v/>
      </c>
      <c r="G205" s="48"/>
      <c r="H205" s="48"/>
      <c r="I205" s="49"/>
      <c r="J205" s="24" t="str">
        <f>IF(OR($A205="",$B205=""),"",IF($I205&lt;&gt;"",$I205,IF($D205=本位币,1,IFERROR(LOOKUP(2,1/((汇率月份&lt;=$A205)*(INDEX(记账汇率区,0,MATCH($D205,汇率币种头,0))&lt;&gt;"")),INDEX(记账汇率区,0,MATCH($D205,汇率币种头,0))),""))))</f>
        <v/>
      </c>
      <c r="K205" s="23" t="str">
        <f t="shared" si="6"/>
        <v/>
      </c>
      <c r="L205" s="23" t="str">
        <f t="shared" si="7"/>
        <v/>
      </c>
      <c r="M205" s="23" t="str">
        <f>IF($B205="","",ROUND(SUMIF(账户名,$B205,账户期初)+SUMIFS($K$6:K205,$B$6:B205,$B205),2))</f>
        <v/>
      </c>
      <c r="N205" s="23" t="str">
        <f>IF($B205="","",IFERROR(ROUND(INDEX(账户期初本位,MATCH($B205,账户名,0))+SUMIFS($L$6:L205,$B$6:B205,$B205),2),""))</f>
        <v/>
      </c>
      <c r="O205" s="46"/>
      <c r="P205" s="47"/>
      <c r="Q205" s="46"/>
      <c r="R205" s="46"/>
      <c r="S205" s="6" t="str">
        <f>IF($B205="","",IF(ISNA(MATCH($B205,账户名,0)),"※这个账户不在【参数设置】的账户档案里",IF($A205="","※没填日期，这一笔不会进任何月份的报表",IF(AND($G205&lt;&gt;"",$H205&lt;&gt;""),"※收入和支出不能同时填",IF(AND(N($G205)=0,N($H205)=0),"※收入和支出都没填",IF($E205="","※没填收支类别，分类报表会漏掉这一笔",IF(ISNA(MATCH($E205,类别表,0)),"※收支类别不在【参数设置】的清单里",IF($J205="","△"&amp;$D205&amp;" 还没填汇率，去【月度汇率】补上就自动算了",IF(YEAR($A205)&lt;&gt;管理年度,"△不是管理年度的单据，年报里看不到",IF(AND($F205="内部转账",$Q205=""),"△内部转账建议在「往来单位」写上对方账户",IF($M205&lt;0,"△这一笔之后该账户余额成负数了，核一下","")))))))))))</f>
        <v/>
      </c>
    </row>
    <row r="206" ht="16.5" spans="1:19">
      <c r="A206" s="45"/>
      <c r="B206" s="46"/>
      <c r="C206" s="12" t="str">
        <f>IF($B206="","",IFERROR(INDEX(账户银行,MATCH($B206,账户名,0)),""))</f>
        <v/>
      </c>
      <c r="D206" s="12" t="str">
        <f>IF($B206="","",IFERROR(INDEX(账户币种,MATCH($B206,账户名,0)),""))</f>
        <v/>
      </c>
      <c r="E206" s="47"/>
      <c r="F206" s="12" t="str">
        <f>IF($E206="","",IFERROR(INDEX(类别属性,MATCH($E206,类别表,0)),""))</f>
        <v/>
      </c>
      <c r="G206" s="48"/>
      <c r="H206" s="48"/>
      <c r="I206" s="49"/>
      <c r="J206" s="24" t="str">
        <f>IF(OR($A206="",$B206=""),"",IF($I206&lt;&gt;"",$I206,IF($D206=本位币,1,IFERROR(LOOKUP(2,1/((汇率月份&lt;=$A206)*(INDEX(记账汇率区,0,MATCH($D206,汇率币种头,0))&lt;&gt;"")),INDEX(记账汇率区,0,MATCH($D206,汇率币种头,0))),""))))</f>
        <v/>
      </c>
      <c r="K206" s="23" t="str">
        <f t="shared" si="6"/>
        <v/>
      </c>
      <c r="L206" s="23" t="str">
        <f t="shared" si="7"/>
        <v/>
      </c>
      <c r="M206" s="23" t="str">
        <f>IF($B206="","",ROUND(SUMIF(账户名,$B206,账户期初)+SUMIFS($K$6:K206,$B$6:B206,$B206),2))</f>
        <v/>
      </c>
      <c r="N206" s="23" t="str">
        <f>IF($B206="","",IFERROR(ROUND(INDEX(账户期初本位,MATCH($B206,账户名,0))+SUMIFS($L$6:L206,$B$6:B206,$B206),2),""))</f>
        <v/>
      </c>
      <c r="O206" s="46"/>
      <c r="P206" s="47"/>
      <c r="Q206" s="46"/>
      <c r="R206" s="46"/>
      <c r="S206" s="6" t="str">
        <f>IF($B206="","",IF(ISNA(MATCH($B206,账户名,0)),"※这个账户不在【参数设置】的账户档案里",IF($A206="","※没填日期，这一笔不会进任何月份的报表",IF(AND($G206&lt;&gt;"",$H206&lt;&gt;""),"※收入和支出不能同时填",IF(AND(N($G206)=0,N($H206)=0),"※收入和支出都没填",IF($E206="","※没填收支类别，分类报表会漏掉这一笔",IF(ISNA(MATCH($E206,类别表,0)),"※收支类别不在【参数设置】的清单里",IF($J206="","△"&amp;$D206&amp;" 还没填汇率，去【月度汇率】补上就自动算了",IF(YEAR($A206)&lt;&gt;管理年度,"△不是管理年度的单据，年报里看不到",IF(AND($F206="内部转账",$Q206=""),"△内部转账建议在「往来单位」写上对方账户",IF($M206&lt;0,"△这一笔之后该账户余额成负数了，核一下","")))))))))))</f>
        <v/>
      </c>
    </row>
    <row r="207" ht="16.5" spans="1:19">
      <c r="A207" s="45"/>
      <c r="B207" s="46"/>
      <c r="C207" s="12" t="str">
        <f>IF($B207="","",IFERROR(INDEX(账户银行,MATCH($B207,账户名,0)),""))</f>
        <v/>
      </c>
      <c r="D207" s="12" t="str">
        <f>IF($B207="","",IFERROR(INDEX(账户币种,MATCH($B207,账户名,0)),""))</f>
        <v/>
      </c>
      <c r="E207" s="47"/>
      <c r="F207" s="12" t="str">
        <f>IF($E207="","",IFERROR(INDEX(类别属性,MATCH($E207,类别表,0)),""))</f>
        <v/>
      </c>
      <c r="G207" s="48"/>
      <c r="H207" s="48"/>
      <c r="I207" s="49"/>
      <c r="J207" s="24" t="str">
        <f>IF(OR($A207="",$B207=""),"",IF($I207&lt;&gt;"",$I207,IF($D207=本位币,1,IFERROR(LOOKUP(2,1/((汇率月份&lt;=$A207)*(INDEX(记账汇率区,0,MATCH($D207,汇率币种头,0))&lt;&gt;"")),INDEX(记账汇率区,0,MATCH($D207,汇率币种头,0))),""))))</f>
        <v/>
      </c>
      <c r="K207" s="23" t="str">
        <f t="shared" si="6"/>
        <v/>
      </c>
      <c r="L207" s="23" t="str">
        <f t="shared" si="7"/>
        <v/>
      </c>
      <c r="M207" s="23" t="str">
        <f>IF($B207="","",ROUND(SUMIF(账户名,$B207,账户期初)+SUMIFS($K$6:K207,$B$6:B207,$B207),2))</f>
        <v/>
      </c>
      <c r="N207" s="23" t="str">
        <f>IF($B207="","",IFERROR(ROUND(INDEX(账户期初本位,MATCH($B207,账户名,0))+SUMIFS($L$6:L207,$B$6:B207,$B207),2),""))</f>
        <v/>
      </c>
      <c r="O207" s="46"/>
      <c r="P207" s="47"/>
      <c r="Q207" s="46"/>
      <c r="R207" s="46"/>
      <c r="S207" s="6" t="str">
        <f>IF($B207="","",IF(ISNA(MATCH($B207,账户名,0)),"※这个账户不在【参数设置】的账户档案里",IF($A207="","※没填日期，这一笔不会进任何月份的报表",IF(AND($G207&lt;&gt;"",$H207&lt;&gt;""),"※收入和支出不能同时填",IF(AND(N($G207)=0,N($H207)=0),"※收入和支出都没填",IF($E207="","※没填收支类别，分类报表会漏掉这一笔",IF(ISNA(MATCH($E207,类别表,0)),"※收支类别不在【参数设置】的清单里",IF($J207="","△"&amp;$D207&amp;" 还没填汇率，去【月度汇率】补上就自动算了",IF(YEAR($A207)&lt;&gt;管理年度,"△不是管理年度的单据，年报里看不到",IF(AND($F207="内部转账",$Q207=""),"△内部转账建议在「往来单位」写上对方账户",IF($M207&lt;0,"△这一笔之后该账户余额成负数了，核一下","")))))))))))</f>
        <v/>
      </c>
    </row>
    <row r="208" ht="16.5" spans="1:19">
      <c r="A208" s="45"/>
      <c r="B208" s="46"/>
      <c r="C208" s="12" t="str">
        <f>IF($B208="","",IFERROR(INDEX(账户银行,MATCH($B208,账户名,0)),""))</f>
        <v/>
      </c>
      <c r="D208" s="12" t="str">
        <f>IF($B208="","",IFERROR(INDEX(账户币种,MATCH($B208,账户名,0)),""))</f>
        <v/>
      </c>
      <c r="E208" s="47"/>
      <c r="F208" s="12" t="str">
        <f>IF($E208="","",IFERROR(INDEX(类别属性,MATCH($E208,类别表,0)),""))</f>
        <v/>
      </c>
      <c r="G208" s="48"/>
      <c r="H208" s="48"/>
      <c r="I208" s="49"/>
      <c r="J208" s="24" t="str">
        <f>IF(OR($A208="",$B208=""),"",IF($I208&lt;&gt;"",$I208,IF($D208=本位币,1,IFERROR(LOOKUP(2,1/((汇率月份&lt;=$A208)*(INDEX(记账汇率区,0,MATCH($D208,汇率币种头,0))&lt;&gt;"")),INDEX(记账汇率区,0,MATCH($D208,汇率币种头,0))),""))))</f>
        <v/>
      </c>
      <c r="K208" s="23" t="str">
        <f t="shared" si="6"/>
        <v/>
      </c>
      <c r="L208" s="23" t="str">
        <f t="shared" si="7"/>
        <v/>
      </c>
      <c r="M208" s="23" t="str">
        <f>IF($B208="","",ROUND(SUMIF(账户名,$B208,账户期初)+SUMIFS($K$6:K208,$B$6:B208,$B208),2))</f>
        <v/>
      </c>
      <c r="N208" s="23" t="str">
        <f>IF($B208="","",IFERROR(ROUND(INDEX(账户期初本位,MATCH($B208,账户名,0))+SUMIFS($L$6:L208,$B$6:B208,$B208),2),""))</f>
        <v/>
      </c>
      <c r="O208" s="46"/>
      <c r="P208" s="47"/>
      <c r="Q208" s="46"/>
      <c r="R208" s="46"/>
      <c r="S208" s="6" t="str">
        <f>IF($B208="","",IF(ISNA(MATCH($B208,账户名,0)),"※这个账户不在【参数设置】的账户档案里",IF($A208="","※没填日期，这一笔不会进任何月份的报表",IF(AND($G208&lt;&gt;"",$H208&lt;&gt;""),"※收入和支出不能同时填",IF(AND(N($G208)=0,N($H208)=0),"※收入和支出都没填",IF($E208="","※没填收支类别，分类报表会漏掉这一笔",IF(ISNA(MATCH($E208,类别表,0)),"※收支类别不在【参数设置】的清单里",IF($J208="","△"&amp;$D208&amp;" 还没填汇率，去【月度汇率】补上就自动算了",IF(YEAR($A208)&lt;&gt;管理年度,"△不是管理年度的单据，年报里看不到",IF(AND($F208="内部转账",$Q208=""),"△内部转账建议在「往来单位」写上对方账户",IF($M208&lt;0,"△这一笔之后该账户余额成负数了，核一下","")))))))))))</f>
        <v/>
      </c>
    </row>
    <row r="209" ht="16.5" spans="1:19">
      <c r="A209" s="45"/>
      <c r="B209" s="46"/>
      <c r="C209" s="12" t="str">
        <f>IF($B209="","",IFERROR(INDEX(账户银行,MATCH($B209,账户名,0)),""))</f>
        <v/>
      </c>
      <c r="D209" s="12" t="str">
        <f>IF($B209="","",IFERROR(INDEX(账户币种,MATCH($B209,账户名,0)),""))</f>
        <v/>
      </c>
      <c r="E209" s="47"/>
      <c r="F209" s="12" t="str">
        <f>IF($E209="","",IFERROR(INDEX(类别属性,MATCH($E209,类别表,0)),""))</f>
        <v/>
      </c>
      <c r="G209" s="48"/>
      <c r="H209" s="48"/>
      <c r="I209" s="49"/>
      <c r="J209" s="24" t="str">
        <f>IF(OR($A209="",$B209=""),"",IF($I209&lt;&gt;"",$I209,IF($D209=本位币,1,IFERROR(LOOKUP(2,1/((汇率月份&lt;=$A209)*(INDEX(记账汇率区,0,MATCH($D209,汇率币种头,0))&lt;&gt;"")),INDEX(记账汇率区,0,MATCH($D209,汇率币种头,0))),""))))</f>
        <v/>
      </c>
      <c r="K209" s="23" t="str">
        <f t="shared" si="6"/>
        <v/>
      </c>
      <c r="L209" s="23" t="str">
        <f t="shared" si="7"/>
        <v/>
      </c>
      <c r="M209" s="23" t="str">
        <f>IF($B209="","",ROUND(SUMIF(账户名,$B209,账户期初)+SUMIFS($K$6:K209,$B$6:B209,$B209),2))</f>
        <v/>
      </c>
      <c r="N209" s="23" t="str">
        <f>IF($B209="","",IFERROR(ROUND(INDEX(账户期初本位,MATCH($B209,账户名,0))+SUMIFS($L$6:L209,$B$6:B209,$B209),2),""))</f>
        <v/>
      </c>
      <c r="O209" s="46"/>
      <c r="P209" s="47"/>
      <c r="Q209" s="46"/>
      <c r="R209" s="46"/>
      <c r="S209" s="6" t="str">
        <f>IF($B209="","",IF(ISNA(MATCH($B209,账户名,0)),"※这个账户不在【参数设置】的账户档案里",IF($A209="","※没填日期，这一笔不会进任何月份的报表",IF(AND($G209&lt;&gt;"",$H209&lt;&gt;""),"※收入和支出不能同时填",IF(AND(N($G209)=0,N($H209)=0),"※收入和支出都没填",IF($E209="","※没填收支类别，分类报表会漏掉这一笔",IF(ISNA(MATCH($E209,类别表,0)),"※收支类别不在【参数设置】的清单里",IF($J209="","△"&amp;$D209&amp;" 还没填汇率，去【月度汇率】补上就自动算了",IF(YEAR($A209)&lt;&gt;管理年度,"△不是管理年度的单据，年报里看不到",IF(AND($F209="内部转账",$Q209=""),"△内部转账建议在「往来单位」写上对方账户",IF($M209&lt;0,"△这一笔之后该账户余额成负数了，核一下","")))))))))))</f>
        <v/>
      </c>
    </row>
    <row r="210" ht="16.5" spans="1:19">
      <c r="A210" s="45"/>
      <c r="B210" s="46"/>
      <c r="C210" s="12" t="str">
        <f>IF($B210="","",IFERROR(INDEX(账户银行,MATCH($B210,账户名,0)),""))</f>
        <v/>
      </c>
      <c r="D210" s="12" t="str">
        <f>IF($B210="","",IFERROR(INDEX(账户币种,MATCH($B210,账户名,0)),""))</f>
        <v/>
      </c>
      <c r="E210" s="47"/>
      <c r="F210" s="12" t="str">
        <f>IF($E210="","",IFERROR(INDEX(类别属性,MATCH($E210,类别表,0)),""))</f>
        <v/>
      </c>
      <c r="G210" s="48"/>
      <c r="H210" s="48"/>
      <c r="I210" s="49"/>
      <c r="J210" s="24" t="str">
        <f>IF(OR($A210="",$B210=""),"",IF($I210&lt;&gt;"",$I210,IF($D210=本位币,1,IFERROR(LOOKUP(2,1/((汇率月份&lt;=$A210)*(INDEX(记账汇率区,0,MATCH($D210,汇率币种头,0))&lt;&gt;"")),INDEX(记账汇率区,0,MATCH($D210,汇率币种头,0))),""))))</f>
        <v/>
      </c>
      <c r="K210" s="23" t="str">
        <f t="shared" si="6"/>
        <v/>
      </c>
      <c r="L210" s="23" t="str">
        <f t="shared" si="7"/>
        <v/>
      </c>
      <c r="M210" s="23" t="str">
        <f>IF($B210="","",ROUND(SUMIF(账户名,$B210,账户期初)+SUMIFS($K$6:K210,$B$6:B210,$B210),2))</f>
        <v/>
      </c>
      <c r="N210" s="23" t="str">
        <f>IF($B210="","",IFERROR(ROUND(INDEX(账户期初本位,MATCH($B210,账户名,0))+SUMIFS($L$6:L210,$B$6:B210,$B210),2),""))</f>
        <v/>
      </c>
      <c r="O210" s="46"/>
      <c r="P210" s="47"/>
      <c r="Q210" s="46"/>
      <c r="R210" s="46"/>
      <c r="S210" s="6" t="str">
        <f>IF($B210="","",IF(ISNA(MATCH($B210,账户名,0)),"※这个账户不在【参数设置】的账户档案里",IF($A210="","※没填日期，这一笔不会进任何月份的报表",IF(AND($G210&lt;&gt;"",$H210&lt;&gt;""),"※收入和支出不能同时填",IF(AND(N($G210)=0,N($H210)=0),"※收入和支出都没填",IF($E210="","※没填收支类别，分类报表会漏掉这一笔",IF(ISNA(MATCH($E210,类别表,0)),"※收支类别不在【参数设置】的清单里",IF($J210="","△"&amp;$D210&amp;" 还没填汇率，去【月度汇率】补上就自动算了",IF(YEAR($A210)&lt;&gt;管理年度,"△不是管理年度的单据，年报里看不到",IF(AND($F210="内部转账",$Q210=""),"△内部转账建议在「往来单位」写上对方账户",IF($M210&lt;0,"△这一笔之后该账户余额成负数了，核一下","")))))))))))</f>
        <v/>
      </c>
    </row>
    <row r="211" ht="16.5" spans="1:19">
      <c r="A211" s="45"/>
      <c r="B211" s="46"/>
      <c r="C211" s="12" t="str">
        <f>IF($B211="","",IFERROR(INDEX(账户银行,MATCH($B211,账户名,0)),""))</f>
        <v/>
      </c>
      <c r="D211" s="12" t="str">
        <f>IF($B211="","",IFERROR(INDEX(账户币种,MATCH($B211,账户名,0)),""))</f>
        <v/>
      </c>
      <c r="E211" s="47"/>
      <c r="F211" s="12" t="str">
        <f>IF($E211="","",IFERROR(INDEX(类别属性,MATCH($E211,类别表,0)),""))</f>
        <v/>
      </c>
      <c r="G211" s="48"/>
      <c r="H211" s="48"/>
      <c r="I211" s="49"/>
      <c r="J211" s="24" t="str">
        <f>IF(OR($A211="",$B211=""),"",IF($I211&lt;&gt;"",$I211,IF($D211=本位币,1,IFERROR(LOOKUP(2,1/((汇率月份&lt;=$A211)*(INDEX(记账汇率区,0,MATCH($D211,汇率币种头,0))&lt;&gt;"")),INDEX(记账汇率区,0,MATCH($D211,汇率币种头,0))),""))))</f>
        <v/>
      </c>
      <c r="K211" s="23" t="str">
        <f t="shared" si="6"/>
        <v/>
      </c>
      <c r="L211" s="23" t="str">
        <f t="shared" si="7"/>
        <v/>
      </c>
      <c r="M211" s="23" t="str">
        <f>IF($B211="","",ROUND(SUMIF(账户名,$B211,账户期初)+SUMIFS($K$6:K211,$B$6:B211,$B211),2))</f>
        <v/>
      </c>
      <c r="N211" s="23" t="str">
        <f>IF($B211="","",IFERROR(ROUND(INDEX(账户期初本位,MATCH($B211,账户名,0))+SUMIFS($L$6:L211,$B$6:B211,$B211),2),""))</f>
        <v/>
      </c>
      <c r="O211" s="46"/>
      <c r="P211" s="47"/>
      <c r="Q211" s="46"/>
      <c r="R211" s="46"/>
      <c r="S211" s="6" t="str">
        <f>IF($B211="","",IF(ISNA(MATCH($B211,账户名,0)),"※这个账户不在【参数设置】的账户档案里",IF($A211="","※没填日期，这一笔不会进任何月份的报表",IF(AND($G211&lt;&gt;"",$H211&lt;&gt;""),"※收入和支出不能同时填",IF(AND(N($G211)=0,N($H211)=0),"※收入和支出都没填",IF($E211="","※没填收支类别，分类报表会漏掉这一笔",IF(ISNA(MATCH($E211,类别表,0)),"※收支类别不在【参数设置】的清单里",IF($J211="","△"&amp;$D211&amp;" 还没填汇率，去【月度汇率】补上就自动算了",IF(YEAR($A211)&lt;&gt;管理年度,"△不是管理年度的单据，年报里看不到",IF(AND($F211="内部转账",$Q211=""),"△内部转账建议在「往来单位」写上对方账户",IF($M211&lt;0,"△这一笔之后该账户余额成负数了，核一下","")))))))))))</f>
        <v/>
      </c>
    </row>
    <row r="212" ht="16.5" spans="1:19">
      <c r="A212" s="45"/>
      <c r="B212" s="46"/>
      <c r="C212" s="12" t="str">
        <f>IF($B212="","",IFERROR(INDEX(账户银行,MATCH($B212,账户名,0)),""))</f>
        <v/>
      </c>
      <c r="D212" s="12" t="str">
        <f>IF($B212="","",IFERROR(INDEX(账户币种,MATCH($B212,账户名,0)),""))</f>
        <v/>
      </c>
      <c r="E212" s="47"/>
      <c r="F212" s="12" t="str">
        <f>IF($E212="","",IFERROR(INDEX(类别属性,MATCH($E212,类别表,0)),""))</f>
        <v/>
      </c>
      <c r="G212" s="48"/>
      <c r="H212" s="48"/>
      <c r="I212" s="49"/>
      <c r="J212" s="24" t="str">
        <f>IF(OR($A212="",$B212=""),"",IF($I212&lt;&gt;"",$I212,IF($D212=本位币,1,IFERROR(LOOKUP(2,1/((汇率月份&lt;=$A212)*(INDEX(记账汇率区,0,MATCH($D212,汇率币种头,0))&lt;&gt;"")),INDEX(记账汇率区,0,MATCH($D212,汇率币种头,0))),""))))</f>
        <v/>
      </c>
      <c r="K212" s="23" t="str">
        <f t="shared" si="6"/>
        <v/>
      </c>
      <c r="L212" s="23" t="str">
        <f t="shared" si="7"/>
        <v/>
      </c>
      <c r="M212" s="23" t="str">
        <f>IF($B212="","",ROUND(SUMIF(账户名,$B212,账户期初)+SUMIFS($K$6:K212,$B$6:B212,$B212),2))</f>
        <v/>
      </c>
      <c r="N212" s="23" t="str">
        <f>IF($B212="","",IFERROR(ROUND(INDEX(账户期初本位,MATCH($B212,账户名,0))+SUMIFS($L$6:L212,$B$6:B212,$B212),2),""))</f>
        <v/>
      </c>
      <c r="O212" s="46"/>
      <c r="P212" s="47"/>
      <c r="Q212" s="46"/>
      <c r="R212" s="46"/>
      <c r="S212" s="6" t="str">
        <f>IF($B212="","",IF(ISNA(MATCH($B212,账户名,0)),"※这个账户不在【参数设置】的账户档案里",IF($A212="","※没填日期，这一笔不会进任何月份的报表",IF(AND($G212&lt;&gt;"",$H212&lt;&gt;""),"※收入和支出不能同时填",IF(AND(N($G212)=0,N($H212)=0),"※收入和支出都没填",IF($E212="","※没填收支类别，分类报表会漏掉这一笔",IF(ISNA(MATCH($E212,类别表,0)),"※收支类别不在【参数设置】的清单里",IF($J212="","△"&amp;$D212&amp;" 还没填汇率，去【月度汇率】补上就自动算了",IF(YEAR($A212)&lt;&gt;管理年度,"△不是管理年度的单据，年报里看不到",IF(AND($F212="内部转账",$Q212=""),"△内部转账建议在「往来单位」写上对方账户",IF($M212&lt;0,"△这一笔之后该账户余额成负数了，核一下","")))))))))))</f>
        <v/>
      </c>
    </row>
    <row r="213" ht="16.5" spans="1:19">
      <c r="A213" s="45"/>
      <c r="B213" s="46"/>
      <c r="C213" s="12" t="str">
        <f>IF($B213="","",IFERROR(INDEX(账户银行,MATCH($B213,账户名,0)),""))</f>
        <v/>
      </c>
      <c r="D213" s="12" t="str">
        <f>IF($B213="","",IFERROR(INDEX(账户币种,MATCH($B213,账户名,0)),""))</f>
        <v/>
      </c>
      <c r="E213" s="47"/>
      <c r="F213" s="12" t="str">
        <f>IF($E213="","",IFERROR(INDEX(类别属性,MATCH($E213,类别表,0)),""))</f>
        <v/>
      </c>
      <c r="G213" s="48"/>
      <c r="H213" s="48"/>
      <c r="I213" s="49"/>
      <c r="J213" s="24" t="str">
        <f>IF(OR($A213="",$B213=""),"",IF($I213&lt;&gt;"",$I213,IF($D213=本位币,1,IFERROR(LOOKUP(2,1/((汇率月份&lt;=$A213)*(INDEX(记账汇率区,0,MATCH($D213,汇率币种头,0))&lt;&gt;"")),INDEX(记账汇率区,0,MATCH($D213,汇率币种头,0))),""))))</f>
        <v/>
      </c>
      <c r="K213" s="23" t="str">
        <f t="shared" si="6"/>
        <v/>
      </c>
      <c r="L213" s="23" t="str">
        <f t="shared" si="7"/>
        <v/>
      </c>
      <c r="M213" s="23" t="str">
        <f>IF($B213="","",ROUND(SUMIF(账户名,$B213,账户期初)+SUMIFS($K$6:K213,$B$6:B213,$B213),2))</f>
        <v/>
      </c>
      <c r="N213" s="23" t="str">
        <f>IF($B213="","",IFERROR(ROUND(INDEX(账户期初本位,MATCH($B213,账户名,0))+SUMIFS($L$6:L213,$B$6:B213,$B213),2),""))</f>
        <v/>
      </c>
      <c r="O213" s="46"/>
      <c r="P213" s="47"/>
      <c r="Q213" s="46"/>
      <c r="R213" s="46"/>
      <c r="S213" s="6" t="str">
        <f>IF($B213="","",IF(ISNA(MATCH($B213,账户名,0)),"※这个账户不在【参数设置】的账户档案里",IF($A213="","※没填日期，这一笔不会进任何月份的报表",IF(AND($G213&lt;&gt;"",$H213&lt;&gt;""),"※收入和支出不能同时填",IF(AND(N($G213)=0,N($H213)=0),"※收入和支出都没填",IF($E213="","※没填收支类别，分类报表会漏掉这一笔",IF(ISNA(MATCH($E213,类别表,0)),"※收支类别不在【参数设置】的清单里",IF($J213="","△"&amp;$D213&amp;" 还没填汇率，去【月度汇率】补上就自动算了",IF(YEAR($A213)&lt;&gt;管理年度,"△不是管理年度的单据，年报里看不到",IF(AND($F213="内部转账",$Q213=""),"△内部转账建议在「往来单位」写上对方账户",IF($M213&lt;0,"△这一笔之后该账户余额成负数了，核一下","")))))))))))</f>
        <v/>
      </c>
    </row>
    <row r="214" ht="16.5" spans="1:19">
      <c r="A214" s="45"/>
      <c r="B214" s="46"/>
      <c r="C214" s="12" t="str">
        <f>IF($B214="","",IFERROR(INDEX(账户银行,MATCH($B214,账户名,0)),""))</f>
        <v/>
      </c>
      <c r="D214" s="12" t="str">
        <f>IF($B214="","",IFERROR(INDEX(账户币种,MATCH($B214,账户名,0)),""))</f>
        <v/>
      </c>
      <c r="E214" s="47"/>
      <c r="F214" s="12" t="str">
        <f>IF($E214="","",IFERROR(INDEX(类别属性,MATCH($E214,类别表,0)),""))</f>
        <v/>
      </c>
      <c r="G214" s="48"/>
      <c r="H214" s="48"/>
      <c r="I214" s="49"/>
      <c r="J214" s="24" t="str">
        <f>IF(OR($A214="",$B214=""),"",IF($I214&lt;&gt;"",$I214,IF($D214=本位币,1,IFERROR(LOOKUP(2,1/((汇率月份&lt;=$A214)*(INDEX(记账汇率区,0,MATCH($D214,汇率币种头,0))&lt;&gt;"")),INDEX(记账汇率区,0,MATCH($D214,汇率币种头,0))),""))))</f>
        <v/>
      </c>
      <c r="K214" s="23" t="str">
        <f t="shared" si="6"/>
        <v/>
      </c>
      <c r="L214" s="23" t="str">
        <f t="shared" si="7"/>
        <v/>
      </c>
      <c r="M214" s="23" t="str">
        <f>IF($B214="","",ROUND(SUMIF(账户名,$B214,账户期初)+SUMIFS($K$6:K214,$B$6:B214,$B214),2))</f>
        <v/>
      </c>
      <c r="N214" s="23" t="str">
        <f>IF($B214="","",IFERROR(ROUND(INDEX(账户期初本位,MATCH($B214,账户名,0))+SUMIFS($L$6:L214,$B$6:B214,$B214),2),""))</f>
        <v/>
      </c>
      <c r="O214" s="46"/>
      <c r="P214" s="47"/>
      <c r="Q214" s="46"/>
      <c r="R214" s="46"/>
      <c r="S214" s="6" t="str">
        <f>IF($B214="","",IF(ISNA(MATCH($B214,账户名,0)),"※这个账户不在【参数设置】的账户档案里",IF($A214="","※没填日期，这一笔不会进任何月份的报表",IF(AND($G214&lt;&gt;"",$H214&lt;&gt;""),"※收入和支出不能同时填",IF(AND(N($G214)=0,N($H214)=0),"※收入和支出都没填",IF($E214="","※没填收支类别，分类报表会漏掉这一笔",IF(ISNA(MATCH($E214,类别表,0)),"※收支类别不在【参数设置】的清单里",IF($J214="","△"&amp;$D214&amp;" 还没填汇率，去【月度汇率】补上就自动算了",IF(YEAR($A214)&lt;&gt;管理年度,"△不是管理年度的单据，年报里看不到",IF(AND($F214="内部转账",$Q214=""),"△内部转账建议在「往来单位」写上对方账户",IF($M214&lt;0,"△这一笔之后该账户余额成负数了，核一下","")))))))))))</f>
        <v/>
      </c>
    </row>
    <row r="215" ht="16.5" spans="1:19">
      <c r="A215" s="45"/>
      <c r="B215" s="46"/>
      <c r="C215" s="12" t="str">
        <f>IF($B215="","",IFERROR(INDEX(账户银行,MATCH($B215,账户名,0)),""))</f>
        <v/>
      </c>
      <c r="D215" s="12" t="str">
        <f>IF($B215="","",IFERROR(INDEX(账户币种,MATCH($B215,账户名,0)),""))</f>
        <v/>
      </c>
      <c r="E215" s="47"/>
      <c r="F215" s="12" t="str">
        <f>IF($E215="","",IFERROR(INDEX(类别属性,MATCH($E215,类别表,0)),""))</f>
        <v/>
      </c>
      <c r="G215" s="48"/>
      <c r="H215" s="48"/>
      <c r="I215" s="49"/>
      <c r="J215" s="24" t="str">
        <f>IF(OR($A215="",$B215=""),"",IF($I215&lt;&gt;"",$I215,IF($D215=本位币,1,IFERROR(LOOKUP(2,1/((汇率月份&lt;=$A215)*(INDEX(记账汇率区,0,MATCH($D215,汇率币种头,0))&lt;&gt;"")),INDEX(记账汇率区,0,MATCH($D215,汇率币种头,0))),""))))</f>
        <v/>
      </c>
      <c r="K215" s="23" t="str">
        <f t="shared" si="6"/>
        <v/>
      </c>
      <c r="L215" s="23" t="str">
        <f t="shared" si="7"/>
        <v/>
      </c>
      <c r="M215" s="23" t="str">
        <f>IF($B215="","",ROUND(SUMIF(账户名,$B215,账户期初)+SUMIFS($K$6:K215,$B$6:B215,$B215),2))</f>
        <v/>
      </c>
      <c r="N215" s="23" t="str">
        <f>IF($B215="","",IFERROR(ROUND(INDEX(账户期初本位,MATCH($B215,账户名,0))+SUMIFS($L$6:L215,$B$6:B215,$B215),2),""))</f>
        <v/>
      </c>
      <c r="O215" s="46"/>
      <c r="P215" s="47"/>
      <c r="Q215" s="46"/>
      <c r="R215" s="46"/>
      <c r="S215" s="6" t="str">
        <f>IF($B215="","",IF(ISNA(MATCH($B215,账户名,0)),"※这个账户不在【参数设置】的账户档案里",IF($A215="","※没填日期，这一笔不会进任何月份的报表",IF(AND($G215&lt;&gt;"",$H215&lt;&gt;""),"※收入和支出不能同时填",IF(AND(N($G215)=0,N($H215)=0),"※收入和支出都没填",IF($E215="","※没填收支类别，分类报表会漏掉这一笔",IF(ISNA(MATCH($E215,类别表,0)),"※收支类别不在【参数设置】的清单里",IF($J215="","△"&amp;$D215&amp;" 还没填汇率，去【月度汇率】补上就自动算了",IF(YEAR($A215)&lt;&gt;管理年度,"△不是管理年度的单据，年报里看不到",IF(AND($F215="内部转账",$Q215=""),"△内部转账建议在「往来单位」写上对方账户",IF($M215&lt;0,"△这一笔之后该账户余额成负数了，核一下","")))))))))))</f>
        <v/>
      </c>
    </row>
    <row r="216" ht="16.5" spans="1:19">
      <c r="A216" s="45"/>
      <c r="B216" s="46"/>
      <c r="C216" s="12" t="str">
        <f>IF($B216="","",IFERROR(INDEX(账户银行,MATCH($B216,账户名,0)),""))</f>
        <v/>
      </c>
      <c r="D216" s="12" t="str">
        <f>IF($B216="","",IFERROR(INDEX(账户币种,MATCH($B216,账户名,0)),""))</f>
        <v/>
      </c>
      <c r="E216" s="47"/>
      <c r="F216" s="12" t="str">
        <f>IF($E216="","",IFERROR(INDEX(类别属性,MATCH($E216,类别表,0)),""))</f>
        <v/>
      </c>
      <c r="G216" s="48"/>
      <c r="H216" s="48"/>
      <c r="I216" s="49"/>
      <c r="J216" s="24" t="str">
        <f>IF(OR($A216="",$B216=""),"",IF($I216&lt;&gt;"",$I216,IF($D216=本位币,1,IFERROR(LOOKUP(2,1/((汇率月份&lt;=$A216)*(INDEX(记账汇率区,0,MATCH($D216,汇率币种头,0))&lt;&gt;"")),INDEX(记账汇率区,0,MATCH($D216,汇率币种头,0))),""))))</f>
        <v/>
      </c>
      <c r="K216" s="23" t="str">
        <f t="shared" si="6"/>
        <v/>
      </c>
      <c r="L216" s="23" t="str">
        <f t="shared" si="7"/>
        <v/>
      </c>
      <c r="M216" s="23" t="str">
        <f>IF($B216="","",ROUND(SUMIF(账户名,$B216,账户期初)+SUMIFS($K$6:K216,$B$6:B216,$B216),2))</f>
        <v/>
      </c>
      <c r="N216" s="23" t="str">
        <f>IF($B216="","",IFERROR(ROUND(INDEX(账户期初本位,MATCH($B216,账户名,0))+SUMIFS($L$6:L216,$B$6:B216,$B216),2),""))</f>
        <v/>
      </c>
      <c r="O216" s="46"/>
      <c r="P216" s="47"/>
      <c r="Q216" s="46"/>
      <c r="R216" s="46"/>
      <c r="S216" s="6" t="str">
        <f>IF($B216="","",IF(ISNA(MATCH($B216,账户名,0)),"※这个账户不在【参数设置】的账户档案里",IF($A216="","※没填日期，这一笔不会进任何月份的报表",IF(AND($G216&lt;&gt;"",$H216&lt;&gt;""),"※收入和支出不能同时填",IF(AND(N($G216)=0,N($H216)=0),"※收入和支出都没填",IF($E216="","※没填收支类别，分类报表会漏掉这一笔",IF(ISNA(MATCH($E216,类别表,0)),"※收支类别不在【参数设置】的清单里",IF($J216="","△"&amp;$D216&amp;" 还没填汇率，去【月度汇率】补上就自动算了",IF(YEAR($A216)&lt;&gt;管理年度,"△不是管理年度的单据，年报里看不到",IF(AND($F216="内部转账",$Q216=""),"△内部转账建议在「往来单位」写上对方账户",IF($M216&lt;0,"△这一笔之后该账户余额成负数了，核一下","")))))))))))</f>
        <v/>
      </c>
    </row>
    <row r="217" ht="16.5" spans="1:19">
      <c r="A217" s="45"/>
      <c r="B217" s="46"/>
      <c r="C217" s="12" t="str">
        <f>IF($B217="","",IFERROR(INDEX(账户银行,MATCH($B217,账户名,0)),""))</f>
        <v/>
      </c>
      <c r="D217" s="12" t="str">
        <f>IF($B217="","",IFERROR(INDEX(账户币种,MATCH($B217,账户名,0)),""))</f>
        <v/>
      </c>
      <c r="E217" s="47"/>
      <c r="F217" s="12" t="str">
        <f>IF($E217="","",IFERROR(INDEX(类别属性,MATCH($E217,类别表,0)),""))</f>
        <v/>
      </c>
      <c r="G217" s="48"/>
      <c r="H217" s="48"/>
      <c r="I217" s="49"/>
      <c r="J217" s="24" t="str">
        <f>IF(OR($A217="",$B217=""),"",IF($I217&lt;&gt;"",$I217,IF($D217=本位币,1,IFERROR(LOOKUP(2,1/((汇率月份&lt;=$A217)*(INDEX(记账汇率区,0,MATCH($D217,汇率币种头,0))&lt;&gt;"")),INDEX(记账汇率区,0,MATCH($D217,汇率币种头,0))),""))))</f>
        <v/>
      </c>
      <c r="K217" s="23" t="str">
        <f t="shared" si="6"/>
        <v/>
      </c>
      <c r="L217" s="23" t="str">
        <f t="shared" si="7"/>
        <v/>
      </c>
      <c r="M217" s="23" t="str">
        <f>IF($B217="","",ROUND(SUMIF(账户名,$B217,账户期初)+SUMIFS($K$6:K217,$B$6:B217,$B217),2))</f>
        <v/>
      </c>
      <c r="N217" s="23" t="str">
        <f>IF($B217="","",IFERROR(ROUND(INDEX(账户期初本位,MATCH($B217,账户名,0))+SUMIFS($L$6:L217,$B$6:B217,$B217),2),""))</f>
        <v/>
      </c>
      <c r="O217" s="46"/>
      <c r="P217" s="47"/>
      <c r="Q217" s="46"/>
      <c r="R217" s="46"/>
      <c r="S217" s="6" t="str">
        <f>IF($B217="","",IF(ISNA(MATCH($B217,账户名,0)),"※这个账户不在【参数设置】的账户档案里",IF($A217="","※没填日期，这一笔不会进任何月份的报表",IF(AND($G217&lt;&gt;"",$H217&lt;&gt;""),"※收入和支出不能同时填",IF(AND(N($G217)=0,N($H217)=0),"※收入和支出都没填",IF($E217="","※没填收支类别，分类报表会漏掉这一笔",IF(ISNA(MATCH($E217,类别表,0)),"※收支类别不在【参数设置】的清单里",IF($J217="","△"&amp;$D217&amp;" 还没填汇率，去【月度汇率】补上就自动算了",IF(YEAR($A217)&lt;&gt;管理年度,"△不是管理年度的单据，年报里看不到",IF(AND($F217="内部转账",$Q217=""),"△内部转账建议在「往来单位」写上对方账户",IF($M217&lt;0,"△这一笔之后该账户余额成负数了，核一下","")))))))))))</f>
        <v/>
      </c>
    </row>
    <row r="218" ht="16.5" spans="1:19">
      <c r="A218" s="45"/>
      <c r="B218" s="46"/>
      <c r="C218" s="12" t="str">
        <f>IF($B218="","",IFERROR(INDEX(账户银行,MATCH($B218,账户名,0)),""))</f>
        <v/>
      </c>
      <c r="D218" s="12" t="str">
        <f>IF($B218="","",IFERROR(INDEX(账户币种,MATCH($B218,账户名,0)),""))</f>
        <v/>
      </c>
      <c r="E218" s="47"/>
      <c r="F218" s="12" t="str">
        <f>IF($E218="","",IFERROR(INDEX(类别属性,MATCH($E218,类别表,0)),""))</f>
        <v/>
      </c>
      <c r="G218" s="48"/>
      <c r="H218" s="48"/>
      <c r="I218" s="49"/>
      <c r="J218" s="24" t="str">
        <f>IF(OR($A218="",$B218=""),"",IF($I218&lt;&gt;"",$I218,IF($D218=本位币,1,IFERROR(LOOKUP(2,1/((汇率月份&lt;=$A218)*(INDEX(记账汇率区,0,MATCH($D218,汇率币种头,0))&lt;&gt;"")),INDEX(记账汇率区,0,MATCH($D218,汇率币种头,0))),""))))</f>
        <v/>
      </c>
      <c r="K218" s="23" t="str">
        <f t="shared" si="6"/>
        <v/>
      </c>
      <c r="L218" s="23" t="str">
        <f t="shared" si="7"/>
        <v/>
      </c>
      <c r="M218" s="23" t="str">
        <f>IF($B218="","",ROUND(SUMIF(账户名,$B218,账户期初)+SUMIFS($K$6:K218,$B$6:B218,$B218),2))</f>
        <v/>
      </c>
      <c r="N218" s="23" t="str">
        <f>IF($B218="","",IFERROR(ROUND(INDEX(账户期初本位,MATCH($B218,账户名,0))+SUMIFS($L$6:L218,$B$6:B218,$B218),2),""))</f>
        <v/>
      </c>
      <c r="O218" s="46"/>
      <c r="P218" s="47"/>
      <c r="Q218" s="46"/>
      <c r="R218" s="46"/>
      <c r="S218" s="6" t="str">
        <f>IF($B218="","",IF(ISNA(MATCH($B218,账户名,0)),"※这个账户不在【参数设置】的账户档案里",IF($A218="","※没填日期，这一笔不会进任何月份的报表",IF(AND($G218&lt;&gt;"",$H218&lt;&gt;""),"※收入和支出不能同时填",IF(AND(N($G218)=0,N($H218)=0),"※收入和支出都没填",IF($E218="","※没填收支类别，分类报表会漏掉这一笔",IF(ISNA(MATCH($E218,类别表,0)),"※收支类别不在【参数设置】的清单里",IF($J218="","△"&amp;$D218&amp;" 还没填汇率，去【月度汇率】补上就自动算了",IF(YEAR($A218)&lt;&gt;管理年度,"△不是管理年度的单据，年报里看不到",IF(AND($F218="内部转账",$Q218=""),"△内部转账建议在「往来单位」写上对方账户",IF($M218&lt;0,"△这一笔之后该账户余额成负数了，核一下","")))))))))))</f>
        <v/>
      </c>
    </row>
    <row r="219" ht="16.5" spans="1:19">
      <c r="A219" s="45"/>
      <c r="B219" s="46"/>
      <c r="C219" s="12" t="str">
        <f>IF($B219="","",IFERROR(INDEX(账户银行,MATCH($B219,账户名,0)),""))</f>
        <v/>
      </c>
      <c r="D219" s="12" t="str">
        <f>IF($B219="","",IFERROR(INDEX(账户币种,MATCH($B219,账户名,0)),""))</f>
        <v/>
      </c>
      <c r="E219" s="47"/>
      <c r="F219" s="12" t="str">
        <f>IF($E219="","",IFERROR(INDEX(类别属性,MATCH($E219,类别表,0)),""))</f>
        <v/>
      </c>
      <c r="G219" s="48"/>
      <c r="H219" s="48"/>
      <c r="I219" s="49"/>
      <c r="J219" s="24" t="str">
        <f>IF(OR($A219="",$B219=""),"",IF($I219&lt;&gt;"",$I219,IF($D219=本位币,1,IFERROR(LOOKUP(2,1/((汇率月份&lt;=$A219)*(INDEX(记账汇率区,0,MATCH($D219,汇率币种头,0))&lt;&gt;"")),INDEX(记账汇率区,0,MATCH($D219,汇率币种头,0))),""))))</f>
        <v/>
      </c>
      <c r="K219" s="23" t="str">
        <f t="shared" si="6"/>
        <v/>
      </c>
      <c r="L219" s="23" t="str">
        <f t="shared" si="7"/>
        <v/>
      </c>
      <c r="M219" s="23" t="str">
        <f>IF($B219="","",ROUND(SUMIF(账户名,$B219,账户期初)+SUMIFS($K$6:K219,$B$6:B219,$B219),2))</f>
        <v/>
      </c>
      <c r="N219" s="23" t="str">
        <f>IF($B219="","",IFERROR(ROUND(INDEX(账户期初本位,MATCH($B219,账户名,0))+SUMIFS($L$6:L219,$B$6:B219,$B219),2),""))</f>
        <v/>
      </c>
      <c r="O219" s="46"/>
      <c r="P219" s="47"/>
      <c r="Q219" s="46"/>
      <c r="R219" s="46"/>
      <c r="S219" s="6" t="str">
        <f>IF($B219="","",IF(ISNA(MATCH($B219,账户名,0)),"※这个账户不在【参数设置】的账户档案里",IF($A219="","※没填日期，这一笔不会进任何月份的报表",IF(AND($G219&lt;&gt;"",$H219&lt;&gt;""),"※收入和支出不能同时填",IF(AND(N($G219)=0,N($H219)=0),"※收入和支出都没填",IF($E219="","※没填收支类别，分类报表会漏掉这一笔",IF(ISNA(MATCH($E219,类别表,0)),"※收支类别不在【参数设置】的清单里",IF($J219="","△"&amp;$D219&amp;" 还没填汇率，去【月度汇率】补上就自动算了",IF(YEAR($A219)&lt;&gt;管理年度,"△不是管理年度的单据，年报里看不到",IF(AND($F219="内部转账",$Q219=""),"△内部转账建议在「往来单位」写上对方账户",IF($M219&lt;0,"△这一笔之后该账户余额成负数了，核一下","")))))))))))</f>
        <v/>
      </c>
    </row>
    <row r="220" ht="16.5" spans="1:19">
      <c r="A220" s="45"/>
      <c r="B220" s="46"/>
      <c r="C220" s="12" t="str">
        <f>IF($B220="","",IFERROR(INDEX(账户银行,MATCH($B220,账户名,0)),""))</f>
        <v/>
      </c>
      <c r="D220" s="12" t="str">
        <f>IF($B220="","",IFERROR(INDEX(账户币种,MATCH($B220,账户名,0)),""))</f>
        <v/>
      </c>
      <c r="E220" s="47"/>
      <c r="F220" s="12" t="str">
        <f>IF($E220="","",IFERROR(INDEX(类别属性,MATCH($E220,类别表,0)),""))</f>
        <v/>
      </c>
      <c r="G220" s="48"/>
      <c r="H220" s="48"/>
      <c r="I220" s="49"/>
      <c r="J220" s="24" t="str">
        <f>IF(OR($A220="",$B220=""),"",IF($I220&lt;&gt;"",$I220,IF($D220=本位币,1,IFERROR(LOOKUP(2,1/((汇率月份&lt;=$A220)*(INDEX(记账汇率区,0,MATCH($D220,汇率币种头,0))&lt;&gt;"")),INDEX(记账汇率区,0,MATCH($D220,汇率币种头,0))),""))))</f>
        <v/>
      </c>
      <c r="K220" s="23" t="str">
        <f t="shared" si="6"/>
        <v/>
      </c>
      <c r="L220" s="23" t="str">
        <f t="shared" si="7"/>
        <v/>
      </c>
      <c r="M220" s="23" t="str">
        <f>IF($B220="","",ROUND(SUMIF(账户名,$B220,账户期初)+SUMIFS($K$6:K220,$B$6:B220,$B220),2))</f>
        <v/>
      </c>
      <c r="N220" s="23" t="str">
        <f>IF($B220="","",IFERROR(ROUND(INDEX(账户期初本位,MATCH($B220,账户名,0))+SUMIFS($L$6:L220,$B$6:B220,$B220),2),""))</f>
        <v/>
      </c>
      <c r="O220" s="46"/>
      <c r="P220" s="47"/>
      <c r="Q220" s="46"/>
      <c r="R220" s="46"/>
      <c r="S220" s="6" t="str">
        <f>IF($B220="","",IF(ISNA(MATCH($B220,账户名,0)),"※这个账户不在【参数设置】的账户档案里",IF($A220="","※没填日期，这一笔不会进任何月份的报表",IF(AND($G220&lt;&gt;"",$H220&lt;&gt;""),"※收入和支出不能同时填",IF(AND(N($G220)=0,N($H220)=0),"※收入和支出都没填",IF($E220="","※没填收支类别，分类报表会漏掉这一笔",IF(ISNA(MATCH($E220,类别表,0)),"※收支类别不在【参数设置】的清单里",IF($J220="","△"&amp;$D220&amp;" 还没填汇率，去【月度汇率】补上就自动算了",IF(YEAR($A220)&lt;&gt;管理年度,"△不是管理年度的单据，年报里看不到",IF(AND($F220="内部转账",$Q220=""),"△内部转账建议在「往来单位」写上对方账户",IF($M220&lt;0,"△这一笔之后该账户余额成负数了，核一下","")))))))))))</f>
        <v/>
      </c>
    </row>
    <row r="221" ht="16.5" spans="1:19">
      <c r="A221" s="45"/>
      <c r="B221" s="46"/>
      <c r="C221" s="12" t="str">
        <f>IF($B221="","",IFERROR(INDEX(账户银行,MATCH($B221,账户名,0)),""))</f>
        <v/>
      </c>
      <c r="D221" s="12" t="str">
        <f>IF($B221="","",IFERROR(INDEX(账户币种,MATCH($B221,账户名,0)),""))</f>
        <v/>
      </c>
      <c r="E221" s="47"/>
      <c r="F221" s="12" t="str">
        <f>IF($E221="","",IFERROR(INDEX(类别属性,MATCH($E221,类别表,0)),""))</f>
        <v/>
      </c>
      <c r="G221" s="48"/>
      <c r="H221" s="48"/>
      <c r="I221" s="49"/>
      <c r="J221" s="24" t="str">
        <f>IF(OR($A221="",$B221=""),"",IF($I221&lt;&gt;"",$I221,IF($D221=本位币,1,IFERROR(LOOKUP(2,1/((汇率月份&lt;=$A221)*(INDEX(记账汇率区,0,MATCH($D221,汇率币种头,0))&lt;&gt;"")),INDEX(记账汇率区,0,MATCH($D221,汇率币种头,0))),""))))</f>
        <v/>
      </c>
      <c r="K221" s="23" t="str">
        <f t="shared" si="6"/>
        <v/>
      </c>
      <c r="L221" s="23" t="str">
        <f t="shared" si="7"/>
        <v/>
      </c>
      <c r="M221" s="23" t="str">
        <f>IF($B221="","",ROUND(SUMIF(账户名,$B221,账户期初)+SUMIFS($K$6:K221,$B$6:B221,$B221),2))</f>
        <v/>
      </c>
      <c r="N221" s="23" t="str">
        <f>IF($B221="","",IFERROR(ROUND(INDEX(账户期初本位,MATCH($B221,账户名,0))+SUMIFS($L$6:L221,$B$6:B221,$B221),2),""))</f>
        <v/>
      </c>
      <c r="O221" s="46"/>
      <c r="P221" s="47"/>
      <c r="Q221" s="46"/>
      <c r="R221" s="46"/>
      <c r="S221" s="6" t="str">
        <f>IF($B221="","",IF(ISNA(MATCH($B221,账户名,0)),"※这个账户不在【参数设置】的账户档案里",IF($A221="","※没填日期，这一笔不会进任何月份的报表",IF(AND($G221&lt;&gt;"",$H221&lt;&gt;""),"※收入和支出不能同时填",IF(AND(N($G221)=0,N($H221)=0),"※收入和支出都没填",IF($E221="","※没填收支类别，分类报表会漏掉这一笔",IF(ISNA(MATCH($E221,类别表,0)),"※收支类别不在【参数设置】的清单里",IF($J221="","△"&amp;$D221&amp;" 还没填汇率，去【月度汇率】补上就自动算了",IF(YEAR($A221)&lt;&gt;管理年度,"△不是管理年度的单据，年报里看不到",IF(AND($F221="内部转账",$Q221=""),"△内部转账建议在「往来单位」写上对方账户",IF($M221&lt;0,"△这一笔之后该账户余额成负数了，核一下","")))))))))))</f>
        <v/>
      </c>
    </row>
    <row r="222" ht="16.5" spans="1:19">
      <c r="A222" s="45"/>
      <c r="B222" s="46"/>
      <c r="C222" s="12" t="str">
        <f>IF($B222="","",IFERROR(INDEX(账户银行,MATCH($B222,账户名,0)),""))</f>
        <v/>
      </c>
      <c r="D222" s="12" t="str">
        <f>IF($B222="","",IFERROR(INDEX(账户币种,MATCH($B222,账户名,0)),""))</f>
        <v/>
      </c>
      <c r="E222" s="47"/>
      <c r="F222" s="12" t="str">
        <f>IF($E222="","",IFERROR(INDEX(类别属性,MATCH($E222,类别表,0)),""))</f>
        <v/>
      </c>
      <c r="G222" s="48"/>
      <c r="H222" s="48"/>
      <c r="I222" s="49"/>
      <c r="J222" s="24" t="str">
        <f>IF(OR($A222="",$B222=""),"",IF($I222&lt;&gt;"",$I222,IF($D222=本位币,1,IFERROR(LOOKUP(2,1/((汇率月份&lt;=$A222)*(INDEX(记账汇率区,0,MATCH($D222,汇率币种头,0))&lt;&gt;"")),INDEX(记账汇率区,0,MATCH($D222,汇率币种头,0))),""))))</f>
        <v/>
      </c>
      <c r="K222" s="23" t="str">
        <f t="shared" si="6"/>
        <v/>
      </c>
      <c r="L222" s="23" t="str">
        <f t="shared" si="7"/>
        <v/>
      </c>
      <c r="M222" s="23" t="str">
        <f>IF($B222="","",ROUND(SUMIF(账户名,$B222,账户期初)+SUMIFS($K$6:K222,$B$6:B222,$B222),2))</f>
        <v/>
      </c>
      <c r="N222" s="23" t="str">
        <f>IF($B222="","",IFERROR(ROUND(INDEX(账户期初本位,MATCH($B222,账户名,0))+SUMIFS($L$6:L222,$B$6:B222,$B222),2),""))</f>
        <v/>
      </c>
      <c r="O222" s="46"/>
      <c r="P222" s="47"/>
      <c r="Q222" s="46"/>
      <c r="R222" s="46"/>
      <c r="S222" s="6" t="str">
        <f>IF($B222="","",IF(ISNA(MATCH($B222,账户名,0)),"※这个账户不在【参数设置】的账户档案里",IF($A222="","※没填日期，这一笔不会进任何月份的报表",IF(AND($G222&lt;&gt;"",$H222&lt;&gt;""),"※收入和支出不能同时填",IF(AND(N($G222)=0,N($H222)=0),"※收入和支出都没填",IF($E222="","※没填收支类别，分类报表会漏掉这一笔",IF(ISNA(MATCH($E222,类别表,0)),"※收支类别不在【参数设置】的清单里",IF($J222="","△"&amp;$D222&amp;" 还没填汇率，去【月度汇率】补上就自动算了",IF(YEAR($A222)&lt;&gt;管理年度,"△不是管理年度的单据，年报里看不到",IF(AND($F222="内部转账",$Q222=""),"△内部转账建议在「往来单位」写上对方账户",IF($M222&lt;0,"△这一笔之后该账户余额成负数了，核一下","")))))))))))</f>
        <v/>
      </c>
    </row>
    <row r="223" ht="16.5" spans="1:19">
      <c r="A223" s="45"/>
      <c r="B223" s="46"/>
      <c r="C223" s="12" t="str">
        <f>IF($B223="","",IFERROR(INDEX(账户银行,MATCH($B223,账户名,0)),""))</f>
        <v/>
      </c>
      <c r="D223" s="12" t="str">
        <f>IF($B223="","",IFERROR(INDEX(账户币种,MATCH($B223,账户名,0)),""))</f>
        <v/>
      </c>
      <c r="E223" s="47"/>
      <c r="F223" s="12" t="str">
        <f>IF($E223="","",IFERROR(INDEX(类别属性,MATCH($E223,类别表,0)),""))</f>
        <v/>
      </c>
      <c r="G223" s="48"/>
      <c r="H223" s="48"/>
      <c r="I223" s="49"/>
      <c r="J223" s="24" t="str">
        <f>IF(OR($A223="",$B223=""),"",IF($I223&lt;&gt;"",$I223,IF($D223=本位币,1,IFERROR(LOOKUP(2,1/((汇率月份&lt;=$A223)*(INDEX(记账汇率区,0,MATCH($D223,汇率币种头,0))&lt;&gt;"")),INDEX(记账汇率区,0,MATCH($D223,汇率币种头,0))),""))))</f>
        <v/>
      </c>
      <c r="K223" s="23" t="str">
        <f t="shared" si="6"/>
        <v/>
      </c>
      <c r="L223" s="23" t="str">
        <f t="shared" si="7"/>
        <v/>
      </c>
      <c r="M223" s="23" t="str">
        <f>IF($B223="","",ROUND(SUMIF(账户名,$B223,账户期初)+SUMIFS($K$6:K223,$B$6:B223,$B223),2))</f>
        <v/>
      </c>
      <c r="N223" s="23" t="str">
        <f>IF($B223="","",IFERROR(ROUND(INDEX(账户期初本位,MATCH($B223,账户名,0))+SUMIFS($L$6:L223,$B$6:B223,$B223),2),""))</f>
        <v/>
      </c>
      <c r="O223" s="46"/>
      <c r="P223" s="47"/>
      <c r="Q223" s="46"/>
      <c r="R223" s="46"/>
      <c r="S223" s="6" t="str">
        <f>IF($B223="","",IF(ISNA(MATCH($B223,账户名,0)),"※这个账户不在【参数设置】的账户档案里",IF($A223="","※没填日期，这一笔不会进任何月份的报表",IF(AND($G223&lt;&gt;"",$H223&lt;&gt;""),"※收入和支出不能同时填",IF(AND(N($G223)=0,N($H223)=0),"※收入和支出都没填",IF($E223="","※没填收支类别，分类报表会漏掉这一笔",IF(ISNA(MATCH($E223,类别表,0)),"※收支类别不在【参数设置】的清单里",IF($J223="","△"&amp;$D223&amp;" 还没填汇率，去【月度汇率】补上就自动算了",IF(YEAR($A223)&lt;&gt;管理年度,"△不是管理年度的单据，年报里看不到",IF(AND($F223="内部转账",$Q223=""),"△内部转账建议在「往来单位」写上对方账户",IF($M223&lt;0,"△这一笔之后该账户余额成负数了，核一下","")))))))))))</f>
        <v/>
      </c>
    </row>
    <row r="224" ht="16.5" spans="1:19">
      <c r="A224" s="45"/>
      <c r="B224" s="46"/>
      <c r="C224" s="12" t="str">
        <f>IF($B224="","",IFERROR(INDEX(账户银行,MATCH($B224,账户名,0)),""))</f>
        <v/>
      </c>
      <c r="D224" s="12" t="str">
        <f>IF($B224="","",IFERROR(INDEX(账户币种,MATCH($B224,账户名,0)),""))</f>
        <v/>
      </c>
      <c r="E224" s="47"/>
      <c r="F224" s="12" t="str">
        <f>IF($E224="","",IFERROR(INDEX(类别属性,MATCH($E224,类别表,0)),""))</f>
        <v/>
      </c>
      <c r="G224" s="48"/>
      <c r="H224" s="48"/>
      <c r="I224" s="49"/>
      <c r="J224" s="24" t="str">
        <f>IF(OR($A224="",$B224=""),"",IF($I224&lt;&gt;"",$I224,IF($D224=本位币,1,IFERROR(LOOKUP(2,1/((汇率月份&lt;=$A224)*(INDEX(记账汇率区,0,MATCH($D224,汇率币种头,0))&lt;&gt;"")),INDEX(记账汇率区,0,MATCH($D224,汇率币种头,0))),""))))</f>
        <v/>
      </c>
      <c r="K224" s="23" t="str">
        <f t="shared" si="6"/>
        <v/>
      </c>
      <c r="L224" s="23" t="str">
        <f t="shared" si="7"/>
        <v/>
      </c>
      <c r="M224" s="23" t="str">
        <f>IF($B224="","",ROUND(SUMIF(账户名,$B224,账户期初)+SUMIFS($K$6:K224,$B$6:B224,$B224),2))</f>
        <v/>
      </c>
      <c r="N224" s="23" t="str">
        <f>IF($B224="","",IFERROR(ROUND(INDEX(账户期初本位,MATCH($B224,账户名,0))+SUMIFS($L$6:L224,$B$6:B224,$B224),2),""))</f>
        <v/>
      </c>
      <c r="O224" s="46"/>
      <c r="P224" s="47"/>
      <c r="Q224" s="46"/>
      <c r="R224" s="46"/>
      <c r="S224" s="6" t="str">
        <f>IF($B224="","",IF(ISNA(MATCH($B224,账户名,0)),"※这个账户不在【参数设置】的账户档案里",IF($A224="","※没填日期，这一笔不会进任何月份的报表",IF(AND($G224&lt;&gt;"",$H224&lt;&gt;""),"※收入和支出不能同时填",IF(AND(N($G224)=0,N($H224)=0),"※收入和支出都没填",IF($E224="","※没填收支类别，分类报表会漏掉这一笔",IF(ISNA(MATCH($E224,类别表,0)),"※收支类别不在【参数设置】的清单里",IF($J224="","△"&amp;$D224&amp;" 还没填汇率，去【月度汇率】补上就自动算了",IF(YEAR($A224)&lt;&gt;管理年度,"△不是管理年度的单据，年报里看不到",IF(AND($F224="内部转账",$Q224=""),"△内部转账建议在「往来单位」写上对方账户",IF($M224&lt;0,"△这一笔之后该账户余额成负数了，核一下","")))))))))))</f>
        <v/>
      </c>
    </row>
    <row r="225" ht="16.5" spans="1:19">
      <c r="A225" s="45"/>
      <c r="B225" s="46"/>
      <c r="C225" s="12" t="str">
        <f>IF($B225="","",IFERROR(INDEX(账户银行,MATCH($B225,账户名,0)),""))</f>
        <v/>
      </c>
      <c r="D225" s="12" t="str">
        <f>IF($B225="","",IFERROR(INDEX(账户币种,MATCH($B225,账户名,0)),""))</f>
        <v/>
      </c>
      <c r="E225" s="47"/>
      <c r="F225" s="12" t="str">
        <f>IF($E225="","",IFERROR(INDEX(类别属性,MATCH($E225,类别表,0)),""))</f>
        <v/>
      </c>
      <c r="G225" s="48"/>
      <c r="H225" s="48"/>
      <c r="I225" s="49"/>
      <c r="J225" s="24" t="str">
        <f>IF(OR($A225="",$B225=""),"",IF($I225&lt;&gt;"",$I225,IF($D225=本位币,1,IFERROR(LOOKUP(2,1/((汇率月份&lt;=$A225)*(INDEX(记账汇率区,0,MATCH($D225,汇率币种头,0))&lt;&gt;"")),INDEX(记账汇率区,0,MATCH($D225,汇率币种头,0))),""))))</f>
        <v/>
      </c>
      <c r="K225" s="23" t="str">
        <f t="shared" si="6"/>
        <v/>
      </c>
      <c r="L225" s="23" t="str">
        <f t="shared" si="7"/>
        <v/>
      </c>
      <c r="M225" s="23" t="str">
        <f>IF($B225="","",ROUND(SUMIF(账户名,$B225,账户期初)+SUMIFS($K$6:K225,$B$6:B225,$B225),2))</f>
        <v/>
      </c>
      <c r="N225" s="23" t="str">
        <f>IF($B225="","",IFERROR(ROUND(INDEX(账户期初本位,MATCH($B225,账户名,0))+SUMIFS($L$6:L225,$B$6:B225,$B225),2),""))</f>
        <v/>
      </c>
      <c r="O225" s="46"/>
      <c r="P225" s="47"/>
      <c r="Q225" s="46"/>
      <c r="R225" s="46"/>
      <c r="S225" s="6" t="str">
        <f>IF($B225="","",IF(ISNA(MATCH($B225,账户名,0)),"※这个账户不在【参数设置】的账户档案里",IF($A225="","※没填日期，这一笔不会进任何月份的报表",IF(AND($G225&lt;&gt;"",$H225&lt;&gt;""),"※收入和支出不能同时填",IF(AND(N($G225)=0,N($H225)=0),"※收入和支出都没填",IF($E225="","※没填收支类别，分类报表会漏掉这一笔",IF(ISNA(MATCH($E225,类别表,0)),"※收支类别不在【参数设置】的清单里",IF($J225="","△"&amp;$D225&amp;" 还没填汇率，去【月度汇率】补上就自动算了",IF(YEAR($A225)&lt;&gt;管理年度,"△不是管理年度的单据，年报里看不到",IF(AND($F225="内部转账",$Q225=""),"△内部转账建议在「往来单位」写上对方账户",IF($M225&lt;0,"△这一笔之后该账户余额成负数了，核一下","")))))))))))</f>
        <v/>
      </c>
    </row>
    <row r="226" ht="16.5" spans="1:19">
      <c r="A226" s="45"/>
      <c r="B226" s="46"/>
      <c r="C226" s="12" t="str">
        <f>IF($B226="","",IFERROR(INDEX(账户银行,MATCH($B226,账户名,0)),""))</f>
        <v/>
      </c>
      <c r="D226" s="12" t="str">
        <f>IF($B226="","",IFERROR(INDEX(账户币种,MATCH($B226,账户名,0)),""))</f>
        <v/>
      </c>
      <c r="E226" s="47"/>
      <c r="F226" s="12" t="str">
        <f>IF($E226="","",IFERROR(INDEX(类别属性,MATCH($E226,类别表,0)),""))</f>
        <v/>
      </c>
      <c r="G226" s="48"/>
      <c r="H226" s="48"/>
      <c r="I226" s="49"/>
      <c r="J226" s="24" t="str">
        <f>IF(OR($A226="",$B226=""),"",IF($I226&lt;&gt;"",$I226,IF($D226=本位币,1,IFERROR(LOOKUP(2,1/((汇率月份&lt;=$A226)*(INDEX(记账汇率区,0,MATCH($D226,汇率币种头,0))&lt;&gt;"")),INDEX(记账汇率区,0,MATCH($D226,汇率币种头,0))),""))))</f>
        <v/>
      </c>
      <c r="K226" s="23" t="str">
        <f t="shared" si="6"/>
        <v/>
      </c>
      <c r="L226" s="23" t="str">
        <f t="shared" si="7"/>
        <v/>
      </c>
      <c r="M226" s="23" t="str">
        <f>IF($B226="","",ROUND(SUMIF(账户名,$B226,账户期初)+SUMIFS($K$6:K226,$B$6:B226,$B226),2))</f>
        <v/>
      </c>
      <c r="N226" s="23" t="str">
        <f>IF($B226="","",IFERROR(ROUND(INDEX(账户期初本位,MATCH($B226,账户名,0))+SUMIFS($L$6:L226,$B$6:B226,$B226),2),""))</f>
        <v/>
      </c>
      <c r="O226" s="46"/>
      <c r="P226" s="47"/>
      <c r="Q226" s="46"/>
      <c r="R226" s="46"/>
      <c r="S226" s="6" t="str">
        <f>IF($B226="","",IF(ISNA(MATCH($B226,账户名,0)),"※这个账户不在【参数设置】的账户档案里",IF($A226="","※没填日期，这一笔不会进任何月份的报表",IF(AND($G226&lt;&gt;"",$H226&lt;&gt;""),"※收入和支出不能同时填",IF(AND(N($G226)=0,N($H226)=0),"※收入和支出都没填",IF($E226="","※没填收支类别，分类报表会漏掉这一笔",IF(ISNA(MATCH($E226,类别表,0)),"※收支类别不在【参数设置】的清单里",IF($J226="","△"&amp;$D226&amp;" 还没填汇率，去【月度汇率】补上就自动算了",IF(YEAR($A226)&lt;&gt;管理年度,"△不是管理年度的单据，年报里看不到",IF(AND($F226="内部转账",$Q226=""),"△内部转账建议在「往来单位」写上对方账户",IF($M226&lt;0,"△这一笔之后该账户余额成负数了，核一下","")))))))))))</f>
        <v/>
      </c>
    </row>
    <row r="227" ht="16.5" spans="1:19">
      <c r="A227" s="45"/>
      <c r="B227" s="46"/>
      <c r="C227" s="12" t="str">
        <f>IF($B227="","",IFERROR(INDEX(账户银行,MATCH($B227,账户名,0)),""))</f>
        <v/>
      </c>
      <c r="D227" s="12" t="str">
        <f>IF($B227="","",IFERROR(INDEX(账户币种,MATCH($B227,账户名,0)),""))</f>
        <v/>
      </c>
      <c r="E227" s="47"/>
      <c r="F227" s="12" t="str">
        <f>IF($E227="","",IFERROR(INDEX(类别属性,MATCH($E227,类别表,0)),""))</f>
        <v/>
      </c>
      <c r="G227" s="48"/>
      <c r="H227" s="48"/>
      <c r="I227" s="49"/>
      <c r="J227" s="24" t="str">
        <f>IF(OR($A227="",$B227=""),"",IF($I227&lt;&gt;"",$I227,IF($D227=本位币,1,IFERROR(LOOKUP(2,1/((汇率月份&lt;=$A227)*(INDEX(记账汇率区,0,MATCH($D227,汇率币种头,0))&lt;&gt;"")),INDEX(记账汇率区,0,MATCH($D227,汇率币种头,0))),""))))</f>
        <v/>
      </c>
      <c r="K227" s="23" t="str">
        <f t="shared" si="6"/>
        <v/>
      </c>
      <c r="L227" s="23" t="str">
        <f t="shared" si="7"/>
        <v/>
      </c>
      <c r="M227" s="23" t="str">
        <f>IF($B227="","",ROUND(SUMIF(账户名,$B227,账户期初)+SUMIFS($K$6:K227,$B$6:B227,$B227),2))</f>
        <v/>
      </c>
      <c r="N227" s="23" t="str">
        <f>IF($B227="","",IFERROR(ROUND(INDEX(账户期初本位,MATCH($B227,账户名,0))+SUMIFS($L$6:L227,$B$6:B227,$B227),2),""))</f>
        <v/>
      </c>
      <c r="O227" s="46"/>
      <c r="P227" s="47"/>
      <c r="Q227" s="46"/>
      <c r="R227" s="46"/>
      <c r="S227" s="6" t="str">
        <f>IF($B227="","",IF(ISNA(MATCH($B227,账户名,0)),"※这个账户不在【参数设置】的账户档案里",IF($A227="","※没填日期，这一笔不会进任何月份的报表",IF(AND($G227&lt;&gt;"",$H227&lt;&gt;""),"※收入和支出不能同时填",IF(AND(N($G227)=0,N($H227)=0),"※收入和支出都没填",IF($E227="","※没填收支类别，分类报表会漏掉这一笔",IF(ISNA(MATCH($E227,类别表,0)),"※收支类别不在【参数设置】的清单里",IF($J227="","△"&amp;$D227&amp;" 还没填汇率，去【月度汇率】补上就自动算了",IF(YEAR($A227)&lt;&gt;管理年度,"△不是管理年度的单据，年报里看不到",IF(AND($F227="内部转账",$Q227=""),"△内部转账建议在「往来单位」写上对方账户",IF($M227&lt;0,"△这一笔之后该账户余额成负数了，核一下","")))))))))))</f>
        <v/>
      </c>
    </row>
    <row r="228" ht="16.5" spans="1:19">
      <c r="A228" s="45"/>
      <c r="B228" s="46"/>
      <c r="C228" s="12" t="str">
        <f>IF($B228="","",IFERROR(INDEX(账户银行,MATCH($B228,账户名,0)),""))</f>
        <v/>
      </c>
      <c r="D228" s="12" t="str">
        <f>IF($B228="","",IFERROR(INDEX(账户币种,MATCH($B228,账户名,0)),""))</f>
        <v/>
      </c>
      <c r="E228" s="47"/>
      <c r="F228" s="12" t="str">
        <f>IF($E228="","",IFERROR(INDEX(类别属性,MATCH($E228,类别表,0)),""))</f>
        <v/>
      </c>
      <c r="G228" s="48"/>
      <c r="H228" s="48"/>
      <c r="I228" s="49"/>
      <c r="J228" s="24" t="str">
        <f>IF(OR($A228="",$B228=""),"",IF($I228&lt;&gt;"",$I228,IF($D228=本位币,1,IFERROR(LOOKUP(2,1/((汇率月份&lt;=$A228)*(INDEX(记账汇率区,0,MATCH($D228,汇率币种头,0))&lt;&gt;"")),INDEX(记账汇率区,0,MATCH($D228,汇率币种头,0))),""))))</f>
        <v/>
      </c>
      <c r="K228" s="23" t="str">
        <f t="shared" si="6"/>
        <v/>
      </c>
      <c r="L228" s="23" t="str">
        <f t="shared" si="7"/>
        <v/>
      </c>
      <c r="M228" s="23" t="str">
        <f>IF($B228="","",ROUND(SUMIF(账户名,$B228,账户期初)+SUMIFS($K$6:K228,$B$6:B228,$B228),2))</f>
        <v/>
      </c>
      <c r="N228" s="23" t="str">
        <f>IF($B228="","",IFERROR(ROUND(INDEX(账户期初本位,MATCH($B228,账户名,0))+SUMIFS($L$6:L228,$B$6:B228,$B228),2),""))</f>
        <v/>
      </c>
      <c r="O228" s="46"/>
      <c r="P228" s="47"/>
      <c r="Q228" s="46"/>
      <c r="R228" s="46"/>
      <c r="S228" s="6" t="str">
        <f>IF($B228="","",IF(ISNA(MATCH($B228,账户名,0)),"※这个账户不在【参数设置】的账户档案里",IF($A228="","※没填日期，这一笔不会进任何月份的报表",IF(AND($G228&lt;&gt;"",$H228&lt;&gt;""),"※收入和支出不能同时填",IF(AND(N($G228)=0,N($H228)=0),"※收入和支出都没填",IF($E228="","※没填收支类别，分类报表会漏掉这一笔",IF(ISNA(MATCH($E228,类别表,0)),"※收支类别不在【参数设置】的清单里",IF($J228="","△"&amp;$D228&amp;" 还没填汇率，去【月度汇率】补上就自动算了",IF(YEAR($A228)&lt;&gt;管理年度,"△不是管理年度的单据，年报里看不到",IF(AND($F228="内部转账",$Q228=""),"△内部转账建议在「往来单位」写上对方账户",IF($M228&lt;0,"△这一笔之后该账户余额成负数了，核一下","")))))))))))</f>
        <v/>
      </c>
    </row>
    <row r="229" ht="16.5" spans="1:19">
      <c r="A229" s="45"/>
      <c r="B229" s="46"/>
      <c r="C229" s="12" t="str">
        <f>IF($B229="","",IFERROR(INDEX(账户银行,MATCH($B229,账户名,0)),""))</f>
        <v/>
      </c>
      <c r="D229" s="12" t="str">
        <f>IF($B229="","",IFERROR(INDEX(账户币种,MATCH($B229,账户名,0)),""))</f>
        <v/>
      </c>
      <c r="E229" s="47"/>
      <c r="F229" s="12" t="str">
        <f>IF($E229="","",IFERROR(INDEX(类别属性,MATCH($E229,类别表,0)),""))</f>
        <v/>
      </c>
      <c r="G229" s="48"/>
      <c r="H229" s="48"/>
      <c r="I229" s="49"/>
      <c r="J229" s="24" t="str">
        <f>IF(OR($A229="",$B229=""),"",IF($I229&lt;&gt;"",$I229,IF($D229=本位币,1,IFERROR(LOOKUP(2,1/((汇率月份&lt;=$A229)*(INDEX(记账汇率区,0,MATCH($D229,汇率币种头,0))&lt;&gt;"")),INDEX(记账汇率区,0,MATCH($D229,汇率币种头,0))),""))))</f>
        <v/>
      </c>
      <c r="K229" s="23" t="str">
        <f t="shared" si="6"/>
        <v/>
      </c>
      <c r="L229" s="23" t="str">
        <f t="shared" si="7"/>
        <v/>
      </c>
      <c r="M229" s="23" t="str">
        <f>IF($B229="","",ROUND(SUMIF(账户名,$B229,账户期初)+SUMIFS($K$6:K229,$B$6:B229,$B229),2))</f>
        <v/>
      </c>
      <c r="N229" s="23" t="str">
        <f>IF($B229="","",IFERROR(ROUND(INDEX(账户期初本位,MATCH($B229,账户名,0))+SUMIFS($L$6:L229,$B$6:B229,$B229),2),""))</f>
        <v/>
      </c>
      <c r="O229" s="46"/>
      <c r="P229" s="47"/>
      <c r="Q229" s="46"/>
      <c r="R229" s="46"/>
      <c r="S229" s="6" t="str">
        <f>IF($B229="","",IF(ISNA(MATCH($B229,账户名,0)),"※这个账户不在【参数设置】的账户档案里",IF($A229="","※没填日期，这一笔不会进任何月份的报表",IF(AND($G229&lt;&gt;"",$H229&lt;&gt;""),"※收入和支出不能同时填",IF(AND(N($G229)=0,N($H229)=0),"※收入和支出都没填",IF($E229="","※没填收支类别，分类报表会漏掉这一笔",IF(ISNA(MATCH($E229,类别表,0)),"※收支类别不在【参数设置】的清单里",IF($J229="","△"&amp;$D229&amp;" 还没填汇率，去【月度汇率】补上就自动算了",IF(YEAR($A229)&lt;&gt;管理年度,"△不是管理年度的单据，年报里看不到",IF(AND($F229="内部转账",$Q229=""),"△内部转账建议在「往来单位」写上对方账户",IF($M229&lt;0,"△这一笔之后该账户余额成负数了，核一下","")))))))))))</f>
        <v/>
      </c>
    </row>
    <row r="230" ht="16.5" spans="1:19">
      <c r="A230" s="45"/>
      <c r="B230" s="46"/>
      <c r="C230" s="12" t="str">
        <f>IF($B230="","",IFERROR(INDEX(账户银行,MATCH($B230,账户名,0)),""))</f>
        <v/>
      </c>
      <c r="D230" s="12" t="str">
        <f>IF($B230="","",IFERROR(INDEX(账户币种,MATCH($B230,账户名,0)),""))</f>
        <v/>
      </c>
      <c r="E230" s="47"/>
      <c r="F230" s="12" t="str">
        <f>IF($E230="","",IFERROR(INDEX(类别属性,MATCH($E230,类别表,0)),""))</f>
        <v/>
      </c>
      <c r="G230" s="48"/>
      <c r="H230" s="48"/>
      <c r="I230" s="49"/>
      <c r="J230" s="24" t="str">
        <f>IF(OR($A230="",$B230=""),"",IF($I230&lt;&gt;"",$I230,IF($D230=本位币,1,IFERROR(LOOKUP(2,1/((汇率月份&lt;=$A230)*(INDEX(记账汇率区,0,MATCH($D230,汇率币种头,0))&lt;&gt;"")),INDEX(记账汇率区,0,MATCH($D230,汇率币种头,0))),""))))</f>
        <v/>
      </c>
      <c r="K230" s="23" t="str">
        <f t="shared" si="6"/>
        <v/>
      </c>
      <c r="L230" s="23" t="str">
        <f t="shared" si="7"/>
        <v/>
      </c>
      <c r="M230" s="23" t="str">
        <f>IF($B230="","",ROUND(SUMIF(账户名,$B230,账户期初)+SUMIFS($K$6:K230,$B$6:B230,$B230),2))</f>
        <v/>
      </c>
      <c r="N230" s="23" t="str">
        <f>IF($B230="","",IFERROR(ROUND(INDEX(账户期初本位,MATCH($B230,账户名,0))+SUMIFS($L$6:L230,$B$6:B230,$B230),2),""))</f>
        <v/>
      </c>
      <c r="O230" s="46"/>
      <c r="P230" s="47"/>
      <c r="Q230" s="46"/>
      <c r="R230" s="46"/>
      <c r="S230" s="6" t="str">
        <f>IF($B230="","",IF(ISNA(MATCH($B230,账户名,0)),"※这个账户不在【参数设置】的账户档案里",IF($A230="","※没填日期，这一笔不会进任何月份的报表",IF(AND($G230&lt;&gt;"",$H230&lt;&gt;""),"※收入和支出不能同时填",IF(AND(N($G230)=0,N($H230)=0),"※收入和支出都没填",IF($E230="","※没填收支类别，分类报表会漏掉这一笔",IF(ISNA(MATCH($E230,类别表,0)),"※收支类别不在【参数设置】的清单里",IF($J230="","△"&amp;$D230&amp;" 还没填汇率，去【月度汇率】补上就自动算了",IF(YEAR($A230)&lt;&gt;管理年度,"△不是管理年度的单据，年报里看不到",IF(AND($F230="内部转账",$Q230=""),"△内部转账建议在「往来单位」写上对方账户",IF($M230&lt;0,"△这一笔之后该账户余额成负数了，核一下","")))))))))))</f>
        <v/>
      </c>
    </row>
    <row r="231" ht="16.5" spans="1:19">
      <c r="A231" s="45"/>
      <c r="B231" s="46"/>
      <c r="C231" s="12" t="str">
        <f>IF($B231="","",IFERROR(INDEX(账户银行,MATCH($B231,账户名,0)),""))</f>
        <v/>
      </c>
      <c r="D231" s="12" t="str">
        <f>IF($B231="","",IFERROR(INDEX(账户币种,MATCH($B231,账户名,0)),""))</f>
        <v/>
      </c>
      <c r="E231" s="47"/>
      <c r="F231" s="12" t="str">
        <f>IF($E231="","",IFERROR(INDEX(类别属性,MATCH($E231,类别表,0)),""))</f>
        <v/>
      </c>
      <c r="G231" s="48"/>
      <c r="H231" s="48"/>
      <c r="I231" s="49"/>
      <c r="J231" s="24" t="str">
        <f>IF(OR($A231="",$B231=""),"",IF($I231&lt;&gt;"",$I231,IF($D231=本位币,1,IFERROR(LOOKUP(2,1/((汇率月份&lt;=$A231)*(INDEX(记账汇率区,0,MATCH($D231,汇率币种头,0))&lt;&gt;"")),INDEX(记账汇率区,0,MATCH($D231,汇率币种头,0))),""))))</f>
        <v/>
      </c>
      <c r="K231" s="23" t="str">
        <f t="shared" si="6"/>
        <v/>
      </c>
      <c r="L231" s="23" t="str">
        <f t="shared" si="7"/>
        <v/>
      </c>
      <c r="M231" s="23" t="str">
        <f>IF($B231="","",ROUND(SUMIF(账户名,$B231,账户期初)+SUMIFS($K$6:K231,$B$6:B231,$B231),2))</f>
        <v/>
      </c>
      <c r="N231" s="23" t="str">
        <f>IF($B231="","",IFERROR(ROUND(INDEX(账户期初本位,MATCH($B231,账户名,0))+SUMIFS($L$6:L231,$B$6:B231,$B231),2),""))</f>
        <v/>
      </c>
      <c r="O231" s="46"/>
      <c r="P231" s="47"/>
      <c r="Q231" s="46"/>
      <c r="R231" s="46"/>
      <c r="S231" s="6" t="str">
        <f>IF($B231="","",IF(ISNA(MATCH($B231,账户名,0)),"※这个账户不在【参数设置】的账户档案里",IF($A231="","※没填日期，这一笔不会进任何月份的报表",IF(AND($G231&lt;&gt;"",$H231&lt;&gt;""),"※收入和支出不能同时填",IF(AND(N($G231)=0,N($H231)=0),"※收入和支出都没填",IF($E231="","※没填收支类别，分类报表会漏掉这一笔",IF(ISNA(MATCH($E231,类别表,0)),"※收支类别不在【参数设置】的清单里",IF($J231="","△"&amp;$D231&amp;" 还没填汇率，去【月度汇率】补上就自动算了",IF(YEAR($A231)&lt;&gt;管理年度,"△不是管理年度的单据，年报里看不到",IF(AND($F231="内部转账",$Q231=""),"△内部转账建议在「往来单位」写上对方账户",IF($M231&lt;0,"△这一笔之后该账户余额成负数了，核一下","")))))))))))</f>
        <v/>
      </c>
    </row>
    <row r="232" ht="16.5" spans="1:19">
      <c r="A232" s="45"/>
      <c r="B232" s="46"/>
      <c r="C232" s="12" t="str">
        <f>IF($B232="","",IFERROR(INDEX(账户银行,MATCH($B232,账户名,0)),""))</f>
        <v/>
      </c>
      <c r="D232" s="12" t="str">
        <f>IF($B232="","",IFERROR(INDEX(账户币种,MATCH($B232,账户名,0)),""))</f>
        <v/>
      </c>
      <c r="E232" s="47"/>
      <c r="F232" s="12" t="str">
        <f>IF($E232="","",IFERROR(INDEX(类别属性,MATCH($E232,类别表,0)),""))</f>
        <v/>
      </c>
      <c r="G232" s="48"/>
      <c r="H232" s="48"/>
      <c r="I232" s="49"/>
      <c r="J232" s="24" t="str">
        <f>IF(OR($A232="",$B232=""),"",IF($I232&lt;&gt;"",$I232,IF($D232=本位币,1,IFERROR(LOOKUP(2,1/((汇率月份&lt;=$A232)*(INDEX(记账汇率区,0,MATCH($D232,汇率币种头,0))&lt;&gt;"")),INDEX(记账汇率区,0,MATCH($D232,汇率币种头,0))),""))))</f>
        <v/>
      </c>
      <c r="K232" s="23" t="str">
        <f t="shared" si="6"/>
        <v/>
      </c>
      <c r="L232" s="23" t="str">
        <f t="shared" si="7"/>
        <v/>
      </c>
      <c r="M232" s="23" t="str">
        <f>IF($B232="","",ROUND(SUMIF(账户名,$B232,账户期初)+SUMIFS($K$6:K232,$B$6:B232,$B232),2))</f>
        <v/>
      </c>
      <c r="N232" s="23" t="str">
        <f>IF($B232="","",IFERROR(ROUND(INDEX(账户期初本位,MATCH($B232,账户名,0))+SUMIFS($L$6:L232,$B$6:B232,$B232),2),""))</f>
        <v/>
      </c>
      <c r="O232" s="46"/>
      <c r="P232" s="47"/>
      <c r="Q232" s="46"/>
      <c r="R232" s="46"/>
      <c r="S232" s="6" t="str">
        <f>IF($B232="","",IF(ISNA(MATCH($B232,账户名,0)),"※这个账户不在【参数设置】的账户档案里",IF($A232="","※没填日期，这一笔不会进任何月份的报表",IF(AND($G232&lt;&gt;"",$H232&lt;&gt;""),"※收入和支出不能同时填",IF(AND(N($G232)=0,N($H232)=0),"※收入和支出都没填",IF($E232="","※没填收支类别，分类报表会漏掉这一笔",IF(ISNA(MATCH($E232,类别表,0)),"※收支类别不在【参数设置】的清单里",IF($J232="","△"&amp;$D232&amp;" 还没填汇率，去【月度汇率】补上就自动算了",IF(YEAR($A232)&lt;&gt;管理年度,"△不是管理年度的单据，年报里看不到",IF(AND($F232="内部转账",$Q232=""),"△内部转账建议在「往来单位」写上对方账户",IF($M232&lt;0,"△这一笔之后该账户余额成负数了，核一下","")))))))))))</f>
        <v/>
      </c>
    </row>
    <row r="233" ht="16.5" spans="1:19">
      <c r="A233" s="45"/>
      <c r="B233" s="46"/>
      <c r="C233" s="12" t="str">
        <f>IF($B233="","",IFERROR(INDEX(账户银行,MATCH($B233,账户名,0)),""))</f>
        <v/>
      </c>
      <c r="D233" s="12" t="str">
        <f>IF($B233="","",IFERROR(INDEX(账户币种,MATCH($B233,账户名,0)),""))</f>
        <v/>
      </c>
      <c r="E233" s="47"/>
      <c r="F233" s="12" t="str">
        <f>IF($E233="","",IFERROR(INDEX(类别属性,MATCH($E233,类别表,0)),""))</f>
        <v/>
      </c>
      <c r="G233" s="48"/>
      <c r="H233" s="48"/>
      <c r="I233" s="49"/>
      <c r="J233" s="24" t="str">
        <f>IF(OR($A233="",$B233=""),"",IF($I233&lt;&gt;"",$I233,IF($D233=本位币,1,IFERROR(LOOKUP(2,1/((汇率月份&lt;=$A233)*(INDEX(记账汇率区,0,MATCH($D233,汇率币种头,0))&lt;&gt;"")),INDEX(记账汇率区,0,MATCH($D233,汇率币种头,0))),""))))</f>
        <v/>
      </c>
      <c r="K233" s="23" t="str">
        <f t="shared" si="6"/>
        <v/>
      </c>
      <c r="L233" s="23" t="str">
        <f t="shared" si="7"/>
        <v/>
      </c>
      <c r="M233" s="23" t="str">
        <f>IF($B233="","",ROUND(SUMIF(账户名,$B233,账户期初)+SUMIFS($K$6:K233,$B$6:B233,$B233),2))</f>
        <v/>
      </c>
      <c r="N233" s="23" t="str">
        <f>IF($B233="","",IFERROR(ROUND(INDEX(账户期初本位,MATCH($B233,账户名,0))+SUMIFS($L$6:L233,$B$6:B233,$B233),2),""))</f>
        <v/>
      </c>
      <c r="O233" s="46"/>
      <c r="P233" s="47"/>
      <c r="Q233" s="46"/>
      <c r="R233" s="46"/>
      <c r="S233" s="6" t="str">
        <f>IF($B233="","",IF(ISNA(MATCH($B233,账户名,0)),"※这个账户不在【参数设置】的账户档案里",IF($A233="","※没填日期，这一笔不会进任何月份的报表",IF(AND($G233&lt;&gt;"",$H233&lt;&gt;""),"※收入和支出不能同时填",IF(AND(N($G233)=0,N($H233)=0),"※收入和支出都没填",IF($E233="","※没填收支类别，分类报表会漏掉这一笔",IF(ISNA(MATCH($E233,类别表,0)),"※收支类别不在【参数设置】的清单里",IF($J233="","△"&amp;$D233&amp;" 还没填汇率，去【月度汇率】补上就自动算了",IF(YEAR($A233)&lt;&gt;管理年度,"△不是管理年度的单据，年报里看不到",IF(AND($F233="内部转账",$Q233=""),"△内部转账建议在「往来单位」写上对方账户",IF($M233&lt;0,"△这一笔之后该账户余额成负数了，核一下","")))))))))))</f>
        <v/>
      </c>
    </row>
    <row r="234" ht="16.5" spans="1:19">
      <c r="A234" s="45"/>
      <c r="B234" s="46"/>
      <c r="C234" s="12" t="str">
        <f>IF($B234="","",IFERROR(INDEX(账户银行,MATCH($B234,账户名,0)),""))</f>
        <v/>
      </c>
      <c r="D234" s="12" t="str">
        <f>IF($B234="","",IFERROR(INDEX(账户币种,MATCH($B234,账户名,0)),""))</f>
        <v/>
      </c>
      <c r="E234" s="47"/>
      <c r="F234" s="12" t="str">
        <f>IF($E234="","",IFERROR(INDEX(类别属性,MATCH($E234,类别表,0)),""))</f>
        <v/>
      </c>
      <c r="G234" s="48"/>
      <c r="H234" s="48"/>
      <c r="I234" s="49"/>
      <c r="J234" s="24" t="str">
        <f>IF(OR($A234="",$B234=""),"",IF($I234&lt;&gt;"",$I234,IF($D234=本位币,1,IFERROR(LOOKUP(2,1/((汇率月份&lt;=$A234)*(INDEX(记账汇率区,0,MATCH($D234,汇率币种头,0))&lt;&gt;"")),INDEX(记账汇率区,0,MATCH($D234,汇率币种头,0))),""))))</f>
        <v/>
      </c>
      <c r="K234" s="23" t="str">
        <f t="shared" si="6"/>
        <v/>
      </c>
      <c r="L234" s="23" t="str">
        <f t="shared" si="7"/>
        <v/>
      </c>
      <c r="M234" s="23" t="str">
        <f>IF($B234="","",ROUND(SUMIF(账户名,$B234,账户期初)+SUMIFS($K$6:K234,$B$6:B234,$B234),2))</f>
        <v/>
      </c>
      <c r="N234" s="23" t="str">
        <f>IF($B234="","",IFERROR(ROUND(INDEX(账户期初本位,MATCH($B234,账户名,0))+SUMIFS($L$6:L234,$B$6:B234,$B234),2),""))</f>
        <v/>
      </c>
      <c r="O234" s="46"/>
      <c r="P234" s="47"/>
      <c r="Q234" s="46"/>
      <c r="R234" s="46"/>
      <c r="S234" s="6" t="str">
        <f>IF($B234="","",IF(ISNA(MATCH($B234,账户名,0)),"※这个账户不在【参数设置】的账户档案里",IF($A234="","※没填日期，这一笔不会进任何月份的报表",IF(AND($G234&lt;&gt;"",$H234&lt;&gt;""),"※收入和支出不能同时填",IF(AND(N($G234)=0,N($H234)=0),"※收入和支出都没填",IF($E234="","※没填收支类别，分类报表会漏掉这一笔",IF(ISNA(MATCH($E234,类别表,0)),"※收支类别不在【参数设置】的清单里",IF($J234="","△"&amp;$D234&amp;" 还没填汇率，去【月度汇率】补上就自动算了",IF(YEAR($A234)&lt;&gt;管理年度,"△不是管理年度的单据，年报里看不到",IF(AND($F234="内部转账",$Q234=""),"△内部转账建议在「往来单位」写上对方账户",IF($M234&lt;0,"△这一笔之后该账户余额成负数了，核一下","")))))))))))</f>
        <v/>
      </c>
    </row>
    <row r="235" ht="16.5" spans="1:19">
      <c r="A235" s="45"/>
      <c r="B235" s="46"/>
      <c r="C235" s="12" t="str">
        <f>IF($B235="","",IFERROR(INDEX(账户银行,MATCH($B235,账户名,0)),""))</f>
        <v/>
      </c>
      <c r="D235" s="12" t="str">
        <f>IF($B235="","",IFERROR(INDEX(账户币种,MATCH($B235,账户名,0)),""))</f>
        <v/>
      </c>
      <c r="E235" s="47"/>
      <c r="F235" s="12" t="str">
        <f>IF($E235="","",IFERROR(INDEX(类别属性,MATCH($E235,类别表,0)),""))</f>
        <v/>
      </c>
      <c r="G235" s="48"/>
      <c r="H235" s="48"/>
      <c r="I235" s="49"/>
      <c r="J235" s="24" t="str">
        <f>IF(OR($A235="",$B235=""),"",IF($I235&lt;&gt;"",$I235,IF($D235=本位币,1,IFERROR(LOOKUP(2,1/((汇率月份&lt;=$A235)*(INDEX(记账汇率区,0,MATCH($D235,汇率币种头,0))&lt;&gt;"")),INDEX(记账汇率区,0,MATCH($D235,汇率币种头,0))),""))))</f>
        <v/>
      </c>
      <c r="K235" s="23" t="str">
        <f t="shared" si="6"/>
        <v/>
      </c>
      <c r="L235" s="23" t="str">
        <f t="shared" si="7"/>
        <v/>
      </c>
      <c r="M235" s="23" t="str">
        <f>IF($B235="","",ROUND(SUMIF(账户名,$B235,账户期初)+SUMIFS($K$6:K235,$B$6:B235,$B235),2))</f>
        <v/>
      </c>
      <c r="N235" s="23" t="str">
        <f>IF($B235="","",IFERROR(ROUND(INDEX(账户期初本位,MATCH($B235,账户名,0))+SUMIFS($L$6:L235,$B$6:B235,$B235),2),""))</f>
        <v/>
      </c>
      <c r="O235" s="46"/>
      <c r="P235" s="47"/>
      <c r="Q235" s="46"/>
      <c r="R235" s="46"/>
      <c r="S235" s="6" t="str">
        <f>IF($B235="","",IF(ISNA(MATCH($B235,账户名,0)),"※这个账户不在【参数设置】的账户档案里",IF($A235="","※没填日期，这一笔不会进任何月份的报表",IF(AND($G235&lt;&gt;"",$H235&lt;&gt;""),"※收入和支出不能同时填",IF(AND(N($G235)=0,N($H235)=0),"※收入和支出都没填",IF($E235="","※没填收支类别，分类报表会漏掉这一笔",IF(ISNA(MATCH($E235,类别表,0)),"※收支类别不在【参数设置】的清单里",IF($J235="","△"&amp;$D235&amp;" 还没填汇率，去【月度汇率】补上就自动算了",IF(YEAR($A235)&lt;&gt;管理年度,"△不是管理年度的单据，年报里看不到",IF(AND($F235="内部转账",$Q235=""),"△内部转账建议在「往来单位」写上对方账户",IF($M235&lt;0,"△这一笔之后该账户余额成负数了，核一下","")))))))))))</f>
        <v/>
      </c>
    </row>
    <row r="236" ht="16.5" spans="1:19">
      <c r="A236" s="45"/>
      <c r="B236" s="46"/>
      <c r="C236" s="12" t="str">
        <f>IF($B236="","",IFERROR(INDEX(账户银行,MATCH($B236,账户名,0)),""))</f>
        <v/>
      </c>
      <c r="D236" s="12" t="str">
        <f>IF($B236="","",IFERROR(INDEX(账户币种,MATCH($B236,账户名,0)),""))</f>
        <v/>
      </c>
      <c r="E236" s="47"/>
      <c r="F236" s="12" t="str">
        <f>IF($E236="","",IFERROR(INDEX(类别属性,MATCH($E236,类别表,0)),""))</f>
        <v/>
      </c>
      <c r="G236" s="48"/>
      <c r="H236" s="48"/>
      <c r="I236" s="49"/>
      <c r="J236" s="24" t="str">
        <f>IF(OR($A236="",$B236=""),"",IF($I236&lt;&gt;"",$I236,IF($D236=本位币,1,IFERROR(LOOKUP(2,1/((汇率月份&lt;=$A236)*(INDEX(记账汇率区,0,MATCH($D236,汇率币种头,0))&lt;&gt;"")),INDEX(记账汇率区,0,MATCH($D236,汇率币种头,0))),""))))</f>
        <v/>
      </c>
      <c r="K236" s="23" t="str">
        <f t="shared" si="6"/>
        <v/>
      </c>
      <c r="L236" s="23" t="str">
        <f t="shared" si="7"/>
        <v/>
      </c>
      <c r="M236" s="23" t="str">
        <f>IF($B236="","",ROUND(SUMIF(账户名,$B236,账户期初)+SUMIFS($K$6:K236,$B$6:B236,$B236),2))</f>
        <v/>
      </c>
      <c r="N236" s="23" t="str">
        <f>IF($B236="","",IFERROR(ROUND(INDEX(账户期初本位,MATCH($B236,账户名,0))+SUMIFS($L$6:L236,$B$6:B236,$B236),2),""))</f>
        <v/>
      </c>
      <c r="O236" s="46"/>
      <c r="P236" s="47"/>
      <c r="Q236" s="46"/>
      <c r="R236" s="46"/>
      <c r="S236" s="6" t="str">
        <f>IF($B236="","",IF(ISNA(MATCH($B236,账户名,0)),"※这个账户不在【参数设置】的账户档案里",IF($A236="","※没填日期，这一笔不会进任何月份的报表",IF(AND($G236&lt;&gt;"",$H236&lt;&gt;""),"※收入和支出不能同时填",IF(AND(N($G236)=0,N($H236)=0),"※收入和支出都没填",IF($E236="","※没填收支类别，分类报表会漏掉这一笔",IF(ISNA(MATCH($E236,类别表,0)),"※收支类别不在【参数设置】的清单里",IF($J236="","△"&amp;$D236&amp;" 还没填汇率，去【月度汇率】补上就自动算了",IF(YEAR($A236)&lt;&gt;管理年度,"△不是管理年度的单据，年报里看不到",IF(AND($F236="内部转账",$Q236=""),"△内部转账建议在「往来单位」写上对方账户",IF($M236&lt;0,"△这一笔之后该账户余额成负数了，核一下","")))))))))))</f>
        <v/>
      </c>
    </row>
    <row r="237" ht="16.5" spans="1:19">
      <c r="A237" s="45"/>
      <c r="B237" s="46"/>
      <c r="C237" s="12" t="str">
        <f>IF($B237="","",IFERROR(INDEX(账户银行,MATCH($B237,账户名,0)),""))</f>
        <v/>
      </c>
      <c r="D237" s="12" t="str">
        <f>IF($B237="","",IFERROR(INDEX(账户币种,MATCH($B237,账户名,0)),""))</f>
        <v/>
      </c>
      <c r="E237" s="47"/>
      <c r="F237" s="12" t="str">
        <f>IF($E237="","",IFERROR(INDEX(类别属性,MATCH($E237,类别表,0)),""))</f>
        <v/>
      </c>
      <c r="G237" s="48"/>
      <c r="H237" s="48"/>
      <c r="I237" s="49"/>
      <c r="J237" s="24" t="str">
        <f>IF(OR($A237="",$B237=""),"",IF($I237&lt;&gt;"",$I237,IF($D237=本位币,1,IFERROR(LOOKUP(2,1/((汇率月份&lt;=$A237)*(INDEX(记账汇率区,0,MATCH($D237,汇率币种头,0))&lt;&gt;"")),INDEX(记账汇率区,0,MATCH($D237,汇率币种头,0))),""))))</f>
        <v/>
      </c>
      <c r="K237" s="23" t="str">
        <f t="shared" si="6"/>
        <v/>
      </c>
      <c r="L237" s="23" t="str">
        <f t="shared" si="7"/>
        <v/>
      </c>
      <c r="M237" s="23" t="str">
        <f>IF($B237="","",ROUND(SUMIF(账户名,$B237,账户期初)+SUMIFS($K$6:K237,$B$6:B237,$B237),2))</f>
        <v/>
      </c>
      <c r="N237" s="23" t="str">
        <f>IF($B237="","",IFERROR(ROUND(INDEX(账户期初本位,MATCH($B237,账户名,0))+SUMIFS($L$6:L237,$B$6:B237,$B237),2),""))</f>
        <v/>
      </c>
      <c r="O237" s="46"/>
      <c r="P237" s="47"/>
      <c r="Q237" s="46"/>
      <c r="R237" s="46"/>
      <c r="S237" s="6" t="str">
        <f>IF($B237="","",IF(ISNA(MATCH($B237,账户名,0)),"※这个账户不在【参数设置】的账户档案里",IF($A237="","※没填日期，这一笔不会进任何月份的报表",IF(AND($G237&lt;&gt;"",$H237&lt;&gt;""),"※收入和支出不能同时填",IF(AND(N($G237)=0,N($H237)=0),"※收入和支出都没填",IF($E237="","※没填收支类别，分类报表会漏掉这一笔",IF(ISNA(MATCH($E237,类别表,0)),"※收支类别不在【参数设置】的清单里",IF($J237="","△"&amp;$D237&amp;" 还没填汇率，去【月度汇率】补上就自动算了",IF(YEAR($A237)&lt;&gt;管理年度,"△不是管理年度的单据，年报里看不到",IF(AND($F237="内部转账",$Q237=""),"△内部转账建议在「往来单位」写上对方账户",IF($M237&lt;0,"△这一笔之后该账户余额成负数了，核一下","")))))))))))</f>
        <v/>
      </c>
    </row>
    <row r="238" ht="16.5" spans="1:19">
      <c r="A238" s="45"/>
      <c r="B238" s="46"/>
      <c r="C238" s="12" t="str">
        <f>IF($B238="","",IFERROR(INDEX(账户银行,MATCH($B238,账户名,0)),""))</f>
        <v/>
      </c>
      <c r="D238" s="12" t="str">
        <f>IF($B238="","",IFERROR(INDEX(账户币种,MATCH($B238,账户名,0)),""))</f>
        <v/>
      </c>
      <c r="E238" s="47"/>
      <c r="F238" s="12" t="str">
        <f>IF($E238="","",IFERROR(INDEX(类别属性,MATCH($E238,类别表,0)),""))</f>
        <v/>
      </c>
      <c r="G238" s="48"/>
      <c r="H238" s="48"/>
      <c r="I238" s="49"/>
      <c r="J238" s="24" t="str">
        <f>IF(OR($A238="",$B238=""),"",IF($I238&lt;&gt;"",$I238,IF($D238=本位币,1,IFERROR(LOOKUP(2,1/((汇率月份&lt;=$A238)*(INDEX(记账汇率区,0,MATCH($D238,汇率币种头,0))&lt;&gt;"")),INDEX(记账汇率区,0,MATCH($D238,汇率币种头,0))),""))))</f>
        <v/>
      </c>
      <c r="K238" s="23" t="str">
        <f t="shared" si="6"/>
        <v/>
      </c>
      <c r="L238" s="23" t="str">
        <f t="shared" si="7"/>
        <v/>
      </c>
      <c r="M238" s="23" t="str">
        <f>IF($B238="","",ROUND(SUMIF(账户名,$B238,账户期初)+SUMIFS($K$6:K238,$B$6:B238,$B238),2))</f>
        <v/>
      </c>
      <c r="N238" s="23" t="str">
        <f>IF($B238="","",IFERROR(ROUND(INDEX(账户期初本位,MATCH($B238,账户名,0))+SUMIFS($L$6:L238,$B$6:B238,$B238),2),""))</f>
        <v/>
      </c>
      <c r="O238" s="46"/>
      <c r="P238" s="47"/>
      <c r="Q238" s="46"/>
      <c r="R238" s="46"/>
      <c r="S238" s="6" t="str">
        <f>IF($B238="","",IF(ISNA(MATCH($B238,账户名,0)),"※这个账户不在【参数设置】的账户档案里",IF($A238="","※没填日期，这一笔不会进任何月份的报表",IF(AND($G238&lt;&gt;"",$H238&lt;&gt;""),"※收入和支出不能同时填",IF(AND(N($G238)=0,N($H238)=0),"※收入和支出都没填",IF($E238="","※没填收支类别，分类报表会漏掉这一笔",IF(ISNA(MATCH($E238,类别表,0)),"※收支类别不在【参数设置】的清单里",IF($J238="","△"&amp;$D238&amp;" 还没填汇率，去【月度汇率】补上就自动算了",IF(YEAR($A238)&lt;&gt;管理年度,"△不是管理年度的单据，年报里看不到",IF(AND($F238="内部转账",$Q238=""),"△内部转账建议在「往来单位」写上对方账户",IF($M238&lt;0,"△这一笔之后该账户余额成负数了，核一下","")))))))))))</f>
        <v/>
      </c>
    </row>
    <row r="239" ht="16.5" spans="1:19">
      <c r="A239" s="45"/>
      <c r="B239" s="46"/>
      <c r="C239" s="12" t="str">
        <f>IF($B239="","",IFERROR(INDEX(账户银行,MATCH($B239,账户名,0)),""))</f>
        <v/>
      </c>
      <c r="D239" s="12" t="str">
        <f>IF($B239="","",IFERROR(INDEX(账户币种,MATCH($B239,账户名,0)),""))</f>
        <v/>
      </c>
      <c r="E239" s="47"/>
      <c r="F239" s="12" t="str">
        <f>IF($E239="","",IFERROR(INDEX(类别属性,MATCH($E239,类别表,0)),""))</f>
        <v/>
      </c>
      <c r="G239" s="48"/>
      <c r="H239" s="48"/>
      <c r="I239" s="49"/>
      <c r="J239" s="24" t="str">
        <f>IF(OR($A239="",$B239=""),"",IF($I239&lt;&gt;"",$I239,IF($D239=本位币,1,IFERROR(LOOKUP(2,1/((汇率月份&lt;=$A239)*(INDEX(记账汇率区,0,MATCH($D239,汇率币种头,0))&lt;&gt;"")),INDEX(记账汇率区,0,MATCH($D239,汇率币种头,0))),""))))</f>
        <v/>
      </c>
      <c r="K239" s="23" t="str">
        <f t="shared" si="6"/>
        <v/>
      </c>
      <c r="L239" s="23" t="str">
        <f t="shared" si="7"/>
        <v/>
      </c>
      <c r="M239" s="23" t="str">
        <f>IF($B239="","",ROUND(SUMIF(账户名,$B239,账户期初)+SUMIFS($K$6:K239,$B$6:B239,$B239),2))</f>
        <v/>
      </c>
      <c r="N239" s="23" t="str">
        <f>IF($B239="","",IFERROR(ROUND(INDEX(账户期初本位,MATCH($B239,账户名,0))+SUMIFS($L$6:L239,$B$6:B239,$B239),2),""))</f>
        <v/>
      </c>
      <c r="O239" s="46"/>
      <c r="P239" s="47"/>
      <c r="Q239" s="46"/>
      <c r="R239" s="46"/>
      <c r="S239" s="6" t="str">
        <f>IF($B239="","",IF(ISNA(MATCH($B239,账户名,0)),"※这个账户不在【参数设置】的账户档案里",IF($A239="","※没填日期，这一笔不会进任何月份的报表",IF(AND($G239&lt;&gt;"",$H239&lt;&gt;""),"※收入和支出不能同时填",IF(AND(N($G239)=0,N($H239)=0),"※收入和支出都没填",IF($E239="","※没填收支类别，分类报表会漏掉这一笔",IF(ISNA(MATCH($E239,类别表,0)),"※收支类别不在【参数设置】的清单里",IF($J239="","△"&amp;$D239&amp;" 还没填汇率，去【月度汇率】补上就自动算了",IF(YEAR($A239)&lt;&gt;管理年度,"△不是管理年度的单据，年报里看不到",IF(AND($F239="内部转账",$Q239=""),"△内部转账建议在「往来单位」写上对方账户",IF($M239&lt;0,"△这一笔之后该账户余额成负数了，核一下","")))))))))))</f>
        <v/>
      </c>
    </row>
    <row r="240" ht="16.5" spans="1:19">
      <c r="A240" s="45"/>
      <c r="B240" s="46"/>
      <c r="C240" s="12" t="str">
        <f>IF($B240="","",IFERROR(INDEX(账户银行,MATCH($B240,账户名,0)),""))</f>
        <v/>
      </c>
      <c r="D240" s="12" t="str">
        <f>IF($B240="","",IFERROR(INDEX(账户币种,MATCH($B240,账户名,0)),""))</f>
        <v/>
      </c>
      <c r="E240" s="47"/>
      <c r="F240" s="12" t="str">
        <f>IF($E240="","",IFERROR(INDEX(类别属性,MATCH($E240,类别表,0)),""))</f>
        <v/>
      </c>
      <c r="G240" s="48"/>
      <c r="H240" s="48"/>
      <c r="I240" s="49"/>
      <c r="J240" s="24" t="str">
        <f>IF(OR($A240="",$B240=""),"",IF($I240&lt;&gt;"",$I240,IF($D240=本位币,1,IFERROR(LOOKUP(2,1/((汇率月份&lt;=$A240)*(INDEX(记账汇率区,0,MATCH($D240,汇率币种头,0))&lt;&gt;"")),INDEX(记账汇率区,0,MATCH($D240,汇率币种头,0))),""))))</f>
        <v/>
      </c>
      <c r="K240" s="23" t="str">
        <f t="shared" si="6"/>
        <v/>
      </c>
      <c r="L240" s="23" t="str">
        <f t="shared" si="7"/>
        <v/>
      </c>
      <c r="M240" s="23" t="str">
        <f>IF($B240="","",ROUND(SUMIF(账户名,$B240,账户期初)+SUMIFS($K$6:K240,$B$6:B240,$B240),2))</f>
        <v/>
      </c>
      <c r="N240" s="23" t="str">
        <f>IF($B240="","",IFERROR(ROUND(INDEX(账户期初本位,MATCH($B240,账户名,0))+SUMIFS($L$6:L240,$B$6:B240,$B240),2),""))</f>
        <v/>
      </c>
      <c r="O240" s="46"/>
      <c r="P240" s="47"/>
      <c r="Q240" s="46"/>
      <c r="R240" s="46"/>
      <c r="S240" s="6" t="str">
        <f>IF($B240="","",IF(ISNA(MATCH($B240,账户名,0)),"※这个账户不在【参数设置】的账户档案里",IF($A240="","※没填日期，这一笔不会进任何月份的报表",IF(AND($G240&lt;&gt;"",$H240&lt;&gt;""),"※收入和支出不能同时填",IF(AND(N($G240)=0,N($H240)=0),"※收入和支出都没填",IF($E240="","※没填收支类别，分类报表会漏掉这一笔",IF(ISNA(MATCH($E240,类别表,0)),"※收支类别不在【参数设置】的清单里",IF($J240="","△"&amp;$D240&amp;" 还没填汇率，去【月度汇率】补上就自动算了",IF(YEAR($A240)&lt;&gt;管理年度,"△不是管理年度的单据，年报里看不到",IF(AND($F240="内部转账",$Q240=""),"△内部转账建议在「往来单位」写上对方账户",IF($M240&lt;0,"△这一笔之后该账户余额成负数了，核一下","")))))))))))</f>
        <v/>
      </c>
    </row>
    <row r="241" ht="16.5" spans="1:19">
      <c r="A241" s="45"/>
      <c r="B241" s="46"/>
      <c r="C241" s="12" t="str">
        <f>IF($B241="","",IFERROR(INDEX(账户银行,MATCH($B241,账户名,0)),""))</f>
        <v/>
      </c>
      <c r="D241" s="12" t="str">
        <f>IF($B241="","",IFERROR(INDEX(账户币种,MATCH($B241,账户名,0)),""))</f>
        <v/>
      </c>
      <c r="E241" s="47"/>
      <c r="F241" s="12" t="str">
        <f>IF($E241="","",IFERROR(INDEX(类别属性,MATCH($E241,类别表,0)),""))</f>
        <v/>
      </c>
      <c r="G241" s="48"/>
      <c r="H241" s="48"/>
      <c r="I241" s="49"/>
      <c r="J241" s="24" t="str">
        <f>IF(OR($A241="",$B241=""),"",IF($I241&lt;&gt;"",$I241,IF($D241=本位币,1,IFERROR(LOOKUP(2,1/((汇率月份&lt;=$A241)*(INDEX(记账汇率区,0,MATCH($D241,汇率币种头,0))&lt;&gt;"")),INDEX(记账汇率区,0,MATCH($D241,汇率币种头,0))),""))))</f>
        <v/>
      </c>
      <c r="K241" s="23" t="str">
        <f t="shared" si="6"/>
        <v/>
      </c>
      <c r="L241" s="23" t="str">
        <f t="shared" si="7"/>
        <v/>
      </c>
      <c r="M241" s="23" t="str">
        <f>IF($B241="","",ROUND(SUMIF(账户名,$B241,账户期初)+SUMIFS($K$6:K241,$B$6:B241,$B241),2))</f>
        <v/>
      </c>
      <c r="N241" s="23" t="str">
        <f>IF($B241="","",IFERROR(ROUND(INDEX(账户期初本位,MATCH($B241,账户名,0))+SUMIFS($L$6:L241,$B$6:B241,$B241),2),""))</f>
        <v/>
      </c>
      <c r="O241" s="46"/>
      <c r="P241" s="47"/>
      <c r="Q241" s="46"/>
      <c r="R241" s="46"/>
      <c r="S241" s="6" t="str">
        <f>IF($B241="","",IF(ISNA(MATCH($B241,账户名,0)),"※这个账户不在【参数设置】的账户档案里",IF($A241="","※没填日期，这一笔不会进任何月份的报表",IF(AND($G241&lt;&gt;"",$H241&lt;&gt;""),"※收入和支出不能同时填",IF(AND(N($G241)=0,N($H241)=0),"※收入和支出都没填",IF($E241="","※没填收支类别，分类报表会漏掉这一笔",IF(ISNA(MATCH($E241,类别表,0)),"※收支类别不在【参数设置】的清单里",IF($J241="","△"&amp;$D241&amp;" 还没填汇率，去【月度汇率】补上就自动算了",IF(YEAR($A241)&lt;&gt;管理年度,"△不是管理年度的单据，年报里看不到",IF(AND($F241="内部转账",$Q241=""),"△内部转账建议在「往来单位」写上对方账户",IF($M241&lt;0,"△这一笔之后该账户余额成负数了，核一下","")))))))))))</f>
        <v/>
      </c>
    </row>
    <row r="242" ht="16.5" spans="1:19">
      <c r="A242" s="45"/>
      <c r="B242" s="46"/>
      <c r="C242" s="12" t="str">
        <f>IF($B242="","",IFERROR(INDEX(账户银行,MATCH($B242,账户名,0)),""))</f>
        <v/>
      </c>
      <c r="D242" s="12" t="str">
        <f>IF($B242="","",IFERROR(INDEX(账户币种,MATCH($B242,账户名,0)),""))</f>
        <v/>
      </c>
      <c r="E242" s="47"/>
      <c r="F242" s="12" t="str">
        <f>IF($E242="","",IFERROR(INDEX(类别属性,MATCH($E242,类别表,0)),""))</f>
        <v/>
      </c>
      <c r="G242" s="48"/>
      <c r="H242" s="48"/>
      <c r="I242" s="49"/>
      <c r="J242" s="24" t="str">
        <f>IF(OR($A242="",$B242=""),"",IF($I242&lt;&gt;"",$I242,IF($D242=本位币,1,IFERROR(LOOKUP(2,1/((汇率月份&lt;=$A242)*(INDEX(记账汇率区,0,MATCH($D242,汇率币种头,0))&lt;&gt;"")),INDEX(记账汇率区,0,MATCH($D242,汇率币种头,0))),""))))</f>
        <v/>
      </c>
      <c r="K242" s="23" t="str">
        <f t="shared" si="6"/>
        <v/>
      </c>
      <c r="L242" s="23" t="str">
        <f t="shared" si="7"/>
        <v/>
      </c>
      <c r="M242" s="23" t="str">
        <f>IF($B242="","",ROUND(SUMIF(账户名,$B242,账户期初)+SUMIFS($K$6:K242,$B$6:B242,$B242),2))</f>
        <v/>
      </c>
      <c r="N242" s="23" t="str">
        <f>IF($B242="","",IFERROR(ROUND(INDEX(账户期初本位,MATCH($B242,账户名,0))+SUMIFS($L$6:L242,$B$6:B242,$B242),2),""))</f>
        <v/>
      </c>
      <c r="O242" s="46"/>
      <c r="P242" s="47"/>
      <c r="Q242" s="46"/>
      <c r="R242" s="46"/>
      <c r="S242" s="6" t="str">
        <f>IF($B242="","",IF(ISNA(MATCH($B242,账户名,0)),"※这个账户不在【参数设置】的账户档案里",IF($A242="","※没填日期，这一笔不会进任何月份的报表",IF(AND($G242&lt;&gt;"",$H242&lt;&gt;""),"※收入和支出不能同时填",IF(AND(N($G242)=0,N($H242)=0),"※收入和支出都没填",IF($E242="","※没填收支类别，分类报表会漏掉这一笔",IF(ISNA(MATCH($E242,类别表,0)),"※收支类别不在【参数设置】的清单里",IF($J242="","△"&amp;$D242&amp;" 还没填汇率，去【月度汇率】补上就自动算了",IF(YEAR($A242)&lt;&gt;管理年度,"△不是管理年度的单据，年报里看不到",IF(AND($F242="内部转账",$Q242=""),"△内部转账建议在「往来单位」写上对方账户",IF($M242&lt;0,"△这一笔之后该账户余额成负数了，核一下","")))))))))))</f>
        <v/>
      </c>
    </row>
    <row r="243" ht="16.5" spans="1:19">
      <c r="A243" s="45"/>
      <c r="B243" s="46"/>
      <c r="C243" s="12" t="str">
        <f>IF($B243="","",IFERROR(INDEX(账户银行,MATCH($B243,账户名,0)),""))</f>
        <v/>
      </c>
      <c r="D243" s="12" t="str">
        <f>IF($B243="","",IFERROR(INDEX(账户币种,MATCH($B243,账户名,0)),""))</f>
        <v/>
      </c>
      <c r="E243" s="47"/>
      <c r="F243" s="12" t="str">
        <f>IF($E243="","",IFERROR(INDEX(类别属性,MATCH($E243,类别表,0)),""))</f>
        <v/>
      </c>
      <c r="G243" s="48"/>
      <c r="H243" s="48"/>
      <c r="I243" s="49"/>
      <c r="J243" s="24" t="str">
        <f>IF(OR($A243="",$B243=""),"",IF($I243&lt;&gt;"",$I243,IF($D243=本位币,1,IFERROR(LOOKUP(2,1/((汇率月份&lt;=$A243)*(INDEX(记账汇率区,0,MATCH($D243,汇率币种头,0))&lt;&gt;"")),INDEX(记账汇率区,0,MATCH($D243,汇率币种头,0))),""))))</f>
        <v/>
      </c>
      <c r="K243" s="23" t="str">
        <f t="shared" si="6"/>
        <v/>
      </c>
      <c r="L243" s="23" t="str">
        <f t="shared" si="7"/>
        <v/>
      </c>
      <c r="M243" s="23" t="str">
        <f>IF($B243="","",ROUND(SUMIF(账户名,$B243,账户期初)+SUMIFS($K$6:K243,$B$6:B243,$B243),2))</f>
        <v/>
      </c>
      <c r="N243" s="23" t="str">
        <f>IF($B243="","",IFERROR(ROUND(INDEX(账户期初本位,MATCH($B243,账户名,0))+SUMIFS($L$6:L243,$B$6:B243,$B243),2),""))</f>
        <v/>
      </c>
      <c r="O243" s="46"/>
      <c r="P243" s="47"/>
      <c r="Q243" s="46"/>
      <c r="R243" s="46"/>
      <c r="S243" s="6" t="str">
        <f>IF($B243="","",IF(ISNA(MATCH($B243,账户名,0)),"※这个账户不在【参数设置】的账户档案里",IF($A243="","※没填日期，这一笔不会进任何月份的报表",IF(AND($G243&lt;&gt;"",$H243&lt;&gt;""),"※收入和支出不能同时填",IF(AND(N($G243)=0,N($H243)=0),"※收入和支出都没填",IF($E243="","※没填收支类别，分类报表会漏掉这一笔",IF(ISNA(MATCH($E243,类别表,0)),"※收支类别不在【参数设置】的清单里",IF($J243="","△"&amp;$D243&amp;" 还没填汇率，去【月度汇率】补上就自动算了",IF(YEAR($A243)&lt;&gt;管理年度,"△不是管理年度的单据，年报里看不到",IF(AND($F243="内部转账",$Q243=""),"△内部转账建议在「往来单位」写上对方账户",IF($M243&lt;0,"△这一笔之后该账户余额成负数了，核一下","")))))))))))</f>
        <v/>
      </c>
    </row>
    <row r="244" ht="16.5" spans="1:19">
      <c r="A244" s="45"/>
      <c r="B244" s="46"/>
      <c r="C244" s="12" t="str">
        <f>IF($B244="","",IFERROR(INDEX(账户银行,MATCH($B244,账户名,0)),""))</f>
        <v/>
      </c>
      <c r="D244" s="12" t="str">
        <f>IF($B244="","",IFERROR(INDEX(账户币种,MATCH($B244,账户名,0)),""))</f>
        <v/>
      </c>
      <c r="E244" s="47"/>
      <c r="F244" s="12" t="str">
        <f>IF($E244="","",IFERROR(INDEX(类别属性,MATCH($E244,类别表,0)),""))</f>
        <v/>
      </c>
      <c r="G244" s="48"/>
      <c r="H244" s="48"/>
      <c r="I244" s="49"/>
      <c r="J244" s="24" t="str">
        <f>IF(OR($A244="",$B244=""),"",IF($I244&lt;&gt;"",$I244,IF($D244=本位币,1,IFERROR(LOOKUP(2,1/((汇率月份&lt;=$A244)*(INDEX(记账汇率区,0,MATCH($D244,汇率币种头,0))&lt;&gt;"")),INDEX(记账汇率区,0,MATCH($D244,汇率币种头,0))),""))))</f>
        <v/>
      </c>
      <c r="K244" s="23" t="str">
        <f t="shared" si="6"/>
        <v/>
      </c>
      <c r="L244" s="23" t="str">
        <f t="shared" si="7"/>
        <v/>
      </c>
      <c r="M244" s="23" t="str">
        <f>IF($B244="","",ROUND(SUMIF(账户名,$B244,账户期初)+SUMIFS($K$6:K244,$B$6:B244,$B244),2))</f>
        <v/>
      </c>
      <c r="N244" s="23" t="str">
        <f>IF($B244="","",IFERROR(ROUND(INDEX(账户期初本位,MATCH($B244,账户名,0))+SUMIFS($L$6:L244,$B$6:B244,$B244),2),""))</f>
        <v/>
      </c>
      <c r="O244" s="46"/>
      <c r="P244" s="47"/>
      <c r="Q244" s="46"/>
      <c r="R244" s="46"/>
      <c r="S244" s="6" t="str">
        <f>IF($B244="","",IF(ISNA(MATCH($B244,账户名,0)),"※这个账户不在【参数设置】的账户档案里",IF($A244="","※没填日期，这一笔不会进任何月份的报表",IF(AND($G244&lt;&gt;"",$H244&lt;&gt;""),"※收入和支出不能同时填",IF(AND(N($G244)=0,N($H244)=0),"※收入和支出都没填",IF($E244="","※没填收支类别，分类报表会漏掉这一笔",IF(ISNA(MATCH($E244,类别表,0)),"※收支类别不在【参数设置】的清单里",IF($J244="","△"&amp;$D244&amp;" 还没填汇率，去【月度汇率】补上就自动算了",IF(YEAR($A244)&lt;&gt;管理年度,"△不是管理年度的单据，年报里看不到",IF(AND($F244="内部转账",$Q244=""),"△内部转账建议在「往来单位」写上对方账户",IF($M244&lt;0,"△这一笔之后该账户余额成负数了，核一下","")))))))))))</f>
        <v/>
      </c>
    </row>
    <row r="245" ht="16.5" spans="1:19">
      <c r="A245" s="45"/>
      <c r="B245" s="46"/>
      <c r="C245" s="12" t="str">
        <f>IF($B245="","",IFERROR(INDEX(账户银行,MATCH($B245,账户名,0)),""))</f>
        <v/>
      </c>
      <c r="D245" s="12" t="str">
        <f>IF($B245="","",IFERROR(INDEX(账户币种,MATCH($B245,账户名,0)),""))</f>
        <v/>
      </c>
      <c r="E245" s="47"/>
      <c r="F245" s="12" t="str">
        <f>IF($E245="","",IFERROR(INDEX(类别属性,MATCH($E245,类别表,0)),""))</f>
        <v/>
      </c>
      <c r="G245" s="48"/>
      <c r="H245" s="48"/>
      <c r="I245" s="49"/>
      <c r="J245" s="24" t="str">
        <f>IF(OR($A245="",$B245=""),"",IF($I245&lt;&gt;"",$I245,IF($D245=本位币,1,IFERROR(LOOKUP(2,1/((汇率月份&lt;=$A245)*(INDEX(记账汇率区,0,MATCH($D245,汇率币种头,0))&lt;&gt;"")),INDEX(记账汇率区,0,MATCH($D245,汇率币种头,0))),""))))</f>
        <v/>
      </c>
      <c r="K245" s="23" t="str">
        <f t="shared" si="6"/>
        <v/>
      </c>
      <c r="L245" s="23" t="str">
        <f t="shared" si="7"/>
        <v/>
      </c>
      <c r="M245" s="23" t="str">
        <f>IF($B245="","",ROUND(SUMIF(账户名,$B245,账户期初)+SUMIFS($K$6:K245,$B$6:B245,$B245),2))</f>
        <v/>
      </c>
      <c r="N245" s="23" t="str">
        <f>IF($B245="","",IFERROR(ROUND(INDEX(账户期初本位,MATCH($B245,账户名,0))+SUMIFS($L$6:L245,$B$6:B245,$B245),2),""))</f>
        <v/>
      </c>
      <c r="O245" s="46"/>
      <c r="P245" s="47"/>
      <c r="Q245" s="46"/>
      <c r="R245" s="46"/>
      <c r="S245" s="6" t="str">
        <f>IF($B245="","",IF(ISNA(MATCH($B245,账户名,0)),"※这个账户不在【参数设置】的账户档案里",IF($A245="","※没填日期，这一笔不会进任何月份的报表",IF(AND($G245&lt;&gt;"",$H245&lt;&gt;""),"※收入和支出不能同时填",IF(AND(N($G245)=0,N($H245)=0),"※收入和支出都没填",IF($E245="","※没填收支类别，分类报表会漏掉这一笔",IF(ISNA(MATCH($E245,类别表,0)),"※收支类别不在【参数设置】的清单里",IF($J245="","△"&amp;$D245&amp;" 还没填汇率，去【月度汇率】补上就自动算了",IF(YEAR($A245)&lt;&gt;管理年度,"△不是管理年度的单据，年报里看不到",IF(AND($F245="内部转账",$Q245=""),"△内部转账建议在「往来单位」写上对方账户",IF($M245&lt;0,"△这一笔之后该账户余额成负数了，核一下","")))))))))))</f>
        <v/>
      </c>
    </row>
    <row r="246" ht="16.5" spans="1:19">
      <c r="A246" s="45"/>
      <c r="B246" s="46"/>
      <c r="C246" s="12" t="str">
        <f>IF($B246="","",IFERROR(INDEX(账户银行,MATCH($B246,账户名,0)),""))</f>
        <v/>
      </c>
      <c r="D246" s="12" t="str">
        <f>IF($B246="","",IFERROR(INDEX(账户币种,MATCH($B246,账户名,0)),""))</f>
        <v/>
      </c>
      <c r="E246" s="47"/>
      <c r="F246" s="12" t="str">
        <f>IF($E246="","",IFERROR(INDEX(类别属性,MATCH($E246,类别表,0)),""))</f>
        <v/>
      </c>
      <c r="G246" s="48"/>
      <c r="H246" s="48"/>
      <c r="I246" s="49"/>
      <c r="J246" s="24" t="str">
        <f>IF(OR($A246="",$B246=""),"",IF($I246&lt;&gt;"",$I246,IF($D246=本位币,1,IFERROR(LOOKUP(2,1/((汇率月份&lt;=$A246)*(INDEX(记账汇率区,0,MATCH($D246,汇率币种头,0))&lt;&gt;"")),INDEX(记账汇率区,0,MATCH($D246,汇率币种头,0))),""))))</f>
        <v/>
      </c>
      <c r="K246" s="23" t="str">
        <f t="shared" si="6"/>
        <v/>
      </c>
      <c r="L246" s="23" t="str">
        <f t="shared" si="7"/>
        <v/>
      </c>
      <c r="M246" s="23" t="str">
        <f>IF($B246="","",ROUND(SUMIF(账户名,$B246,账户期初)+SUMIFS($K$6:K246,$B$6:B246,$B246),2))</f>
        <v/>
      </c>
      <c r="N246" s="23" t="str">
        <f>IF($B246="","",IFERROR(ROUND(INDEX(账户期初本位,MATCH($B246,账户名,0))+SUMIFS($L$6:L246,$B$6:B246,$B246),2),""))</f>
        <v/>
      </c>
      <c r="O246" s="46"/>
      <c r="P246" s="47"/>
      <c r="Q246" s="46"/>
      <c r="R246" s="46"/>
      <c r="S246" s="6" t="str">
        <f>IF($B246="","",IF(ISNA(MATCH($B246,账户名,0)),"※这个账户不在【参数设置】的账户档案里",IF($A246="","※没填日期，这一笔不会进任何月份的报表",IF(AND($G246&lt;&gt;"",$H246&lt;&gt;""),"※收入和支出不能同时填",IF(AND(N($G246)=0,N($H246)=0),"※收入和支出都没填",IF($E246="","※没填收支类别，分类报表会漏掉这一笔",IF(ISNA(MATCH($E246,类别表,0)),"※收支类别不在【参数设置】的清单里",IF($J246="","△"&amp;$D246&amp;" 还没填汇率，去【月度汇率】补上就自动算了",IF(YEAR($A246)&lt;&gt;管理年度,"△不是管理年度的单据，年报里看不到",IF(AND($F246="内部转账",$Q246=""),"△内部转账建议在「往来单位」写上对方账户",IF($M246&lt;0,"△这一笔之后该账户余额成负数了，核一下","")))))))))))</f>
        <v/>
      </c>
    </row>
    <row r="247" ht="16.5" spans="1:19">
      <c r="A247" s="45"/>
      <c r="B247" s="46"/>
      <c r="C247" s="12" t="str">
        <f>IF($B247="","",IFERROR(INDEX(账户银行,MATCH($B247,账户名,0)),""))</f>
        <v/>
      </c>
      <c r="D247" s="12" t="str">
        <f>IF($B247="","",IFERROR(INDEX(账户币种,MATCH($B247,账户名,0)),""))</f>
        <v/>
      </c>
      <c r="E247" s="47"/>
      <c r="F247" s="12" t="str">
        <f>IF($E247="","",IFERROR(INDEX(类别属性,MATCH($E247,类别表,0)),""))</f>
        <v/>
      </c>
      <c r="G247" s="48"/>
      <c r="H247" s="48"/>
      <c r="I247" s="49"/>
      <c r="J247" s="24" t="str">
        <f>IF(OR($A247="",$B247=""),"",IF($I247&lt;&gt;"",$I247,IF($D247=本位币,1,IFERROR(LOOKUP(2,1/((汇率月份&lt;=$A247)*(INDEX(记账汇率区,0,MATCH($D247,汇率币种头,0))&lt;&gt;"")),INDEX(记账汇率区,0,MATCH($D247,汇率币种头,0))),""))))</f>
        <v/>
      </c>
      <c r="K247" s="23" t="str">
        <f t="shared" si="6"/>
        <v/>
      </c>
      <c r="L247" s="23" t="str">
        <f t="shared" si="7"/>
        <v/>
      </c>
      <c r="M247" s="23" t="str">
        <f>IF($B247="","",ROUND(SUMIF(账户名,$B247,账户期初)+SUMIFS($K$6:K247,$B$6:B247,$B247),2))</f>
        <v/>
      </c>
      <c r="N247" s="23" t="str">
        <f>IF($B247="","",IFERROR(ROUND(INDEX(账户期初本位,MATCH($B247,账户名,0))+SUMIFS($L$6:L247,$B$6:B247,$B247),2),""))</f>
        <v/>
      </c>
      <c r="O247" s="46"/>
      <c r="P247" s="47"/>
      <c r="Q247" s="46"/>
      <c r="R247" s="46"/>
      <c r="S247" s="6" t="str">
        <f>IF($B247="","",IF(ISNA(MATCH($B247,账户名,0)),"※这个账户不在【参数设置】的账户档案里",IF($A247="","※没填日期，这一笔不会进任何月份的报表",IF(AND($G247&lt;&gt;"",$H247&lt;&gt;""),"※收入和支出不能同时填",IF(AND(N($G247)=0,N($H247)=0),"※收入和支出都没填",IF($E247="","※没填收支类别，分类报表会漏掉这一笔",IF(ISNA(MATCH($E247,类别表,0)),"※收支类别不在【参数设置】的清单里",IF($J247="","△"&amp;$D247&amp;" 还没填汇率，去【月度汇率】补上就自动算了",IF(YEAR($A247)&lt;&gt;管理年度,"△不是管理年度的单据，年报里看不到",IF(AND($F247="内部转账",$Q247=""),"△内部转账建议在「往来单位」写上对方账户",IF($M247&lt;0,"△这一笔之后该账户余额成负数了，核一下","")))))))))))</f>
        <v/>
      </c>
    </row>
    <row r="248" ht="16.5" spans="1:19">
      <c r="A248" s="45"/>
      <c r="B248" s="46"/>
      <c r="C248" s="12" t="str">
        <f>IF($B248="","",IFERROR(INDEX(账户银行,MATCH($B248,账户名,0)),""))</f>
        <v/>
      </c>
      <c r="D248" s="12" t="str">
        <f>IF($B248="","",IFERROR(INDEX(账户币种,MATCH($B248,账户名,0)),""))</f>
        <v/>
      </c>
      <c r="E248" s="47"/>
      <c r="F248" s="12" t="str">
        <f>IF($E248="","",IFERROR(INDEX(类别属性,MATCH($E248,类别表,0)),""))</f>
        <v/>
      </c>
      <c r="G248" s="48"/>
      <c r="H248" s="48"/>
      <c r="I248" s="49"/>
      <c r="J248" s="24" t="str">
        <f>IF(OR($A248="",$B248=""),"",IF($I248&lt;&gt;"",$I248,IF($D248=本位币,1,IFERROR(LOOKUP(2,1/((汇率月份&lt;=$A248)*(INDEX(记账汇率区,0,MATCH($D248,汇率币种头,0))&lt;&gt;"")),INDEX(记账汇率区,0,MATCH($D248,汇率币种头,0))),""))))</f>
        <v/>
      </c>
      <c r="K248" s="23" t="str">
        <f t="shared" si="6"/>
        <v/>
      </c>
      <c r="L248" s="23" t="str">
        <f t="shared" si="7"/>
        <v/>
      </c>
      <c r="M248" s="23" t="str">
        <f>IF($B248="","",ROUND(SUMIF(账户名,$B248,账户期初)+SUMIFS($K$6:K248,$B$6:B248,$B248),2))</f>
        <v/>
      </c>
      <c r="N248" s="23" t="str">
        <f>IF($B248="","",IFERROR(ROUND(INDEX(账户期初本位,MATCH($B248,账户名,0))+SUMIFS($L$6:L248,$B$6:B248,$B248),2),""))</f>
        <v/>
      </c>
      <c r="O248" s="46"/>
      <c r="P248" s="47"/>
      <c r="Q248" s="46"/>
      <c r="R248" s="46"/>
      <c r="S248" s="6" t="str">
        <f>IF($B248="","",IF(ISNA(MATCH($B248,账户名,0)),"※这个账户不在【参数设置】的账户档案里",IF($A248="","※没填日期，这一笔不会进任何月份的报表",IF(AND($G248&lt;&gt;"",$H248&lt;&gt;""),"※收入和支出不能同时填",IF(AND(N($G248)=0,N($H248)=0),"※收入和支出都没填",IF($E248="","※没填收支类别，分类报表会漏掉这一笔",IF(ISNA(MATCH($E248,类别表,0)),"※收支类别不在【参数设置】的清单里",IF($J248="","△"&amp;$D248&amp;" 还没填汇率，去【月度汇率】补上就自动算了",IF(YEAR($A248)&lt;&gt;管理年度,"△不是管理年度的单据，年报里看不到",IF(AND($F248="内部转账",$Q248=""),"△内部转账建议在「往来单位」写上对方账户",IF($M248&lt;0,"△这一笔之后该账户余额成负数了，核一下","")))))))))))</f>
        <v/>
      </c>
    </row>
    <row r="249" ht="16.5" spans="1:19">
      <c r="A249" s="45"/>
      <c r="B249" s="46"/>
      <c r="C249" s="12" t="str">
        <f>IF($B249="","",IFERROR(INDEX(账户银行,MATCH($B249,账户名,0)),""))</f>
        <v/>
      </c>
      <c r="D249" s="12" t="str">
        <f>IF($B249="","",IFERROR(INDEX(账户币种,MATCH($B249,账户名,0)),""))</f>
        <v/>
      </c>
      <c r="E249" s="47"/>
      <c r="F249" s="12" t="str">
        <f>IF($E249="","",IFERROR(INDEX(类别属性,MATCH($E249,类别表,0)),""))</f>
        <v/>
      </c>
      <c r="G249" s="48"/>
      <c r="H249" s="48"/>
      <c r="I249" s="49"/>
      <c r="J249" s="24" t="str">
        <f>IF(OR($A249="",$B249=""),"",IF($I249&lt;&gt;"",$I249,IF($D249=本位币,1,IFERROR(LOOKUP(2,1/((汇率月份&lt;=$A249)*(INDEX(记账汇率区,0,MATCH($D249,汇率币种头,0))&lt;&gt;"")),INDEX(记账汇率区,0,MATCH($D249,汇率币种头,0))),""))))</f>
        <v/>
      </c>
      <c r="K249" s="23" t="str">
        <f t="shared" si="6"/>
        <v/>
      </c>
      <c r="L249" s="23" t="str">
        <f t="shared" si="7"/>
        <v/>
      </c>
      <c r="M249" s="23" t="str">
        <f>IF($B249="","",ROUND(SUMIF(账户名,$B249,账户期初)+SUMIFS($K$6:K249,$B$6:B249,$B249),2))</f>
        <v/>
      </c>
      <c r="N249" s="23" t="str">
        <f>IF($B249="","",IFERROR(ROUND(INDEX(账户期初本位,MATCH($B249,账户名,0))+SUMIFS($L$6:L249,$B$6:B249,$B249),2),""))</f>
        <v/>
      </c>
      <c r="O249" s="46"/>
      <c r="P249" s="47"/>
      <c r="Q249" s="46"/>
      <c r="R249" s="46"/>
      <c r="S249" s="6" t="str">
        <f>IF($B249="","",IF(ISNA(MATCH($B249,账户名,0)),"※这个账户不在【参数设置】的账户档案里",IF($A249="","※没填日期，这一笔不会进任何月份的报表",IF(AND($G249&lt;&gt;"",$H249&lt;&gt;""),"※收入和支出不能同时填",IF(AND(N($G249)=0,N($H249)=0),"※收入和支出都没填",IF($E249="","※没填收支类别，分类报表会漏掉这一笔",IF(ISNA(MATCH($E249,类别表,0)),"※收支类别不在【参数设置】的清单里",IF($J249="","△"&amp;$D249&amp;" 还没填汇率，去【月度汇率】补上就自动算了",IF(YEAR($A249)&lt;&gt;管理年度,"△不是管理年度的单据，年报里看不到",IF(AND($F249="内部转账",$Q249=""),"△内部转账建议在「往来单位」写上对方账户",IF($M249&lt;0,"△这一笔之后该账户余额成负数了，核一下","")))))))))))</f>
        <v/>
      </c>
    </row>
    <row r="250" ht="16.5" spans="1:19">
      <c r="A250" s="45"/>
      <c r="B250" s="46"/>
      <c r="C250" s="12" t="str">
        <f>IF($B250="","",IFERROR(INDEX(账户银行,MATCH($B250,账户名,0)),""))</f>
        <v/>
      </c>
      <c r="D250" s="12" t="str">
        <f>IF($B250="","",IFERROR(INDEX(账户币种,MATCH($B250,账户名,0)),""))</f>
        <v/>
      </c>
      <c r="E250" s="47"/>
      <c r="F250" s="12" t="str">
        <f>IF($E250="","",IFERROR(INDEX(类别属性,MATCH($E250,类别表,0)),""))</f>
        <v/>
      </c>
      <c r="G250" s="48"/>
      <c r="H250" s="48"/>
      <c r="I250" s="49"/>
      <c r="J250" s="24" t="str">
        <f>IF(OR($A250="",$B250=""),"",IF($I250&lt;&gt;"",$I250,IF($D250=本位币,1,IFERROR(LOOKUP(2,1/((汇率月份&lt;=$A250)*(INDEX(记账汇率区,0,MATCH($D250,汇率币种头,0))&lt;&gt;"")),INDEX(记账汇率区,0,MATCH($D250,汇率币种头,0))),""))))</f>
        <v/>
      </c>
      <c r="K250" s="23" t="str">
        <f t="shared" si="6"/>
        <v/>
      </c>
      <c r="L250" s="23" t="str">
        <f t="shared" si="7"/>
        <v/>
      </c>
      <c r="M250" s="23" t="str">
        <f>IF($B250="","",ROUND(SUMIF(账户名,$B250,账户期初)+SUMIFS($K$6:K250,$B$6:B250,$B250),2))</f>
        <v/>
      </c>
      <c r="N250" s="23" t="str">
        <f>IF($B250="","",IFERROR(ROUND(INDEX(账户期初本位,MATCH($B250,账户名,0))+SUMIFS($L$6:L250,$B$6:B250,$B250),2),""))</f>
        <v/>
      </c>
      <c r="O250" s="46"/>
      <c r="P250" s="47"/>
      <c r="Q250" s="46"/>
      <c r="R250" s="46"/>
      <c r="S250" s="6" t="str">
        <f>IF($B250="","",IF(ISNA(MATCH($B250,账户名,0)),"※这个账户不在【参数设置】的账户档案里",IF($A250="","※没填日期，这一笔不会进任何月份的报表",IF(AND($G250&lt;&gt;"",$H250&lt;&gt;""),"※收入和支出不能同时填",IF(AND(N($G250)=0,N($H250)=0),"※收入和支出都没填",IF($E250="","※没填收支类别，分类报表会漏掉这一笔",IF(ISNA(MATCH($E250,类别表,0)),"※收支类别不在【参数设置】的清单里",IF($J250="","△"&amp;$D250&amp;" 还没填汇率，去【月度汇率】补上就自动算了",IF(YEAR($A250)&lt;&gt;管理年度,"△不是管理年度的单据，年报里看不到",IF(AND($F250="内部转账",$Q250=""),"△内部转账建议在「往来单位」写上对方账户",IF($M250&lt;0,"△这一笔之后该账户余额成负数了，核一下","")))))))))))</f>
        <v/>
      </c>
    </row>
    <row r="251" ht="16.5" spans="1:19">
      <c r="A251" s="45"/>
      <c r="B251" s="46"/>
      <c r="C251" s="12" t="str">
        <f>IF($B251="","",IFERROR(INDEX(账户银行,MATCH($B251,账户名,0)),""))</f>
        <v/>
      </c>
      <c r="D251" s="12" t="str">
        <f>IF($B251="","",IFERROR(INDEX(账户币种,MATCH($B251,账户名,0)),""))</f>
        <v/>
      </c>
      <c r="E251" s="47"/>
      <c r="F251" s="12" t="str">
        <f>IF($E251="","",IFERROR(INDEX(类别属性,MATCH($E251,类别表,0)),""))</f>
        <v/>
      </c>
      <c r="G251" s="48"/>
      <c r="H251" s="48"/>
      <c r="I251" s="49"/>
      <c r="J251" s="24" t="str">
        <f>IF(OR($A251="",$B251=""),"",IF($I251&lt;&gt;"",$I251,IF($D251=本位币,1,IFERROR(LOOKUP(2,1/((汇率月份&lt;=$A251)*(INDEX(记账汇率区,0,MATCH($D251,汇率币种头,0))&lt;&gt;"")),INDEX(记账汇率区,0,MATCH($D251,汇率币种头,0))),""))))</f>
        <v/>
      </c>
      <c r="K251" s="23" t="str">
        <f t="shared" si="6"/>
        <v/>
      </c>
      <c r="L251" s="23" t="str">
        <f t="shared" si="7"/>
        <v/>
      </c>
      <c r="M251" s="23" t="str">
        <f>IF($B251="","",ROUND(SUMIF(账户名,$B251,账户期初)+SUMIFS($K$6:K251,$B$6:B251,$B251),2))</f>
        <v/>
      </c>
      <c r="N251" s="23" t="str">
        <f>IF($B251="","",IFERROR(ROUND(INDEX(账户期初本位,MATCH($B251,账户名,0))+SUMIFS($L$6:L251,$B$6:B251,$B251),2),""))</f>
        <v/>
      </c>
      <c r="O251" s="46"/>
      <c r="P251" s="47"/>
      <c r="Q251" s="46"/>
      <c r="R251" s="46"/>
      <c r="S251" s="6" t="str">
        <f>IF($B251="","",IF(ISNA(MATCH($B251,账户名,0)),"※这个账户不在【参数设置】的账户档案里",IF($A251="","※没填日期，这一笔不会进任何月份的报表",IF(AND($G251&lt;&gt;"",$H251&lt;&gt;""),"※收入和支出不能同时填",IF(AND(N($G251)=0,N($H251)=0),"※收入和支出都没填",IF($E251="","※没填收支类别，分类报表会漏掉这一笔",IF(ISNA(MATCH($E251,类别表,0)),"※收支类别不在【参数设置】的清单里",IF($J251="","△"&amp;$D251&amp;" 还没填汇率，去【月度汇率】补上就自动算了",IF(YEAR($A251)&lt;&gt;管理年度,"△不是管理年度的单据，年报里看不到",IF(AND($F251="内部转账",$Q251=""),"△内部转账建议在「往来单位」写上对方账户",IF($M251&lt;0,"△这一笔之后该账户余额成负数了，核一下","")))))))))))</f>
        <v/>
      </c>
    </row>
    <row r="252" ht="16.5" spans="1:19">
      <c r="A252" s="45"/>
      <c r="B252" s="46"/>
      <c r="C252" s="12" t="str">
        <f>IF($B252="","",IFERROR(INDEX(账户银行,MATCH($B252,账户名,0)),""))</f>
        <v/>
      </c>
      <c r="D252" s="12" t="str">
        <f>IF($B252="","",IFERROR(INDEX(账户币种,MATCH($B252,账户名,0)),""))</f>
        <v/>
      </c>
      <c r="E252" s="47"/>
      <c r="F252" s="12" t="str">
        <f>IF($E252="","",IFERROR(INDEX(类别属性,MATCH($E252,类别表,0)),""))</f>
        <v/>
      </c>
      <c r="G252" s="48"/>
      <c r="H252" s="48"/>
      <c r="I252" s="49"/>
      <c r="J252" s="24" t="str">
        <f>IF(OR($A252="",$B252=""),"",IF($I252&lt;&gt;"",$I252,IF($D252=本位币,1,IFERROR(LOOKUP(2,1/((汇率月份&lt;=$A252)*(INDEX(记账汇率区,0,MATCH($D252,汇率币种头,0))&lt;&gt;"")),INDEX(记账汇率区,0,MATCH($D252,汇率币种头,0))),""))))</f>
        <v/>
      </c>
      <c r="K252" s="23" t="str">
        <f t="shared" si="6"/>
        <v/>
      </c>
      <c r="L252" s="23" t="str">
        <f t="shared" si="7"/>
        <v/>
      </c>
      <c r="M252" s="23" t="str">
        <f>IF($B252="","",ROUND(SUMIF(账户名,$B252,账户期初)+SUMIFS($K$6:K252,$B$6:B252,$B252),2))</f>
        <v/>
      </c>
      <c r="N252" s="23" t="str">
        <f>IF($B252="","",IFERROR(ROUND(INDEX(账户期初本位,MATCH($B252,账户名,0))+SUMIFS($L$6:L252,$B$6:B252,$B252),2),""))</f>
        <v/>
      </c>
      <c r="O252" s="46"/>
      <c r="P252" s="47"/>
      <c r="Q252" s="46"/>
      <c r="R252" s="46"/>
      <c r="S252" s="6" t="str">
        <f>IF($B252="","",IF(ISNA(MATCH($B252,账户名,0)),"※这个账户不在【参数设置】的账户档案里",IF($A252="","※没填日期，这一笔不会进任何月份的报表",IF(AND($G252&lt;&gt;"",$H252&lt;&gt;""),"※收入和支出不能同时填",IF(AND(N($G252)=0,N($H252)=0),"※收入和支出都没填",IF($E252="","※没填收支类别，分类报表会漏掉这一笔",IF(ISNA(MATCH($E252,类别表,0)),"※收支类别不在【参数设置】的清单里",IF($J252="","△"&amp;$D252&amp;" 还没填汇率，去【月度汇率】补上就自动算了",IF(YEAR($A252)&lt;&gt;管理年度,"△不是管理年度的单据，年报里看不到",IF(AND($F252="内部转账",$Q252=""),"△内部转账建议在「往来单位」写上对方账户",IF($M252&lt;0,"△这一笔之后该账户余额成负数了，核一下","")))))))))))</f>
        <v/>
      </c>
    </row>
    <row r="253" ht="16.5" spans="1:19">
      <c r="A253" s="45"/>
      <c r="B253" s="46"/>
      <c r="C253" s="12" t="str">
        <f>IF($B253="","",IFERROR(INDEX(账户银行,MATCH($B253,账户名,0)),""))</f>
        <v/>
      </c>
      <c r="D253" s="12" t="str">
        <f>IF($B253="","",IFERROR(INDEX(账户币种,MATCH($B253,账户名,0)),""))</f>
        <v/>
      </c>
      <c r="E253" s="47"/>
      <c r="F253" s="12" t="str">
        <f>IF($E253="","",IFERROR(INDEX(类别属性,MATCH($E253,类别表,0)),""))</f>
        <v/>
      </c>
      <c r="G253" s="48"/>
      <c r="H253" s="48"/>
      <c r="I253" s="49"/>
      <c r="J253" s="24" t="str">
        <f>IF(OR($A253="",$B253=""),"",IF($I253&lt;&gt;"",$I253,IF($D253=本位币,1,IFERROR(LOOKUP(2,1/((汇率月份&lt;=$A253)*(INDEX(记账汇率区,0,MATCH($D253,汇率币种头,0))&lt;&gt;"")),INDEX(记账汇率区,0,MATCH($D253,汇率币种头,0))),""))))</f>
        <v/>
      </c>
      <c r="K253" s="23" t="str">
        <f t="shared" si="6"/>
        <v/>
      </c>
      <c r="L253" s="23" t="str">
        <f t="shared" si="7"/>
        <v/>
      </c>
      <c r="M253" s="23" t="str">
        <f>IF($B253="","",ROUND(SUMIF(账户名,$B253,账户期初)+SUMIFS($K$6:K253,$B$6:B253,$B253),2))</f>
        <v/>
      </c>
      <c r="N253" s="23" t="str">
        <f>IF($B253="","",IFERROR(ROUND(INDEX(账户期初本位,MATCH($B253,账户名,0))+SUMIFS($L$6:L253,$B$6:B253,$B253),2),""))</f>
        <v/>
      </c>
      <c r="O253" s="46"/>
      <c r="P253" s="47"/>
      <c r="Q253" s="46"/>
      <c r="R253" s="46"/>
      <c r="S253" s="6" t="str">
        <f>IF($B253="","",IF(ISNA(MATCH($B253,账户名,0)),"※这个账户不在【参数设置】的账户档案里",IF($A253="","※没填日期，这一笔不会进任何月份的报表",IF(AND($G253&lt;&gt;"",$H253&lt;&gt;""),"※收入和支出不能同时填",IF(AND(N($G253)=0,N($H253)=0),"※收入和支出都没填",IF($E253="","※没填收支类别，分类报表会漏掉这一笔",IF(ISNA(MATCH($E253,类别表,0)),"※收支类别不在【参数设置】的清单里",IF($J253="","△"&amp;$D253&amp;" 还没填汇率，去【月度汇率】补上就自动算了",IF(YEAR($A253)&lt;&gt;管理年度,"△不是管理年度的单据，年报里看不到",IF(AND($F253="内部转账",$Q253=""),"△内部转账建议在「往来单位」写上对方账户",IF($M253&lt;0,"△这一笔之后该账户余额成负数了，核一下","")))))))))))</f>
        <v/>
      </c>
    </row>
    <row r="254" ht="16.5" spans="1:19">
      <c r="A254" s="45"/>
      <c r="B254" s="46"/>
      <c r="C254" s="12" t="str">
        <f>IF($B254="","",IFERROR(INDEX(账户银行,MATCH($B254,账户名,0)),""))</f>
        <v/>
      </c>
      <c r="D254" s="12" t="str">
        <f>IF($B254="","",IFERROR(INDEX(账户币种,MATCH($B254,账户名,0)),""))</f>
        <v/>
      </c>
      <c r="E254" s="47"/>
      <c r="F254" s="12" t="str">
        <f>IF($E254="","",IFERROR(INDEX(类别属性,MATCH($E254,类别表,0)),""))</f>
        <v/>
      </c>
      <c r="G254" s="48"/>
      <c r="H254" s="48"/>
      <c r="I254" s="49"/>
      <c r="J254" s="24" t="str">
        <f>IF(OR($A254="",$B254=""),"",IF($I254&lt;&gt;"",$I254,IF($D254=本位币,1,IFERROR(LOOKUP(2,1/((汇率月份&lt;=$A254)*(INDEX(记账汇率区,0,MATCH($D254,汇率币种头,0))&lt;&gt;"")),INDEX(记账汇率区,0,MATCH($D254,汇率币种头,0))),""))))</f>
        <v/>
      </c>
      <c r="K254" s="23" t="str">
        <f t="shared" si="6"/>
        <v/>
      </c>
      <c r="L254" s="23" t="str">
        <f t="shared" si="7"/>
        <v/>
      </c>
      <c r="M254" s="23" t="str">
        <f>IF($B254="","",ROUND(SUMIF(账户名,$B254,账户期初)+SUMIFS($K$6:K254,$B$6:B254,$B254),2))</f>
        <v/>
      </c>
      <c r="N254" s="23" t="str">
        <f>IF($B254="","",IFERROR(ROUND(INDEX(账户期初本位,MATCH($B254,账户名,0))+SUMIFS($L$6:L254,$B$6:B254,$B254),2),""))</f>
        <v/>
      </c>
      <c r="O254" s="46"/>
      <c r="P254" s="47"/>
      <c r="Q254" s="46"/>
      <c r="R254" s="46"/>
      <c r="S254" s="6" t="str">
        <f>IF($B254="","",IF(ISNA(MATCH($B254,账户名,0)),"※这个账户不在【参数设置】的账户档案里",IF($A254="","※没填日期，这一笔不会进任何月份的报表",IF(AND($G254&lt;&gt;"",$H254&lt;&gt;""),"※收入和支出不能同时填",IF(AND(N($G254)=0,N($H254)=0),"※收入和支出都没填",IF($E254="","※没填收支类别，分类报表会漏掉这一笔",IF(ISNA(MATCH($E254,类别表,0)),"※收支类别不在【参数设置】的清单里",IF($J254="","△"&amp;$D254&amp;" 还没填汇率，去【月度汇率】补上就自动算了",IF(YEAR($A254)&lt;&gt;管理年度,"△不是管理年度的单据，年报里看不到",IF(AND($F254="内部转账",$Q254=""),"△内部转账建议在「往来单位」写上对方账户",IF($M254&lt;0,"△这一笔之后该账户余额成负数了，核一下","")))))))))))</f>
        <v/>
      </c>
    </row>
    <row r="255" ht="16.5" spans="1:19">
      <c r="A255" s="45"/>
      <c r="B255" s="46"/>
      <c r="C255" s="12" t="str">
        <f>IF($B255="","",IFERROR(INDEX(账户银行,MATCH($B255,账户名,0)),""))</f>
        <v/>
      </c>
      <c r="D255" s="12" t="str">
        <f>IF($B255="","",IFERROR(INDEX(账户币种,MATCH($B255,账户名,0)),""))</f>
        <v/>
      </c>
      <c r="E255" s="47"/>
      <c r="F255" s="12" t="str">
        <f>IF($E255="","",IFERROR(INDEX(类别属性,MATCH($E255,类别表,0)),""))</f>
        <v/>
      </c>
      <c r="G255" s="48"/>
      <c r="H255" s="48"/>
      <c r="I255" s="49"/>
      <c r="J255" s="24" t="str">
        <f>IF(OR($A255="",$B255=""),"",IF($I255&lt;&gt;"",$I255,IF($D255=本位币,1,IFERROR(LOOKUP(2,1/((汇率月份&lt;=$A255)*(INDEX(记账汇率区,0,MATCH($D255,汇率币种头,0))&lt;&gt;"")),INDEX(记账汇率区,0,MATCH($D255,汇率币种头,0))),""))))</f>
        <v/>
      </c>
      <c r="K255" s="23" t="str">
        <f t="shared" si="6"/>
        <v/>
      </c>
      <c r="L255" s="23" t="str">
        <f t="shared" si="7"/>
        <v/>
      </c>
      <c r="M255" s="23" t="str">
        <f>IF($B255="","",ROUND(SUMIF(账户名,$B255,账户期初)+SUMIFS($K$6:K255,$B$6:B255,$B255),2))</f>
        <v/>
      </c>
      <c r="N255" s="23" t="str">
        <f>IF($B255="","",IFERROR(ROUND(INDEX(账户期初本位,MATCH($B255,账户名,0))+SUMIFS($L$6:L255,$B$6:B255,$B255),2),""))</f>
        <v/>
      </c>
      <c r="O255" s="46"/>
      <c r="P255" s="47"/>
      <c r="Q255" s="46"/>
      <c r="R255" s="46"/>
      <c r="S255" s="6" t="str">
        <f>IF($B255="","",IF(ISNA(MATCH($B255,账户名,0)),"※这个账户不在【参数设置】的账户档案里",IF($A255="","※没填日期，这一笔不会进任何月份的报表",IF(AND($G255&lt;&gt;"",$H255&lt;&gt;""),"※收入和支出不能同时填",IF(AND(N($G255)=0,N($H255)=0),"※收入和支出都没填",IF($E255="","※没填收支类别，分类报表会漏掉这一笔",IF(ISNA(MATCH($E255,类别表,0)),"※收支类别不在【参数设置】的清单里",IF($J255="","△"&amp;$D255&amp;" 还没填汇率，去【月度汇率】补上就自动算了",IF(YEAR($A255)&lt;&gt;管理年度,"△不是管理年度的单据，年报里看不到",IF(AND($F255="内部转账",$Q255=""),"△内部转账建议在「往来单位」写上对方账户",IF($M255&lt;0,"△这一笔之后该账户余额成负数了，核一下","")))))))))))</f>
        <v/>
      </c>
    </row>
    <row r="256" ht="16.5" spans="1:19">
      <c r="A256" s="45"/>
      <c r="B256" s="46"/>
      <c r="C256" s="12" t="str">
        <f>IF($B256="","",IFERROR(INDEX(账户银行,MATCH($B256,账户名,0)),""))</f>
        <v/>
      </c>
      <c r="D256" s="12" t="str">
        <f>IF($B256="","",IFERROR(INDEX(账户币种,MATCH($B256,账户名,0)),""))</f>
        <v/>
      </c>
      <c r="E256" s="47"/>
      <c r="F256" s="12" t="str">
        <f>IF($E256="","",IFERROR(INDEX(类别属性,MATCH($E256,类别表,0)),""))</f>
        <v/>
      </c>
      <c r="G256" s="48"/>
      <c r="H256" s="48"/>
      <c r="I256" s="49"/>
      <c r="J256" s="24" t="str">
        <f>IF(OR($A256="",$B256=""),"",IF($I256&lt;&gt;"",$I256,IF($D256=本位币,1,IFERROR(LOOKUP(2,1/((汇率月份&lt;=$A256)*(INDEX(记账汇率区,0,MATCH($D256,汇率币种头,0))&lt;&gt;"")),INDEX(记账汇率区,0,MATCH($D256,汇率币种头,0))),""))))</f>
        <v/>
      </c>
      <c r="K256" s="23" t="str">
        <f t="shared" si="6"/>
        <v/>
      </c>
      <c r="L256" s="23" t="str">
        <f t="shared" si="7"/>
        <v/>
      </c>
      <c r="M256" s="23" t="str">
        <f>IF($B256="","",ROUND(SUMIF(账户名,$B256,账户期初)+SUMIFS($K$6:K256,$B$6:B256,$B256),2))</f>
        <v/>
      </c>
      <c r="N256" s="23" t="str">
        <f>IF($B256="","",IFERROR(ROUND(INDEX(账户期初本位,MATCH($B256,账户名,0))+SUMIFS($L$6:L256,$B$6:B256,$B256),2),""))</f>
        <v/>
      </c>
      <c r="O256" s="46"/>
      <c r="P256" s="47"/>
      <c r="Q256" s="46"/>
      <c r="R256" s="46"/>
      <c r="S256" s="6" t="str">
        <f>IF($B256="","",IF(ISNA(MATCH($B256,账户名,0)),"※这个账户不在【参数设置】的账户档案里",IF($A256="","※没填日期，这一笔不会进任何月份的报表",IF(AND($G256&lt;&gt;"",$H256&lt;&gt;""),"※收入和支出不能同时填",IF(AND(N($G256)=0,N($H256)=0),"※收入和支出都没填",IF($E256="","※没填收支类别，分类报表会漏掉这一笔",IF(ISNA(MATCH($E256,类别表,0)),"※收支类别不在【参数设置】的清单里",IF($J256="","△"&amp;$D256&amp;" 还没填汇率，去【月度汇率】补上就自动算了",IF(YEAR($A256)&lt;&gt;管理年度,"△不是管理年度的单据，年报里看不到",IF(AND($F256="内部转账",$Q256=""),"△内部转账建议在「往来单位」写上对方账户",IF($M256&lt;0,"△这一笔之后该账户余额成负数了，核一下","")))))))))))</f>
        <v/>
      </c>
    </row>
    <row r="257" ht="16.5" spans="1:19">
      <c r="A257" s="45"/>
      <c r="B257" s="46"/>
      <c r="C257" s="12" t="str">
        <f>IF($B257="","",IFERROR(INDEX(账户银行,MATCH($B257,账户名,0)),""))</f>
        <v/>
      </c>
      <c r="D257" s="12" t="str">
        <f>IF($B257="","",IFERROR(INDEX(账户币种,MATCH($B257,账户名,0)),""))</f>
        <v/>
      </c>
      <c r="E257" s="47"/>
      <c r="F257" s="12" t="str">
        <f>IF($E257="","",IFERROR(INDEX(类别属性,MATCH($E257,类别表,0)),""))</f>
        <v/>
      </c>
      <c r="G257" s="48"/>
      <c r="H257" s="48"/>
      <c r="I257" s="49"/>
      <c r="J257" s="24" t="str">
        <f>IF(OR($A257="",$B257=""),"",IF($I257&lt;&gt;"",$I257,IF($D257=本位币,1,IFERROR(LOOKUP(2,1/((汇率月份&lt;=$A257)*(INDEX(记账汇率区,0,MATCH($D257,汇率币种头,0))&lt;&gt;"")),INDEX(记账汇率区,0,MATCH($D257,汇率币种头,0))),""))))</f>
        <v/>
      </c>
      <c r="K257" s="23" t="str">
        <f t="shared" si="6"/>
        <v/>
      </c>
      <c r="L257" s="23" t="str">
        <f t="shared" si="7"/>
        <v/>
      </c>
      <c r="M257" s="23" t="str">
        <f>IF($B257="","",ROUND(SUMIF(账户名,$B257,账户期初)+SUMIFS($K$6:K257,$B$6:B257,$B257),2))</f>
        <v/>
      </c>
      <c r="N257" s="23" t="str">
        <f>IF($B257="","",IFERROR(ROUND(INDEX(账户期初本位,MATCH($B257,账户名,0))+SUMIFS($L$6:L257,$B$6:B257,$B257),2),""))</f>
        <v/>
      </c>
      <c r="O257" s="46"/>
      <c r="P257" s="47"/>
      <c r="Q257" s="46"/>
      <c r="R257" s="46"/>
      <c r="S257" s="6" t="str">
        <f>IF($B257="","",IF(ISNA(MATCH($B257,账户名,0)),"※这个账户不在【参数设置】的账户档案里",IF($A257="","※没填日期，这一笔不会进任何月份的报表",IF(AND($G257&lt;&gt;"",$H257&lt;&gt;""),"※收入和支出不能同时填",IF(AND(N($G257)=0,N($H257)=0),"※收入和支出都没填",IF($E257="","※没填收支类别，分类报表会漏掉这一笔",IF(ISNA(MATCH($E257,类别表,0)),"※收支类别不在【参数设置】的清单里",IF($J257="","△"&amp;$D257&amp;" 还没填汇率，去【月度汇率】补上就自动算了",IF(YEAR($A257)&lt;&gt;管理年度,"△不是管理年度的单据，年报里看不到",IF(AND($F257="内部转账",$Q257=""),"△内部转账建议在「往来单位」写上对方账户",IF($M257&lt;0,"△这一笔之后该账户余额成负数了，核一下","")))))))))))</f>
        <v/>
      </c>
    </row>
    <row r="258" ht="16.5" spans="1:19">
      <c r="A258" s="45"/>
      <c r="B258" s="46"/>
      <c r="C258" s="12" t="str">
        <f>IF($B258="","",IFERROR(INDEX(账户银行,MATCH($B258,账户名,0)),""))</f>
        <v/>
      </c>
      <c r="D258" s="12" t="str">
        <f>IF($B258="","",IFERROR(INDEX(账户币种,MATCH($B258,账户名,0)),""))</f>
        <v/>
      </c>
      <c r="E258" s="47"/>
      <c r="F258" s="12" t="str">
        <f>IF($E258="","",IFERROR(INDEX(类别属性,MATCH($E258,类别表,0)),""))</f>
        <v/>
      </c>
      <c r="G258" s="48"/>
      <c r="H258" s="48"/>
      <c r="I258" s="49"/>
      <c r="J258" s="24" t="str">
        <f>IF(OR($A258="",$B258=""),"",IF($I258&lt;&gt;"",$I258,IF($D258=本位币,1,IFERROR(LOOKUP(2,1/((汇率月份&lt;=$A258)*(INDEX(记账汇率区,0,MATCH($D258,汇率币种头,0))&lt;&gt;"")),INDEX(记账汇率区,0,MATCH($D258,汇率币种头,0))),""))))</f>
        <v/>
      </c>
      <c r="K258" s="23" t="str">
        <f t="shared" si="6"/>
        <v/>
      </c>
      <c r="L258" s="23" t="str">
        <f t="shared" si="7"/>
        <v/>
      </c>
      <c r="M258" s="23" t="str">
        <f>IF($B258="","",ROUND(SUMIF(账户名,$B258,账户期初)+SUMIFS($K$6:K258,$B$6:B258,$B258),2))</f>
        <v/>
      </c>
      <c r="N258" s="23" t="str">
        <f>IF($B258="","",IFERROR(ROUND(INDEX(账户期初本位,MATCH($B258,账户名,0))+SUMIFS($L$6:L258,$B$6:B258,$B258),2),""))</f>
        <v/>
      </c>
      <c r="O258" s="46"/>
      <c r="P258" s="47"/>
      <c r="Q258" s="46"/>
      <c r="R258" s="46"/>
      <c r="S258" s="6" t="str">
        <f>IF($B258="","",IF(ISNA(MATCH($B258,账户名,0)),"※这个账户不在【参数设置】的账户档案里",IF($A258="","※没填日期，这一笔不会进任何月份的报表",IF(AND($G258&lt;&gt;"",$H258&lt;&gt;""),"※收入和支出不能同时填",IF(AND(N($G258)=0,N($H258)=0),"※收入和支出都没填",IF($E258="","※没填收支类别，分类报表会漏掉这一笔",IF(ISNA(MATCH($E258,类别表,0)),"※收支类别不在【参数设置】的清单里",IF($J258="","△"&amp;$D258&amp;" 还没填汇率，去【月度汇率】补上就自动算了",IF(YEAR($A258)&lt;&gt;管理年度,"△不是管理年度的单据，年报里看不到",IF(AND($F258="内部转账",$Q258=""),"△内部转账建议在「往来单位」写上对方账户",IF($M258&lt;0,"△这一笔之后该账户余额成负数了，核一下","")))))))))))</f>
        <v/>
      </c>
    </row>
    <row r="259" ht="16.5" spans="1:19">
      <c r="A259" s="45"/>
      <c r="B259" s="46"/>
      <c r="C259" s="12" t="str">
        <f>IF($B259="","",IFERROR(INDEX(账户银行,MATCH($B259,账户名,0)),""))</f>
        <v/>
      </c>
      <c r="D259" s="12" t="str">
        <f>IF($B259="","",IFERROR(INDEX(账户币种,MATCH($B259,账户名,0)),""))</f>
        <v/>
      </c>
      <c r="E259" s="47"/>
      <c r="F259" s="12" t="str">
        <f>IF($E259="","",IFERROR(INDEX(类别属性,MATCH($E259,类别表,0)),""))</f>
        <v/>
      </c>
      <c r="G259" s="48"/>
      <c r="H259" s="48"/>
      <c r="I259" s="49"/>
      <c r="J259" s="24" t="str">
        <f>IF(OR($A259="",$B259=""),"",IF($I259&lt;&gt;"",$I259,IF($D259=本位币,1,IFERROR(LOOKUP(2,1/((汇率月份&lt;=$A259)*(INDEX(记账汇率区,0,MATCH($D259,汇率币种头,0))&lt;&gt;"")),INDEX(记账汇率区,0,MATCH($D259,汇率币种头,0))),""))))</f>
        <v/>
      </c>
      <c r="K259" s="23" t="str">
        <f t="shared" si="6"/>
        <v/>
      </c>
      <c r="L259" s="23" t="str">
        <f t="shared" si="7"/>
        <v/>
      </c>
      <c r="M259" s="23" t="str">
        <f>IF($B259="","",ROUND(SUMIF(账户名,$B259,账户期初)+SUMIFS($K$6:K259,$B$6:B259,$B259),2))</f>
        <v/>
      </c>
      <c r="N259" s="23" t="str">
        <f>IF($B259="","",IFERROR(ROUND(INDEX(账户期初本位,MATCH($B259,账户名,0))+SUMIFS($L$6:L259,$B$6:B259,$B259),2),""))</f>
        <v/>
      </c>
      <c r="O259" s="46"/>
      <c r="P259" s="47"/>
      <c r="Q259" s="46"/>
      <c r="R259" s="46"/>
      <c r="S259" s="6" t="str">
        <f>IF($B259="","",IF(ISNA(MATCH($B259,账户名,0)),"※这个账户不在【参数设置】的账户档案里",IF($A259="","※没填日期，这一笔不会进任何月份的报表",IF(AND($G259&lt;&gt;"",$H259&lt;&gt;""),"※收入和支出不能同时填",IF(AND(N($G259)=0,N($H259)=0),"※收入和支出都没填",IF($E259="","※没填收支类别，分类报表会漏掉这一笔",IF(ISNA(MATCH($E259,类别表,0)),"※收支类别不在【参数设置】的清单里",IF($J259="","△"&amp;$D259&amp;" 还没填汇率，去【月度汇率】补上就自动算了",IF(YEAR($A259)&lt;&gt;管理年度,"△不是管理年度的单据，年报里看不到",IF(AND($F259="内部转账",$Q259=""),"△内部转账建议在「往来单位」写上对方账户",IF($M259&lt;0,"△这一笔之后该账户余额成负数了，核一下","")))))))))))</f>
        <v/>
      </c>
    </row>
    <row r="260" ht="16.5" spans="1:19">
      <c r="A260" s="45"/>
      <c r="B260" s="46"/>
      <c r="C260" s="12" t="str">
        <f>IF($B260="","",IFERROR(INDEX(账户银行,MATCH($B260,账户名,0)),""))</f>
        <v/>
      </c>
      <c r="D260" s="12" t="str">
        <f>IF($B260="","",IFERROR(INDEX(账户币种,MATCH($B260,账户名,0)),""))</f>
        <v/>
      </c>
      <c r="E260" s="47"/>
      <c r="F260" s="12" t="str">
        <f>IF($E260="","",IFERROR(INDEX(类别属性,MATCH($E260,类别表,0)),""))</f>
        <v/>
      </c>
      <c r="G260" s="48"/>
      <c r="H260" s="48"/>
      <c r="I260" s="49"/>
      <c r="J260" s="24" t="str">
        <f>IF(OR($A260="",$B260=""),"",IF($I260&lt;&gt;"",$I260,IF($D260=本位币,1,IFERROR(LOOKUP(2,1/((汇率月份&lt;=$A260)*(INDEX(记账汇率区,0,MATCH($D260,汇率币种头,0))&lt;&gt;"")),INDEX(记账汇率区,0,MATCH($D260,汇率币种头,0))),""))))</f>
        <v/>
      </c>
      <c r="K260" s="23" t="str">
        <f t="shared" si="6"/>
        <v/>
      </c>
      <c r="L260" s="23" t="str">
        <f t="shared" si="7"/>
        <v/>
      </c>
      <c r="M260" s="23" t="str">
        <f>IF($B260="","",ROUND(SUMIF(账户名,$B260,账户期初)+SUMIFS($K$6:K260,$B$6:B260,$B260),2))</f>
        <v/>
      </c>
      <c r="N260" s="23" t="str">
        <f>IF($B260="","",IFERROR(ROUND(INDEX(账户期初本位,MATCH($B260,账户名,0))+SUMIFS($L$6:L260,$B$6:B260,$B260),2),""))</f>
        <v/>
      </c>
      <c r="O260" s="46"/>
      <c r="P260" s="47"/>
      <c r="Q260" s="46"/>
      <c r="R260" s="46"/>
      <c r="S260" s="6" t="str">
        <f>IF($B260="","",IF(ISNA(MATCH($B260,账户名,0)),"※这个账户不在【参数设置】的账户档案里",IF($A260="","※没填日期，这一笔不会进任何月份的报表",IF(AND($G260&lt;&gt;"",$H260&lt;&gt;""),"※收入和支出不能同时填",IF(AND(N($G260)=0,N($H260)=0),"※收入和支出都没填",IF($E260="","※没填收支类别，分类报表会漏掉这一笔",IF(ISNA(MATCH($E260,类别表,0)),"※收支类别不在【参数设置】的清单里",IF($J260="","△"&amp;$D260&amp;" 还没填汇率，去【月度汇率】补上就自动算了",IF(YEAR($A260)&lt;&gt;管理年度,"△不是管理年度的单据，年报里看不到",IF(AND($F260="内部转账",$Q260=""),"△内部转账建议在「往来单位」写上对方账户",IF($M260&lt;0,"△这一笔之后该账户余额成负数了，核一下","")))))))))))</f>
        <v/>
      </c>
    </row>
    <row r="261" ht="16.5" spans="1:19">
      <c r="A261" s="45"/>
      <c r="B261" s="46"/>
      <c r="C261" s="12" t="str">
        <f>IF($B261="","",IFERROR(INDEX(账户银行,MATCH($B261,账户名,0)),""))</f>
        <v/>
      </c>
      <c r="D261" s="12" t="str">
        <f>IF($B261="","",IFERROR(INDEX(账户币种,MATCH($B261,账户名,0)),""))</f>
        <v/>
      </c>
      <c r="E261" s="47"/>
      <c r="F261" s="12" t="str">
        <f>IF($E261="","",IFERROR(INDEX(类别属性,MATCH($E261,类别表,0)),""))</f>
        <v/>
      </c>
      <c r="G261" s="48"/>
      <c r="H261" s="48"/>
      <c r="I261" s="49"/>
      <c r="J261" s="24" t="str">
        <f>IF(OR($A261="",$B261=""),"",IF($I261&lt;&gt;"",$I261,IF($D261=本位币,1,IFERROR(LOOKUP(2,1/((汇率月份&lt;=$A261)*(INDEX(记账汇率区,0,MATCH($D261,汇率币种头,0))&lt;&gt;"")),INDEX(记账汇率区,0,MATCH($D261,汇率币种头,0))),""))))</f>
        <v/>
      </c>
      <c r="K261" s="23" t="str">
        <f t="shared" si="6"/>
        <v/>
      </c>
      <c r="L261" s="23" t="str">
        <f t="shared" si="7"/>
        <v/>
      </c>
      <c r="M261" s="23" t="str">
        <f>IF($B261="","",ROUND(SUMIF(账户名,$B261,账户期初)+SUMIFS($K$6:K261,$B$6:B261,$B261),2))</f>
        <v/>
      </c>
      <c r="N261" s="23" t="str">
        <f>IF($B261="","",IFERROR(ROUND(INDEX(账户期初本位,MATCH($B261,账户名,0))+SUMIFS($L$6:L261,$B$6:B261,$B261),2),""))</f>
        <v/>
      </c>
      <c r="O261" s="46"/>
      <c r="P261" s="47"/>
      <c r="Q261" s="46"/>
      <c r="R261" s="46"/>
      <c r="S261" s="6" t="str">
        <f>IF($B261="","",IF(ISNA(MATCH($B261,账户名,0)),"※这个账户不在【参数设置】的账户档案里",IF($A261="","※没填日期，这一笔不会进任何月份的报表",IF(AND($G261&lt;&gt;"",$H261&lt;&gt;""),"※收入和支出不能同时填",IF(AND(N($G261)=0,N($H261)=0),"※收入和支出都没填",IF($E261="","※没填收支类别，分类报表会漏掉这一笔",IF(ISNA(MATCH($E261,类别表,0)),"※收支类别不在【参数设置】的清单里",IF($J261="","△"&amp;$D261&amp;" 还没填汇率，去【月度汇率】补上就自动算了",IF(YEAR($A261)&lt;&gt;管理年度,"△不是管理年度的单据，年报里看不到",IF(AND($F261="内部转账",$Q261=""),"△内部转账建议在「往来单位」写上对方账户",IF($M261&lt;0,"△这一笔之后该账户余额成负数了，核一下","")))))))))))</f>
        <v/>
      </c>
    </row>
    <row r="262" ht="16.5" spans="1:19">
      <c r="A262" s="45"/>
      <c r="B262" s="46"/>
      <c r="C262" s="12" t="str">
        <f>IF($B262="","",IFERROR(INDEX(账户银行,MATCH($B262,账户名,0)),""))</f>
        <v/>
      </c>
      <c r="D262" s="12" t="str">
        <f>IF($B262="","",IFERROR(INDEX(账户币种,MATCH($B262,账户名,0)),""))</f>
        <v/>
      </c>
      <c r="E262" s="47"/>
      <c r="F262" s="12" t="str">
        <f>IF($E262="","",IFERROR(INDEX(类别属性,MATCH($E262,类别表,0)),""))</f>
        <v/>
      </c>
      <c r="G262" s="48"/>
      <c r="H262" s="48"/>
      <c r="I262" s="49"/>
      <c r="J262" s="24" t="str">
        <f>IF(OR($A262="",$B262=""),"",IF($I262&lt;&gt;"",$I262,IF($D262=本位币,1,IFERROR(LOOKUP(2,1/((汇率月份&lt;=$A262)*(INDEX(记账汇率区,0,MATCH($D262,汇率币种头,0))&lt;&gt;"")),INDEX(记账汇率区,0,MATCH($D262,汇率币种头,0))),""))))</f>
        <v/>
      </c>
      <c r="K262" s="23" t="str">
        <f t="shared" ref="K262:K325" si="8">IF(AND($G262="",$H262=""),"",ROUND(N($G262)-N($H262),2))</f>
        <v/>
      </c>
      <c r="L262" s="23" t="str">
        <f t="shared" ref="L262:L325" si="9">IF(OR($K262="",$J262=""),"",ROUND($K262*$J262,2))</f>
        <v/>
      </c>
      <c r="M262" s="23" t="str">
        <f>IF($B262="","",ROUND(SUMIF(账户名,$B262,账户期初)+SUMIFS($K$6:K262,$B$6:B262,$B262),2))</f>
        <v/>
      </c>
      <c r="N262" s="23" t="str">
        <f>IF($B262="","",IFERROR(ROUND(INDEX(账户期初本位,MATCH($B262,账户名,0))+SUMIFS($L$6:L262,$B$6:B262,$B262),2),""))</f>
        <v/>
      </c>
      <c r="O262" s="46"/>
      <c r="P262" s="47"/>
      <c r="Q262" s="46"/>
      <c r="R262" s="46"/>
      <c r="S262" s="6" t="str">
        <f>IF($B262="","",IF(ISNA(MATCH($B262,账户名,0)),"※这个账户不在【参数设置】的账户档案里",IF($A262="","※没填日期，这一笔不会进任何月份的报表",IF(AND($G262&lt;&gt;"",$H262&lt;&gt;""),"※收入和支出不能同时填",IF(AND(N($G262)=0,N($H262)=0),"※收入和支出都没填",IF($E262="","※没填收支类别，分类报表会漏掉这一笔",IF(ISNA(MATCH($E262,类别表,0)),"※收支类别不在【参数设置】的清单里",IF($J262="","△"&amp;$D262&amp;" 还没填汇率，去【月度汇率】补上就自动算了",IF(YEAR($A262)&lt;&gt;管理年度,"△不是管理年度的单据，年报里看不到",IF(AND($F262="内部转账",$Q262=""),"△内部转账建议在「往来单位」写上对方账户",IF($M262&lt;0,"△这一笔之后该账户余额成负数了，核一下","")))))))))))</f>
        <v/>
      </c>
    </row>
    <row r="263" ht="16.5" spans="1:19">
      <c r="A263" s="45"/>
      <c r="B263" s="46"/>
      <c r="C263" s="12" t="str">
        <f>IF($B263="","",IFERROR(INDEX(账户银行,MATCH($B263,账户名,0)),""))</f>
        <v/>
      </c>
      <c r="D263" s="12" t="str">
        <f>IF($B263="","",IFERROR(INDEX(账户币种,MATCH($B263,账户名,0)),""))</f>
        <v/>
      </c>
      <c r="E263" s="47"/>
      <c r="F263" s="12" t="str">
        <f>IF($E263="","",IFERROR(INDEX(类别属性,MATCH($E263,类别表,0)),""))</f>
        <v/>
      </c>
      <c r="G263" s="48"/>
      <c r="H263" s="48"/>
      <c r="I263" s="49"/>
      <c r="J263" s="24" t="str">
        <f>IF(OR($A263="",$B263=""),"",IF($I263&lt;&gt;"",$I263,IF($D263=本位币,1,IFERROR(LOOKUP(2,1/((汇率月份&lt;=$A263)*(INDEX(记账汇率区,0,MATCH($D263,汇率币种头,0))&lt;&gt;"")),INDEX(记账汇率区,0,MATCH($D263,汇率币种头,0))),""))))</f>
        <v/>
      </c>
      <c r="K263" s="23" t="str">
        <f t="shared" si="8"/>
        <v/>
      </c>
      <c r="L263" s="23" t="str">
        <f t="shared" si="9"/>
        <v/>
      </c>
      <c r="M263" s="23" t="str">
        <f>IF($B263="","",ROUND(SUMIF(账户名,$B263,账户期初)+SUMIFS($K$6:K263,$B$6:B263,$B263),2))</f>
        <v/>
      </c>
      <c r="N263" s="23" t="str">
        <f>IF($B263="","",IFERROR(ROUND(INDEX(账户期初本位,MATCH($B263,账户名,0))+SUMIFS($L$6:L263,$B$6:B263,$B263),2),""))</f>
        <v/>
      </c>
      <c r="O263" s="46"/>
      <c r="P263" s="47"/>
      <c r="Q263" s="46"/>
      <c r="R263" s="46"/>
      <c r="S263" s="6" t="str">
        <f>IF($B263="","",IF(ISNA(MATCH($B263,账户名,0)),"※这个账户不在【参数设置】的账户档案里",IF($A263="","※没填日期，这一笔不会进任何月份的报表",IF(AND($G263&lt;&gt;"",$H263&lt;&gt;""),"※收入和支出不能同时填",IF(AND(N($G263)=0,N($H263)=0),"※收入和支出都没填",IF($E263="","※没填收支类别，分类报表会漏掉这一笔",IF(ISNA(MATCH($E263,类别表,0)),"※收支类别不在【参数设置】的清单里",IF($J263="","△"&amp;$D263&amp;" 还没填汇率，去【月度汇率】补上就自动算了",IF(YEAR($A263)&lt;&gt;管理年度,"△不是管理年度的单据，年报里看不到",IF(AND($F263="内部转账",$Q263=""),"△内部转账建议在「往来单位」写上对方账户",IF($M263&lt;0,"△这一笔之后该账户余额成负数了，核一下","")))))))))))</f>
        <v/>
      </c>
    </row>
    <row r="264" ht="16.5" spans="1:19">
      <c r="A264" s="45"/>
      <c r="B264" s="46"/>
      <c r="C264" s="12" t="str">
        <f>IF($B264="","",IFERROR(INDEX(账户银行,MATCH($B264,账户名,0)),""))</f>
        <v/>
      </c>
      <c r="D264" s="12" t="str">
        <f>IF($B264="","",IFERROR(INDEX(账户币种,MATCH($B264,账户名,0)),""))</f>
        <v/>
      </c>
      <c r="E264" s="47"/>
      <c r="F264" s="12" t="str">
        <f>IF($E264="","",IFERROR(INDEX(类别属性,MATCH($E264,类别表,0)),""))</f>
        <v/>
      </c>
      <c r="G264" s="48"/>
      <c r="H264" s="48"/>
      <c r="I264" s="49"/>
      <c r="J264" s="24" t="str">
        <f>IF(OR($A264="",$B264=""),"",IF($I264&lt;&gt;"",$I264,IF($D264=本位币,1,IFERROR(LOOKUP(2,1/((汇率月份&lt;=$A264)*(INDEX(记账汇率区,0,MATCH($D264,汇率币种头,0))&lt;&gt;"")),INDEX(记账汇率区,0,MATCH($D264,汇率币种头,0))),""))))</f>
        <v/>
      </c>
      <c r="K264" s="23" t="str">
        <f t="shared" si="8"/>
        <v/>
      </c>
      <c r="L264" s="23" t="str">
        <f t="shared" si="9"/>
        <v/>
      </c>
      <c r="M264" s="23" t="str">
        <f>IF($B264="","",ROUND(SUMIF(账户名,$B264,账户期初)+SUMIFS($K$6:K264,$B$6:B264,$B264),2))</f>
        <v/>
      </c>
      <c r="N264" s="23" t="str">
        <f>IF($B264="","",IFERROR(ROUND(INDEX(账户期初本位,MATCH($B264,账户名,0))+SUMIFS($L$6:L264,$B$6:B264,$B264),2),""))</f>
        <v/>
      </c>
      <c r="O264" s="46"/>
      <c r="P264" s="47"/>
      <c r="Q264" s="46"/>
      <c r="R264" s="46"/>
      <c r="S264" s="6" t="str">
        <f>IF($B264="","",IF(ISNA(MATCH($B264,账户名,0)),"※这个账户不在【参数设置】的账户档案里",IF($A264="","※没填日期，这一笔不会进任何月份的报表",IF(AND($G264&lt;&gt;"",$H264&lt;&gt;""),"※收入和支出不能同时填",IF(AND(N($G264)=0,N($H264)=0),"※收入和支出都没填",IF($E264="","※没填收支类别，分类报表会漏掉这一笔",IF(ISNA(MATCH($E264,类别表,0)),"※收支类别不在【参数设置】的清单里",IF($J264="","△"&amp;$D264&amp;" 还没填汇率，去【月度汇率】补上就自动算了",IF(YEAR($A264)&lt;&gt;管理年度,"△不是管理年度的单据，年报里看不到",IF(AND($F264="内部转账",$Q264=""),"△内部转账建议在「往来单位」写上对方账户",IF($M264&lt;0,"△这一笔之后该账户余额成负数了，核一下","")))))))))))</f>
        <v/>
      </c>
    </row>
    <row r="265" ht="16.5" spans="1:19">
      <c r="A265" s="45"/>
      <c r="B265" s="46"/>
      <c r="C265" s="12" t="str">
        <f>IF($B265="","",IFERROR(INDEX(账户银行,MATCH($B265,账户名,0)),""))</f>
        <v/>
      </c>
      <c r="D265" s="12" t="str">
        <f>IF($B265="","",IFERROR(INDEX(账户币种,MATCH($B265,账户名,0)),""))</f>
        <v/>
      </c>
      <c r="E265" s="47"/>
      <c r="F265" s="12" t="str">
        <f>IF($E265="","",IFERROR(INDEX(类别属性,MATCH($E265,类别表,0)),""))</f>
        <v/>
      </c>
      <c r="G265" s="48"/>
      <c r="H265" s="48"/>
      <c r="I265" s="49"/>
      <c r="J265" s="24" t="str">
        <f>IF(OR($A265="",$B265=""),"",IF($I265&lt;&gt;"",$I265,IF($D265=本位币,1,IFERROR(LOOKUP(2,1/((汇率月份&lt;=$A265)*(INDEX(记账汇率区,0,MATCH($D265,汇率币种头,0))&lt;&gt;"")),INDEX(记账汇率区,0,MATCH($D265,汇率币种头,0))),""))))</f>
        <v/>
      </c>
      <c r="K265" s="23" t="str">
        <f t="shared" si="8"/>
        <v/>
      </c>
      <c r="L265" s="23" t="str">
        <f t="shared" si="9"/>
        <v/>
      </c>
      <c r="M265" s="23" t="str">
        <f>IF($B265="","",ROUND(SUMIF(账户名,$B265,账户期初)+SUMIFS($K$6:K265,$B$6:B265,$B265),2))</f>
        <v/>
      </c>
      <c r="N265" s="23" t="str">
        <f>IF($B265="","",IFERROR(ROUND(INDEX(账户期初本位,MATCH($B265,账户名,0))+SUMIFS($L$6:L265,$B$6:B265,$B265),2),""))</f>
        <v/>
      </c>
      <c r="O265" s="46"/>
      <c r="P265" s="47"/>
      <c r="Q265" s="46"/>
      <c r="R265" s="46"/>
      <c r="S265" s="6" t="str">
        <f>IF($B265="","",IF(ISNA(MATCH($B265,账户名,0)),"※这个账户不在【参数设置】的账户档案里",IF($A265="","※没填日期，这一笔不会进任何月份的报表",IF(AND($G265&lt;&gt;"",$H265&lt;&gt;""),"※收入和支出不能同时填",IF(AND(N($G265)=0,N($H265)=0),"※收入和支出都没填",IF($E265="","※没填收支类别，分类报表会漏掉这一笔",IF(ISNA(MATCH($E265,类别表,0)),"※收支类别不在【参数设置】的清单里",IF($J265="","△"&amp;$D265&amp;" 还没填汇率，去【月度汇率】补上就自动算了",IF(YEAR($A265)&lt;&gt;管理年度,"△不是管理年度的单据，年报里看不到",IF(AND($F265="内部转账",$Q265=""),"△内部转账建议在「往来单位」写上对方账户",IF($M265&lt;0,"△这一笔之后该账户余额成负数了，核一下","")))))))))))</f>
        <v/>
      </c>
    </row>
    <row r="266" ht="16.5" spans="1:19">
      <c r="A266" s="45"/>
      <c r="B266" s="46"/>
      <c r="C266" s="12" t="str">
        <f>IF($B266="","",IFERROR(INDEX(账户银行,MATCH($B266,账户名,0)),""))</f>
        <v/>
      </c>
      <c r="D266" s="12" t="str">
        <f>IF($B266="","",IFERROR(INDEX(账户币种,MATCH($B266,账户名,0)),""))</f>
        <v/>
      </c>
      <c r="E266" s="47"/>
      <c r="F266" s="12" t="str">
        <f>IF($E266="","",IFERROR(INDEX(类别属性,MATCH($E266,类别表,0)),""))</f>
        <v/>
      </c>
      <c r="G266" s="48"/>
      <c r="H266" s="48"/>
      <c r="I266" s="49"/>
      <c r="J266" s="24" t="str">
        <f>IF(OR($A266="",$B266=""),"",IF($I266&lt;&gt;"",$I266,IF($D266=本位币,1,IFERROR(LOOKUP(2,1/((汇率月份&lt;=$A266)*(INDEX(记账汇率区,0,MATCH($D266,汇率币种头,0))&lt;&gt;"")),INDEX(记账汇率区,0,MATCH($D266,汇率币种头,0))),""))))</f>
        <v/>
      </c>
      <c r="K266" s="23" t="str">
        <f t="shared" si="8"/>
        <v/>
      </c>
      <c r="L266" s="23" t="str">
        <f t="shared" si="9"/>
        <v/>
      </c>
      <c r="M266" s="23" t="str">
        <f>IF($B266="","",ROUND(SUMIF(账户名,$B266,账户期初)+SUMIFS($K$6:K266,$B$6:B266,$B266),2))</f>
        <v/>
      </c>
      <c r="N266" s="23" t="str">
        <f>IF($B266="","",IFERROR(ROUND(INDEX(账户期初本位,MATCH($B266,账户名,0))+SUMIFS($L$6:L266,$B$6:B266,$B266),2),""))</f>
        <v/>
      </c>
      <c r="O266" s="46"/>
      <c r="P266" s="47"/>
      <c r="Q266" s="46"/>
      <c r="R266" s="46"/>
      <c r="S266" s="6" t="str">
        <f>IF($B266="","",IF(ISNA(MATCH($B266,账户名,0)),"※这个账户不在【参数设置】的账户档案里",IF($A266="","※没填日期，这一笔不会进任何月份的报表",IF(AND($G266&lt;&gt;"",$H266&lt;&gt;""),"※收入和支出不能同时填",IF(AND(N($G266)=0,N($H266)=0),"※收入和支出都没填",IF($E266="","※没填收支类别，分类报表会漏掉这一笔",IF(ISNA(MATCH($E266,类别表,0)),"※收支类别不在【参数设置】的清单里",IF($J266="","△"&amp;$D266&amp;" 还没填汇率，去【月度汇率】补上就自动算了",IF(YEAR($A266)&lt;&gt;管理年度,"△不是管理年度的单据，年报里看不到",IF(AND($F266="内部转账",$Q266=""),"△内部转账建议在「往来单位」写上对方账户",IF($M266&lt;0,"△这一笔之后该账户余额成负数了，核一下","")))))))))))</f>
        <v/>
      </c>
    </row>
    <row r="267" ht="16.5" spans="1:19">
      <c r="A267" s="45"/>
      <c r="B267" s="46"/>
      <c r="C267" s="12" t="str">
        <f>IF($B267="","",IFERROR(INDEX(账户银行,MATCH($B267,账户名,0)),""))</f>
        <v/>
      </c>
      <c r="D267" s="12" t="str">
        <f>IF($B267="","",IFERROR(INDEX(账户币种,MATCH($B267,账户名,0)),""))</f>
        <v/>
      </c>
      <c r="E267" s="47"/>
      <c r="F267" s="12" t="str">
        <f>IF($E267="","",IFERROR(INDEX(类别属性,MATCH($E267,类别表,0)),""))</f>
        <v/>
      </c>
      <c r="G267" s="48"/>
      <c r="H267" s="48"/>
      <c r="I267" s="49"/>
      <c r="J267" s="24" t="str">
        <f>IF(OR($A267="",$B267=""),"",IF($I267&lt;&gt;"",$I267,IF($D267=本位币,1,IFERROR(LOOKUP(2,1/((汇率月份&lt;=$A267)*(INDEX(记账汇率区,0,MATCH($D267,汇率币种头,0))&lt;&gt;"")),INDEX(记账汇率区,0,MATCH($D267,汇率币种头,0))),""))))</f>
        <v/>
      </c>
      <c r="K267" s="23" t="str">
        <f t="shared" si="8"/>
        <v/>
      </c>
      <c r="L267" s="23" t="str">
        <f t="shared" si="9"/>
        <v/>
      </c>
      <c r="M267" s="23" t="str">
        <f>IF($B267="","",ROUND(SUMIF(账户名,$B267,账户期初)+SUMIFS($K$6:K267,$B$6:B267,$B267),2))</f>
        <v/>
      </c>
      <c r="N267" s="23" t="str">
        <f>IF($B267="","",IFERROR(ROUND(INDEX(账户期初本位,MATCH($B267,账户名,0))+SUMIFS($L$6:L267,$B$6:B267,$B267),2),""))</f>
        <v/>
      </c>
      <c r="O267" s="46"/>
      <c r="P267" s="47"/>
      <c r="Q267" s="46"/>
      <c r="R267" s="46"/>
      <c r="S267" s="6" t="str">
        <f>IF($B267="","",IF(ISNA(MATCH($B267,账户名,0)),"※这个账户不在【参数设置】的账户档案里",IF($A267="","※没填日期，这一笔不会进任何月份的报表",IF(AND($G267&lt;&gt;"",$H267&lt;&gt;""),"※收入和支出不能同时填",IF(AND(N($G267)=0,N($H267)=0),"※收入和支出都没填",IF($E267="","※没填收支类别，分类报表会漏掉这一笔",IF(ISNA(MATCH($E267,类别表,0)),"※收支类别不在【参数设置】的清单里",IF($J267="","△"&amp;$D267&amp;" 还没填汇率，去【月度汇率】补上就自动算了",IF(YEAR($A267)&lt;&gt;管理年度,"△不是管理年度的单据，年报里看不到",IF(AND($F267="内部转账",$Q267=""),"△内部转账建议在「往来单位」写上对方账户",IF($M267&lt;0,"△这一笔之后该账户余额成负数了，核一下","")))))))))))</f>
        <v/>
      </c>
    </row>
    <row r="268" ht="16.5" spans="1:19">
      <c r="A268" s="45"/>
      <c r="B268" s="46"/>
      <c r="C268" s="12" t="str">
        <f>IF($B268="","",IFERROR(INDEX(账户银行,MATCH($B268,账户名,0)),""))</f>
        <v/>
      </c>
      <c r="D268" s="12" t="str">
        <f>IF($B268="","",IFERROR(INDEX(账户币种,MATCH($B268,账户名,0)),""))</f>
        <v/>
      </c>
      <c r="E268" s="47"/>
      <c r="F268" s="12" t="str">
        <f>IF($E268="","",IFERROR(INDEX(类别属性,MATCH($E268,类别表,0)),""))</f>
        <v/>
      </c>
      <c r="G268" s="48"/>
      <c r="H268" s="48"/>
      <c r="I268" s="49"/>
      <c r="J268" s="24" t="str">
        <f>IF(OR($A268="",$B268=""),"",IF($I268&lt;&gt;"",$I268,IF($D268=本位币,1,IFERROR(LOOKUP(2,1/((汇率月份&lt;=$A268)*(INDEX(记账汇率区,0,MATCH($D268,汇率币种头,0))&lt;&gt;"")),INDEX(记账汇率区,0,MATCH($D268,汇率币种头,0))),""))))</f>
        <v/>
      </c>
      <c r="K268" s="23" t="str">
        <f t="shared" si="8"/>
        <v/>
      </c>
      <c r="L268" s="23" t="str">
        <f t="shared" si="9"/>
        <v/>
      </c>
      <c r="M268" s="23" t="str">
        <f>IF($B268="","",ROUND(SUMIF(账户名,$B268,账户期初)+SUMIFS($K$6:K268,$B$6:B268,$B268),2))</f>
        <v/>
      </c>
      <c r="N268" s="23" t="str">
        <f>IF($B268="","",IFERROR(ROUND(INDEX(账户期初本位,MATCH($B268,账户名,0))+SUMIFS($L$6:L268,$B$6:B268,$B268),2),""))</f>
        <v/>
      </c>
      <c r="O268" s="46"/>
      <c r="P268" s="47"/>
      <c r="Q268" s="46"/>
      <c r="R268" s="46"/>
      <c r="S268" s="6" t="str">
        <f>IF($B268="","",IF(ISNA(MATCH($B268,账户名,0)),"※这个账户不在【参数设置】的账户档案里",IF($A268="","※没填日期，这一笔不会进任何月份的报表",IF(AND($G268&lt;&gt;"",$H268&lt;&gt;""),"※收入和支出不能同时填",IF(AND(N($G268)=0,N($H268)=0),"※收入和支出都没填",IF($E268="","※没填收支类别，分类报表会漏掉这一笔",IF(ISNA(MATCH($E268,类别表,0)),"※收支类别不在【参数设置】的清单里",IF($J268="","△"&amp;$D268&amp;" 还没填汇率，去【月度汇率】补上就自动算了",IF(YEAR($A268)&lt;&gt;管理年度,"△不是管理年度的单据，年报里看不到",IF(AND($F268="内部转账",$Q268=""),"△内部转账建议在「往来单位」写上对方账户",IF($M268&lt;0,"△这一笔之后该账户余额成负数了，核一下","")))))))))))</f>
        <v/>
      </c>
    </row>
    <row r="269" ht="16.5" spans="1:19">
      <c r="A269" s="45"/>
      <c r="B269" s="46"/>
      <c r="C269" s="12" t="str">
        <f>IF($B269="","",IFERROR(INDEX(账户银行,MATCH($B269,账户名,0)),""))</f>
        <v/>
      </c>
      <c r="D269" s="12" t="str">
        <f>IF($B269="","",IFERROR(INDEX(账户币种,MATCH($B269,账户名,0)),""))</f>
        <v/>
      </c>
      <c r="E269" s="47"/>
      <c r="F269" s="12" t="str">
        <f>IF($E269="","",IFERROR(INDEX(类别属性,MATCH($E269,类别表,0)),""))</f>
        <v/>
      </c>
      <c r="G269" s="48"/>
      <c r="H269" s="48"/>
      <c r="I269" s="49"/>
      <c r="J269" s="24" t="str">
        <f>IF(OR($A269="",$B269=""),"",IF($I269&lt;&gt;"",$I269,IF($D269=本位币,1,IFERROR(LOOKUP(2,1/((汇率月份&lt;=$A269)*(INDEX(记账汇率区,0,MATCH($D269,汇率币种头,0))&lt;&gt;"")),INDEX(记账汇率区,0,MATCH($D269,汇率币种头,0))),""))))</f>
        <v/>
      </c>
      <c r="K269" s="23" t="str">
        <f t="shared" si="8"/>
        <v/>
      </c>
      <c r="L269" s="23" t="str">
        <f t="shared" si="9"/>
        <v/>
      </c>
      <c r="M269" s="23" t="str">
        <f>IF($B269="","",ROUND(SUMIF(账户名,$B269,账户期初)+SUMIFS($K$6:K269,$B$6:B269,$B269),2))</f>
        <v/>
      </c>
      <c r="N269" s="23" t="str">
        <f>IF($B269="","",IFERROR(ROUND(INDEX(账户期初本位,MATCH($B269,账户名,0))+SUMIFS($L$6:L269,$B$6:B269,$B269),2),""))</f>
        <v/>
      </c>
      <c r="O269" s="46"/>
      <c r="P269" s="47"/>
      <c r="Q269" s="46"/>
      <c r="R269" s="46"/>
      <c r="S269" s="6" t="str">
        <f>IF($B269="","",IF(ISNA(MATCH($B269,账户名,0)),"※这个账户不在【参数设置】的账户档案里",IF($A269="","※没填日期，这一笔不会进任何月份的报表",IF(AND($G269&lt;&gt;"",$H269&lt;&gt;""),"※收入和支出不能同时填",IF(AND(N($G269)=0,N($H269)=0),"※收入和支出都没填",IF($E269="","※没填收支类别，分类报表会漏掉这一笔",IF(ISNA(MATCH($E269,类别表,0)),"※收支类别不在【参数设置】的清单里",IF($J269="","△"&amp;$D269&amp;" 还没填汇率，去【月度汇率】补上就自动算了",IF(YEAR($A269)&lt;&gt;管理年度,"△不是管理年度的单据，年报里看不到",IF(AND($F269="内部转账",$Q269=""),"△内部转账建议在「往来单位」写上对方账户",IF($M269&lt;0,"△这一笔之后该账户余额成负数了，核一下","")))))))))))</f>
        <v/>
      </c>
    </row>
    <row r="270" ht="16.5" spans="1:19">
      <c r="A270" s="45"/>
      <c r="B270" s="46"/>
      <c r="C270" s="12" t="str">
        <f>IF($B270="","",IFERROR(INDEX(账户银行,MATCH($B270,账户名,0)),""))</f>
        <v/>
      </c>
      <c r="D270" s="12" t="str">
        <f>IF($B270="","",IFERROR(INDEX(账户币种,MATCH($B270,账户名,0)),""))</f>
        <v/>
      </c>
      <c r="E270" s="47"/>
      <c r="F270" s="12" t="str">
        <f>IF($E270="","",IFERROR(INDEX(类别属性,MATCH($E270,类别表,0)),""))</f>
        <v/>
      </c>
      <c r="G270" s="48"/>
      <c r="H270" s="48"/>
      <c r="I270" s="49"/>
      <c r="J270" s="24" t="str">
        <f>IF(OR($A270="",$B270=""),"",IF($I270&lt;&gt;"",$I270,IF($D270=本位币,1,IFERROR(LOOKUP(2,1/((汇率月份&lt;=$A270)*(INDEX(记账汇率区,0,MATCH($D270,汇率币种头,0))&lt;&gt;"")),INDEX(记账汇率区,0,MATCH($D270,汇率币种头,0))),""))))</f>
        <v/>
      </c>
      <c r="K270" s="23" t="str">
        <f t="shared" si="8"/>
        <v/>
      </c>
      <c r="L270" s="23" t="str">
        <f t="shared" si="9"/>
        <v/>
      </c>
      <c r="M270" s="23" t="str">
        <f>IF($B270="","",ROUND(SUMIF(账户名,$B270,账户期初)+SUMIFS($K$6:K270,$B$6:B270,$B270),2))</f>
        <v/>
      </c>
      <c r="N270" s="23" t="str">
        <f>IF($B270="","",IFERROR(ROUND(INDEX(账户期初本位,MATCH($B270,账户名,0))+SUMIFS($L$6:L270,$B$6:B270,$B270),2),""))</f>
        <v/>
      </c>
      <c r="O270" s="46"/>
      <c r="P270" s="47"/>
      <c r="Q270" s="46"/>
      <c r="R270" s="46"/>
      <c r="S270" s="6" t="str">
        <f>IF($B270="","",IF(ISNA(MATCH($B270,账户名,0)),"※这个账户不在【参数设置】的账户档案里",IF($A270="","※没填日期，这一笔不会进任何月份的报表",IF(AND($G270&lt;&gt;"",$H270&lt;&gt;""),"※收入和支出不能同时填",IF(AND(N($G270)=0,N($H270)=0),"※收入和支出都没填",IF($E270="","※没填收支类别，分类报表会漏掉这一笔",IF(ISNA(MATCH($E270,类别表,0)),"※收支类别不在【参数设置】的清单里",IF($J270="","△"&amp;$D270&amp;" 还没填汇率，去【月度汇率】补上就自动算了",IF(YEAR($A270)&lt;&gt;管理年度,"△不是管理年度的单据，年报里看不到",IF(AND($F270="内部转账",$Q270=""),"△内部转账建议在「往来单位」写上对方账户",IF($M270&lt;0,"△这一笔之后该账户余额成负数了，核一下","")))))))))))</f>
        <v/>
      </c>
    </row>
    <row r="271" ht="16.5" spans="1:19">
      <c r="A271" s="45"/>
      <c r="B271" s="46"/>
      <c r="C271" s="12" t="str">
        <f>IF($B271="","",IFERROR(INDEX(账户银行,MATCH($B271,账户名,0)),""))</f>
        <v/>
      </c>
      <c r="D271" s="12" t="str">
        <f>IF($B271="","",IFERROR(INDEX(账户币种,MATCH($B271,账户名,0)),""))</f>
        <v/>
      </c>
      <c r="E271" s="47"/>
      <c r="F271" s="12" t="str">
        <f>IF($E271="","",IFERROR(INDEX(类别属性,MATCH($E271,类别表,0)),""))</f>
        <v/>
      </c>
      <c r="G271" s="48"/>
      <c r="H271" s="48"/>
      <c r="I271" s="49"/>
      <c r="J271" s="24" t="str">
        <f>IF(OR($A271="",$B271=""),"",IF($I271&lt;&gt;"",$I271,IF($D271=本位币,1,IFERROR(LOOKUP(2,1/((汇率月份&lt;=$A271)*(INDEX(记账汇率区,0,MATCH($D271,汇率币种头,0))&lt;&gt;"")),INDEX(记账汇率区,0,MATCH($D271,汇率币种头,0))),""))))</f>
        <v/>
      </c>
      <c r="K271" s="23" t="str">
        <f t="shared" si="8"/>
        <v/>
      </c>
      <c r="L271" s="23" t="str">
        <f t="shared" si="9"/>
        <v/>
      </c>
      <c r="M271" s="23" t="str">
        <f>IF($B271="","",ROUND(SUMIF(账户名,$B271,账户期初)+SUMIFS($K$6:K271,$B$6:B271,$B271),2))</f>
        <v/>
      </c>
      <c r="N271" s="23" t="str">
        <f>IF($B271="","",IFERROR(ROUND(INDEX(账户期初本位,MATCH($B271,账户名,0))+SUMIFS($L$6:L271,$B$6:B271,$B271),2),""))</f>
        <v/>
      </c>
      <c r="O271" s="46"/>
      <c r="P271" s="47"/>
      <c r="Q271" s="46"/>
      <c r="R271" s="46"/>
      <c r="S271" s="6" t="str">
        <f>IF($B271="","",IF(ISNA(MATCH($B271,账户名,0)),"※这个账户不在【参数设置】的账户档案里",IF($A271="","※没填日期，这一笔不会进任何月份的报表",IF(AND($G271&lt;&gt;"",$H271&lt;&gt;""),"※收入和支出不能同时填",IF(AND(N($G271)=0,N($H271)=0),"※收入和支出都没填",IF($E271="","※没填收支类别，分类报表会漏掉这一笔",IF(ISNA(MATCH($E271,类别表,0)),"※收支类别不在【参数设置】的清单里",IF($J271="","△"&amp;$D271&amp;" 还没填汇率，去【月度汇率】补上就自动算了",IF(YEAR($A271)&lt;&gt;管理年度,"△不是管理年度的单据，年报里看不到",IF(AND($F271="内部转账",$Q271=""),"△内部转账建议在「往来单位」写上对方账户",IF($M271&lt;0,"△这一笔之后该账户余额成负数了，核一下","")))))))))))</f>
        <v/>
      </c>
    </row>
    <row r="272" ht="16.5" spans="1:19">
      <c r="A272" s="45"/>
      <c r="B272" s="46"/>
      <c r="C272" s="12" t="str">
        <f>IF($B272="","",IFERROR(INDEX(账户银行,MATCH($B272,账户名,0)),""))</f>
        <v/>
      </c>
      <c r="D272" s="12" t="str">
        <f>IF($B272="","",IFERROR(INDEX(账户币种,MATCH($B272,账户名,0)),""))</f>
        <v/>
      </c>
      <c r="E272" s="47"/>
      <c r="F272" s="12" t="str">
        <f>IF($E272="","",IFERROR(INDEX(类别属性,MATCH($E272,类别表,0)),""))</f>
        <v/>
      </c>
      <c r="G272" s="48"/>
      <c r="H272" s="48"/>
      <c r="I272" s="49"/>
      <c r="J272" s="24" t="str">
        <f>IF(OR($A272="",$B272=""),"",IF($I272&lt;&gt;"",$I272,IF($D272=本位币,1,IFERROR(LOOKUP(2,1/((汇率月份&lt;=$A272)*(INDEX(记账汇率区,0,MATCH($D272,汇率币种头,0))&lt;&gt;"")),INDEX(记账汇率区,0,MATCH($D272,汇率币种头,0))),""))))</f>
        <v/>
      </c>
      <c r="K272" s="23" t="str">
        <f t="shared" si="8"/>
        <v/>
      </c>
      <c r="L272" s="23" t="str">
        <f t="shared" si="9"/>
        <v/>
      </c>
      <c r="M272" s="23" t="str">
        <f>IF($B272="","",ROUND(SUMIF(账户名,$B272,账户期初)+SUMIFS($K$6:K272,$B$6:B272,$B272),2))</f>
        <v/>
      </c>
      <c r="N272" s="23" t="str">
        <f>IF($B272="","",IFERROR(ROUND(INDEX(账户期初本位,MATCH($B272,账户名,0))+SUMIFS($L$6:L272,$B$6:B272,$B272),2),""))</f>
        <v/>
      </c>
      <c r="O272" s="46"/>
      <c r="P272" s="47"/>
      <c r="Q272" s="46"/>
      <c r="R272" s="46"/>
      <c r="S272" s="6" t="str">
        <f>IF($B272="","",IF(ISNA(MATCH($B272,账户名,0)),"※这个账户不在【参数设置】的账户档案里",IF($A272="","※没填日期，这一笔不会进任何月份的报表",IF(AND($G272&lt;&gt;"",$H272&lt;&gt;""),"※收入和支出不能同时填",IF(AND(N($G272)=0,N($H272)=0),"※收入和支出都没填",IF($E272="","※没填收支类别，分类报表会漏掉这一笔",IF(ISNA(MATCH($E272,类别表,0)),"※收支类别不在【参数设置】的清单里",IF($J272="","△"&amp;$D272&amp;" 还没填汇率，去【月度汇率】补上就自动算了",IF(YEAR($A272)&lt;&gt;管理年度,"△不是管理年度的单据，年报里看不到",IF(AND($F272="内部转账",$Q272=""),"△内部转账建议在「往来单位」写上对方账户",IF($M272&lt;0,"△这一笔之后该账户余额成负数了，核一下","")))))))))))</f>
        <v/>
      </c>
    </row>
    <row r="273" ht="16.5" spans="1:19">
      <c r="A273" s="45"/>
      <c r="B273" s="46"/>
      <c r="C273" s="12" t="str">
        <f>IF($B273="","",IFERROR(INDEX(账户银行,MATCH($B273,账户名,0)),""))</f>
        <v/>
      </c>
      <c r="D273" s="12" t="str">
        <f>IF($B273="","",IFERROR(INDEX(账户币种,MATCH($B273,账户名,0)),""))</f>
        <v/>
      </c>
      <c r="E273" s="47"/>
      <c r="F273" s="12" t="str">
        <f>IF($E273="","",IFERROR(INDEX(类别属性,MATCH($E273,类别表,0)),""))</f>
        <v/>
      </c>
      <c r="G273" s="48"/>
      <c r="H273" s="48"/>
      <c r="I273" s="49"/>
      <c r="J273" s="24" t="str">
        <f>IF(OR($A273="",$B273=""),"",IF($I273&lt;&gt;"",$I273,IF($D273=本位币,1,IFERROR(LOOKUP(2,1/((汇率月份&lt;=$A273)*(INDEX(记账汇率区,0,MATCH($D273,汇率币种头,0))&lt;&gt;"")),INDEX(记账汇率区,0,MATCH($D273,汇率币种头,0))),""))))</f>
        <v/>
      </c>
      <c r="K273" s="23" t="str">
        <f t="shared" si="8"/>
        <v/>
      </c>
      <c r="L273" s="23" t="str">
        <f t="shared" si="9"/>
        <v/>
      </c>
      <c r="M273" s="23" t="str">
        <f>IF($B273="","",ROUND(SUMIF(账户名,$B273,账户期初)+SUMIFS($K$6:K273,$B$6:B273,$B273),2))</f>
        <v/>
      </c>
      <c r="N273" s="23" t="str">
        <f>IF($B273="","",IFERROR(ROUND(INDEX(账户期初本位,MATCH($B273,账户名,0))+SUMIFS($L$6:L273,$B$6:B273,$B273),2),""))</f>
        <v/>
      </c>
      <c r="O273" s="46"/>
      <c r="P273" s="47"/>
      <c r="Q273" s="46"/>
      <c r="R273" s="46"/>
      <c r="S273" s="6" t="str">
        <f>IF($B273="","",IF(ISNA(MATCH($B273,账户名,0)),"※这个账户不在【参数设置】的账户档案里",IF($A273="","※没填日期，这一笔不会进任何月份的报表",IF(AND($G273&lt;&gt;"",$H273&lt;&gt;""),"※收入和支出不能同时填",IF(AND(N($G273)=0,N($H273)=0),"※收入和支出都没填",IF($E273="","※没填收支类别，分类报表会漏掉这一笔",IF(ISNA(MATCH($E273,类别表,0)),"※收支类别不在【参数设置】的清单里",IF($J273="","△"&amp;$D273&amp;" 还没填汇率，去【月度汇率】补上就自动算了",IF(YEAR($A273)&lt;&gt;管理年度,"△不是管理年度的单据，年报里看不到",IF(AND($F273="内部转账",$Q273=""),"△内部转账建议在「往来单位」写上对方账户",IF($M273&lt;0,"△这一笔之后该账户余额成负数了，核一下","")))))))))))</f>
        <v/>
      </c>
    </row>
    <row r="274" ht="16.5" spans="1:19">
      <c r="A274" s="45"/>
      <c r="B274" s="46"/>
      <c r="C274" s="12" t="str">
        <f>IF($B274="","",IFERROR(INDEX(账户银行,MATCH($B274,账户名,0)),""))</f>
        <v/>
      </c>
      <c r="D274" s="12" t="str">
        <f>IF($B274="","",IFERROR(INDEX(账户币种,MATCH($B274,账户名,0)),""))</f>
        <v/>
      </c>
      <c r="E274" s="47"/>
      <c r="F274" s="12" t="str">
        <f>IF($E274="","",IFERROR(INDEX(类别属性,MATCH($E274,类别表,0)),""))</f>
        <v/>
      </c>
      <c r="G274" s="48"/>
      <c r="H274" s="48"/>
      <c r="I274" s="49"/>
      <c r="J274" s="24" t="str">
        <f>IF(OR($A274="",$B274=""),"",IF($I274&lt;&gt;"",$I274,IF($D274=本位币,1,IFERROR(LOOKUP(2,1/((汇率月份&lt;=$A274)*(INDEX(记账汇率区,0,MATCH($D274,汇率币种头,0))&lt;&gt;"")),INDEX(记账汇率区,0,MATCH($D274,汇率币种头,0))),""))))</f>
        <v/>
      </c>
      <c r="K274" s="23" t="str">
        <f t="shared" si="8"/>
        <v/>
      </c>
      <c r="L274" s="23" t="str">
        <f t="shared" si="9"/>
        <v/>
      </c>
      <c r="M274" s="23" t="str">
        <f>IF($B274="","",ROUND(SUMIF(账户名,$B274,账户期初)+SUMIFS($K$6:K274,$B$6:B274,$B274),2))</f>
        <v/>
      </c>
      <c r="N274" s="23" t="str">
        <f>IF($B274="","",IFERROR(ROUND(INDEX(账户期初本位,MATCH($B274,账户名,0))+SUMIFS($L$6:L274,$B$6:B274,$B274),2),""))</f>
        <v/>
      </c>
      <c r="O274" s="46"/>
      <c r="P274" s="47"/>
      <c r="Q274" s="46"/>
      <c r="R274" s="46"/>
      <c r="S274" s="6" t="str">
        <f>IF($B274="","",IF(ISNA(MATCH($B274,账户名,0)),"※这个账户不在【参数设置】的账户档案里",IF($A274="","※没填日期，这一笔不会进任何月份的报表",IF(AND($G274&lt;&gt;"",$H274&lt;&gt;""),"※收入和支出不能同时填",IF(AND(N($G274)=0,N($H274)=0),"※收入和支出都没填",IF($E274="","※没填收支类别，分类报表会漏掉这一笔",IF(ISNA(MATCH($E274,类别表,0)),"※收支类别不在【参数设置】的清单里",IF($J274="","△"&amp;$D274&amp;" 还没填汇率，去【月度汇率】补上就自动算了",IF(YEAR($A274)&lt;&gt;管理年度,"△不是管理年度的单据，年报里看不到",IF(AND($F274="内部转账",$Q274=""),"△内部转账建议在「往来单位」写上对方账户",IF($M274&lt;0,"△这一笔之后该账户余额成负数了，核一下","")))))))))))</f>
        <v/>
      </c>
    </row>
    <row r="275" ht="16.5" spans="1:19">
      <c r="A275" s="45"/>
      <c r="B275" s="46"/>
      <c r="C275" s="12" t="str">
        <f>IF($B275="","",IFERROR(INDEX(账户银行,MATCH($B275,账户名,0)),""))</f>
        <v/>
      </c>
      <c r="D275" s="12" t="str">
        <f>IF($B275="","",IFERROR(INDEX(账户币种,MATCH($B275,账户名,0)),""))</f>
        <v/>
      </c>
      <c r="E275" s="47"/>
      <c r="F275" s="12" t="str">
        <f>IF($E275="","",IFERROR(INDEX(类别属性,MATCH($E275,类别表,0)),""))</f>
        <v/>
      </c>
      <c r="G275" s="48"/>
      <c r="H275" s="48"/>
      <c r="I275" s="49"/>
      <c r="J275" s="24" t="str">
        <f>IF(OR($A275="",$B275=""),"",IF($I275&lt;&gt;"",$I275,IF($D275=本位币,1,IFERROR(LOOKUP(2,1/((汇率月份&lt;=$A275)*(INDEX(记账汇率区,0,MATCH($D275,汇率币种头,0))&lt;&gt;"")),INDEX(记账汇率区,0,MATCH($D275,汇率币种头,0))),""))))</f>
        <v/>
      </c>
      <c r="K275" s="23" t="str">
        <f t="shared" si="8"/>
        <v/>
      </c>
      <c r="L275" s="23" t="str">
        <f t="shared" si="9"/>
        <v/>
      </c>
      <c r="M275" s="23" t="str">
        <f>IF($B275="","",ROUND(SUMIF(账户名,$B275,账户期初)+SUMIFS($K$6:K275,$B$6:B275,$B275),2))</f>
        <v/>
      </c>
      <c r="N275" s="23" t="str">
        <f>IF($B275="","",IFERROR(ROUND(INDEX(账户期初本位,MATCH($B275,账户名,0))+SUMIFS($L$6:L275,$B$6:B275,$B275),2),""))</f>
        <v/>
      </c>
      <c r="O275" s="46"/>
      <c r="P275" s="47"/>
      <c r="Q275" s="46"/>
      <c r="R275" s="46"/>
      <c r="S275" s="6" t="str">
        <f>IF($B275="","",IF(ISNA(MATCH($B275,账户名,0)),"※这个账户不在【参数设置】的账户档案里",IF($A275="","※没填日期，这一笔不会进任何月份的报表",IF(AND($G275&lt;&gt;"",$H275&lt;&gt;""),"※收入和支出不能同时填",IF(AND(N($G275)=0,N($H275)=0),"※收入和支出都没填",IF($E275="","※没填收支类别，分类报表会漏掉这一笔",IF(ISNA(MATCH($E275,类别表,0)),"※收支类别不在【参数设置】的清单里",IF($J275="","△"&amp;$D275&amp;" 还没填汇率，去【月度汇率】补上就自动算了",IF(YEAR($A275)&lt;&gt;管理年度,"△不是管理年度的单据，年报里看不到",IF(AND($F275="内部转账",$Q275=""),"△内部转账建议在「往来单位」写上对方账户",IF($M275&lt;0,"△这一笔之后该账户余额成负数了，核一下","")))))))))))</f>
        <v/>
      </c>
    </row>
    <row r="276" ht="16.5" spans="1:19">
      <c r="A276" s="45"/>
      <c r="B276" s="46"/>
      <c r="C276" s="12" t="str">
        <f>IF($B276="","",IFERROR(INDEX(账户银行,MATCH($B276,账户名,0)),""))</f>
        <v/>
      </c>
      <c r="D276" s="12" t="str">
        <f>IF($B276="","",IFERROR(INDEX(账户币种,MATCH($B276,账户名,0)),""))</f>
        <v/>
      </c>
      <c r="E276" s="47"/>
      <c r="F276" s="12" t="str">
        <f>IF($E276="","",IFERROR(INDEX(类别属性,MATCH($E276,类别表,0)),""))</f>
        <v/>
      </c>
      <c r="G276" s="48"/>
      <c r="H276" s="48"/>
      <c r="I276" s="49"/>
      <c r="J276" s="24" t="str">
        <f>IF(OR($A276="",$B276=""),"",IF($I276&lt;&gt;"",$I276,IF($D276=本位币,1,IFERROR(LOOKUP(2,1/((汇率月份&lt;=$A276)*(INDEX(记账汇率区,0,MATCH($D276,汇率币种头,0))&lt;&gt;"")),INDEX(记账汇率区,0,MATCH($D276,汇率币种头,0))),""))))</f>
        <v/>
      </c>
      <c r="K276" s="23" t="str">
        <f t="shared" si="8"/>
        <v/>
      </c>
      <c r="L276" s="23" t="str">
        <f t="shared" si="9"/>
        <v/>
      </c>
      <c r="M276" s="23" t="str">
        <f>IF($B276="","",ROUND(SUMIF(账户名,$B276,账户期初)+SUMIFS($K$6:K276,$B$6:B276,$B276),2))</f>
        <v/>
      </c>
      <c r="N276" s="23" t="str">
        <f>IF($B276="","",IFERROR(ROUND(INDEX(账户期初本位,MATCH($B276,账户名,0))+SUMIFS($L$6:L276,$B$6:B276,$B276),2),""))</f>
        <v/>
      </c>
      <c r="O276" s="46"/>
      <c r="P276" s="47"/>
      <c r="Q276" s="46"/>
      <c r="R276" s="46"/>
      <c r="S276" s="6" t="str">
        <f>IF($B276="","",IF(ISNA(MATCH($B276,账户名,0)),"※这个账户不在【参数设置】的账户档案里",IF($A276="","※没填日期，这一笔不会进任何月份的报表",IF(AND($G276&lt;&gt;"",$H276&lt;&gt;""),"※收入和支出不能同时填",IF(AND(N($G276)=0,N($H276)=0),"※收入和支出都没填",IF($E276="","※没填收支类别，分类报表会漏掉这一笔",IF(ISNA(MATCH($E276,类别表,0)),"※收支类别不在【参数设置】的清单里",IF($J276="","△"&amp;$D276&amp;" 还没填汇率，去【月度汇率】补上就自动算了",IF(YEAR($A276)&lt;&gt;管理年度,"△不是管理年度的单据，年报里看不到",IF(AND($F276="内部转账",$Q276=""),"△内部转账建议在「往来单位」写上对方账户",IF($M276&lt;0,"△这一笔之后该账户余额成负数了，核一下","")))))))))))</f>
        <v/>
      </c>
    </row>
    <row r="277" ht="16.5" spans="1:19">
      <c r="A277" s="45"/>
      <c r="B277" s="46"/>
      <c r="C277" s="12" t="str">
        <f>IF($B277="","",IFERROR(INDEX(账户银行,MATCH($B277,账户名,0)),""))</f>
        <v/>
      </c>
      <c r="D277" s="12" t="str">
        <f>IF($B277="","",IFERROR(INDEX(账户币种,MATCH($B277,账户名,0)),""))</f>
        <v/>
      </c>
      <c r="E277" s="47"/>
      <c r="F277" s="12" t="str">
        <f>IF($E277="","",IFERROR(INDEX(类别属性,MATCH($E277,类别表,0)),""))</f>
        <v/>
      </c>
      <c r="G277" s="48"/>
      <c r="H277" s="48"/>
      <c r="I277" s="49"/>
      <c r="J277" s="24" t="str">
        <f>IF(OR($A277="",$B277=""),"",IF($I277&lt;&gt;"",$I277,IF($D277=本位币,1,IFERROR(LOOKUP(2,1/((汇率月份&lt;=$A277)*(INDEX(记账汇率区,0,MATCH($D277,汇率币种头,0))&lt;&gt;"")),INDEX(记账汇率区,0,MATCH($D277,汇率币种头,0))),""))))</f>
        <v/>
      </c>
      <c r="K277" s="23" t="str">
        <f t="shared" si="8"/>
        <v/>
      </c>
      <c r="L277" s="23" t="str">
        <f t="shared" si="9"/>
        <v/>
      </c>
      <c r="M277" s="23" t="str">
        <f>IF($B277="","",ROUND(SUMIF(账户名,$B277,账户期初)+SUMIFS($K$6:K277,$B$6:B277,$B277),2))</f>
        <v/>
      </c>
      <c r="N277" s="23" t="str">
        <f>IF($B277="","",IFERROR(ROUND(INDEX(账户期初本位,MATCH($B277,账户名,0))+SUMIFS($L$6:L277,$B$6:B277,$B277),2),""))</f>
        <v/>
      </c>
      <c r="O277" s="46"/>
      <c r="P277" s="47"/>
      <c r="Q277" s="46"/>
      <c r="R277" s="46"/>
      <c r="S277" s="6" t="str">
        <f>IF($B277="","",IF(ISNA(MATCH($B277,账户名,0)),"※这个账户不在【参数设置】的账户档案里",IF($A277="","※没填日期，这一笔不会进任何月份的报表",IF(AND($G277&lt;&gt;"",$H277&lt;&gt;""),"※收入和支出不能同时填",IF(AND(N($G277)=0,N($H277)=0),"※收入和支出都没填",IF($E277="","※没填收支类别，分类报表会漏掉这一笔",IF(ISNA(MATCH($E277,类别表,0)),"※收支类别不在【参数设置】的清单里",IF($J277="","△"&amp;$D277&amp;" 还没填汇率，去【月度汇率】补上就自动算了",IF(YEAR($A277)&lt;&gt;管理年度,"△不是管理年度的单据，年报里看不到",IF(AND($F277="内部转账",$Q277=""),"△内部转账建议在「往来单位」写上对方账户",IF($M277&lt;0,"△这一笔之后该账户余额成负数了，核一下","")))))))))))</f>
        <v/>
      </c>
    </row>
    <row r="278" ht="16.5" spans="1:19">
      <c r="A278" s="45"/>
      <c r="B278" s="46"/>
      <c r="C278" s="12" t="str">
        <f>IF($B278="","",IFERROR(INDEX(账户银行,MATCH($B278,账户名,0)),""))</f>
        <v/>
      </c>
      <c r="D278" s="12" t="str">
        <f>IF($B278="","",IFERROR(INDEX(账户币种,MATCH($B278,账户名,0)),""))</f>
        <v/>
      </c>
      <c r="E278" s="47"/>
      <c r="F278" s="12" t="str">
        <f>IF($E278="","",IFERROR(INDEX(类别属性,MATCH($E278,类别表,0)),""))</f>
        <v/>
      </c>
      <c r="G278" s="48"/>
      <c r="H278" s="48"/>
      <c r="I278" s="49"/>
      <c r="J278" s="24" t="str">
        <f>IF(OR($A278="",$B278=""),"",IF($I278&lt;&gt;"",$I278,IF($D278=本位币,1,IFERROR(LOOKUP(2,1/((汇率月份&lt;=$A278)*(INDEX(记账汇率区,0,MATCH($D278,汇率币种头,0))&lt;&gt;"")),INDEX(记账汇率区,0,MATCH($D278,汇率币种头,0))),""))))</f>
        <v/>
      </c>
      <c r="K278" s="23" t="str">
        <f t="shared" si="8"/>
        <v/>
      </c>
      <c r="L278" s="23" t="str">
        <f t="shared" si="9"/>
        <v/>
      </c>
      <c r="M278" s="23" t="str">
        <f>IF($B278="","",ROUND(SUMIF(账户名,$B278,账户期初)+SUMIFS($K$6:K278,$B$6:B278,$B278),2))</f>
        <v/>
      </c>
      <c r="N278" s="23" t="str">
        <f>IF($B278="","",IFERROR(ROUND(INDEX(账户期初本位,MATCH($B278,账户名,0))+SUMIFS($L$6:L278,$B$6:B278,$B278),2),""))</f>
        <v/>
      </c>
      <c r="O278" s="46"/>
      <c r="P278" s="47"/>
      <c r="Q278" s="46"/>
      <c r="R278" s="46"/>
      <c r="S278" s="6" t="str">
        <f>IF($B278="","",IF(ISNA(MATCH($B278,账户名,0)),"※这个账户不在【参数设置】的账户档案里",IF($A278="","※没填日期，这一笔不会进任何月份的报表",IF(AND($G278&lt;&gt;"",$H278&lt;&gt;""),"※收入和支出不能同时填",IF(AND(N($G278)=0,N($H278)=0),"※收入和支出都没填",IF($E278="","※没填收支类别，分类报表会漏掉这一笔",IF(ISNA(MATCH($E278,类别表,0)),"※收支类别不在【参数设置】的清单里",IF($J278="","△"&amp;$D278&amp;" 还没填汇率，去【月度汇率】补上就自动算了",IF(YEAR($A278)&lt;&gt;管理年度,"△不是管理年度的单据，年报里看不到",IF(AND($F278="内部转账",$Q278=""),"△内部转账建议在「往来单位」写上对方账户",IF($M278&lt;0,"△这一笔之后该账户余额成负数了，核一下","")))))))))))</f>
        <v/>
      </c>
    </row>
    <row r="279" ht="16.5" spans="1:19">
      <c r="A279" s="45"/>
      <c r="B279" s="46"/>
      <c r="C279" s="12" t="str">
        <f>IF($B279="","",IFERROR(INDEX(账户银行,MATCH($B279,账户名,0)),""))</f>
        <v/>
      </c>
      <c r="D279" s="12" t="str">
        <f>IF($B279="","",IFERROR(INDEX(账户币种,MATCH($B279,账户名,0)),""))</f>
        <v/>
      </c>
      <c r="E279" s="47"/>
      <c r="F279" s="12" t="str">
        <f>IF($E279="","",IFERROR(INDEX(类别属性,MATCH($E279,类别表,0)),""))</f>
        <v/>
      </c>
      <c r="G279" s="48"/>
      <c r="H279" s="48"/>
      <c r="I279" s="49"/>
      <c r="J279" s="24" t="str">
        <f>IF(OR($A279="",$B279=""),"",IF($I279&lt;&gt;"",$I279,IF($D279=本位币,1,IFERROR(LOOKUP(2,1/((汇率月份&lt;=$A279)*(INDEX(记账汇率区,0,MATCH($D279,汇率币种头,0))&lt;&gt;"")),INDEX(记账汇率区,0,MATCH($D279,汇率币种头,0))),""))))</f>
        <v/>
      </c>
      <c r="K279" s="23" t="str">
        <f t="shared" si="8"/>
        <v/>
      </c>
      <c r="L279" s="23" t="str">
        <f t="shared" si="9"/>
        <v/>
      </c>
      <c r="M279" s="23" t="str">
        <f>IF($B279="","",ROUND(SUMIF(账户名,$B279,账户期初)+SUMIFS($K$6:K279,$B$6:B279,$B279),2))</f>
        <v/>
      </c>
      <c r="N279" s="23" t="str">
        <f>IF($B279="","",IFERROR(ROUND(INDEX(账户期初本位,MATCH($B279,账户名,0))+SUMIFS($L$6:L279,$B$6:B279,$B279),2),""))</f>
        <v/>
      </c>
      <c r="O279" s="46"/>
      <c r="P279" s="47"/>
      <c r="Q279" s="46"/>
      <c r="R279" s="46"/>
      <c r="S279" s="6" t="str">
        <f>IF($B279="","",IF(ISNA(MATCH($B279,账户名,0)),"※这个账户不在【参数设置】的账户档案里",IF($A279="","※没填日期，这一笔不会进任何月份的报表",IF(AND($G279&lt;&gt;"",$H279&lt;&gt;""),"※收入和支出不能同时填",IF(AND(N($G279)=0,N($H279)=0),"※收入和支出都没填",IF($E279="","※没填收支类别，分类报表会漏掉这一笔",IF(ISNA(MATCH($E279,类别表,0)),"※收支类别不在【参数设置】的清单里",IF($J279="","△"&amp;$D279&amp;" 还没填汇率，去【月度汇率】补上就自动算了",IF(YEAR($A279)&lt;&gt;管理年度,"△不是管理年度的单据，年报里看不到",IF(AND($F279="内部转账",$Q279=""),"△内部转账建议在「往来单位」写上对方账户",IF($M279&lt;0,"△这一笔之后该账户余额成负数了，核一下","")))))))))))</f>
        <v/>
      </c>
    </row>
    <row r="280" ht="16.5" spans="1:19">
      <c r="A280" s="45"/>
      <c r="B280" s="46"/>
      <c r="C280" s="12" t="str">
        <f>IF($B280="","",IFERROR(INDEX(账户银行,MATCH($B280,账户名,0)),""))</f>
        <v/>
      </c>
      <c r="D280" s="12" t="str">
        <f>IF($B280="","",IFERROR(INDEX(账户币种,MATCH($B280,账户名,0)),""))</f>
        <v/>
      </c>
      <c r="E280" s="47"/>
      <c r="F280" s="12" t="str">
        <f>IF($E280="","",IFERROR(INDEX(类别属性,MATCH($E280,类别表,0)),""))</f>
        <v/>
      </c>
      <c r="G280" s="48"/>
      <c r="H280" s="48"/>
      <c r="I280" s="49"/>
      <c r="J280" s="24" t="str">
        <f>IF(OR($A280="",$B280=""),"",IF($I280&lt;&gt;"",$I280,IF($D280=本位币,1,IFERROR(LOOKUP(2,1/((汇率月份&lt;=$A280)*(INDEX(记账汇率区,0,MATCH($D280,汇率币种头,0))&lt;&gt;"")),INDEX(记账汇率区,0,MATCH($D280,汇率币种头,0))),""))))</f>
        <v/>
      </c>
      <c r="K280" s="23" t="str">
        <f t="shared" si="8"/>
        <v/>
      </c>
      <c r="L280" s="23" t="str">
        <f t="shared" si="9"/>
        <v/>
      </c>
      <c r="M280" s="23" t="str">
        <f>IF($B280="","",ROUND(SUMIF(账户名,$B280,账户期初)+SUMIFS($K$6:K280,$B$6:B280,$B280),2))</f>
        <v/>
      </c>
      <c r="N280" s="23" t="str">
        <f>IF($B280="","",IFERROR(ROUND(INDEX(账户期初本位,MATCH($B280,账户名,0))+SUMIFS($L$6:L280,$B$6:B280,$B280),2),""))</f>
        <v/>
      </c>
      <c r="O280" s="46"/>
      <c r="P280" s="47"/>
      <c r="Q280" s="46"/>
      <c r="R280" s="46"/>
      <c r="S280" s="6" t="str">
        <f>IF($B280="","",IF(ISNA(MATCH($B280,账户名,0)),"※这个账户不在【参数设置】的账户档案里",IF($A280="","※没填日期，这一笔不会进任何月份的报表",IF(AND($G280&lt;&gt;"",$H280&lt;&gt;""),"※收入和支出不能同时填",IF(AND(N($G280)=0,N($H280)=0),"※收入和支出都没填",IF($E280="","※没填收支类别，分类报表会漏掉这一笔",IF(ISNA(MATCH($E280,类别表,0)),"※收支类别不在【参数设置】的清单里",IF($J280="","△"&amp;$D280&amp;" 还没填汇率，去【月度汇率】补上就自动算了",IF(YEAR($A280)&lt;&gt;管理年度,"△不是管理年度的单据，年报里看不到",IF(AND($F280="内部转账",$Q280=""),"△内部转账建议在「往来单位」写上对方账户",IF($M280&lt;0,"△这一笔之后该账户余额成负数了，核一下","")))))))))))</f>
        <v/>
      </c>
    </row>
    <row r="281" ht="16.5" spans="1:19">
      <c r="A281" s="45"/>
      <c r="B281" s="46"/>
      <c r="C281" s="12" t="str">
        <f>IF($B281="","",IFERROR(INDEX(账户银行,MATCH($B281,账户名,0)),""))</f>
        <v/>
      </c>
      <c r="D281" s="12" t="str">
        <f>IF($B281="","",IFERROR(INDEX(账户币种,MATCH($B281,账户名,0)),""))</f>
        <v/>
      </c>
      <c r="E281" s="47"/>
      <c r="F281" s="12" t="str">
        <f>IF($E281="","",IFERROR(INDEX(类别属性,MATCH($E281,类别表,0)),""))</f>
        <v/>
      </c>
      <c r="G281" s="48"/>
      <c r="H281" s="48"/>
      <c r="I281" s="49"/>
      <c r="J281" s="24" t="str">
        <f>IF(OR($A281="",$B281=""),"",IF($I281&lt;&gt;"",$I281,IF($D281=本位币,1,IFERROR(LOOKUP(2,1/((汇率月份&lt;=$A281)*(INDEX(记账汇率区,0,MATCH($D281,汇率币种头,0))&lt;&gt;"")),INDEX(记账汇率区,0,MATCH($D281,汇率币种头,0))),""))))</f>
        <v/>
      </c>
      <c r="K281" s="23" t="str">
        <f t="shared" si="8"/>
        <v/>
      </c>
      <c r="L281" s="23" t="str">
        <f t="shared" si="9"/>
        <v/>
      </c>
      <c r="M281" s="23" t="str">
        <f>IF($B281="","",ROUND(SUMIF(账户名,$B281,账户期初)+SUMIFS($K$6:K281,$B$6:B281,$B281),2))</f>
        <v/>
      </c>
      <c r="N281" s="23" t="str">
        <f>IF($B281="","",IFERROR(ROUND(INDEX(账户期初本位,MATCH($B281,账户名,0))+SUMIFS($L$6:L281,$B$6:B281,$B281),2),""))</f>
        <v/>
      </c>
      <c r="O281" s="46"/>
      <c r="P281" s="47"/>
      <c r="Q281" s="46"/>
      <c r="R281" s="46"/>
      <c r="S281" s="6" t="str">
        <f>IF($B281="","",IF(ISNA(MATCH($B281,账户名,0)),"※这个账户不在【参数设置】的账户档案里",IF($A281="","※没填日期，这一笔不会进任何月份的报表",IF(AND($G281&lt;&gt;"",$H281&lt;&gt;""),"※收入和支出不能同时填",IF(AND(N($G281)=0,N($H281)=0),"※收入和支出都没填",IF($E281="","※没填收支类别，分类报表会漏掉这一笔",IF(ISNA(MATCH($E281,类别表,0)),"※收支类别不在【参数设置】的清单里",IF($J281="","△"&amp;$D281&amp;" 还没填汇率，去【月度汇率】补上就自动算了",IF(YEAR($A281)&lt;&gt;管理年度,"△不是管理年度的单据，年报里看不到",IF(AND($F281="内部转账",$Q281=""),"△内部转账建议在「往来单位」写上对方账户",IF($M281&lt;0,"△这一笔之后该账户余额成负数了，核一下","")))))))))))</f>
        <v/>
      </c>
    </row>
    <row r="282" ht="16.5" spans="1:19">
      <c r="A282" s="45"/>
      <c r="B282" s="46"/>
      <c r="C282" s="12" t="str">
        <f>IF($B282="","",IFERROR(INDEX(账户银行,MATCH($B282,账户名,0)),""))</f>
        <v/>
      </c>
      <c r="D282" s="12" t="str">
        <f>IF($B282="","",IFERROR(INDEX(账户币种,MATCH($B282,账户名,0)),""))</f>
        <v/>
      </c>
      <c r="E282" s="47"/>
      <c r="F282" s="12" t="str">
        <f>IF($E282="","",IFERROR(INDEX(类别属性,MATCH($E282,类别表,0)),""))</f>
        <v/>
      </c>
      <c r="G282" s="48"/>
      <c r="H282" s="48"/>
      <c r="I282" s="49"/>
      <c r="J282" s="24" t="str">
        <f>IF(OR($A282="",$B282=""),"",IF($I282&lt;&gt;"",$I282,IF($D282=本位币,1,IFERROR(LOOKUP(2,1/((汇率月份&lt;=$A282)*(INDEX(记账汇率区,0,MATCH($D282,汇率币种头,0))&lt;&gt;"")),INDEX(记账汇率区,0,MATCH($D282,汇率币种头,0))),""))))</f>
        <v/>
      </c>
      <c r="K282" s="23" t="str">
        <f t="shared" si="8"/>
        <v/>
      </c>
      <c r="L282" s="23" t="str">
        <f t="shared" si="9"/>
        <v/>
      </c>
      <c r="M282" s="23" t="str">
        <f>IF($B282="","",ROUND(SUMIF(账户名,$B282,账户期初)+SUMIFS($K$6:K282,$B$6:B282,$B282),2))</f>
        <v/>
      </c>
      <c r="N282" s="23" t="str">
        <f>IF($B282="","",IFERROR(ROUND(INDEX(账户期初本位,MATCH($B282,账户名,0))+SUMIFS($L$6:L282,$B$6:B282,$B282),2),""))</f>
        <v/>
      </c>
      <c r="O282" s="46"/>
      <c r="P282" s="47"/>
      <c r="Q282" s="46"/>
      <c r="R282" s="46"/>
      <c r="S282" s="6" t="str">
        <f>IF($B282="","",IF(ISNA(MATCH($B282,账户名,0)),"※这个账户不在【参数设置】的账户档案里",IF($A282="","※没填日期，这一笔不会进任何月份的报表",IF(AND($G282&lt;&gt;"",$H282&lt;&gt;""),"※收入和支出不能同时填",IF(AND(N($G282)=0,N($H282)=0),"※收入和支出都没填",IF($E282="","※没填收支类别，分类报表会漏掉这一笔",IF(ISNA(MATCH($E282,类别表,0)),"※收支类别不在【参数设置】的清单里",IF($J282="","△"&amp;$D282&amp;" 还没填汇率，去【月度汇率】补上就自动算了",IF(YEAR($A282)&lt;&gt;管理年度,"△不是管理年度的单据，年报里看不到",IF(AND($F282="内部转账",$Q282=""),"△内部转账建议在「往来单位」写上对方账户",IF($M282&lt;0,"△这一笔之后该账户余额成负数了，核一下","")))))))))))</f>
        <v/>
      </c>
    </row>
    <row r="283" ht="16.5" spans="1:19">
      <c r="A283" s="45"/>
      <c r="B283" s="46"/>
      <c r="C283" s="12" t="str">
        <f>IF($B283="","",IFERROR(INDEX(账户银行,MATCH($B283,账户名,0)),""))</f>
        <v/>
      </c>
      <c r="D283" s="12" t="str">
        <f>IF($B283="","",IFERROR(INDEX(账户币种,MATCH($B283,账户名,0)),""))</f>
        <v/>
      </c>
      <c r="E283" s="47"/>
      <c r="F283" s="12" t="str">
        <f>IF($E283="","",IFERROR(INDEX(类别属性,MATCH($E283,类别表,0)),""))</f>
        <v/>
      </c>
      <c r="G283" s="48"/>
      <c r="H283" s="48"/>
      <c r="I283" s="49"/>
      <c r="J283" s="24" t="str">
        <f>IF(OR($A283="",$B283=""),"",IF($I283&lt;&gt;"",$I283,IF($D283=本位币,1,IFERROR(LOOKUP(2,1/((汇率月份&lt;=$A283)*(INDEX(记账汇率区,0,MATCH($D283,汇率币种头,0))&lt;&gt;"")),INDEX(记账汇率区,0,MATCH($D283,汇率币种头,0))),""))))</f>
        <v/>
      </c>
      <c r="K283" s="23" t="str">
        <f t="shared" si="8"/>
        <v/>
      </c>
      <c r="L283" s="23" t="str">
        <f t="shared" si="9"/>
        <v/>
      </c>
      <c r="M283" s="23" t="str">
        <f>IF($B283="","",ROUND(SUMIF(账户名,$B283,账户期初)+SUMIFS($K$6:K283,$B$6:B283,$B283),2))</f>
        <v/>
      </c>
      <c r="N283" s="23" t="str">
        <f>IF($B283="","",IFERROR(ROUND(INDEX(账户期初本位,MATCH($B283,账户名,0))+SUMIFS($L$6:L283,$B$6:B283,$B283),2),""))</f>
        <v/>
      </c>
      <c r="O283" s="46"/>
      <c r="P283" s="47"/>
      <c r="Q283" s="46"/>
      <c r="R283" s="46"/>
      <c r="S283" s="6" t="str">
        <f>IF($B283="","",IF(ISNA(MATCH($B283,账户名,0)),"※这个账户不在【参数设置】的账户档案里",IF($A283="","※没填日期，这一笔不会进任何月份的报表",IF(AND($G283&lt;&gt;"",$H283&lt;&gt;""),"※收入和支出不能同时填",IF(AND(N($G283)=0,N($H283)=0),"※收入和支出都没填",IF($E283="","※没填收支类别，分类报表会漏掉这一笔",IF(ISNA(MATCH($E283,类别表,0)),"※收支类别不在【参数设置】的清单里",IF($J283="","△"&amp;$D283&amp;" 还没填汇率，去【月度汇率】补上就自动算了",IF(YEAR($A283)&lt;&gt;管理年度,"△不是管理年度的单据，年报里看不到",IF(AND($F283="内部转账",$Q283=""),"△内部转账建议在「往来单位」写上对方账户",IF($M283&lt;0,"△这一笔之后该账户余额成负数了，核一下","")))))))))))</f>
        <v/>
      </c>
    </row>
    <row r="284" ht="16.5" spans="1:19">
      <c r="A284" s="45"/>
      <c r="B284" s="46"/>
      <c r="C284" s="12" t="str">
        <f>IF($B284="","",IFERROR(INDEX(账户银行,MATCH($B284,账户名,0)),""))</f>
        <v/>
      </c>
      <c r="D284" s="12" t="str">
        <f>IF($B284="","",IFERROR(INDEX(账户币种,MATCH($B284,账户名,0)),""))</f>
        <v/>
      </c>
      <c r="E284" s="47"/>
      <c r="F284" s="12" t="str">
        <f>IF($E284="","",IFERROR(INDEX(类别属性,MATCH($E284,类别表,0)),""))</f>
        <v/>
      </c>
      <c r="G284" s="48"/>
      <c r="H284" s="48"/>
      <c r="I284" s="49"/>
      <c r="J284" s="24" t="str">
        <f>IF(OR($A284="",$B284=""),"",IF($I284&lt;&gt;"",$I284,IF($D284=本位币,1,IFERROR(LOOKUP(2,1/((汇率月份&lt;=$A284)*(INDEX(记账汇率区,0,MATCH($D284,汇率币种头,0))&lt;&gt;"")),INDEX(记账汇率区,0,MATCH($D284,汇率币种头,0))),""))))</f>
        <v/>
      </c>
      <c r="K284" s="23" t="str">
        <f t="shared" si="8"/>
        <v/>
      </c>
      <c r="L284" s="23" t="str">
        <f t="shared" si="9"/>
        <v/>
      </c>
      <c r="M284" s="23" t="str">
        <f>IF($B284="","",ROUND(SUMIF(账户名,$B284,账户期初)+SUMIFS($K$6:K284,$B$6:B284,$B284),2))</f>
        <v/>
      </c>
      <c r="N284" s="23" t="str">
        <f>IF($B284="","",IFERROR(ROUND(INDEX(账户期初本位,MATCH($B284,账户名,0))+SUMIFS($L$6:L284,$B$6:B284,$B284),2),""))</f>
        <v/>
      </c>
      <c r="O284" s="46"/>
      <c r="P284" s="47"/>
      <c r="Q284" s="46"/>
      <c r="R284" s="46"/>
      <c r="S284" s="6" t="str">
        <f>IF($B284="","",IF(ISNA(MATCH($B284,账户名,0)),"※这个账户不在【参数设置】的账户档案里",IF($A284="","※没填日期，这一笔不会进任何月份的报表",IF(AND($G284&lt;&gt;"",$H284&lt;&gt;""),"※收入和支出不能同时填",IF(AND(N($G284)=0,N($H284)=0),"※收入和支出都没填",IF($E284="","※没填收支类别，分类报表会漏掉这一笔",IF(ISNA(MATCH($E284,类别表,0)),"※收支类别不在【参数设置】的清单里",IF($J284="","△"&amp;$D284&amp;" 还没填汇率，去【月度汇率】补上就自动算了",IF(YEAR($A284)&lt;&gt;管理年度,"△不是管理年度的单据，年报里看不到",IF(AND($F284="内部转账",$Q284=""),"△内部转账建议在「往来单位」写上对方账户",IF($M284&lt;0,"△这一笔之后该账户余额成负数了，核一下","")))))))))))</f>
        <v/>
      </c>
    </row>
    <row r="285" ht="16.5" spans="1:19">
      <c r="A285" s="45"/>
      <c r="B285" s="46"/>
      <c r="C285" s="12" t="str">
        <f>IF($B285="","",IFERROR(INDEX(账户银行,MATCH($B285,账户名,0)),""))</f>
        <v/>
      </c>
      <c r="D285" s="12" t="str">
        <f>IF($B285="","",IFERROR(INDEX(账户币种,MATCH($B285,账户名,0)),""))</f>
        <v/>
      </c>
      <c r="E285" s="47"/>
      <c r="F285" s="12" t="str">
        <f>IF($E285="","",IFERROR(INDEX(类别属性,MATCH($E285,类别表,0)),""))</f>
        <v/>
      </c>
      <c r="G285" s="48"/>
      <c r="H285" s="48"/>
      <c r="I285" s="49"/>
      <c r="J285" s="24" t="str">
        <f>IF(OR($A285="",$B285=""),"",IF($I285&lt;&gt;"",$I285,IF($D285=本位币,1,IFERROR(LOOKUP(2,1/((汇率月份&lt;=$A285)*(INDEX(记账汇率区,0,MATCH($D285,汇率币种头,0))&lt;&gt;"")),INDEX(记账汇率区,0,MATCH($D285,汇率币种头,0))),""))))</f>
        <v/>
      </c>
      <c r="K285" s="23" t="str">
        <f t="shared" si="8"/>
        <v/>
      </c>
      <c r="L285" s="23" t="str">
        <f t="shared" si="9"/>
        <v/>
      </c>
      <c r="M285" s="23" t="str">
        <f>IF($B285="","",ROUND(SUMIF(账户名,$B285,账户期初)+SUMIFS($K$6:K285,$B$6:B285,$B285),2))</f>
        <v/>
      </c>
      <c r="N285" s="23" t="str">
        <f>IF($B285="","",IFERROR(ROUND(INDEX(账户期初本位,MATCH($B285,账户名,0))+SUMIFS($L$6:L285,$B$6:B285,$B285),2),""))</f>
        <v/>
      </c>
      <c r="O285" s="46"/>
      <c r="P285" s="47"/>
      <c r="Q285" s="46"/>
      <c r="R285" s="46"/>
      <c r="S285" s="6" t="str">
        <f>IF($B285="","",IF(ISNA(MATCH($B285,账户名,0)),"※这个账户不在【参数设置】的账户档案里",IF($A285="","※没填日期，这一笔不会进任何月份的报表",IF(AND($G285&lt;&gt;"",$H285&lt;&gt;""),"※收入和支出不能同时填",IF(AND(N($G285)=0,N($H285)=0),"※收入和支出都没填",IF($E285="","※没填收支类别，分类报表会漏掉这一笔",IF(ISNA(MATCH($E285,类别表,0)),"※收支类别不在【参数设置】的清单里",IF($J285="","△"&amp;$D285&amp;" 还没填汇率，去【月度汇率】补上就自动算了",IF(YEAR($A285)&lt;&gt;管理年度,"△不是管理年度的单据，年报里看不到",IF(AND($F285="内部转账",$Q285=""),"△内部转账建议在「往来单位」写上对方账户",IF($M285&lt;0,"△这一笔之后该账户余额成负数了，核一下","")))))))))))</f>
        <v/>
      </c>
    </row>
    <row r="286" ht="16.5" spans="1:19">
      <c r="A286" s="45"/>
      <c r="B286" s="46"/>
      <c r="C286" s="12" t="str">
        <f>IF($B286="","",IFERROR(INDEX(账户银行,MATCH($B286,账户名,0)),""))</f>
        <v/>
      </c>
      <c r="D286" s="12" t="str">
        <f>IF($B286="","",IFERROR(INDEX(账户币种,MATCH($B286,账户名,0)),""))</f>
        <v/>
      </c>
      <c r="E286" s="47"/>
      <c r="F286" s="12" t="str">
        <f>IF($E286="","",IFERROR(INDEX(类别属性,MATCH($E286,类别表,0)),""))</f>
        <v/>
      </c>
      <c r="G286" s="48"/>
      <c r="H286" s="48"/>
      <c r="I286" s="49"/>
      <c r="J286" s="24" t="str">
        <f>IF(OR($A286="",$B286=""),"",IF($I286&lt;&gt;"",$I286,IF($D286=本位币,1,IFERROR(LOOKUP(2,1/((汇率月份&lt;=$A286)*(INDEX(记账汇率区,0,MATCH($D286,汇率币种头,0))&lt;&gt;"")),INDEX(记账汇率区,0,MATCH($D286,汇率币种头,0))),""))))</f>
        <v/>
      </c>
      <c r="K286" s="23" t="str">
        <f t="shared" si="8"/>
        <v/>
      </c>
      <c r="L286" s="23" t="str">
        <f t="shared" si="9"/>
        <v/>
      </c>
      <c r="M286" s="23" t="str">
        <f>IF($B286="","",ROUND(SUMIF(账户名,$B286,账户期初)+SUMIFS($K$6:K286,$B$6:B286,$B286),2))</f>
        <v/>
      </c>
      <c r="N286" s="23" t="str">
        <f>IF($B286="","",IFERROR(ROUND(INDEX(账户期初本位,MATCH($B286,账户名,0))+SUMIFS($L$6:L286,$B$6:B286,$B286),2),""))</f>
        <v/>
      </c>
      <c r="O286" s="46"/>
      <c r="P286" s="47"/>
      <c r="Q286" s="46"/>
      <c r="R286" s="46"/>
      <c r="S286" s="6" t="str">
        <f>IF($B286="","",IF(ISNA(MATCH($B286,账户名,0)),"※这个账户不在【参数设置】的账户档案里",IF($A286="","※没填日期，这一笔不会进任何月份的报表",IF(AND($G286&lt;&gt;"",$H286&lt;&gt;""),"※收入和支出不能同时填",IF(AND(N($G286)=0,N($H286)=0),"※收入和支出都没填",IF($E286="","※没填收支类别，分类报表会漏掉这一笔",IF(ISNA(MATCH($E286,类别表,0)),"※收支类别不在【参数设置】的清单里",IF($J286="","△"&amp;$D286&amp;" 还没填汇率，去【月度汇率】补上就自动算了",IF(YEAR($A286)&lt;&gt;管理年度,"△不是管理年度的单据，年报里看不到",IF(AND($F286="内部转账",$Q286=""),"△内部转账建议在「往来单位」写上对方账户",IF($M286&lt;0,"△这一笔之后该账户余额成负数了，核一下","")))))))))))</f>
        <v/>
      </c>
    </row>
    <row r="287" ht="16.5" spans="1:19">
      <c r="A287" s="45"/>
      <c r="B287" s="46"/>
      <c r="C287" s="12" t="str">
        <f>IF($B287="","",IFERROR(INDEX(账户银行,MATCH($B287,账户名,0)),""))</f>
        <v/>
      </c>
      <c r="D287" s="12" t="str">
        <f>IF($B287="","",IFERROR(INDEX(账户币种,MATCH($B287,账户名,0)),""))</f>
        <v/>
      </c>
      <c r="E287" s="47"/>
      <c r="F287" s="12" t="str">
        <f>IF($E287="","",IFERROR(INDEX(类别属性,MATCH($E287,类别表,0)),""))</f>
        <v/>
      </c>
      <c r="G287" s="48"/>
      <c r="H287" s="48"/>
      <c r="I287" s="49"/>
      <c r="J287" s="24" t="str">
        <f>IF(OR($A287="",$B287=""),"",IF($I287&lt;&gt;"",$I287,IF($D287=本位币,1,IFERROR(LOOKUP(2,1/((汇率月份&lt;=$A287)*(INDEX(记账汇率区,0,MATCH($D287,汇率币种头,0))&lt;&gt;"")),INDEX(记账汇率区,0,MATCH($D287,汇率币种头,0))),""))))</f>
        <v/>
      </c>
      <c r="K287" s="23" t="str">
        <f t="shared" si="8"/>
        <v/>
      </c>
      <c r="L287" s="23" t="str">
        <f t="shared" si="9"/>
        <v/>
      </c>
      <c r="M287" s="23" t="str">
        <f>IF($B287="","",ROUND(SUMIF(账户名,$B287,账户期初)+SUMIFS($K$6:K287,$B$6:B287,$B287),2))</f>
        <v/>
      </c>
      <c r="N287" s="23" t="str">
        <f>IF($B287="","",IFERROR(ROUND(INDEX(账户期初本位,MATCH($B287,账户名,0))+SUMIFS($L$6:L287,$B$6:B287,$B287),2),""))</f>
        <v/>
      </c>
      <c r="O287" s="46"/>
      <c r="P287" s="47"/>
      <c r="Q287" s="46"/>
      <c r="R287" s="46"/>
      <c r="S287" s="6" t="str">
        <f>IF($B287="","",IF(ISNA(MATCH($B287,账户名,0)),"※这个账户不在【参数设置】的账户档案里",IF($A287="","※没填日期，这一笔不会进任何月份的报表",IF(AND($G287&lt;&gt;"",$H287&lt;&gt;""),"※收入和支出不能同时填",IF(AND(N($G287)=0,N($H287)=0),"※收入和支出都没填",IF($E287="","※没填收支类别，分类报表会漏掉这一笔",IF(ISNA(MATCH($E287,类别表,0)),"※收支类别不在【参数设置】的清单里",IF($J287="","△"&amp;$D287&amp;" 还没填汇率，去【月度汇率】补上就自动算了",IF(YEAR($A287)&lt;&gt;管理年度,"△不是管理年度的单据，年报里看不到",IF(AND($F287="内部转账",$Q287=""),"△内部转账建议在「往来单位」写上对方账户",IF($M287&lt;0,"△这一笔之后该账户余额成负数了，核一下","")))))))))))</f>
        <v/>
      </c>
    </row>
    <row r="288" ht="16.5" spans="1:19">
      <c r="A288" s="45"/>
      <c r="B288" s="46"/>
      <c r="C288" s="12" t="str">
        <f>IF($B288="","",IFERROR(INDEX(账户银行,MATCH($B288,账户名,0)),""))</f>
        <v/>
      </c>
      <c r="D288" s="12" t="str">
        <f>IF($B288="","",IFERROR(INDEX(账户币种,MATCH($B288,账户名,0)),""))</f>
        <v/>
      </c>
      <c r="E288" s="47"/>
      <c r="F288" s="12" t="str">
        <f>IF($E288="","",IFERROR(INDEX(类别属性,MATCH($E288,类别表,0)),""))</f>
        <v/>
      </c>
      <c r="G288" s="48"/>
      <c r="H288" s="48"/>
      <c r="I288" s="49"/>
      <c r="J288" s="24" t="str">
        <f>IF(OR($A288="",$B288=""),"",IF($I288&lt;&gt;"",$I288,IF($D288=本位币,1,IFERROR(LOOKUP(2,1/((汇率月份&lt;=$A288)*(INDEX(记账汇率区,0,MATCH($D288,汇率币种头,0))&lt;&gt;"")),INDEX(记账汇率区,0,MATCH($D288,汇率币种头,0))),""))))</f>
        <v/>
      </c>
      <c r="K288" s="23" t="str">
        <f t="shared" si="8"/>
        <v/>
      </c>
      <c r="L288" s="23" t="str">
        <f t="shared" si="9"/>
        <v/>
      </c>
      <c r="M288" s="23" t="str">
        <f>IF($B288="","",ROUND(SUMIF(账户名,$B288,账户期初)+SUMIFS($K$6:K288,$B$6:B288,$B288),2))</f>
        <v/>
      </c>
      <c r="N288" s="23" t="str">
        <f>IF($B288="","",IFERROR(ROUND(INDEX(账户期初本位,MATCH($B288,账户名,0))+SUMIFS($L$6:L288,$B$6:B288,$B288),2),""))</f>
        <v/>
      </c>
      <c r="O288" s="46"/>
      <c r="P288" s="47"/>
      <c r="Q288" s="46"/>
      <c r="R288" s="46"/>
      <c r="S288" s="6" t="str">
        <f>IF($B288="","",IF(ISNA(MATCH($B288,账户名,0)),"※这个账户不在【参数设置】的账户档案里",IF($A288="","※没填日期，这一笔不会进任何月份的报表",IF(AND($G288&lt;&gt;"",$H288&lt;&gt;""),"※收入和支出不能同时填",IF(AND(N($G288)=0,N($H288)=0),"※收入和支出都没填",IF($E288="","※没填收支类别，分类报表会漏掉这一笔",IF(ISNA(MATCH($E288,类别表,0)),"※收支类别不在【参数设置】的清单里",IF($J288="","△"&amp;$D288&amp;" 还没填汇率，去【月度汇率】补上就自动算了",IF(YEAR($A288)&lt;&gt;管理年度,"△不是管理年度的单据，年报里看不到",IF(AND($F288="内部转账",$Q288=""),"△内部转账建议在「往来单位」写上对方账户",IF($M288&lt;0,"△这一笔之后该账户余额成负数了，核一下","")))))))))))</f>
        <v/>
      </c>
    </row>
    <row r="289" ht="16.5" spans="1:19">
      <c r="A289" s="45"/>
      <c r="B289" s="46"/>
      <c r="C289" s="12" t="str">
        <f>IF($B289="","",IFERROR(INDEX(账户银行,MATCH($B289,账户名,0)),""))</f>
        <v/>
      </c>
      <c r="D289" s="12" t="str">
        <f>IF($B289="","",IFERROR(INDEX(账户币种,MATCH($B289,账户名,0)),""))</f>
        <v/>
      </c>
      <c r="E289" s="47"/>
      <c r="F289" s="12" t="str">
        <f>IF($E289="","",IFERROR(INDEX(类别属性,MATCH($E289,类别表,0)),""))</f>
        <v/>
      </c>
      <c r="G289" s="48"/>
      <c r="H289" s="48"/>
      <c r="I289" s="49"/>
      <c r="J289" s="24" t="str">
        <f>IF(OR($A289="",$B289=""),"",IF($I289&lt;&gt;"",$I289,IF($D289=本位币,1,IFERROR(LOOKUP(2,1/((汇率月份&lt;=$A289)*(INDEX(记账汇率区,0,MATCH($D289,汇率币种头,0))&lt;&gt;"")),INDEX(记账汇率区,0,MATCH($D289,汇率币种头,0))),""))))</f>
        <v/>
      </c>
      <c r="K289" s="23" t="str">
        <f t="shared" si="8"/>
        <v/>
      </c>
      <c r="L289" s="23" t="str">
        <f t="shared" si="9"/>
        <v/>
      </c>
      <c r="M289" s="23" t="str">
        <f>IF($B289="","",ROUND(SUMIF(账户名,$B289,账户期初)+SUMIFS($K$6:K289,$B$6:B289,$B289),2))</f>
        <v/>
      </c>
      <c r="N289" s="23" t="str">
        <f>IF($B289="","",IFERROR(ROUND(INDEX(账户期初本位,MATCH($B289,账户名,0))+SUMIFS($L$6:L289,$B$6:B289,$B289),2),""))</f>
        <v/>
      </c>
      <c r="O289" s="46"/>
      <c r="P289" s="47"/>
      <c r="Q289" s="46"/>
      <c r="R289" s="46"/>
      <c r="S289" s="6" t="str">
        <f>IF($B289="","",IF(ISNA(MATCH($B289,账户名,0)),"※这个账户不在【参数设置】的账户档案里",IF($A289="","※没填日期，这一笔不会进任何月份的报表",IF(AND($G289&lt;&gt;"",$H289&lt;&gt;""),"※收入和支出不能同时填",IF(AND(N($G289)=0,N($H289)=0),"※收入和支出都没填",IF($E289="","※没填收支类别，分类报表会漏掉这一笔",IF(ISNA(MATCH($E289,类别表,0)),"※收支类别不在【参数设置】的清单里",IF($J289="","△"&amp;$D289&amp;" 还没填汇率，去【月度汇率】补上就自动算了",IF(YEAR($A289)&lt;&gt;管理年度,"△不是管理年度的单据，年报里看不到",IF(AND($F289="内部转账",$Q289=""),"△内部转账建议在「往来单位」写上对方账户",IF($M289&lt;0,"△这一笔之后该账户余额成负数了，核一下","")))))))))))</f>
        <v/>
      </c>
    </row>
    <row r="290" ht="16.5" spans="1:19">
      <c r="A290" s="45"/>
      <c r="B290" s="46"/>
      <c r="C290" s="12" t="str">
        <f>IF($B290="","",IFERROR(INDEX(账户银行,MATCH($B290,账户名,0)),""))</f>
        <v/>
      </c>
      <c r="D290" s="12" t="str">
        <f>IF($B290="","",IFERROR(INDEX(账户币种,MATCH($B290,账户名,0)),""))</f>
        <v/>
      </c>
      <c r="E290" s="47"/>
      <c r="F290" s="12" t="str">
        <f>IF($E290="","",IFERROR(INDEX(类别属性,MATCH($E290,类别表,0)),""))</f>
        <v/>
      </c>
      <c r="G290" s="48"/>
      <c r="H290" s="48"/>
      <c r="I290" s="49"/>
      <c r="J290" s="24" t="str">
        <f>IF(OR($A290="",$B290=""),"",IF($I290&lt;&gt;"",$I290,IF($D290=本位币,1,IFERROR(LOOKUP(2,1/((汇率月份&lt;=$A290)*(INDEX(记账汇率区,0,MATCH($D290,汇率币种头,0))&lt;&gt;"")),INDEX(记账汇率区,0,MATCH($D290,汇率币种头,0))),""))))</f>
        <v/>
      </c>
      <c r="K290" s="23" t="str">
        <f t="shared" si="8"/>
        <v/>
      </c>
      <c r="L290" s="23" t="str">
        <f t="shared" si="9"/>
        <v/>
      </c>
      <c r="M290" s="23" t="str">
        <f>IF($B290="","",ROUND(SUMIF(账户名,$B290,账户期初)+SUMIFS($K$6:K290,$B$6:B290,$B290),2))</f>
        <v/>
      </c>
      <c r="N290" s="23" t="str">
        <f>IF($B290="","",IFERROR(ROUND(INDEX(账户期初本位,MATCH($B290,账户名,0))+SUMIFS($L$6:L290,$B$6:B290,$B290),2),""))</f>
        <v/>
      </c>
      <c r="O290" s="46"/>
      <c r="P290" s="47"/>
      <c r="Q290" s="46"/>
      <c r="R290" s="46"/>
      <c r="S290" s="6" t="str">
        <f>IF($B290="","",IF(ISNA(MATCH($B290,账户名,0)),"※这个账户不在【参数设置】的账户档案里",IF($A290="","※没填日期，这一笔不会进任何月份的报表",IF(AND($G290&lt;&gt;"",$H290&lt;&gt;""),"※收入和支出不能同时填",IF(AND(N($G290)=0,N($H290)=0),"※收入和支出都没填",IF($E290="","※没填收支类别，分类报表会漏掉这一笔",IF(ISNA(MATCH($E290,类别表,0)),"※收支类别不在【参数设置】的清单里",IF($J290="","△"&amp;$D290&amp;" 还没填汇率，去【月度汇率】补上就自动算了",IF(YEAR($A290)&lt;&gt;管理年度,"△不是管理年度的单据，年报里看不到",IF(AND($F290="内部转账",$Q290=""),"△内部转账建议在「往来单位」写上对方账户",IF($M290&lt;0,"△这一笔之后该账户余额成负数了，核一下","")))))))))))</f>
        <v/>
      </c>
    </row>
    <row r="291" ht="16.5" spans="1:19">
      <c r="A291" s="45"/>
      <c r="B291" s="46"/>
      <c r="C291" s="12" t="str">
        <f>IF($B291="","",IFERROR(INDEX(账户银行,MATCH($B291,账户名,0)),""))</f>
        <v/>
      </c>
      <c r="D291" s="12" t="str">
        <f>IF($B291="","",IFERROR(INDEX(账户币种,MATCH($B291,账户名,0)),""))</f>
        <v/>
      </c>
      <c r="E291" s="47"/>
      <c r="F291" s="12" t="str">
        <f>IF($E291="","",IFERROR(INDEX(类别属性,MATCH($E291,类别表,0)),""))</f>
        <v/>
      </c>
      <c r="G291" s="48"/>
      <c r="H291" s="48"/>
      <c r="I291" s="49"/>
      <c r="J291" s="24" t="str">
        <f>IF(OR($A291="",$B291=""),"",IF($I291&lt;&gt;"",$I291,IF($D291=本位币,1,IFERROR(LOOKUP(2,1/((汇率月份&lt;=$A291)*(INDEX(记账汇率区,0,MATCH($D291,汇率币种头,0))&lt;&gt;"")),INDEX(记账汇率区,0,MATCH($D291,汇率币种头,0))),""))))</f>
        <v/>
      </c>
      <c r="K291" s="23" t="str">
        <f t="shared" si="8"/>
        <v/>
      </c>
      <c r="L291" s="23" t="str">
        <f t="shared" si="9"/>
        <v/>
      </c>
      <c r="M291" s="23" t="str">
        <f>IF($B291="","",ROUND(SUMIF(账户名,$B291,账户期初)+SUMIFS($K$6:K291,$B$6:B291,$B291),2))</f>
        <v/>
      </c>
      <c r="N291" s="23" t="str">
        <f>IF($B291="","",IFERROR(ROUND(INDEX(账户期初本位,MATCH($B291,账户名,0))+SUMIFS($L$6:L291,$B$6:B291,$B291),2),""))</f>
        <v/>
      </c>
      <c r="O291" s="46"/>
      <c r="P291" s="47"/>
      <c r="Q291" s="46"/>
      <c r="R291" s="46"/>
      <c r="S291" s="6" t="str">
        <f>IF($B291="","",IF(ISNA(MATCH($B291,账户名,0)),"※这个账户不在【参数设置】的账户档案里",IF($A291="","※没填日期，这一笔不会进任何月份的报表",IF(AND($G291&lt;&gt;"",$H291&lt;&gt;""),"※收入和支出不能同时填",IF(AND(N($G291)=0,N($H291)=0),"※收入和支出都没填",IF($E291="","※没填收支类别，分类报表会漏掉这一笔",IF(ISNA(MATCH($E291,类别表,0)),"※收支类别不在【参数设置】的清单里",IF($J291="","△"&amp;$D291&amp;" 还没填汇率，去【月度汇率】补上就自动算了",IF(YEAR($A291)&lt;&gt;管理年度,"△不是管理年度的单据，年报里看不到",IF(AND($F291="内部转账",$Q291=""),"△内部转账建议在「往来单位」写上对方账户",IF($M291&lt;0,"△这一笔之后该账户余额成负数了，核一下","")))))))))))</f>
        <v/>
      </c>
    </row>
    <row r="292" ht="16.5" spans="1:19">
      <c r="A292" s="45"/>
      <c r="B292" s="46"/>
      <c r="C292" s="12" t="str">
        <f>IF($B292="","",IFERROR(INDEX(账户银行,MATCH($B292,账户名,0)),""))</f>
        <v/>
      </c>
      <c r="D292" s="12" t="str">
        <f>IF($B292="","",IFERROR(INDEX(账户币种,MATCH($B292,账户名,0)),""))</f>
        <v/>
      </c>
      <c r="E292" s="47"/>
      <c r="F292" s="12" t="str">
        <f>IF($E292="","",IFERROR(INDEX(类别属性,MATCH($E292,类别表,0)),""))</f>
        <v/>
      </c>
      <c r="G292" s="48"/>
      <c r="H292" s="48"/>
      <c r="I292" s="49"/>
      <c r="J292" s="24" t="str">
        <f>IF(OR($A292="",$B292=""),"",IF($I292&lt;&gt;"",$I292,IF($D292=本位币,1,IFERROR(LOOKUP(2,1/((汇率月份&lt;=$A292)*(INDEX(记账汇率区,0,MATCH($D292,汇率币种头,0))&lt;&gt;"")),INDEX(记账汇率区,0,MATCH($D292,汇率币种头,0))),""))))</f>
        <v/>
      </c>
      <c r="K292" s="23" t="str">
        <f t="shared" si="8"/>
        <v/>
      </c>
      <c r="L292" s="23" t="str">
        <f t="shared" si="9"/>
        <v/>
      </c>
      <c r="M292" s="23" t="str">
        <f>IF($B292="","",ROUND(SUMIF(账户名,$B292,账户期初)+SUMIFS($K$6:K292,$B$6:B292,$B292),2))</f>
        <v/>
      </c>
      <c r="N292" s="23" t="str">
        <f>IF($B292="","",IFERROR(ROUND(INDEX(账户期初本位,MATCH($B292,账户名,0))+SUMIFS($L$6:L292,$B$6:B292,$B292),2),""))</f>
        <v/>
      </c>
      <c r="O292" s="46"/>
      <c r="P292" s="47"/>
      <c r="Q292" s="46"/>
      <c r="R292" s="46"/>
      <c r="S292" s="6" t="str">
        <f>IF($B292="","",IF(ISNA(MATCH($B292,账户名,0)),"※这个账户不在【参数设置】的账户档案里",IF($A292="","※没填日期，这一笔不会进任何月份的报表",IF(AND($G292&lt;&gt;"",$H292&lt;&gt;""),"※收入和支出不能同时填",IF(AND(N($G292)=0,N($H292)=0),"※收入和支出都没填",IF($E292="","※没填收支类别，分类报表会漏掉这一笔",IF(ISNA(MATCH($E292,类别表,0)),"※收支类别不在【参数设置】的清单里",IF($J292="","△"&amp;$D292&amp;" 还没填汇率，去【月度汇率】补上就自动算了",IF(YEAR($A292)&lt;&gt;管理年度,"△不是管理年度的单据，年报里看不到",IF(AND($F292="内部转账",$Q292=""),"△内部转账建议在「往来单位」写上对方账户",IF($M292&lt;0,"△这一笔之后该账户余额成负数了，核一下","")))))))))))</f>
        <v/>
      </c>
    </row>
    <row r="293" ht="16.5" spans="1:19">
      <c r="A293" s="45"/>
      <c r="B293" s="46"/>
      <c r="C293" s="12" t="str">
        <f>IF($B293="","",IFERROR(INDEX(账户银行,MATCH($B293,账户名,0)),""))</f>
        <v/>
      </c>
      <c r="D293" s="12" t="str">
        <f>IF($B293="","",IFERROR(INDEX(账户币种,MATCH($B293,账户名,0)),""))</f>
        <v/>
      </c>
      <c r="E293" s="47"/>
      <c r="F293" s="12" t="str">
        <f>IF($E293="","",IFERROR(INDEX(类别属性,MATCH($E293,类别表,0)),""))</f>
        <v/>
      </c>
      <c r="G293" s="48"/>
      <c r="H293" s="48"/>
      <c r="I293" s="49"/>
      <c r="J293" s="24" t="str">
        <f>IF(OR($A293="",$B293=""),"",IF($I293&lt;&gt;"",$I293,IF($D293=本位币,1,IFERROR(LOOKUP(2,1/((汇率月份&lt;=$A293)*(INDEX(记账汇率区,0,MATCH($D293,汇率币种头,0))&lt;&gt;"")),INDEX(记账汇率区,0,MATCH($D293,汇率币种头,0))),""))))</f>
        <v/>
      </c>
      <c r="K293" s="23" t="str">
        <f t="shared" si="8"/>
        <v/>
      </c>
      <c r="L293" s="23" t="str">
        <f t="shared" si="9"/>
        <v/>
      </c>
      <c r="M293" s="23" t="str">
        <f>IF($B293="","",ROUND(SUMIF(账户名,$B293,账户期初)+SUMIFS($K$6:K293,$B$6:B293,$B293),2))</f>
        <v/>
      </c>
      <c r="N293" s="23" t="str">
        <f>IF($B293="","",IFERROR(ROUND(INDEX(账户期初本位,MATCH($B293,账户名,0))+SUMIFS($L$6:L293,$B$6:B293,$B293),2),""))</f>
        <v/>
      </c>
      <c r="O293" s="46"/>
      <c r="P293" s="47"/>
      <c r="Q293" s="46"/>
      <c r="R293" s="46"/>
      <c r="S293" s="6" t="str">
        <f>IF($B293="","",IF(ISNA(MATCH($B293,账户名,0)),"※这个账户不在【参数设置】的账户档案里",IF($A293="","※没填日期，这一笔不会进任何月份的报表",IF(AND($G293&lt;&gt;"",$H293&lt;&gt;""),"※收入和支出不能同时填",IF(AND(N($G293)=0,N($H293)=0),"※收入和支出都没填",IF($E293="","※没填收支类别，分类报表会漏掉这一笔",IF(ISNA(MATCH($E293,类别表,0)),"※收支类别不在【参数设置】的清单里",IF($J293="","△"&amp;$D293&amp;" 还没填汇率，去【月度汇率】补上就自动算了",IF(YEAR($A293)&lt;&gt;管理年度,"△不是管理年度的单据，年报里看不到",IF(AND($F293="内部转账",$Q293=""),"△内部转账建议在「往来单位」写上对方账户",IF($M293&lt;0,"△这一笔之后该账户余额成负数了，核一下","")))))))))))</f>
        <v/>
      </c>
    </row>
    <row r="294" ht="16.5" spans="1:19">
      <c r="A294" s="45"/>
      <c r="B294" s="46"/>
      <c r="C294" s="12" t="str">
        <f>IF($B294="","",IFERROR(INDEX(账户银行,MATCH($B294,账户名,0)),""))</f>
        <v/>
      </c>
      <c r="D294" s="12" t="str">
        <f>IF($B294="","",IFERROR(INDEX(账户币种,MATCH($B294,账户名,0)),""))</f>
        <v/>
      </c>
      <c r="E294" s="47"/>
      <c r="F294" s="12" t="str">
        <f>IF($E294="","",IFERROR(INDEX(类别属性,MATCH($E294,类别表,0)),""))</f>
        <v/>
      </c>
      <c r="G294" s="48"/>
      <c r="H294" s="48"/>
      <c r="I294" s="49"/>
      <c r="J294" s="24" t="str">
        <f>IF(OR($A294="",$B294=""),"",IF($I294&lt;&gt;"",$I294,IF($D294=本位币,1,IFERROR(LOOKUP(2,1/((汇率月份&lt;=$A294)*(INDEX(记账汇率区,0,MATCH($D294,汇率币种头,0))&lt;&gt;"")),INDEX(记账汇率区,0,MATCH($D294,汇率币种头,0))),""))))</f>
        <v/>
      </c>
      <c r="K294" s="23" t="str">
        <f t="shared" si="8"/>
        <v/>
      </c>
      <c r="L294" s="23" t="str">
        <f t="shared" si="9"/>
        <v/>
      </c>
      <c r="M294" s="23" t="str">
        <f>IF($B294="","",ROUND(SUMIF(账户名,$B294,账户期初)+SUMIFS($K$6:K294,$B$6:B294,$B294),2))</f>
        <v/>
      </c>
      <c r="N294" s="23" t="str">
        <f>IF($B294="","",IFERROR(ROUND(INDEX(账户期初本位,MATCH($B294,账户名,0))+SUMIFS($L$6:L294,$B$6:B294,$B294),2),""))</f>
        <v/>
      </c>
      <c r="O294" s="46"/>
      <c r="P294" s="47"/>
      <c r="Q294" s="46"/>
      <c r="R294" s="46"/>
      <c r="S294" s="6" t="str">
        <f>IF($B294="","",IF(ISNA(MATCH($B294,账户名,0)),"※这个账户不在【参数设置】的账户档案里",IF($A294="","※没填日期，这一笔不会进任何月份的报表",IF(AND($G294&lt;&gt;"",$H294&lt;&gt;""),"※收入和支出不能同时填",IF(AND(N($G294)=0,N($H294)=0),"※收入和支出都没填",IF($E294="","※没填收支类别，分类报表会漏掉这一笔",IF(ISNA(MATCH($E294,类别表,0)),"※收支类别不在【参数设置】的清单里",IF($J294="","△"&amp;$D294&amp;" 还没填汇率，去【月度汇率】补上就自动算了",IF(YEAR($A294)&lt;&gt;管理年度,"△不是管理年度的单据，年报里看不到",IF(AND($F294="内部转账",$Q294=""),"△内部转账建议在「往来单位」写上对方账户",IF($M294&lt;0,"△这一笔之后该账户余额成负数了，核一下","")))))))))))</f>
        <v/>
      </c>
    </row>
    <row r="295" ht="16.5" spans="1:19">
      <c r="A295" s="45"/>
      <c r="B295" s="46"/>
      <c r="C295" s="12" t="str">
        <f>IF($B295="","",IFERROR(INDEX(账户银行,MATCH($B295,账户名,0)),""))</f>
        <v/>
      </c>
      <c r="D295" s="12" t="str">
        <f>IF($B295="","",IFERROR(INDEX(账户币种,MATCH($B295,账户名,0)),""))</f>
        <v/>
      </c>
      <c r="E295" s="47"/>
      <c r="F295" s="12" t="str">
        <f>IF($E295="","",IFERROR(INDEX(类别属性,MATCH($E295,类别表,0)),""))</f>
        <v/>
      </c>
      <c r="G295" s="48"/>
      <c r="H295" s="48"/>
      <c r="I295" s="49"/>
      <c r="J295" s="24" t="str">
        <f>IF(OR($A295="",$B295=""),"",IF($I295&lt;&gt;"",$I295,IF($D295=本位币,1,IFERROR(LOOKUP(2,1/((汇率月份&lt;=$A295)*(INDEX(记账汇率区,0,MATCH($D295,汇率币种头,0))&lt;&gt;"")),INDEX(记账汇率区,0,MATCH($D295,汇率币种头,0))),""))))</f>
        <v/>
      </c>
      <c r="K295" s="23" t="str">
        <f t="shared" si="8"/>
        <v/>
      </c>
      <c r="L295" s="23" t="str">
        <f t="shared" si="9"/>
        <v/>
      </c>
      <c r="M295" s="23" t="str">
        <f>IF($B295="","",ROUND(SUMIF(账户名,$B295,账户期初)+SUMIFS($K$6:K295,$B$6:B295,$B295),2))</f>
        <v/>
      </c>
      <c r="N295" s="23" t="str">
        <f>IF($B295="","",IFERROR(ROUND(INDEX(账户期初本位,MATCH($B295,账户名,0))+SUMIFS($L$6:L295,$B$6:B295,$B295),2),""))</f>
        <v/>
      </c>
      <c r="O295" s="46"/>
      <c r="P295" s="47"/>
      <c r="Q295" s="46"/>
      <c r="R295" s="46"/>
      <c r="S295" s="6" t="str">
        <f>IF($B295="","",IF(ISNA(MATCH($B295,账户名,0)),"※这个账户不在【参数设置】的账户档案里",IF($A295="","※没填日期，这一笔不会进任何月份的报表",IF(AND($G295&lt;&gt;"",$H295&lt;&gt;""),"※收入和支出不能同时填",IF(AND(N($G295)=0,N($H295)=0),"※收入和支出都没填",IF($E295="","※没填收支类别，分类报表会漏掉这一笔",IF(ISNA(MATCH($E295,类别表,0)),"※收支类别不在【参数设置】的清单里",IF($J295="","△"&amp;$D295&amp;" 还没填汇率，去【月度汇率】补上就自动算了",IF(YEAR($A295)&lt;&gt;管理年度,"△不是管理年度的单据，年报里看不到",IF(AND($F295="内部转账",$Q295=""),"△内部转账建议在「往来单位」写上对方账户",IF($M295&lt;0,"△这一笔之后该账户余额成负数了，核一下","")))))))))))</f>
        <v/>
      </c>
    </row>
    <row r="296" ht="16.5" spans="1:19">
      <c r="A296" s="45"/>
      <c r="B296" s="46"/>
      <c r="C296" s="12" t="str">
        <f>IF($B296="","",IFERROR(INDEX(账户银行,MATCH($B296,账户名,0)),""))</f>
        <v/>
      </c>
      <c r="D296" s="12" t="str">
        <f>IF($B296="","",IFERROR(INDEX(账户币种,MATCH($B296,账户名,0)),""))</f>
        <v/>
      </c>
      <c r="E296" s="47"/>
      <c r="F296" s="12" t="str">
        <f>IF($E296="","",IFERROR(INDEX(类别属性,MATCH($E296,类别表,0)),""))</f>
        <v/>
      </c>
      <c r="G296" s="48"/>
      <c r="H296" s="48"/>
      <c r="I296" s="49"/>
      <c r="J296" s="24" t="str">
        <f>IF(OR($A296="",$B296=""),"",IF($I296&lt;&gt;"",$I296,IF($D296=本位币,1,IFERROR(LOOKUP(2,1/((汇率月份&lt;=$A296)*(INDEX(记账汇率区,0,MATCH($D296,汇率币种头,0))&lt;&gt;"")),INDEX(记账汇率区,0,MATCH($D296,汇率币种头,0))),""))))</f>
        <v/>
      </c>
      <c r="K296" s="23" t="str">
        <f t="shared" si="8"/>
        <v/>
      </c>
      <c r="L296" s="23" t="str">
        <f t="shared" si="9"/>
        <v/>
      </c>
      <c r="M296" s="23" t="str">
        <f>IF($B296="","",ROUND(SUMIF(账户名,$B296,账户期初)+SUMIFS($K$6:K296,$B$6:B296,$B296),2))</f>
        <v/>
      </c>
      <c r="N296" s="23" t="str">
        <f>IF($B296="","",IFERROR(ROUND(INDEX(账户期初本位,MATCH($B296,账户名,0))+SUMIFS($L$6:L296,$B$6:B296,$B296),2),""))</f>
        <v/>
      </c>
      <c r="O296" s="46"/>
      <c r="P296" s="47"/>
      <c r="Q296" s="46"/>
      <c r="R296" s="46"/>
      <c r="S296" s="6" t="str">
        <f>IF($B296="","",IF(ISNA(MATCH($B296,账户名,0)),"※这个账户不在【参数设置】的账户档案里",IF($A296="","※没填日期，这一笔不会进任何月份的报表",IF(AND($G296&lt;&gt;"",$H296&lt;&gt;""),"※收入和支出不能同时填",IF(AND(N($G296)=0,N($H296)=0),"※收入和支出都没填",IF($E296="","※没填收支类别，分类报表会漏掉这一笔",IF(ISNA(MATCH($E296,类别表,0)),"※收支类别不在【参数设置】的清单里",IF($J296="","△"&amp;$D296&amp;" 还没填汇率，去【月度汇率】补上就自动算了",IF(YEAR($A296)&lt;&gt;管理年度,"△不是管理年度的单据，年报里看不到",IF(AND($F296="内部转账",$Q296=""),"△内部转账建议在「往来单位」写上对方账户",IF($M296&lt;0,"△这一笔之后该账户余额成负数了，核一下","")))))))))))</f>
        <v/>
      </c>
    </row>
    <row r="297" ht="16.5" spans="1:19">
      <c r="A297" s="45"/>
      <c r="B297" s="46"/>
      <c r="C297" s="12" t="str">
        <f>IF($B297="","",IFERROR(INDEX(账户银行,MATCH($B297,账户名,0)),""))</f>
        <v/>
      </c>
      <c r="D297" s="12" t="str">
        <f>IF($B297="","",IFERROR(INDEX(账户币种,MATCH($B297,账户名,0)),""))</f>
        <v/>
      </c>
      <c r="E297" s="47"/>
      <c r="F297" s="12" t="str">
        <f>IF($E297="","",IFERROR(INDEX(类别属性,MATCH($E297,类别表,0)),""))</f>
        <v/>
      </c>
      <c r="G297" s="48"/>
      <c r="H297" s="48"/>
      <c r="I297" s="49"/>
      <c r="J297" s="24" t="str">
        <f>IF(OR($A297="",$B297=""),"",IF($I297&lt;&gt;"",$I297,IF($D297=本位币,1,IFERROR(LOOKUP(2,1/((汇率月份&lt;=$A297)*(INDEX(记账汇率区,0,MATCH($D297,汇率币种头,0))&lt;&gt;"")),INDEX(记账汇率区,0,MATCH($D297,汇率币种头,0))),""))))</f>
        <v/>
      </c>
      <c r="K297" s="23" t="str">
        <f t="shared" si="8"/>
        <v/>
      </c>
      <c r="L297" s="23" t="str">
        <f t="shared" si="9"/>
        <v/>
      </c>
      <c r="M297" s="23" t="str">
        <f>IF($B297="","",ROUND(SUMIF(账户名,$B297,账户期初)+SUMIFS($K$6:K297,$B$6:B297,$B297),2))</f>
        <v/>
      </c>
      <c r="N297" s="23" t="str">
        <f>IF($B297="","",IFERROR(ROUND(INDEX(账户期初本位,MATCH($B297,账户名,0))+SUMIFS($L$6:L297,$B$6:B297,$B297),2),""))</f>
        <v/>
      </c>
      <c r="O297" s="46"/>
      <c r="P297" s="47"/>
      <c r="Q297" s="46"/>
      <c r="R297" s="46"/>
      <c r="S297" s="6" t="str">
        <f>IF($B297="","",IF(ISNA(MATCH($B297,账户名,0)),"※这个账户不在【参数设置】的账户档案里",IF($A297="","※没填日期，这一笔不会进任何月份的报表",IF(AND($G297&lt;&gt;"",$H297&lt;&gt;""),"※收入和支出不能同时填",IF(AND(N($G297)=0,N($H297)=0),"※收入和支出都没填",IF($E297="","※没填收支类别，分类报表会漏掉这一笔",IF(ISNA(MATCH($E297,类别表,0)),"※收支类别不在【参数设置】的清单里",IF($J297="","△"&amp;$D297&amp;" 还没填汇率，去【月度汇率】补上就自动算了",IF(YEAR($A297)&lt;&gt;管理年度,"△不是管理年度的单据，年报里看不到",IF(AND($F297="内部转账",$Q297=""),"△内部转账建议在「往来单位」写上对方账户",IF($M297&lt;0,"△这一笔之后该账户余额成负数了，核一下","")))))))))))</f>
        <v/>
      </c>
    </row>
    <row r="298" ht="16.5" spans="1:19">
      <c r="A298" s="45"/>
      <c r="B298" s="46"/>
      <c r="C298" s="12" t="str">
        <f>IF($B298="","",IFERROR(INDEX(账户银行,MATCH($B298,账户名,0)),""))</f>
        <v/>
      </c>
      <c r="D298" s="12" t="str">
        <f>IF($B298="","",IFERROR(INDEX(账户币种,MATCH($B298,账户名,0)),""))</f>
        <v/>
      </c>
      <c r="E298" s="47"/>
      <c r="F298" s="12" t="str">
        <f>IF($E298="","",IFERROR(INDEX(类别属性,MATCH($E298,类别表,0)),""))</f>
        <v/>
      </c>
      <c r="G298" s="48"/>
      <c r="H298" s="48"/>
      <c r="I298" s="49"/>
      <c r="J298" s="24" t="str">
        <f>IF(OR($A298="",$B298=""),"",IF($I298&lt;&gt;"",$I298,IF($D298=本位币,1,IFERROR(LOOKUP(2,1/((汇率月份&lt;=$A298)*(INDEX(记账汇率区,0,MATCH($D298,汇率币种头,0))&lt;&gt;"")),INDEX(记账汇率区,0,MATCH($D298,汇率币种头,0))),""))))</f>
        <v/>
      </c>
      <c r="K298" s="23" t="str">
        <f t="shared" si="8"/>
        <v/>
      </c>
      <c r="L298" s="23" t="str">
        <f t="shared" si="9"/>
        <v/>
      </c>
      <c r="M298" s="23" t="str">
        <f>IF($B298="","",ROUND(SUMIF(账户名,$B298,账户期初)+SUMIFS($K$6:K298,$B$6:B298,$B298),2))</f>
        <v/>
      </c>
      <c r="N298" s="23" t="str">
        <f>IF($B298="","",IFERROR(ROUND(INDEX(账户期初本位,MATCH($B298,账户名,0))+SUMIFS($L$6:L298,$B$6:B298,$B298),2),""))</f>
        <v/>
      </c>
      <c r="O298" s="46"/>
      <c r="P298" s="47"/>
      <c r="Q298" s="46"/>
      <c r="R298" s="46"/>
      <c r="S298" s="6" t="str">
        <f>IF($B298="","",IF(ISNA(MATCH($B298,账户名,0)),"※这个账户不在【参数设置】的账户档案里",IF($A298="","※没填日期，这一笔不会进任何月份的报表",IF(AND($G298&lt;&gt;"",$H298&lt;&gt;""),"※收入和支出不能同时填",IF(AND(N($G298)=0,N($H298)=0),"※收入和支出都没填",IF($E298="","※没填收支类别，分类报表会漏掉这一笔",IF(ISNA(MATCH($E298,类别表,0)),"※收支类别不在【参数设置】的清单里",IF($J298="","△"&amp;$D298&amp;" 还没填汇率，去【月度汇率】补上就自动算了",IF(YEAR($A298)&lt;&gt;管理年度,"△不是管理年度的单据，年报里看不到",IF(AND($F298="内部转账",$Q298=""),"△内部转账建议在「往来单位」写上对方账户",IF($M298&lt;0,"△这一笔之后该账户余额成负数了，核一下","")))))))))))</f>
        <v/>
      </c>
    </row>
    <row r="299" ht="16.5" spans="1:19">
      <c r="A299" s="45"/>
      <c r="B299" s="46"/>
      <c r="C299" s="12" t="str">
        <f>IF($B299="","",IFERROR(INDEX(账户银行,MATCH($B299,账户名,0)),""))</f>
        <v/>
      </c>
      <c r="D299" s="12" t="str">
        <f>IF($B299="","",IFERROR(INDEX(账户币种,MATCH($B299,账户名,0)),""))</f>
        <v/>
      </c>
      <c r="E299" s="47"/>
      <c r="F299" s="12" t="str">
        <f>IF($E299="","",IFERROR(INDEX(类别属性,MATCH($E299,类别表,0)),""))</f>
        <v/>
      </c>
      <c r="G299" s="48"/>
      <c r="H299" s="48"/>
      <c r="I299" s="49"/>
      <c r="J299" s="24" t="str">
        <f>IF(OR($A299="",$B299=""),"",IF($I299&lt;&gt;"",$I299,IF($D299=本位币,1,IFERROR(LOOKUP(2,1/((汇率月份&lt;=$A299)*(INDEX(记账汇率区,0,MATCH($D299,汇率币种头,0))&lt;&gt;"")),INDEX(记账汇率区,0,MATCH($D299,汇率币种头,0))),""))))</f>
        <v/>
      </c>
      <c r="K299" s="23" t="str">
        <f t="shared" si="8"/>
        <v/>
      </c>
      <c r="L299" s="23" t="str">
        <f t="shared" si="9"/>
        <v/>
      </c>
      <c r="M299" s="23" t="str">
        <f>IF($B299="","",ROUND(SUMIF(账户名,$B299,账户期初)+SUMIFS($K$6:K299,$B$6:B299,$B299),2))</f>
        <v/>
      </c>
      <c r="N299" s="23" t="str">
        <f>IF($B299="","",IFERROR(ROUND(INDEX(账户期初本位,MATCH($B299,账户名,0))+SUMIFS($L$6:L299,$B$6:B299,$B299),2),""))</f>
        <v/>
      </c>
      <c r="O299" s="46"/>
      <c r="P299" s="47"/>
      <c r="Q299" s="46"/>
      <c r="R299" s="46"/>
      <c r="S299" s="6" t="str">
        <f>IF($B299="","",IF(ISNA(MATCH($B299,账户名,0)),"※这个账户不在【参数设置】的账户档案里",IF($A299="","※没填日期，这一笔不会进任何月份的报表",IF(AND($G299&lt;&gt;"",$H299&lt;&gt;""),"※收入和支出不能同时填",IF(AND(N($G299)=0,N($H299)=0),"※收入和支出都没填",IF($E299="","※没填收支类别，分类报表会漏掉这一笔",IF(ISNA(MATCH($E299,类别表,0)),"※收支类别不在【参数设置】的清单里",IF($J299="","△"&amp;$D299&amp;" 还没填汇率，去【月度汇率】补上就自动算了",IF(YEAR($A299)&lt;&gt;管理年度,"△不是管理年度的单据，年报里看不到",IF(AND($F299="内部转账",$Q299=""),"△内部转账建议在「往来单位」写上对方账户",IF($M299&lt;0,"△这一笔之后该账户余额成负数了，核一下","")))))))))))</f>
        <v/>
      </c>
    </row>
    <row r="300" ht="16.5" spans="1:19">
      <c r="A300" s="45"/>
      <c r="B300" s="46"/>
      <c r="C300" s="12" t="str">
        <f>IF($B300="","",IFERROR(INDEX(账户银行,MATCH($B300,账户名,0)),""))</f>
        <v/>
      </c>
      <c r="D300" s="12" t="str">
        <f>IF($B300="","",IFERROR(INDEX(账户币种,MATCH($B300,账户名,0)),""))</f>
        <v/>
      </c>
      <c r="E300" s="47"/>
      <c r="F300" s="12" t="str">
        <f>IF($E300="","",IFERROR(INDEX(类别属性,MATCH($E300,类别表,0)),""))</f>
        <v/>
      </c>
      <c r="G300" s="48"/>
      <c r="H300" s="48"/>
      <c r="I300" s="49"/>
      <c r="J300" s="24" t="str">
        <f>IF(OR($A300="",$B300=""),"",IF($I300&lt;&gt;"",$I300,IF($D300=本位币,1,IFERROR(LOOKUP(2,1/((汇率月份&lt;=$A300)*(INDEX(记账汇率区,0,MATCH($D300,汇率币种头,0))&lt;&gt;"")),INDEX(记账汇率区,0,MATCH($D300,汇率币种头,0))),""))))</f>
        <v/>
      </c>
      <c r="K300" s="23" t="str">
        <f t="shared" si="8"/>
        <v/>
      </c>
      <c r="L300" s="23" t="str">
        <f t="shared" si="9"/>
        <v/>
      </c>
      <c r="M300" s="23" t="str">
        <f>IF($B300="","",ROUND(SUMIF(账户名,$B300,账户期初)+SUMIFS($K$6:K300,$B$6:B300,$B300),2))</f>
        <v/>
      </c>
      <c r="N300" s="23" t="str">
        <f>IF($B300="","",IFERROR(ROUND(INDEX(账户期初本位,MATCH($B300,账户名,0))+SUMIFS($L$6:L300,$B$6:B300,$B300),2),""))</f>
        <v/>
      </c>
      <c r="O300" s="46"/>
      <c r="P300" s="47"/>
      <c r="Q300" s="46"/>
      <c r="R300" s="46"/>
      <c r="S300" s="6" t="str">
        <f>IF($B300="","",IF(ISNA(MATCH($B300,账户名,0)),"※这个账户不在【参数设置】的账户档案里",IF($A300="","※没填日期，这一笔不会进任何月份的报表",IF(AND($G300&lt;&gt;"",$H300&lt;&gt;""),"※收入和支出不能同时填",IF(AND(N($G300)=0,N($H300)=0),"※收入和支出都没填",IF($E300="","※没填收支类别，分类报表会漏掉这一笔",IF(ISNA(MATCH($E300,类别表,0)),"※收支类别不在【参数设置】的清单里",IF($J300="","△"&amp;$D300&amp;" 还没填汇率，去【月度汇率】补上就自动算了",IF(YEAR($A300)&lt;&gt;管理年度,"△不是管理年度的单据，年报里看不到",IF(AND($F300="内部转账",$Q300=""),"△内部转账建议在「往来单位」写上对方账户",IF($M300&lt;0,"△这一笔之后该账户余额成负数了，核一下","")))))))))))</f>
        <v/>
      </c>
    </row>
    <row r="301" ht="16.5" spans="1:19">
      <c r="A301" s="45"/>
      <c r="B301" s="46"/>
      <c r="C301" s="12" t="str">
        <f>IF($B301="","",IFERROR(INDEX(账户银行,MATCH($B301,账户名,0)),""))</f>
        <v/>
      </c>
      <c r="D301" s="12" t="str">
        <f>IF($B301="","",IFERROR(INDEX(账户币种,MATCH($B301,账户名,0)),""))</f>
        <v/>
      </c>
      <c r="E301" s="47"/>
      <c r="F301" s="12" t="str">
        <f>IF($E301="","",IFERROR(INDEX(类别属性,MATCH($E301,类别表,0)),""))</f>
        <v/>
      </c>
      <c r="G301" s="48"/>
      <c r="H301" s="48"/>
      <c r="I301" s="49"/>
      <c r="J301" s="24" t="str">
        <f>IF(OR($A301="",$B301=""),"",IF($I301&lt;&gt;"",$I301,IF($D301=本位币,1,IFERROR(LOOKUP(2,1/((汇率月份&lt;=$A301)*(INDEX(记账汇率区,0,MATCH($D301,汇率币种头,0))&lt;&gt;"")),INDEX(记账汇率区,0,MATCH($D301,汇率币种头,0))),""))))</f>
        <v/>
      </c>
      <c r="K301" s="23" t="str">
        <f t="shared" si="8"/>
        <v/>
      </c>
      <c r="L301" s="23" t="str">
        <f t="shared" si="9"/>
        <v/>
      </c>
      <c r="M301" s="23" t="str">
        <f>IF($B301="","",ROUND(SUMIF(账户名,$B301,账户期初)+SUMIFS($K$6:K301,$B$6:B301,$B301),2))</f>
        <v/>
      </c>
      <c r="N301" s="23" t="str">
        <f>IF($B301="","",IFERROR(ROUND(INDEX(账户期初本位,MATCH($B301,账户名,0))+SUMIFS($L$6:L301,$B$6:B301,$B301),2),""))</f>
        <v/>
      </c>
      <c r="O301" s="46"/>
      <c r="P301" s="47"/>
      <c r="Q301" s="46"/>
      <c r="R301" s="46"/>
      <c r="S301" s="6" t="str">
        <f>IF($B301="","",IF(ISNA(MATCH($B301,账户名,0)),"※这个账户不在【参数设置】的账户档案里",IF($A301="","※没填日期，这一笔不会进任何月份的报表",IF(AND($G301&lt;&gt;"",$H301&lt;&gt;""),"※收入和支出不能同时填",IF(AND(N($G301)=0,N($H301)=0),"※收入和支出都没填",IF($E301="","※没填收支类别，分类报表会漏掉这一笔",IF(ISNA(MATCH($E301,类别表,0)),"※收支类别不在【参数设置】的清单里",IF($J301="","△"&amp;$D301&amp;" 还没填汇率，去【月度汇率】补上就自动算了",IF(YEAR($A301)&lt;&gt;管理年度,"△不是管理年度的单据，年报里看不到",IF(AND($F301="内部转账",$Q301=""),"△内部转账建议在「往来单位」写上对方账户",IF($M301&lt;0,"△这一笔之后该账户余额成负数了，核一下","")))))))))))</f>
        <v/>
      </c>
    </row>
    <row r="302" ht="16.5" spans="1:19">
      <c r="A302" s="45"/>
      <c r="B302" s="46"/>
      <c r="C302" s="12" t="str">
        <f>IF($B302="","",IFERROR(INDEX(账户银行,MATCH($B302,账户名,0)),""))</f>
        <v/>
      </c>
      <c r="D302" s="12" t="str">
        <f>IF($B302="","",IFERROR(INDEX(账户币种,MATCH($B302,账户名,0)),""))</f>
        <v/>
      </c>
      <c r="E302" s="47"/>
      <c r="F302" s="12" t="str">
        <f>IF($E302="","",IFERROR(INDEX(类别属性,MATCH($E302,类别表,0)),""))</f>
        <v/>
      </c>
      <c r="G302" s="48"/>
      <c r="H302" s="48"/>
      <c r="I302" s="49"/>
      <c r="J302" s="24" t="str">
        <f>IF(OR($A302="",$B302=""),"",IF($I302&lt;&gt;"",$I302,IF($D302=本位币,1,IFERROR(LOOKUP(2,1/((汇率月份&lt;=$A302)*(INDEX(记账汇率区,0,MATCH($D302,汇率币种头,0))&lt;&gt;"")),INDEX(记账汇率区,0,MATCH($D302,汇率币种头,0))),""))))</f>
        <v/>
      </c>
      <c r="K302" s="23" t="str">
        <f t="shared" si="8"/>
        <v/>
      </c>
      <c r="L302" s="23" t="str">
        <f t="shared" si="9"/>
        <v/>
      </c>
      <c r="M302" s="23" t="str">
        <f>IF($B302="","",ROUND(SUMIF(账户名,$B302,账户期初)+SUMIFS($K$6:K302,$B$6:B302,$B302),2))</f>
        <v/>
      </c>
      <c r="N302" s="23" t="str">
        <f>IF($B302="","",IFERROR(ROUND(INDEX(账户期初本位,MATCH($B302,账户名,0))+SUMIFS($L$6:L302,$B$6:B302,$B302),2),""))</f>
        <v/>
      </c>
      <c r="O302" s="46"/>
      <c r="P302" s="47"/>
      <c r="Q302" s="46"/>
      <c r="R302" s="46"/>
      <c r="S302" s="6" t="str">
        <f>IF($B302="","",IF(ISNA(MATCH($B302,账户名,0)),"※这个账户不在【参数设置】的账户档案里",IF($A302="","※没填日期，这一笔不会进任何月份的报表",IF(AND($G302&lt;&gt;"",$H302&lt;&gt;""),"※收入和支出不能同时填",IF(AND(N($G302)=0,N($H302)=0),"※收入和支出都没填",IF($E302="","※没填收支类别，分类报表会漏掉这一笔",IF(ISNA(MATCH($E302,类别表,0)),"※收支类别不在【参数设置】的清单里",IF($J302="","△"&amp;$D302&amp;" 还没填汇率，去【月度汇率】补上就自动算了",IF(YEAR($A302)&lt;&gt;管理年度,"△不是管理年度的单据，年报里看不到",IF(AND($F302="内部转账",$Q302=""),"△内部转账建议在「往来单位」写上对方账户",IF($M302&lt;0,"△这一笔之后该账户余额成负数了，核一下","")))))))))))</f>
        <v/>
      </c>
    </row>
    <row r="303" ht="16.5" spans="1:19">
      <c r="A303" s="45"/>
      <c r="B303" s="46"/>
      <c r="C303" s="12" t="str">
        <f>IF($B303="","",IFERROR(INDEX(账户银行,MATCH($B303,账户名,0)),""))</f>
        <v/>
      </c>
      <c r="D303" s="12" t="str">
        <f>IF($B303="","",IFERROR(INDEX(账户币种,MATCH($B303,账户名,0)),""))</f>
        <v/>
      </c>
      <c r="E303" s="47"/>
      <c r="F303" s="12" t="str">
        <f>IF($E303="","",IFERROR(INDEX(类别属性,MATCH($E303,类别表,0)),""))</f>
        <v/>
      </c>
      <c r="G303" s="48"/>
      <c r="H303" s="48"/>
      <c r="I303" s="49"/>
      <c r="J303" s="24" t="str">
        <f>IF(OR($A303="",$B303=""),"",IF($I303&lt;&gt;"",$I303,IF($D303=本位币,1,IFERROR(LOOKUP(2,1/((汇率月份&lt;=$A303)*(INDEX(记账汇率区,0,MATCH($D303,汇率币种头,0))&lt;&gt;"")),INDEX(记账汇率区,0,MATCH($D303,汇率币种头,0))),""))))</f>
        <v/>
      </c>
      <c r="K303" s="23" t="str">
        <f t="shared" si="8"/>
        <v/>
      </c>
      <c r="L303" s="23" t="str">
        <f t="shared" si="9"/>
        <v/>
      </c>
      <c r="M303" s="23" t="str">
        <f>IF($B303="","",ROUND(SUMIF(账户名,$B303,账户期初)+SUMIFS($K$6:K303,$B$6:B303,$B303),2))</f>
        <v/>
      </c>
      <c r="N303" s="23" t="str">
        <f>IF($B303="","",IFERROR(ROUND(INDEX(账户期初本位,MATCH($B303,账户名,0))+SUMIFS($L$6:L303,$B$6:B303,$B303),2),""))</f>
        <v/>
      </c>
      <c r="O303" s="46"/>
      <c r="P303" s="47"/>
      <c r="Q303" s="46"/>
      <c r="R303" s="46"/>
      <c r="S303" s="6" t="str">
        <f>IF($B303="","",IF(ISNA(MATCH($B303,账户名,0)),"※这个账户不在【参数设置】的账户档案里",IF($A303="","※没填日期，这一笔不会进任何月份的报表",IF(AND($G303&lt;&gt;"",$H303&lt;&gt;""),"※收入和支出不能同时填",IF(AND(N($G303)=0,N($H303)=0),"※收入和支出都没填",IF($E303="","※没填收支类别，分类报表会漏掉这一笔",IF(ISNA(MATCH($E303,类别表,0)),"※收支类别不在【参数设置】的清单里",IF($J303="","△"&amp;$D303&amp;" 还没填汇率，去【月度汇率】补上就自动算了",IF(YEAR($A303)&lt;&gt;管理年度,"△不是管理年度的单据，年报里看不到",IF(AND($F303="内部转账",$Q303=""),"△内部转账建议在「往来单位」写上对方账户",IF($M303&lt;0,"△这一笔之后该账户余额成负数了，核一下","")))))))))))</f>
        <v/>
      </c>
    </row>
    <row r="304" ht="16.5" spans="1:19">
      <c r="A304" s="45"/>
      <c r="B304" s="46"/>
      <c r="C304" s="12" t="str">
        <f>IF($B304="","",IFERROR(INDEX(账户银行,MATCH($B304,账户名,0)),""))</f>
        <v/>
      </c>
      <c r="D304" s="12" t="str">
        <f>IF($B304="","",IFERROR(INDEX(账户币种,MATCH($B304,账户名,0)),""))</f>
        <v/>
      </c>
      <c r="E304" s="47"/>
      <c r="F304" s="12" t="str">
        <f>IF($E304="","",IFERROR(INDEX(类别属性,MATCH($E304,类别表,0)),""))</f>
        <v/>
      </c>
      <c r="G304" s="48"/>
      <c r="H304" s="48"/>
      <c r="I304" s="49"/>
      <c r="J304" s="24" t="str">
        <f>IF(OR($A304="",$B304=""),"",IF($I304&lt;&gt;"",$I304,IF($D304=本位币,1,IFERROR(LOOKUP(2,1/((汇率月份&lt;=$A304)*(INDEX(记账汇率区,0,MATCH($D304,汇率币种头,0))&lt;&gt;"")),INDEX(记账汇率区,0,MATCH($D304,汇率币种头,0))),""))))</f>
        <v/>
      </c>
      <c r="K304" s="23" t="str">
        <f t="shared" si="8"/>
        <v/>
      </c>
      <c r="L304" s="23" t="str">
        <f t="shared" si="9"/>
        <v/>
      </c>
      <c r="M304" s="23" t="str">
        <f>IF($B304="","",ROUND(SUMIF(账户名,$B304,账户期初)+SUMIFS($K$6:K304,$B$6:B304,$B304),2))</f>
        <v/>
      </c>
      <c r="N304" s="23" t="str">
        <f>IF($B304="","",IFERROR(ROUND(INDEX(账户期初本位,MATCH($B304,账户名,0))+SUMIFS($L$6:L304,$B$6:B304,$B304),2),""))</f>
        <v/>
      </c>
      <c r="O304" s="46"/>
      <c r="P304" s="47"/>
      <c r="Q304" s="46"/>
      <c r="R304" s="46"/>
      <c r="S304" s="6" t="str">
        <f>IF($B304="","",IF(ISNA(MATCH($B304,账户名,0)),"※这个账户不在【参数设置】的账户档案里",IF($A304="","※没填日期，这一笔不会进任何月份的报表",IF(AND($G304&lt;&gt;"",$H304&lt;&gt;""),"※收入和支出不能同时填",IF(AND(N($G304)=0,N($H304)=0),"※收入和支出都没填",IF($E304="","※没填收支类别，分类报表会漏掉这一笔",IF(ISNA(MATCH($E304,类别表,0)),"※收支类别不在【参数设置】的清单里",IF($J304="","△"&amp;$D304&amp;" 还没填汇率，去【月度汇率】补上就自动算了",IF(YEAR($A304)&lt;&gt;管理年度,"△不是管理年度的单据，年报里看不到",IF(AND($F304="内部转账",$Q304=""),"△内部转账建议在「往来单位」写上对方账户",IF($M304&lt;0,"△这一笔之后该账户余额成负数了，核一下","")))))))))))</f>
        <v/>
      </c>
    </row>
    <row r="305" ht="16.5" spans="1:19">
      <c r="A305" s="45"/>
      <c r="B305" s="46"/>
      <c r="C305" s="12" t="str">
        <f>IF($B305="","",IFERROR(INDEX(账户银行,MATCH($B305,账户名,0)),""))</f>
        <v/>
      </c>
      <c r="D305" s="12" t="str">
        <f>IF($B305="","",IFERROR(INDEX(账户币种,MATCH($B305,账户名,0)),""))</f>
        <v/>
      </c>
      <c r="E305" s="47"/>
      <c r="F305" s="12" t="str">
        <f>IF($E305="","",IFERROR(INDEX(类别属性,MATCH($E305,类别表,0)),""))</f>
        <v/>
      </c>
      <c r="G305" s="48"/>
      <c r="H305" s="48"/>
      <c r="I305" s="49"/>
      <c r="J305" s="24" t="str">
        <f>IF(OR($A305="",$B305=""),"",IF($I305&lt;&gt;"",$I305,IF($D305=本位币,1,IFERROR(LOOKUP(2,1/((汇率月份&lt;=$A305)*(INDEX(记账汇率区,0,MATCH($D305,汇率币种头,0))&lt;&gt;"")),INDEX(记账汇率区,0,MATCH($D305,汇率币种头,0))),""))))</f>
        <v/>
      </c>
      <c r="K305" s="23" t="str">
        <f t="shared" si="8"/>
        <v/>
      </c>
      <c r="L305" s="23" t="str">
        <f t="shared" si="9"/>
        <v/>
      </c>
      <c r="M305" s="23" t="str">
        <f>IF($B305="","",ROUND(SUMIF(账户名,$B305,账户期初)+SUMIFS($K$6:K305,$B$6:B305,$B305),2))</f>
        <v/>
      </c>
      <c r="N305" s="23" t="str">
        <f>IF($B305="","",IFERROR(ROUND(INDEX(账户期初本位,MATCH($B305,账户名,0))+SUMIFS($L$6:L305,$B$6:B305,$B305),2),""))</f>
        <v/>
      </c>
      <c r="O305" s="46"/>
      <c r="P305" s="47"/>
      <c r="Q305" s="46"/>
      <c r="R305" s="46"/>
      <c r="S305" s="6" t="str">
        <f>IF($B305="","",IF(ISNA(MATCH($B305,账户名,0)),"※这个账户不在【参数设置】的账户档案里",IF($A305="","※没填日期，这一笔不会进任何月份的报表",IF(AND($G305&lt;&gt;"",$H305&lt;&gt;""),"※收入和支出不能同时填",IF(AND(N($G305)=0,N($H305)=0),"※收入和支出都没填",IF($E305="","※没填收支类别，分类报表会漏掉这一笔",IF(ISNA(MATCH($E305,类别表,0)),"※收支类别不在【参数设置】的清单里",IF($J305="","△"&amp;$D305&amp;" 还没填汇率，去【月度汇率】补上就自动算了",IF(YEAR($A305)&lt;&gt;管理年度,"△不是管理年度的单据，年报里看不到",IF(AND($F305="内部转账",$Q305=""),"△内部转账建议在「往来单位」写上对方账户",IF($M305&lt;0,"△这一笔之后该账户余额成负数了，核一下","")))))))))))</f>
        <v/>
      </c>
    </row>
    <row r="306" ht="16.5" spans="1:19">
      <c r="A306" s="45"/>
      <c r="B306" s="46"/>
      <c r="C306" s="12" t="str">
        <f>IF($B306="","",IFERROR(INDEX(账户银行,MATCH($B306,账户名,0)),""))</f>
        <v/>
      </c>
      <c r="D306" s="12" t="str">
        <f>IF($B306="","",IFERROR(INDEX(账户币种,MATCH($B306,账户名,0)),""))</f>
        <v/>
      </c>
      <c r="E306" s="47"/>
      <c r="F306" s="12" t="str">
        <f>IF($E306="","",IFERROR(INDEX(类别属性,MATCH($E306,类别表,0)),""))</f>
        <v/>
      </c>
      <c r="G306" s="48"/>
      <c r="H306" s="48"/>
      <c r="I306" s="49"/>
      <c r="J306" s="24" t="str">
        <f>IF(OR($A306="",$B306=""),"",IF($I306&lt;&gt;"",$I306,IF($D306=本位币,1,IFERROR(LOOKUP(2,1/((汇率月份&lt;=$A306)*(INDEX(记账汇率区,0,MATCH($D306,汇率币种头,0))&lt;&gt;"")),INDEX(记账汇率区,0,MATCH($D306,汇率币种头,0))),""))))</f>
        <v/>
      </c>
      <c r="K306" s="23" t="str">
        <f t="shared" si="8"/>
        <v/>
      </c>
      <c r="L306" s="23" t="str">
        <f t="shared" si="9"/>
        <v/>
      </c>
      <c r="M306" s="23" t="str">
        <f>IF($B306="","",ROUND(SUMIF(账户名,$B306,账户期初)+SUMIFS($K$6:K306,$B$6:B306,$B306),2))</f>
        <v/>
      </c>
      <c r="N306" s="23" t="str">
        <f>IF($B306="","",IFERROR(ROUND(INDEX(账户期初本位,MATCH($B306,账户名,0))+SUMIFS($L$6:L306,$B$6:B306,$B306),2),""))</f>
        <v/>
      </c>
      <c r="O306" s="46"/>
      <c r="P306" s="47"/>
      <c r="Q306" s="46"/>
      <c r="R306" s="46"/>
      <c r="S306" s="6" t="str">
        <f>IF($B306="","",IF(ISNA(MATCH($B306,账户名,0)),"※这个账户不在【参数设置】的账户档案里",IF($A306="","※没填日期，这一笔不会进任何月份的报表",IF(AND($G306&lt;&gt;"",$H306&lt;&gt;""),"※收入和支出不能同时填",IF(AND(N($G306)=0,N($H306)=0),"※收入和支出都没填",IF($E306="","※没填收支类别，分类报表会漏掉这一笔",IF(ISNA(MATCH($E306,类别表,0)),"※收支类别不在【参数设置】的清单里",IF($J306="","△"&amp;$D306&amp;" 还没填汇率，去【月度汇率】补上就自动算了",IF(YEAR($A306)&lt;&gt;管理年度,"△不是管理年度的单据，年报里看不到",IF(AND($F306="内部转账",$Q306=""),"△内部转账建议在「往来单位」写上对方账户",IF($M306&lt;0,"△这一笔之后该账户余额成负数了，核一下","")))))))))))</f>
        <v/>
      </c>
    </row>
    <row r="307" ht="16.5" spans="1:19">
      <c r="A307" s="45"/>
      <c r="B307" s="46"/>
      <c r="C307" s="12" t="str">
        <f>IF($B307="","",IFERROR(INDEX(账户银行,MATCH($B307,账户名,0)),""))</f>
        <v/>
      </c>
      <c r="D307" s="12" t="str">
        <f>IF($B307="","",IFERROR(INDEX(账户币种,MATCH($B307,账户名,0)),""))</f>
        <v/>
      </c>
      <c r="E307" s="47"/>
      <c r="F307" s="12" t="str">
        <f>IF($E307="","",IFERROR(INDEX(类别属性,MATCH($E307,类别表,0)),""))</f>
        <v/>
      </c>
      <c r="G307" s="48"/>
      <c r="H307" s="48"/>
      <c r="I307" s="49"/>
      <c r="J307" s="24" t="str">
        <f>IF(OR($A307="",$B307=""),"",IF($I307&lt;&gt;"",$I307,IF($D307=本位币,1,IFERROR(LOOKUP(2,1/((汇率月份&lt;=$A307)*(INDEX(记账汇率区,0,MATCH($D307,汇率币种头,0))&lt;&gt;"")),INDEX(记账汇率区,0,MATCH($D307,汇率币种头,0))),""))))</f>
        <v/>
      </c>
      <c r="K307" s="23" t="str">
        <f t="shared" si="8"/>
        <v/>
      </c>
      <c r="L307" s="23" t="str">
        <f t="shared" si="9"/>
        <v/>
      </c>
      <c r="M307" s="23" t="str">
        <f>IF($B307="","",ROUND(SUMIF(账户名,$B307,账户期初)+SUMIFS($K$6:K307,$B$6:B307,$B307),2))</f>
        <v/>
      </c>
      <c r="N307" s="23" t="str">
        <f>IF($B307="","",IFERROR(ROUND(INDEX(账户期初本位,MATCH($B307,账户名,0))+SUMIFS($L$6:L307,$B$6:B307,$B307),2),""))</f>
        <v/>
      </c>
      <c r="O307" s="46"/>
      <c r="P307" s="47"/>
      <c r="Q307" s="46"/>
      <c r="R307" s="46"/>
      <c r="S307" s="6" t="str">
        <f>IF($B307="","",IF(ISNA(MATCH($B307,账户名,0)),"※这个账户不在【参数设置】的账户档案里",IF($A307="","※没填日期，这一笔不会进任何月份的报表",IF(AND($G307&lt;&gt;"",$H307&lt;&gt;""),"※收入和支出不能同时填",IF(AND(N($G307)=0,N($H307)=0),"※收入和支出都没填",IF($E307="","※没填收支类别，分类报表会漏掉这一笔",IF(ISNA(MATCH($E307,类别表,0)),"※收支类别不在【参数设置】的清单里",IF($J307="","△"&amp;$D307&amp;" 还没填汇率，去【月度汇率】补上就自动算了",IF(YEAR($A307)&lt;&gt;管理年度,"△不是管理年度的单据，年报里看不到",IF(AND($F307="内部转账",$Q307=""),"△内部转账建议在「往来单位」写上对方账户",IF($M307&lt;0,"△这一笔之后该账户余额成负数了，核一下","")))))))))))</f>
        <v/>
      </c>
    </row>
    <row r="308" ht="16.5" spans="1:19">
      <c r="A308" s="45"/>
      <c r="B308" s="46"/>
      <c r="C308" s="12" t="str">
        <f>IF($B308="","",IFERROR(INDEX(账户银行,MATCH($B308,账户名,0)),""))</f>
        <v/>
      </c>
      <c r="D308" s="12" t="str">
        <f>IF($B308="","",IFERROR(INDEX(账户币种,MATCH($B308,账户名,0)),""))</f>
        <v/>
      </c>
      <c r="E308" s="47"/>
      <c r="F308" s="12" t="str">
        <f>IF($E308="","",IFERROR(INDEX(类别属性,MATCH($E308,类别表,0)),""))</f>
        <v/>
      </c>
      <c r="G308" s="48"/>
      <c r="H308" s="48"/>
      <c r="I308" s="49"/>
      <c r="J308" s="24" t="str">
        <f>IF(OR($A308="",$B308=""),"",IF($I308&lt;&gt;"",$I308,IF($D308=本位币,1,IFERROR(LOOKUP(2,1/((汇率月份&lt;=$A308)*(INDEX(记账汇率区,0,MATCH($D308,汇率币种头,0))&lt;&gt;"")),INDEX(记账汇率区,0,MATCH($D308,汇率币种头,0))),""))))</f>
        <v/>
      </c>
      <c r="K308" s="23" t="str">
        <f t="shared" si="8"/>
        <v/>
      </c>
      <c r="L308" s="23" t="str">
        <f t="shared" si="9"/>
        <v/>
      </c>
      <c r="M308" s="23" t="str">
        <f>IF($B308="","",ROUND(SUMIF(账户名,$B308,账户期初)+SUMIFS($K$6:K308,$B$6:B308,$B308),2))</f>
        <v/>
      </c>
      <c r="N308" s="23" t="str">
        <f>IF($B308="","",IFERROR(ROUND(INDEX(账户期初本位,MATCH($B308,账户名,0))+SUMIFS($L$6:L308,$B$6:B308,$B308),2),""))</f>
        <v/>
      </c>
      <c r="O308" s="46"/>
      <c r="P308" s="47"/>
      <c r="Q308" s="46"/>
      <c r="R308" s="46"/>
      <c r="S308" s="6" t="str">
        <f>IF($B308="","",IF(ISNA(MATCH($B308,账户名,0)),"※这个账户不在【参数设置】的账户档案里",IF($A308="","※没填日期，这一笔不会进任何月份的报表",IF(AND($G308&lt;&gt;"",$H308&lt;&gt;""),"※收入和支出不能同时填",IF(AND(N($G308)=0,N($H308)=0),"※收入和支出都没填",IF($E308="","※没填收支类别，分类报表会漏掉这一笔",IF(ISNA(MATCH($E308,类别表,0)),"※收支类别不在【参数设置】的清单里",IF($J308="","△"&amp;$D308&amp;" 还没填汇率，去【月度汇率】补上就自动算了",IF(YEAR($A308)&lt;&gt;管理年度,"△不是管理年度的单据，年报里看不到",IF(AND($F308="内部转账",$Q308=""),"△内部转账建议在「往来单位」写上对方账户",IF($M308&lt;0,"△这一笔之后该账户余额成负数了，核一下","")))))))))))</f>
        <v/>
      </c>
    </row>
    <row r="309" ht="16.5" spans="1:19">
      <c r="A309" s="45"/>
      <c r="B309" s="46"/>
      <c r="C309" s="12" t="str">
        <f>IF($B309="","",IFERROR(INDEX(账户银行,MATCH($B309,账户名,0)),""))</f>
        <v/>
      </c>
      <c r="D309" s="12" t="str">
        <f>IF($B309="","",IFERROR(INDEX(账户币种,MATCH($B309,账户名,0)),""))</f>
        <v/>
      </c>
      <c r="E309" s="47"/>
      <c r="F309" s="12" t="str">
        <f>IF($E309="","",IFERROR(INDEX(类别属性,MATCH($E309,类别表,0)),""))</f>
        <v/>
      </c>
      <c r="G309" s="48"/>
      <c r="H309" s="48"/>
      <c r="I309" s="49"/>
      <c r="J309" s="24" t="str">
        <f>IF(OR($A309="",$B309=""),"",IF($I309&lt;&gt;"",$I309,IF($D309=本位币,1,IFERROR(LOOKUP(2,1/((汇率月份&lt;=$A309)*(INDEX(记账汇率区,0,MATCH($D309,汇率币种头,0))&lt;&gt;"")),INDEX(记账汇率区,0,MATCH($D309,汇率币种头,0))),""))))</f>
        <v/>
      </c>
      <c r="K309" s="23" t="str">
        <f t="shared" si="8"/>
        <v/>
      </c>
      <c r="L309" s="23" t="str">
        <f t="shared" si="9"/>
        <v/>
      </c>
      <c r="M309" s="23" t="str">
        <f>IF($B309="","",ROUND(SUMIF(账户名,$B309,账户期初)+SUMIFS($K$6:K309,$B$6:B309,$B309),2))</f>
        <v/>
      </c>
      <c r="N309" s="23" t="str">
        <f>IF($B309="","",IFERROR(ROUND(INDEX(账户期初本位,MATCH($B309,账户名,0))+SUMIFS($L$6:L309,$B$6:B309,$B309),2),""))</f>
        <v/>
      </c>
      <c r="O309" s="46"/>
      <c r="P309" s="47"/>
      <c r="Q309" s="46"/>
      <c r="R309" s="46"/>
      <c r="S309" s="6" t="str">
        <f>IF($B309="","",IF(ISNA(MATCH($B309,账户名,0)),"※这个账户不在【参数设置】的账户档案里",IF($A309="","※没填日期，这一笔不会进任何月份的报表",IF(AND($G309&lt;&gt;"",$H309&lt;&gt;""),"※收入和支出不能同时填",IF(AND(N($G309)=0,N($H309)=0),"※收入和支出都没填",IF($E309="","※没填收支类别，分类报表会漏掉这一笔",IF(ISNA(MATCH($E309,类别表,0)),"※收支类别不在【参数设置】的清单里",IF($J309="","△"&amp;$D309&amp;" 还没填汇率，去【月度汇率】补上就自动算了",IF(YEAR($A309)&lt;&gt;管理年度,"△不是管理年度的单据，年报里看不到",IF(AND($F309="内部转账",$Q309=""),"△内部转账建议在「往来单位」写上对方账户",IF($M309&lt;0,"△这一笔之后该账户余额成负数了，核一下","")))))))))))</f>
        <v/>
      </c>
    </row>
    <row r="310" ht="16.5" spans="1:19">
      <c r="A310" s="45"/>
      <c r="B310" s="46"/>
      <c r="C310" s="12" t="str">
        <f>IF($B310="","",IFERROR(INDEX(账户银行,MATCH($B310,账户名,0)),""))</f>
        <v/>
      </c>
      <c r="D310" s="12" t="str">
        <f>IF($B310="","",IFERROR(INDEX(账户币种,MATCH($B310,账户名,0)),""))</f>
        <v/>
      </c>
      <c r="E310" s="47"/>
      <c r="F310" s="12" t="str">
        <f>IF($E310="","",IFERROR(INDEX(类别属性,MATCH($E310,类别表,0)),""))</f>
        <v/>
      </c>
      <c r="G310" s="48"/>
      <c r="H310" s="48"/>
      <c r="I310" s="49"/>
      <c r="J310" s="24" t="str">
        <f>IF(OR($A310="",$B310=""),"",IF($I310&lt;&gt;"",$I310,IF($D310=本位币,1,IFERROR(LOOKUP(2,1/((汇率月份&lt;=$A310)*(INDEX(记账汇率区,0,MATCH($D310,汇率币种头,0))&lt;&gt;"")),INDEX(记账汇率区,0,MATCH($D310,汇率币种头,0))),""))))</f>
        <v/>
      </c>
      <c r="K310" s="23" t="str">
        <f t="shared" si="8"/>
        <v/>
      </c>
      <c r="L310" s="23" t="str">
        <f t="shared" si="9"/>
        <v/>
      </c>
      <c r="M310" s="23" t="str">
        <f>IF($B310="","",ROUND(SUMIF(账户名,$B310,账户期初)+SUMIFS($K$6:K310,$B$6:B310,$B310),2))</f>
        <v/>
      </c>
      <c r="N310" s="23" t="str">
        <f>IF($B310="","",IFERROR(ROUND(INDEX(账户期初本位,MATCH($B310,账户名,0))+SUMIFS($L$6:L310,$B$6:B310,$B310),2),""))</f>
        <v/>
      </c>
      <c r="O310" s="46"/>
      <c r="P310" s="47"/>
      <c r="Q310" s="46"/>
      <c r="R310" s="46"/>
      <c r="S310" s="6" t="str">
        <f>IF($B310="","",IF(ISNA(MATCH($B310,账户名,0)),"※这个账户不在【参数设置】的账户档案里",IF($A310="","※没填日期，这一笔不会进任何月份的报表",IF(AND($G310&lt;&gt;"",$H310&lt;&gt;""),"※收入和支出不能同时填",IF(AND(N($G310)=0,N($H310)=0),"※收入和支出都没填",IF($E310="","※没填收支类别，分类报表会漏掉这一笔",IF(ISNA(MATCH($E310,类别表,0)),"※收支类别不在【参数设置】的清单里",IF($J310="","△"&amp;$D310&amp;" 还没填汇率，去【月度汇率】补上就自动算了",IF(YEAR($A310)&lt;&gt;管理年度,"△不是管理年度的单据，年报里看不到",IF(AND($F310="内部转账",$Q310=""),"△内部转账建议在「往来单位」写上对方账户",IF($M310&lt;0,"△这一笔之后该账户余额成负数了，核一下","")))))))))))</f>
        <v/>
      </c>
    </row>
    <row r="311" ht="16.5" spans="1:19">
      <c r="A311" s="45"/>
      <c r="B311" s="46"/>
      <c r="C311" s="12" t="str">
        <f>IF($B311="","",IFERROR(INDEX(账户银行,MATCH($B311,账户名,0)),""))</f>
        <v/>
      </c>
      <c r="D311" s="12" t="str">
        <f>IF($B311="","",IFERROR(INDEX(账户币种,MATCH($B311,账户名,0)),""))</f>
        <v/>
      </c>
      <c r="E311" s="47"/>
      <c r="F311" s="12" t="str">
        <f>IF($E311="","",IFERROR(INDEX(类别属性,MATCH($E311,类别表,0)),""))</f>
        <v/>
      </c>
      <c r="G311" s="48"/>
      <c r="H311" s="48"/>
      <c r="I311" s="49"/>
      <c r="J311" s="24" t="str">
        <f>IF(OR($A311="",$B311=""),"",IF($I311&lt;&gt;"",$I311,IF($D311=本位币,1,IFERROR(LOOKUP(2,1/((汇率月份&lt;=$A311)*(INDEX(记账汇率区,0,MATCH($D311,汇率币种头,0))&lt;&gt;"")),INDEX(记账汇率区,0,MATCH($D311,汇率币种头,0))),""))))</f>
        <v/>
      </c>
      <c r="K311" s="23" t="str">
        <f t="shared" si="8"/>
        <v/>
      </c>
      <c r="L311" s="23" t="str">
        <f t="shared" si="9"/>
        <v/>
      </c>
      <c r="M311" s="23" t="str">
        <f>IF($B311="","",ROUND(SUMIF(账户名,$B311,账户期初)+SUMIFS($K$6:K311,$B$6:B311,$B311),2))</f>
        <v/>
      </c>
      <c r="N311" s="23" t="str">
        <f>IF($B311="","",IFERROR(ROUND(INDEX(账户期初本位,MATCH($B311,账户名,0))+SUMIFS($L$6:L311,$B$6:B311,$B311),2),""))</f>
        <v/>
      </c>
      <c r="O311" s="46"/>
      <c r="P311" s="47"/>
      <c r="Q311" s="46"/>
      <c r="R311" s="46"/>
      <c r="S311" s="6" t="str">
        <f>IF($B311="","",IF(ISNA(MATCH($B311,账户名,0)),"※这个账户不在【参数设置】的账户档案里",IF($A311="","※没填日期，这一笔不会进任何月份的报表",IF(AND($G311&lt;&gt;"",$H311&lt;&gt;""),"※收入和支出不能同时填",IF(AND(N($G311)=0,N($H311)=0),"※收入和支出都没填",IF($E311="","※没填收支类别，分类报表会漏掉这一笔",IF(ISNA(MATCH($E311,类别表,0)),"※收支类别不在【参数设置】的清单里",IF($J311="","△"&amp;$D311&amp;" 还没填汇率，去【月度汇率】补上就自动算了",IF(YEAR($A311)&lt;&gt;管理年度,"△不是管理年度的单据，年报里看不到",IF(AND($F311="内部转账",$Q311=""),"△内部转账建议在「往来单位」写上对方账户",IF($M311&lt;0,"△这一笔之后该账户余额成负数了，核一下","")))))))))))</f>
        <v/>
      </c>
    </row>
    <row r="312" ht="16.5" spans="1:19">
      <c r="A312" s="45"/>
      <c r="B312" s="46"/>
      <c r="C312" s="12" t="str">
        <f>IF($B312="","",IFERROR(INDEX(账户银行,MATCH($B312,账户名,0)),""))</f>
        <v/>
      </c>
      <c r="D312" s="12" t="str">
        <f>IF($B312="","",IFERROR(INDEX(账户币种,MATCH($B312,账户名,0)),""))</f>
        <v/>
      </c>
      <c r="E312" s="47"/>
      <c r="F312" s="12" t="str">
        <f>IF($E312="","",IFERROR(INDEX(类别属性,MATCH($E312,类别表,0)),""))</f>
        <v/>
      </c>
      <c r="G312" s="48"/>
      <c r="H312" s="48"/>
      <c r="I312" s="49"/>
      <c r="J312" s="24" t="str">
        <f>IF(OR($A312="",$B312=""),"",IF($I312&lt;&gt;"",$I312,IF($D312=本位币,1,IFERROR(LOOKUP(2,1/((汇率月份&lt;=$A312)*(INDEX(记账汇率区,0,MATCH($D312,汇率币种头,0))&lt;&gt;"")),INDEX(记账汇率区,0,MATCH($D312,汇率币种头,0))),""))))</f>
        <v/>
      </c>
      <c r="K312" s="23" t="str">
        <f t="shared" si="8"/>
        <v/>
      </c>
      <c r="L312" s="23" t="str">
        <f t="shared" si="9"/>
        <v/>
      </c>
      <c r="M312" s="23" t="str">
        <f>IF($B312="","",ROUND(SUMIF(账户名,$B312,账户期初)+SUMIFS($K$6:K312,$B$6:B312,$B312),2))</f>
        <v/>
      </c>
      <c r="N312" s="23" t="str">
        <f>IF($B312="","",IFERROR(ROUND(INDEX(账户期初本位,MATCH($B312,账户名,0))+SUMIFS($L$6:L312,$B$6:B312,$B312),2),""))</f>
        <v/>
      </c>
      <c r="O312" s="46"/>
      <c r="P312" s="47"/>
      <c r="Q312" s="46"/>
      <c r="R312" s="46"/>
      <c r="S312" s="6" t="str">
        <f>IF($B312="","",IF(ISNA(MATCH($B312,账户名,0)),"※这个账户不在【参数设置】的账户档案里",IF($A312="","※没填日期，这一笔不会进任何月份的报表",IF(AND($G312&lt;&gt;"",$H312&lt;&gt;""),"※收入和支出不能同时填",IF(AND(N($G312)=0,N($H312)=0),"※收入和支出都没填",IF($E312="","※没填收支类别，分类报表会漏掉这一笔",IF(ISNA(MATCH($E312,类别表,0)),"※收支类别不在【参数设置】的清单里",IF($J312="","△"&amp;$D312&amp;" 还没填汇率，去【月度汇率】补上就自动算了",IF(YEAR($A312)&lt;&gt;管理年度,"△不是管理年度的单据，年报里看不到",IF(AND($F312="内部转账",$Q312=""),"△内部转账建议在「往来单位」写上对方账户",IF($M312&lt;0,"△这一笔之后该账户余额成负数了，核一下","")))))))))))</f>
        <v/>
      </c>
    </row>
    <row r="313" ht="16.5" spans="1:19">
      <c r="A313" s="45"/>
      <c r="B313" s="46"/>
      <c r="C313" s="12" t="str">
        <f>IF($B313="","",IFERROR(INDEX(账户银行,MATCH($B313,账户名,0)),""))</f>
        <v/>
      </c>
      <c r="D313" s="12" t="str">
        <f>IF($B313="","",IFERROR(INDEX(账户币种,MATCH($B313,账户名,0)),""))</f>
        <v/>
      </c>
      <c r="E313" s="47"/>
      <c r="F313" s="12" t="str">
        <f>IF($E313="","",IFERROR(INDEX(类别属性,MATCH($E313,类别表,0)),""))</f>
        <v/>
      </c>
      <c r="G313" s="48"/>
      <c r="H313" s="48"/>
      <c r="I313" s="49"/>
      <c r="J313" s="24" t="str">
        <f>IF(OR($A313="",$B313=""),"",IF($I313&lt;&gt;"",$I313,IF($D313=本位币,1,IFERROR(LOOKUP(2,1/((汇率月份&lt;=$A313)*(INDEX(记账汇率区,0,MATCH($D313,汇率币种头,0))&lt;&gt;"")),INDEX(记账汇率区,0,MATCH($D313,汇率币种头,0))),""))))</f>
        <v/>
      </c>
      <c r="K313" s="23" t="str">
        <f t="shared" si="8"/>
        <v/>
      </c>
      <c r="L313" s="23" t="str">
        <f t="shared" si="9"/>
        <v/>
      </c>
      <c r="M313" s="23" t="str">
        <f>IF($B313="","",ROUND(SUMIF(账户名,$B313,账户期初)+SUMIFS($K$6:K313,$B$6:B313,$B313),2))</f>
        <v/>
      </c>
      <c r="N313" s="23" t="str">
        <f>IF($B313="","",IFERROR(ROUND(INDEX(账户期初本位,MATCH($B313,账户名,0))+SUMIFS($L$6:L313,$B$6:B313,$B313),2),""))</f>
        <v/>
      </c>
      <c r="O313" s="46"/>
      <c r="P313" s="47"/>
      <c r="Q313" s="46"/>
      <c r="R313" s="46"/>
      <c r="S313" s="6" t="str">
        <f>IF($B313="","",IF(ISNA(MATCH($B313,账户名,0)),"※这个账户不在【参数设置】的账户档案里",IF($A313="","※没填日期，这一笔不会进任何月份的报表",IF(AND($G313&lt;&gt;"",$H313&lt;&gt;""),"※收入和支出不能同时填",IF(AND(N($G313)=0,N($H313)=0),"※收入和支出都没填",IF($E313="","※没填收支类别，分类报表会漏掉这一笔",IF(ISNA(MATCH($E313,类别表,0)),"※收支类别不在【参数设置】的清单里",IF($J313="","△"&amp;$D313&amp;" 还没填汇率，去【月度汇率】补上就自动算了",IF(YEAR($A313)&lt;&gt;管理年度,"△不是管理年度的单据，年报里看不到",IF(AND($F313="内部转账",$Q313=""),"△内部转账建议在「往来单位」写上对方账户",IF($M313&lt;0,"△这一笔之后该账户余额成负数了，核一下","")))))))))))</f>
        <v/>
      </c>
    </row>
    <row r="314" ht="16.5" spans="1:19">
      <c r="A314" s="45"/>
      <c r="B314" s="46"/>
      <c r="C314" s="12" t="str">
        <f>IF($B314="","",IFERROR(INDEX(账户银行,MATCH($B314,账户名,0)),""))</f>
        <v/>
      </c>
      <c r="D314" s="12" t="str">
        <f>IF($B314="","",IFERROR(INDEX(账户币种,MATCH($B314,账户名,0)),""))</f>
        <v/>
      </c>
      <c r="E314" s="47"/>
      <c r="F314" s="12" t="str">
        <f>IF($E314="","",IFERROR(INDEX(类别属性,MATCH($E314,类别表,0)),""))</f>
        <v/>
      </c>
      <c r="G314" s="48"/>
      <c r="H314" s="48"/>
      <c r="I314" s="49"/>
      <c r="J314" s="24" t="str">
        <f>IF(OR($A314="",$B314=""),"",IF($I314&lt;&gt;"",$I314,IF($D314=本位币,1,IFERROR(LOOKUP(2,1/((汇率月份&lt;=$A314)*(INDEX(记账汇率区,0,MATCH($D314,汇率币种头,0))&lt;&gt;"")),INDEX(记账汇率区,0,MATCH($D314,汇率币种头,0))),""))))</f>
        <v/>
      </c>
      <c r="K314" s="23" t="str">
        <f t="shared" si="8"/>
        <v/>
      </c>
      <c r="L314" s="23" t="str">
        <f t="shared" si="9"/>
        <v/>
      </c>
      <c r="M314" s="23" t="str">
        <f>IF($B314="","",ROUND(SUMIF(账户名,$B314,账户期初)+SUMIFS($K$6:K314,$B$6:B314,$B314),2))</f>
        <v/>
      </c>
      <c r="N314" s="23" t="str">
        <f>IF($B314="","",IFERROR(ROUND(INDEX(账户期初本位,MATCH($B314,账户名,0))+SUMIFS($L$6:L314,$B$6:B314,$B314),2),""))</f>
        <v/>
      </c>
      <c r="O314" s="46"/>
      <c r="P314" s="47"/>
      <c r="Q314" s="46"/>
      <c r="R314" s="46"/>
      <c r="S314" s="6" t="str">
        <f>IF($B314="","",IF(ISNA(MATCH($B314,账户名,0)),"※这个账户不在【参数设置】的账户档案里",IF($A314="","※没填日期，这一笔不会进任何月份的报表",IF(AND($G314&lt;&gt;"",$H314&lt;&gt;""),"※收入和支出不能同时填",IF(AND(N($G314)=0,N($H314)=0),"※收入和支出都没填",IF($E314="","※没填收支类别，分类报表会漏掉这一笔",IF(ISNA(MATCH($E314,类别表,0)),"※收支类别不在【参数设置】的清单里",IF($J314="","△"&amp;$D314&amp;" 还没填汇率，去【月度汇率】补上就自动算了",IF(YEAR($A314)&lt;&gt;管理年度,"△不是管理年度的单据，年报里看不到",IF(AND($F314="内部转账",$Q314=""),"△内部转账建议在「往来单位」写上对方账户",IF($M314&lt;0,"△这一笔之后该账户余额成负数了，核一下","")))))))))))</f>
        <v/>
      </c>
    </row>
    <row r="315" ht="16.5" spans="1:19">
      <c r="A315" s="45"/>
      <c r="B315" s="46"/>
      <c r="C315" s="12" t="str">
        <f>IF($B315="","",IFERROR(INDEX(账户银行,MATCH($B315,账户名,0)),""))</f>
        <v/>
      </c>
      <c r="D315" s="12" t="str">
        <f>IF($B315="","",IFERROR(INDEX(账户币种,MATCH($B315,账户名,0)),""))</f>
        <v/>
      </c>
      <c r="E315" s="47"/>
      <c r="F315" s="12" t="str">
        <f>IF($E315="","",IFERROR(INDEX(类别属性,MATCH($E315,类别表,0)),""))</f>
        <v/>
      </c>
      <c r="G315" s="48"/>
      <c r="H315" s="48"/>
      <c r="I315" s="49"/>
      <c r="J315" s="24" t="str">
        <f>IF(OR($A315="",$B315=""),"",IF($I315&lt;&gt;"",$I315,IF($D315=本位币,1,IFERROR(LOOKUP(2,1/((汇率月份&lt;=$A315)*(INDEX(记账汇率区,0,MATCH($D315,汇率币种头,0))&lt;&gt;"")),INDEX(记账汇率区,0,MATCH($D315,汇率币种头,0))),""))))</f>
        <v/>
      </c>
      <c r="K315" s="23" t="str">
        <f t="shared" si="8"/>
        <v/>
      </c>
      <c r="L315" s="23" t="str">
        <f t="shared" si="9"/>
        <v/>
      </c>
      <c r="M315" s="23" t="str">
        <f>IF($B315="","",ROUND(SUMIF(账户名,$B315,账户期初)+SUMIFS($K$6:K315,$B$6:B315,$B315),2))</f>
        <v/>
      </c>
      <c r="N315" s="23" t="str">
        <f>IF($B315="","",IFERROR(ROUND(INDEX(账户期初本位,MATCH($B315,账户名,0))+SUMIFS($L$6:L315,$B$6:B315,$B315),2),""))</f>
        <v/>
      </c>
      <c r="O315" s="46"/>
      <c r="P315" s="47"/>
      <c r="Q315" s="46"/>
      <c r="R315" s="46"/>
      <c r="S315" s="6" t="str">
        <f>IF($B315="","",IF(ISNA(MATCH($B315,账户名,0)),"※这个账户不在【参数设置】的账户档案里",IF($A315="","※没填日期，这一笔不会进任何月份的报表",IF(AND($G315&lt;&gt;"",$H315&lt;&gt;""),"※收入和支出不能同时填",IF(AND(N($G315)=0,N($H315)=0),"※收入和支出都没填",IF($E315="","※没填收支类别，分类报表会漏掉这一笔",IF(ISNA(MATCH($E315,类别表,0)),"※收支类别不在【参数设置】的清单里",IF($J315="","△"&amp;$D315&amp;" 还没填汇率，去【月度汇率】补上就自动算了",IF(YEAR($A315)&lt;&gt;管理年度,"△不是管理年度的单据，年报里看不到",IF(AND($F315="内部转账",$Q315=""),"△内部转账建议在「往来单位」写上对方账户",IF($M315&lt;0,"△这一笔之后该账户余额成负数了，核一下","")))))))))))</f>
        <v/>
      </c>
    </row>
    <row r="316" ht="16.5" spans="1:19">
      <c r="A316" s="45"/>
      <c r="B316" s="46"/>
      <c r="C316" s="12" t="str">
        <f>IF($B316="","",IFERROR(INDEX(账户银行,MATCH($B316,账户名,0)),""))</f>
        <v/>
      </c>
      <c r="D316" s="12" t="str">
        <f>IF($B316="","",IFERROR(INDEX(账户币种,MATCH($B316,账户名,0)),""))</f>
        <v/>
      </c>
      <c r="E316" s="47"/>
      <c r="F316" s="12" t="str">
        <f>IF($E316="","",IFERROR(INDEX(类别属性,MATCH($E316,类别表,0)),""))</f>
        <v/>
      </c>
      <c r="G316" s="48"/>
      <c r="H316" s="48"/>
      <c r="I316" s="49"/>
      <c r="J316" s="24" t="str">
        <f>IF(OR($A316="",$B316=""),"",IF($I316&lt;&gt;"",$I316,IF($D316=本位币,1,IFERROR(LOOKUP(2,1/((汇率月份&lt;=$A316)*(INDEX(记账汇率区,0,MATCH($D316,汇率币种头,0))&lt;&gt;"")),INDEX(记账汇率区,0,MATCH($D316,汇率币种头,0))),""))))</f>
        <v/>
      </c>
      <c r="K316" s="23" t="str">
        <f t="shared" si="8"/>
        <v/>
      </c>
      <c r="L316" s="23" t="str">
        <f t="shared" si="9"/>
        <v/>
      </c>
      <c r="M316" s="23" t="str">
        <f>IF($B316="","",ROUND(SUMIF(账户名,$B316,账户期初)+SUMIFS($K$6:K316,$B$6:B316,$B316),2))</f>
        <v/>
      </c>
      <c r="N316" s="23" t="str">
        <f>IF($B316="","",IFERROR(ROUND(INDEX(账户期初本位,MATCH($B316,账户名,0))+SUMIFS($L$6:L316,$B$6:B316,$B316),2),""))</f>
        <v/>
      </c>
      <c r="O316" s="46"/>
      <c r="P316" s="47"/>
      <c r="Q316" s="46"/>
      <c r="R316" s="46"/>
      <c r="S316" s="6" t="str">
        <f>IF($B316="","",IF(ISNA(MATCH($B316,账户名,0)),"※这个账户不在【参数设置】的账户档案里",IF($A316="","※没填日期，这一笔不会进任何月份的报表",IF(AND($G316&lt;&gt;"",$H316&lt;&gt;""),"※收入和支出不能同时填",IF(AND(N($G316)=0,N($H316)=0),"※收入和支出都没填",IF($E316="","※没填收支类别，分类报表会漏掉这一笔",IF(ISNA(MATCH($E316,类别表,0)),"※收支类别不在【参数设置】的清单里",IF($J316="","△"&amp;$D316&amp;" 还没填汇率，去【月度汇率】补上就自动算了",IF(YEAR($A316)&lt;&gt;管理年度,"△不是管理年度的单据，年报里看不到",IF(AND($F316="内部转账",$Q316=""),"△内部转账建议在「往来单位」写上对方账户",IF($M316&lt;0,"△这一笔之后该账户余额成负数了，核一下","")))))))))))</f>
        <v/>
      </c>
    </row>
    <row r="317" ht="16.5" spans="1:19">
      <c r="A317" s="45"/>
      <c r="B317" s="46"/>
      <c r="C317" s="12" t="str">
        <f>IF($B317="","",IFERROR(INDEX(账户银行,MATCH($B317,账户名,0)),""))</f>
        <v/>
      </c>
      <c r="D317" s="12" t="str">
        <f>IF($B317="","",IFERROR(INDEX(账户币种,MATCH($B317,账户名,0)),""))</f>
        <v/>
      </c>
      <c r="E317" s="47"/>
      <c r="F317" s="12" t="str">
        <f>IF($E317="","",IFERROR(INDEX(类别属性,MATCH($E317,类别表,0)),""))</f>
        <v/>
      </c>
      <c r="G317" s="48"/>
      <c r="H317" s="48"/>
      <c r="I317" s="49"/>
      <c r="J317" s="24" t="str">
        <f>IF(OR($A317="",$B317=""),"",IF($I317&lt;&gt;"",$I317,IF($D317=本位币,1,IFERROR(LOOKUP(2,1/((汇率月份&lt;=$A317)*(INDEX(记账汇率区,0,MATCH($D317,汇率币种头,0))&lt;&gt;"")),INDEX(记账汇率区,0,MATCH($D317,汇率币种头,0))),""))))</f>
        <v/>
      </c>
      <c r="K317" s="23" t="str">
        <f t="shared" si="8"/>
        <v/>
      </c>
      <c r="L317" s="23" t="str">
        <f t="shared" si="9"/>
        <v/>
      </c>
      <c r="M317" s="23" t="str">
        <f>IF($B317="","",ROUND(SUMIF(账户名,$B317,账户期初)+SUMIFS($K$6:K317,$B$6:B317,$B317),2))</f>
        <v/>
      </c>
      <c r="N317" s="23" t="str">
        <f>IF($B317="","",IFERROR(ROUND(INDEX(账户期初本位,MATCH($B317,账户名,0))+SUMIFS($L$6:L317,$B$6:B317,$B317),2),""))</f>
        <v/>
      </c>
      <c r="O317" s="46"/>
      <c r="P317" s="47"/>
      <c r="Q317" s="46"/>
      <c r="R317" s="46"/>
      <c r="S317" s="6" t="str">
        <f>IF($B317="","",IF(ISNA(MATCH($B317,账户名,0)),"※这个账户不在【参数设置】的账户档案里",IF($A317="","※没填日期，这一笔不会进任何月份的报表",IF(AND($G317&lt;&gt;"",$H317&lt;&gt;""),"※收入和支出不能同时填",IF(AND(N($G317)=0,N($H317)=0),"※收入和支出都没填",IF($E317="","※没填收支类别，分类报表会漏掉这一笔",IF(ISNA(MATCH($E317,类别表,0)),"※收支类别不在【参数设置】的清单里",IF($J317="","△"&amp;$D317&amp;" 还没填汇率，去【月度汇率】补上就自动算了",IF(YEAR($A317)&lt;&gt;管理年度,"△不是管理年度的单据，年报里看不到",IF(AND($F317="内部转账",$Q317=""),"△内部转账建议在「往来单位」写上对方账户",IF($M317&lt;0,"△这一笔之后该账户余额成负数了，核一下","")))))))))))</f>
        <v/>
      </c>
    </row>
    <row r="318" ht="16.5" spans="1:19">
      <c r="A318" s="45"/>
      <c r="B318" s="46"/>
      <c r="C318" s="12" t="str">
        <f>IF($B318="","",IFERROR(INDEX(账户银行,MATCH($B318,账户名,0)),""))</f>
        <v/>
      </c>
      <c r="D318" s="12" t="str">
        <f>IF($B318="","",IFERROR(INDEX(账户币种,MATCH($B318,账户名,0)),""))</f>
        <v/>
      </c>
      <c r="E318" s="47"/>
      <c r="F318" s="12" t="str">
        <f>IF($E318="","",IFERROR(INDEX(类别属性,MATCH($E318,类别表,0)),""))</f>
        <v/>
      </c>
      <c r="G318" s="48"/>
      <c r="H318" s="48"/>
      <c r="I318" s="49"/>
      <c r="J318" s="24" t="str">
        <f>IF(OR($A318="",$B318=""),"",IF($I318&lt;&gt;"",$I318,IF($D318=本位币,1,IFERROR(LOOKUP(2,1/((汇率月份&lt;=$A318)*(INDEX(记账汇率区,0,MATCH($D318,汇率币种头,0))&lt;&gt;"")),INDEX(记账汇率区,0,MATCH($D318,汇率币种头,0))),""))))</f>
        <v/>
      </c>
      <c r="K318" s="23" t="str">
        <f t="shared" si="8"/>
        <v/>
      </c>
      <c r="L318" s="23" t="str">
        <f t="shared" si="9"/>
        <v/>
      </c>
      <c r="M318" s="23" t="str">
        <f>IF($B318="","",ROUND(SUMIF(账户名,$B318,账户期初)+SUMIFS($K$6:K318,$B$6:B318,$B318),2))</f>
        <v/>
      </c>
      <c r="N318" s="23" t="str">
        <f>IF($B318="","",IFERROR(ROUND(INDEX(账户期初本位,MATCH($B318,账户名,0))+SUMIFS($L$6:L318,$B$6:B318,$B318),2),""))</f>
        <v/>
      </c>
      <c r="O318" s="46"/>
      <c r="P318" s="47"/>
      <c r="Q318" s="46"/>
      <c r="R318" s="46"/>
      <c r="S318" s="6" t="str">
        <f>IF($B318="","",IF(ISNA(MATCH($B318,账户名,0)),"※这个账户不在【参数设置】的账户档案里",IF($A318="","※没填日期，这一笔不会进任何月份的报表",IF(AND($G318&lt;&gt;"",$H318&lt;&gt;""),"※收入和支出不能同时填",IF(AND(N($G318)=0,N($H318)=0),"※收入和支出都没填",IF($E318="","※没填收支类别，分类报表会漏掉这一笔",IF(ISNA(MATCH($E318,类别表,0)),"※收支类别不在【参数设置】的清单里",IF($J318="","△"&amp;$D318&amp;" 还没填汇率，去【月度汇率】补上就自动算了",IF(YEAR($A318)&lt;&gt;管理年度,"△不是管理年度的单据，年报里看不到",IF(AND($F318="内部转账",$Q318=""),"△内部转账建议在「往来单位」写上对方账户",IF($M318&lt;0,"△这一笔之后该账户余额成负数了，核一下","")))))))))))</f>
        <v/>
      </c>
    </row>
    <row r="319" ht="16.5" spans="1:19">
      <c r="A319" s="45"/>
      <c r="B319" s="46"/>
      <c r="C319" s="12" t="str">
        <f>IF($B319="","",IFERROR(INDEX(账户银行,MATCH($B319,账户名,0)),""))</f>
        <v/>
      </c>
      <c r="D319" s="12" t="str">
        <f>IF($B319="","",IFERROR(INDEX(账户币种,MATCH($B319,账户名,0)),""))</f>
        <v/>
      </c>
      <c r="E319" s="47"/>
      <c r="F319" s="12" t="str">
        <f>IF($E319="","",IFERROR(INDEX(类别属性,MATCH($E319,类别表,0)),""))</f>
        <v/>
      </c>
      <c r="G319" s="48"/>
      <c r="H319" s="48"/>
      <c r="I319" s="49"/>
      <c r="J319" s="24" t="str">
        <f>IF(OR($A319="",$B319=""),"",IF($I319&lt;&gt;"",$I319,IF($D319=本位币,1,IFERROR(LOOKUP(2,1/((汇率月份&lt;=$A319)*(INDEX(记账汇率区,0,MATCH($D319,汇率币种头,0))&lt;&gt;"")),INDEX(记账汇率区,0,MATCH($D319,汇率币种头,0))),""))))</f>
        <v/>
      </c>
      <c r="K319" s="23" t="str">
        <f t="shared" si="8"/>
        <v/>
      </c>
      <c r="L319" s="23" t="str">
        <f t="shared" si="9"/>
        <v/>
      </c>
      <c r="M319" s="23" t="str">
        <f>IF($B319="","",ROUND(SUMIF(账户名,$B319,账户期初)+SUMIFS($K$6:K319,$B$6:B319,$B319),2))</f>
        <v/>
      </c>
      <c r="N319" s="23" t="str">
        <f>IF($B319="","",IFERROR(ROUND(INDEX(账户期初本位,MATCH($B319,账户名,0))+SUMIFS($L$6:L319,$B$6:B319,$B319),2),""))</f>
        <v/>
      </c>
      <c r="O319" s="46"/>
      <c r="P319" s="47"/>
      <c r="Q319" s="46"/>
      <c r="R319" s="46"/>
      <c r="S319" s="6" t="str">
        <f>IF($B319="","",IF(ISNA(MATCH($B319,账户名,0)),"※这个账户不在【参数设置】的账户档案里",IF($A319="","※没填日期，这一笔不会进任何月份的报表",IF(AND($G319&lt;&gt;"",$H319&lt;&gt;""),"※收入和支出不能同时填",IF(AND(N($G319)=0,N($H319)=0),"※收入和支出都没填",IF($E319="","※没填收支类别，分类报表会漏掉这一笔",IF(ISNA(MATCH($E319,类别表,0)),"※收支类别不在【参数设置】的清单里",IF($J319="","△"&amp;$D319&amp;" 还没填汇率，去【月度汇率】补上就自动算了",IF(YEAR($A319)&lt;&gt;管理年度,"△不是管理年度的单据，年报里看不到",IF(AND($F319="内部转账",$Q319=""),"△内部转账建议在「往来单位」写上对方账户",IF($M319&lt;0,"△这一笔之后该账户余额成负数了，核一下","")))))))))))</f>
        <v/>
      </c>
    </row>
    <row r="320" ht="16.5" spans="1:19">
      <c r="A320" s="45"/>
      <c r="B320" s="46"/>
      <c r="C320" s="12" t="str">
        <f>IF($B320="","",IFERROR(INDEX(账户银行,MATCH($B320,账户名,0)),""))</f>
        <v/>
      </c>
      <c r="D320" s="12" t="str">
        <f>IF($B320="","",IFERROR(INDEX(账户币种,MATCH($B320,账户名,0)),""))</f>
        <v/>
      </c>
      <c r="E320" s="47"/>
      <c r="F320" s="12" t="str">
        <f>IF($E320="","",IFERROR(INDEX(类别属性,MATCH($E320,类别表,0)),""))</f>
        <v/>
      </c>
      <c r="G320" s="48"/>
      <c r="H320" s="48"/>
      <c r="I320" s="49"/>
      <c r="J320" s="24" t="str">
        <f>IF(OR($A320="",$B320=""),"",IF($I320&lt;&gt;"",$I320,IF($D320=本位币,1,IFERROR(LOOKUP(2,1/((汇率月份&lt;=$A320)*(INDEX(记账汇率区,0,MATCH($D320,汇率币种头,0))&lt;&gt;"")),INDEX(记账汇率区,0,MATCH($D320,汇率币种头,0))),""))))</f>
        <v/>
      </c>
      <c r="K320" s="23" t="str">
        <f t="shared" si="8"/>
        <v/>
      </c>
      <c r="L320" s="23" t="str">
        <f t="shared" si="9"/>
        <v/>
      </c>
      <c r="M320" s="23" t="str">
        <f>IF($B320="","",ROUND(SUMIF(账户名,$B320,账户期初)+SUMIFS($K$6:K320,$B$6:B320,$B320),2))</f>
        <v/>
      </c>
      <c r="N320" s="23" t="str">
        <f>IF($B320="","",IFERROR(ROUND(INDEX(账户期初本位,MATCH($B320,账户名,0))+SUMIFS($L$6:L320,$B$6:B320,$B320),2),""))</f>
        <v/>
      </c>
      <c r="O320" s="46"/>
      <c r="P320" s="47"/>
      <c r="Q320" s="46"/>
      <c r="R320" s="46"/>
      <c r="S320" s="6" t="str">
        <f>IF($B320="","",IF(ISNA(MATCH($B320,账户名,0)),"※这个账户不在【参数设置】的账户档案里",IF($A320="","※没填日期，这一笔不会进任何月份的报表",IF(AND($G320&lt;&gt;"",$H320&lt;&gt;""),"※收入和支出不能同时填",IF(AND(N($G320)=0,N($H320)=0),"※收入和支出都没填",IF($E320="","※没填收支类别，分类报表会漏掉这一笔",IF(ISNA(MATCH($E320,类别表,0)),"※收支类别不在【参数设置】的清单里",IF($J320="","△"&amp;$D320&amp;" 还没填汇率，去【月度汇率】补上就自动算了",IF(YEAR($A320)&lt;&gt;管理年度,"△不是管理年度的单据，年报里看不到",IF(AND($F320="内部转账",$Q320=""),"△内部转账建议在「往来单位」写上对方账户",IF($M320&lt;0,"△这一笔之后该账户余额成负数了，核一下","")))))))))))</f>
        <v/>
      </c>
    </row>
    <row r="321" ht="16.5" spans="1:19">
      <c r="A321" s="45"/>
      <c r="B321" s="46"/>
      <c r="C321" s="12" t="str">
        <f>IF($B321="","",IFERROR(INDEX(账户银行,MATCH($B321,账户名,0)),""))</f>
        <v/>
      </c>
      <c r="D321" s="12" t="str">
        <f>IF($B321="","",IFERROR(INDEX(账户币种,MATCH($B321,账户名,0)),""))</f>
        <v/>
      </c>
      <c r="E321" s="47"/>
      <c r="F321" s="12" t="str">
        <f>IF($E321="","",IFERROR(INDEX(类别属性,MATCH($E321,类别表,0)),""))</f>
        <v/>
      </c>
      <c r="G321" s="48"/>
      <c r="H321" s="48"/>
      <c r="I321" s="49"/>
      <c r="J321" s="24" t="str">
        <f>IF(OR($A321="",$B321=""),"",IF($I321&lt;&gt;"",$I321,IF($D321=本位币,1,IFERROR(LOOKUP(2,1/((汇率月份&lt;=$A321)*(INDEX(记账汇率区,0,MATCH($D321,汇率币种头,0))&lt;&gt;"")),INDEX(记账汇率区,0,MATCH($D321,汇率币种头,0))),""))))</f>
        <v/>
      </c>
      <c r="K321" s="23" t="str">
        <f t="shared" si="8"/>
        <v/>
      </c>
      <c r="L321" s="23" t="str">
        <f t="shared" si="9"/>
        <v/>
      </c>
      <c r="M321" s="23" t="str">
        <f>IF($B321="","",ROUND(SUMIF(账户名,$B321,账户期初)+SUMIFS($K$6:K321,$B$6:B321,$B321),2))</f>
        <v/>
      </c>
      <c r="N321" s="23" t="str">
        <f>IF($B321="","",IFERROR(ROUND(INDEX(账户期初本位,MATCH($B321,账户名,0))+SUMIFS($L$6:L321,$B$6:B321,$B321),2),""))</f>
        <v/>
      </c>
      <c r="O321" s="46"/>
      <c r="P321" s="47"/>
      <c r="Q321" s="46"/>
      <c r="R321" s="46"/>
      <c r="S321" s="6" t="str">
        <f>IF($B321="","",IF(ISNA(MATCH($B321,账户名,0)),"※这个账户不在【参数设置】的账户档案里",IF($A321="","※没填日期，这一笔不会进任何月份的报表",IF(AND($G321&lt;&gt;"",$H321&lt;&gt;""),"※收入和支出不能同时填",IF(AND(N($G321)=0,N($H321)=0),"※收入和支出都没填",IF($E321="","※没填收支类别，分类报表会漏掉这一笔",IF(ISNA(MATCH($E321,类别表,0)),"※收支类别不在【参数设置】的清单里",IF($J321="","△"&amp;$D321&amp;" 还没填汇率，去【月度汇率】补上就自动算了",IF(YEAR($A321)&lt;&gt;管理年度,"△不是管理年度的单据，年报里看不到",IF(AND($F321="内部转账",$Q321=""),"△内部转账建议在「往来单位」写上对方账户",IF($M321&lt;0,"△这一笔之后该账户余额成负数了，核一下","")))))))))))</f>
        <v/>
      </c>
    </row>
    <row r="322" ht="16.5" spans="1:19">
      <c r="A322" s="45"/>
      <c r="B322" s="46"/>
      <c r="C322" s="12" t="str">
        <f>IF($B322="","",IFERROR(INDEX(账户银行,MATCH($B322,账户名,0)),""))</f>
        <v/>
      </c>
      <c r="D322" s="12" t="str">
        <f>IF($B322="","",IFERROR(INDEX(账户币种,MATCH($B322,账户名,0)),""))</f>
        <v/>
      </c>
      <c r="E322" s="47"/>
      <c r="F322" s="12" t="str">
        <f>IF($E322="","",IFERROR(INDEX(类别属性,MATCH($E322,类别表,0)),""))</f>
        <v/>
      </c>
      <c r="G322" s="48"/>
      <c r="H322" s="48"/>
      <c r="I322" s="49"/>
      <c r="J322" s="24" t="str">
        <f>IF(OR($A322="",$B322=""),"",IF($I322&lt;&gt;"",$I322,IF($D322=本位币,1,IFERROR(LOOKUP(2,1/((汇率月份&lt;=$A322)*(INDEX(记账汇率区,0,MATCH($D322,汇率币种头,0))&lt;&gt;"")),INDEX(记账汇率区,0,MATCH($D322,汇率币种头,0))),""))))</f>
        <v/>
      </c>
      <c r="K322" s="23" t="str">
        <f t="shared" si="8"/>
        <v/>
      </c>
      <c r="L322" s="23" t="str">
        <f t="shared" si="9"/>
        <v/>
      </c>
      <c r="M322" s="23" t="str">
        <f>IF($B322="","",ROUND(SUMIF(账户名,$B322,账户期初)+SUMIFS($K$6:K322,$B$6:B322,$B322),2))</f>
        <v/>
      </c>
      <c r="N322" s="23" t="str">
        <f>IF($B322="","",IFERROR(ROUND(INDEX(账户期初本位,MATCH($B322,账户名,0))+SUMIFS($L$6:L322,$B$6:B322,$B322),2),""))</f>
        <v/>
      </c>
      <c r="O322" s="46"/>
      <c r="P322" s="47"/>
      <c r="Q322" s="46"/>
      <c r="R322" s="46"/>
      <c r="S322" s="6" t="str">
        <f>IF($B322="","",IF(ISNA(MATCH($B322,账户名,0)),"※这个账户不在【参数设置】的账户档案里",IF($A322="","※没填日期，这一笔不会进任何月份的报表",IF(AND($G322&lt;&gt;"",$H322&lt;&gt;""),"※收入和支出不能同时填",IF(AND(N($G322)=0,N($H322)=0),"※收入和支出都没填",IF($E322="","※没填收支类别，分类报表会漏掉这一笔",IF(ISNA(MATCH($E322,类别表,0)),"※收支类别不在【参数设置】的清单里",IF($J322="","△"&amp;$D322&amp;" 还没填汇率，去【月度汇率】补上就自动算了",IF(YEAR($A322)&lt;&gt;管理年度,"△不是管理年度的单据，年报里看不到",IF(AND($F322="内部转账",$Q322=""),"△内部转账建议在「往来单位」写上对方账户",IF($M322&lt;0,"△这一笔之后该账户余额成负数了，核一下","")))))))))))</f>
        <v/>
      </c>
    </row>
    <row r="323" ht="16.5" spans="1:19">
      <c r="A323" s="45"/>
      <c r="B323" s="46"/>
      <c r="C323" s="12" t="str">
        <f>IF($B323="","",IFERROR(INDEX(账户银行,MATCH($B323,账户名,0)),""))</f>
        <v/>
      </c>
      <c r="D323" s="12" t="str">
        <f>IF($B323="","",IFERROR(INDEX(账户币种,MATCH($B323,账户名,0)),""))</f>
        <v/>
      </c>
      <c r="E323" s="47"/>
      <c r="F323" s="12" t="str">
        <f>IF($E323="","",IFERROR(INDEX(类别属性,MATCH($E323,类别表,0)),""))</f>
        <v/>
      </c>
      <c r="G323" s="48"/>
      <c r="H323" s="48"/>
      <c r="I323" s="49"/>
      <c r="J323" s="24" t="str">
        <f>IF(OR($A323="",$B323=""),"",IF($I323&lt;&gt;"",$I323,IF($D323=本位币,1,IFERROR(LOOKUP(2,1/((汇率月份&lt;=$A323)*(INDEX(记账汇率区,0,MATCH($D323,汇率币种头,0))&lt;&gt;"")),INDEX(记账汇率区,0,MATCH($D323,汇率币种头,0))),""))))</f>
        <v/>
      </c>
      <c r="K323" s="23" t="str">
        <f t="shared" si="8"/>
        <v/>
      </c>
      <c r="L323" s="23" t="str">
        <f t="shared" si="9"/>
        <v/>
      </c>
      <c r="M323" s="23" t="str">
        <f>IF($B323="","",ROUND(SUMIF(账户名,$B323,账户期初)+SUMIFS($K$6:K323,$B$6:B323,$B323),2))</f>
        <v/>
      </c>
      <c r="N323" s="23" t="str">
        <f>IF($B323="","",IFERROR(ROUND(INDEX(账户期初本位,MATCH($B323,账户名,0))+SUMIFS($L$6:L323,$B$6:B323,$B323),2),""))</f>
        <v/>
      </c>
      <c r="O323" s="46"/>
      <c r="P323" s="47"/>
      <c r="Q323" s="46"/>
      <c r="R323" s="46"/>
      <c r="S323" s="6" t="str">
        <f>IF($B323="","",IF(ISNA(MATCH($B323,账户名,0)),"※这个账户不在【参数设置】的账户档案里",IF($A323="","※没填日期，这一笔不会进任何月份的报表",IF(AND($G323&lt;&gt;"",$H323&lt;&gt;""),"※收入和支出不能同时填",IF(AND(N($G323)=0,N($H323)=0),"※收入和支出都没填",IF($E323="","※没填收支类别，分类报表会漏掉这一笔",IF(ISNA(MATCH($E323,类别表,0)),"※收支类别不在【参数设置】的清单里",IF($J323="","△"&amp;$D323&amp;" 还没填汇率，去【月度汇率】补上就自动算了",IF(YEAR($A323)&lt;&gt;管理年度,"△不是管理年度的单据，年报里看不到",IF(AND($F323="内部转账",$Q323=""),"△内部转账建议在「往来单位」写上对方账户",IF($M323&lt;0,"△这一笔之后该账户余额成负数了，核一下","")))))))))))</f>
        <v/>
      </c>
    </row>
    <row r="324" ht="16.5" spans="1:19">
      <c r="A324" s="45"/>
      <c r="B324" s="46"/>
      <c r="C324" s="12" t="str">
        <f>IF($B324="","",IFERROR(INDEX(账户银行,MATCH($B324,账户名,0)),""))</f>
        <v/>
      </c>
      <c r="D324" s="12" t="str">
        <f>IF($B324="","",IFERROR(INDEX(账户币种,MATCH($B324,账户名,0)),""))</f>
        <v/>
      </c>
      <c r="E324" s="47"/>
      <c r="F324" s="12" t="str">
        <f>IF($E324="","",IFERROR(INDEX(类别属性,MATCH($E324,类别表,0)),""))</f>
        <v/>
      </c>
      <c r="G324" s="48"/>
      <c r="H324" s="48"/>
      <c r="I324" s="49"/>
      <c r="J324" s="24" t="str">
        <f>IF(OR($A324="",$B324=""),"",IF($I324&lt;&gt;"",$I324,IF($D324=本位币,1,IFERROR(LOOKUP(2,1/((汇率月份&lt;=$A324)*(INDEX(记账汇率区,0,MATCH($D324,汇率币种头,0))&lt;&gt;"")),INDEX(记账汇率区,0,MATCH($D324,汇率币种头,0))),""))))</f>
        <v/>
      </c>
      <c r="K324" s="23" t="str">
        <f t="shared" si="8"/>
        <v/>
      </c>
      <c r="L324" s="23" t="str">
        <f t="shared" si="9"/>
        <v/>
      </c>
      <c r="M324" s="23" t="str">
        <f>IF($B324="","",ROUND(SUMIF(账户名,$B324,账户期初)+SUMIFS($K$6:K324,$B$6:B324,$B324),2))</f>
        <v/>
      </c>
      <c r="N324" s="23" t="str">
        <f>IF($B324="","",IFERROR(ROUND(INDEX(账户期初本位,MATCH($B324,账户名,0))+SUMIFS($L$6:L324,$B$6:B324,$B324),2),""))</f>
        <v/>
      </c>
      <c r="O324" s="46"/>
      <c r="P324" s="47"/>
      <c r="Q324" s="46"/>
      <c r="R324" s="46"/>
      <c r="S324" s="6" t="str">
        <f>IF($B324="","",IF(ISNA(MATCH($B324,账户名,0)),"※这个账户不在【参数设置】的账户档案里",IF($A324="","※没填日期，这一笔不会进任何月份的报表",IF(AND($G324&lt;&gt;"",$H324&lt;&gt;""),"※收入和支出不能同时填",IF(AND(N($G324)=0,N($H324)=0),"※收入和支出都没填",IF($E324="","※没填收支类别，分类报表会漏掉这一笔",IF(ISNA(MATCH($E324,类别表,0)),"※收支类别不在【参数设置】的清单里",IF($J324="","△"&amp;$D324&amp;" 还没填汇率，去【月度汇率】补上就自动算了",IF(YEAR($A324)&lt;&gt;管理年度,"△不是管理年度的单据，年报里看不到",IF(AND($F324="内部转账",$Q324=""),"△内部转账建议在「往来单位」写上对方账户",IF($M324&lt;0,"△这一笔之后该账户余额成负数了，核一下","")))))))))))</f>
        <v/>
      </c>
    </row>
    <row r="325" ht="16.5" spans="1:19">
      <c r="A325" s="45"/>
      <c r="B325" s="46"/>
      <c r="C325" s="12" t="str">
        <f>IF($B325="","",IFERROR(INDEX(账户银行,MATCH($B325,账户名,0)),""))</f>
        <v/>
      </c>
      <c r="D325" s="12" t="str">
        <f>IF($B325="","",IFERROR(INDEX(账户币种,MATCH($B325,账户名,0)),""))</f>
        <v/>
      </c>
      <c r="E325" s="47"/>
      <c r="F325" s="12" t="str">
        <f>IF($E325="","",IFERROR(INDEX(类别属性,MATCH($E325,类别表,0)),""))</f>
        <v/>
      </c>
      <c r="G325" s="48"/>
      <c r="H325" s="48"/>
      <c r="I325" s="49"/>
      <c r="J325" s="24" t="str">
        <f>IF(OR($A325="",$B325=""),"",IF($I325&lt;&gt;"",$I325,IF($D325=本位币,1,IFERROR(LOOKUP(2,1/((汇率月份&lt;=$A325)*(INDEX(记账汇率区,0,MATCH($D325,汇率币种头,0))&lt;&gt;"")),INDEX(记账汇率区,0,MATCH($D325,汇率币种头,0))),""))))</f>
        <v/>
      </c>
      <c r="K325" s="23" t="str">
        <f t="shared" si="8"/>
        <v/>
      </c>
      <c r="L325" s="23" t="str">
        <f t="shared" si="9"/>
        <v/>
      </c>
      <c r="M325" s="23" t="str">
        <f>IF($B325="","",ROUND(SUMIF(账户名,$B325,账户期初)+SUMIFS($K$6:K325,$B$6:B325,$B325),2))</f>
        <v/>
      </c>
      <c r="N325" s="23" t="str">
        <f>IF($B325="","",IFERROR(ROUND(INDEX(账户期初本位,MATCH($B325,账户名,0))+SUMIFS($L$6:L325,$B$6:B325,$B325),2),""))</f>
        <v/>
      </c>
      <c r="O325" s="46"/>
      <c r="P325" s="47"/>
      <c r="Q325" s="46"/>
      <c r="R325" s="46"/>
      <c r="S325" s="6" t="str">
        <f>IF($B325="","",IF(ISNA(MATCH($B325,账户名,0)),"※这个账户不在【参数设置】的账户档案里",IF($A325="","※没填日期，这一笔不会进任何月份的报表",IF(AND($G325&lt;&gt;"",$H325&lt;&gt;""),"※收入和支出不能同时填",IF(AND(N($G325)=0,N($H325)=0),"※收入和支出都没填",IF($E325="","※没填收支类别，分类报表会漏掉这一笔",IF(ISNA(MATCH($E325,类别表,0)),"※收支类别不在【参数设置】的清单里",IF($J325="","△"&amp;$D325&amp;" 还没填汇率，去【月度汇率】补上就自动算了",IF(YEAR($A325)&lt;&gt;管理年度,"△不是管理年度的单据，年报里看不到",IF(AND($F325="内部转账",$Q325=""),"△内部转账建议在「往来单位」写上对方账户",IF($M325&lt;0,"△这一笔之后该账户余额成负数了，核一下","")))))))))))</f>
        <v/>
      </c>
    </row>
    <row r="326" ht="16.5" spans="1:19">
      <c r="A326" s="45"/>
      <c r="B326" s="46"/>
      <c r="C326" s="12" t="str">
        <f>IF($B326="","",IFERROR(INDEX(账户银行,MATCH($B326,账户名,0)),""))</f>
        <v/>
      </c>
      <c r="D326" s="12" t="str">
        <f>IF($B326="","",IFERROR(INDEX(账户币种,MATCH($B326,账户名,0)),""))</f>
        <v/>
      </c>
      <c r="E326" s="47"/>
      <c r="F326" s="12" t="str">
        <f>IF($E326="","",IFERROR(INDEX(类别属性,MATCH($E326,类别表,0)),""))</f>
        <v/>
      </c>
      <c r="G326" s="48"/>
      <c r="H326" s="48"/>
      <c r="I326" s="49"/>
      <c r="J326" s="24" t="str">
        <f>IF(OR($A326="",$B326=""),"",IF($I326&lt;&gt;"",$I326,IF($D326=本位币,1,IFERROR(LOOKUP(2,1/((汇率月份&lt;=$A326)*(INDEX(记账汇率区,0,MATCH($D326,汇率币种头,0))&lt;&gt;"")),INDEX(记账汇率区,0,MATCH($D326,汇率币种头,0))),""))))</f>
        <v/>
      </c>
      <c r="K326" s="23" t="str">
        <f t="shared" ref="K326:K389" si="10">IF(AND($G326="",$H326=""),"",ROUND(N($G326)-N($H326),2))</f>
        <v/>
      </c>
      <c r="L326" s="23" t="str">
        <f t="shared" ref="L326:L389" si="11">IF(OR($K326="",$J326=""),"",ROUND($K326*$J326,2))</f>
        <v/>
      </c>
      <c r="M326" s="23" t="str">
        <f>IF($B326="","",ROUND(SUMIF(账户名,$B326,账户期初)+SUMIFS($K$6:K326,$B$6:B326,$B326),2))</f>
        <v/>
      </c>
      <c r="N326" s="23" t="str">
        <f>IF($B326="","",IFERROR(ROUND(INDEX(账户期初本位,MATCH($B326,账户名,0))+SUMIFS($L$6:L326,$B$6:B326,$B326),2),""))</f>
        <v/>
      </c>
      <c r="O326" s="46"/>
      <c r="P326" s="47"/>
      <c r="Q326" s="46"/>
      <c r="R326" s="46"/>
      <c r="S326" s="6" t="str">
        <f>IF($B326="","",IF(ISNA(MATCH($B326,账户名,0)),"※这个账户不在【参数设置】的账户档案里",IF($A326="","※没填日期，这一笔不会进任何月份的报表",IF(AND($G326&lt;&gt;"",$H326&lt;&gt;""),"※收入和支出不能同时填",IF(AND(N($G326)=0,N($H326)=0),"※收入和支出都没填",IF($E326="","※没填收支类别，分类报表会漏掉这一笔",IF(ISNA(MATCH($E326,类别表,0)),"※收支类别不在【参数设置】的清单里",IF($J326="","△"&amp;$D326&amp;" 还没填汇率，去【月度汇率】补上就自动算了",IF(YEAR($A326)&lt;&gt;管理年度,"△不是管理年度的单据，年报里看不到",IF(AND($F326="内部转账",$Q326=""),"△内部转账建议在「往来单位」写上对方账户",IF($M326&lt;0,"△这一笔之后该账户余额成负数了，核一下","")))))))))))</f>
        <v/>
      </c>
    </row>
    <row r="327" ht="16.5" spans="1:19">
      <c r="A327" s="45"/>
      <c r="B327" s="46"/>
      <c r="C327" s="12" t="str">
        <f>IF($B327="","",IFERROR(INDEX(账户银行,MATCH($B327,账户名,0)),""))</f>
        <v/>
      </c>
      <c r="D327" s="12" t="str">
        <f>IF($B327="","",IFERROR(INDEX(账户币种,MATCH($B327,账户名,0)),""))</f>
        <v/>
      </c>
      <c r="E327" s="47"/>
      <c r="F327" s="12" t="str">
        <f>IF($E327="","",IFERROR(INDEX(类别属性,MATCH($E327,类别表,0)),""))</f>
        <v/>
      </c>
      <c r="G327" s="48"/>
      <c r="H327" s="48"/>
      <c r="I327" s="49"/>
      <c r="J327" s="24" t="str">
        <f>IF(OR($A327="",$B327=""),"",IF($I327&lt;&gt;"",$I327,IF($D327=本位币,1,IFERROR(LOOKUP(2,1/((汇率月份&lt;=$A327)*(INDEX(记账汇率区,0,MATCH($D327,汇率币种头,0))&lt;&gt;"")),INDEX(记账汇率区,0,MATCH($D327,汇率币种头,0))),""))))</f>
        <v/>
      </c>
      <c r="K327" s="23" t="str">
        <f t="shared" si="10"/>
        <v/>
      </c>
      <c r="L327" s="23" t="str">
        <f t="shared" si="11"/>
        <v/>
      </c>
      <c r="M327" s="23" t="str">
        <f>IF($B327="","",ROUND(SUMIF(账户名,$B327,账户期初)+SUMIFS($K$6:K327,$B$6:B327,$B327),2))</f>
        <v/>
      </c>
      <c r="N327" s="23" t="str">
        <f>IF($B327="","",IFERROR(ROUND(INDEX(账户期初本位,MATCH($B327,账户名,0))+SUMIFS($L$6:L327,$B$6:B327,$B327),2),""))</f>
        <v/>
      </c>
      <c r="O327" s="46"/>
      <c r="P327" s="47"/>
      <c r="Q327" s="46"/>
      <c r="R327" s="46"/>
      <c r="S327" s="6" t="str">
        <f>IF($B327="","",IF(ISNA(MATCH($B327,账户名,0)),"※这个账户不在【参数设置】的账户档案里",IF($A327="","※没填日期，这一笔不会进任何月份的报表",IF(AND($G327&lt;&gt;"",$H327&lt;&gt;""),"※收入和支出不能同时填",IF(AND(N($G327)=0,N($H327)=0),"※收入和支出都没填",IF($E327="","※没填收支类别，分类报表会漏掉这一笔",IF(ISNA(MATCH($E327,类别表,0)),"※收支类别不在【参数设置】的清单里",IF($J327="","△"&amp;$D327&amp;" 还没填汇率，去【月度汇率】补上就自动算了",IF(YEAR($A327)&lt;&gt;管理年度,"△不是管理年度的单据，年报里看不到",IF(AND($F327="内部转账",$Q327=""),"△内部转账建议在「往来单位」写上对方账户",IF($M327&lt;0,"△这一笔之后该账户余额成负数了，核一下","")))))))))))</f>
        <v/>
      </c>
    </row>
    <row r="328" ht="16.5" spans="1:19">
      <c r="A328" s="45"/>
      <c r="B328" s="46"/>
      <c r="C328" s="12" t="str">
        <f>IF($B328="","",IFERROR(INDEX(账户银行,MATCH($B328,账户名,0)),""))</f>
        <v/>
      </c>
      <c r="D328" s="12" t="str">
        <f>IF($B328="","",IFERROR(INDEX(账户币种,MATCH($B328,账户名,0)),""))</f>
        <v/>
      </c>
      <c r="E328" s="47"/>
      <c r="F328" s="12" t="str">
        <f>IF($E328="","",IFERROR(INDEX(类别属性,MATCH($E328,类别表,0)),""))</f>
        <v/>
      </c>
      <c r="G328" s="48"/>
      <c r="H328" s="48"/>
      <c r="I328" s="49"/>
      <c r="J328" s="24" t="str">
        <f>IF(OR($A328="",$B328=""),"",IF($I328&lt;&gt;"",$I328,IF($D328=本位币,1,IFERROR(LOOKUP(2,1/((汇率月份&lt;=$A328)*(INDEX(记账汇率区,0,MATCH($D328,汇率币种头,0))&lt;&gt;"")),INDEX(记账汇率区,0,MATCH($D328,汇率币种头,0))),""))))</f>
        <v/>
      </c>
      <c r="K328" s="23" t="str">
        <f t="shared" si="10"/>
        <v/>
      </c>
      <c r="L328" s="23" t="str">
        <f t="shared" si="11"/>
        <v/>
      </c>
      <c r="M328" s="23" t="str">
        <f>IF($B328="","",ROUND(SUMIF(账户名,$B328,账户期初)+SUMIFS($K$6:K328,$B$6:B328,$B328),2))</f>
        <v/>
      </c>
      <c r="N328" s="23" t="str">
        <f>IF($B328="","",IFERROR(ROUND(INDEX(账户期初本位,MATCH($B328,账户名,0))+SUMIFS($L$6:L328,$B$6:B328,$B328),2),""))</f>
        <v/>
      </c>
      <c r="O328" s="46"/>
      <c r="P328" s="47"/>
      <c r="Q328" s="46"/>
      <c r="R328" s="46"/>
      <c r="S328" s="6" t="str">
        <f>IF($B328="","",IF(ISNA(MATCH($B328,账户名,0)),"※这个账户不在【参数设置】的账户档案里",IF($A328="","※没填日期，这一笔不会进任何月份的报表",IF(AND($G328&lt;&gt;"",$H328&lt;&gt;""),"※收入和支出不能同时填",IF(AND(N($G328)=0,N($H328)=0),"※收入和支出都没填",IF($E328="","※没填收支类别，分类报表会漏掉这一笔",IF(ISNA(MATCH($E328,类别表,0)),"※收支类别不在【参数设置】的清单里",IF($J328="","△"&amp;$D328&amp;" 还没填汇率，去【月度汇率】补上就自动算了",IF(YEAR($A328)&lt;&gt;管理年度,"△不是管理年度的单据，年报里看不到",IF(AND($F328="内部转账",$Q328=""),"△内部转账建议在「往来单位」写上对方账户",IF($M328&lt;0,"△这一笔之后该账户余额成负数了，核一下","")))))))))))</f>
        <v/>
      </c>
    </row>
    <row r="329" ht="16.5" spans="1:19">
      <c r="A329" s="45"/>
      <c r="B329" s="46"/>
      <c r="C329" s="12" t="str">
        <f>IF($B329="","",IFERROR(INDEX(账户银行,MATCH($B329,账户名,0)),""))</f>
        <v/>
      </c>
      <c r="D329" s="12" t="str">
        <f>IF($B329="","",IFERROR(INDEX(账户币种,MATCH($B329,账户名,0)),""))</f>
        <v/>
      </c>
      <c r="E329" s="47"/>
      <c r="F329" s="12" t="str">
        <f>IF($E329="","",IFERROR(INDEX(类别属性,MATCH($E329,类别表,0)),""))</f>
        <v/>
      </c>
      <c r="G329" s="48"/>
      <c r="H329" s="48"/>
      <c r="I329" s="49"/>
      <c r="J329" s="24" t="str">
        <f>IF(OR($A329="",$B329=""),"",IF($I329&lt;&gt;"",$I329,IF($D329=本位币,1,IFERROR(LOOKUP(2,1/((汇率月份&lt;=$A329)*(INDEX(记账汇率区,0,MATCH($D329,汇率币种头,0))&lt;&gt;"")),INDEX(记账汇率区,0,MATCH($D329,汇率币种头,0))),""))))</f>
        <v/>
      </c>
      <c r="K329" s="23" t="str">
        <f t="shared" si="10"/>
        <v/>
      </c>
      <c r="L329" s="23" t="str">
        <f t="shared" si="11"/>
        <v/>
      </c>
      <c r="M329" s="23" t="str">
        <f>IF($B329="","",ROUND(SUMIF(账户名,$B329,账户期初)+SUMIFS($K$6:K329,$B$6:B329,$B329),2))</f>
        <v/>
      </c>
      <c r="N329" s="23" t="str">
        <f>IF($B329="","",IFERROR(ROUND(INDEX(账户期初本位,MATCH($B329,账户名,0))+SUMIFS($L$6:L329,$B$6:B329,$B329),2),""))</f>
        <v/>
      </c>
      <c r="O329" s="46"/>
      <c r="P329" s="47"/>
      <c r="Q329" s="46"/>
      <c r="R329" s="46"/>
      <c r="S329" s="6" t="str">
        <f>IF($B329="","",IF(ISNA(MATCH($B329,账户名,0)),"※这个账户不在【参数设置】的账户档案里",IF($A329="","※没填日期，这一笔不会进任何月份的报表",IF(AND($G329&lt;&gt;"",$H329&lt;&gt;""),"※收入和支出不能同时填",IF(AND(N($G329)=0,N($H329)=0),"※收入和支出都没填",IF($E329="","※没填收支类别，分类报表会漏掉这一笔",IF(ISNA(MATCH($E329,类别表,0)),"※收支类别不在【参数设置】的清单里",IF($J329="","△"&amp;$D329&amp;" 还没填汇率，去【月度汇率】补上就自动算了",IF(YEAR($A329)&lt;&gt;管理年度,"△不是管理年度的单据，年报里看不到",IF(AND($F329="内部转账",$Q329=""),"△内部转账建议在「往来单位」写上对方账户",IF($M329&lt;0,"△这一笔之后该账户余额成负数了，核一下","")))))))))))</f>
        <v/>
      </c>
    </row>
    <row r="330" ht="16.5" spans="1:19">
      <c r="A330" s="45"/>
      <c r="B330" s="46"/>
      <c r="C330" s="12" t="str">
        <f>IF($B330="","",IFERROR(INDEX(账户银行,MATCH($B330,账户名,0)),""))</f>
        <v/>
      </c>
      <c r="D330" s="12" t="str">
        <f>IF($B330="","",IFERROR(INDEX(账户币种,MATCH($B330,账户名,0)),""))</f>
        <v/>
      </c>
      <c r="E330" s="47"/>
      <c r="F330" s="12" t="str">
        <f>IF($E330="","",IFERROR(INDEX(类别属性,MATCH($E330,类别表,0)),""))</f>
        <v/>
      </c>
      <c r="G330" s="48"/>
      <c r="H330" s="48"/>
      <c r="I330" s="49"/>
      <c r="J330" s="24" t="str">
        <f>IF(OR($A330="",$B330=""),"",IF($I330&lt;&gt;"",$I330,IF($D330=本位币,1,IFERROR(LOOKUP(2,1/((汇率月份&lt;=$A330)*(INDEX(记账汇率区,0,MATCH($D330,汇率币种头,0))&lt;&gt;"")),INDEX(记账汇率区,0,MATCH($D330,汇率币种头,0))),""))))</f>
        <v/>
      </c>
      <c r="K330" s="23" t="str">
        <f t="shared" si="10"/>
        <v/>
      </c>
      <c r="L330" s="23" t="str">
        <f t="shared" si="11"/>
        <v/>
      </c>
      <c r="M330" s="23" t="str">
        <f>IF($B330="","",ROUND(SUMIF(账户名,$B330,账户期初)+SUMIFS($K$6:K330,$B$6:B330,$B330),2))</f>
        <v/>
      </c>
      <c r="N330" s="23" t="str">
        <f>IF($B330="","",IFERROR(ROUND(INDEX(账户期初本位,MATCH($B330,账户名,0))+SUMIFS($L$6:L330,$B$6:B330,$B330),2),""))</f>
        <v/>
      </c>
      <c r="O330" s="46"/>
      <c r="P330" s="47"/>
      <c r="Q330" s="46"/>
      <c r="R330" s="46"/>
      <c r="S330" s="6" t="str">
        <f>IF($B330="","",IF(ISNA(MATCH($B330,账户名,0)),"※这个账户不在【参数设置】的账户档案里",IF($A330="","※没填日期，这一笔不会进任何月份的报表",IF(AND($G330&lt;&gt;"",$H330&lt;&gt;""),"※收入和支出不能同时填",IF(AND(N($G330)=0,N($H330)=0),"※收入和支出都没填",IF($E330="","※没填收支类别，分类报表会漏掉这一笔",IF(ISNA(MATCH($E330,类别表,0)),"※收支类别不在【参数设置】的清单里",IF($J330="","△"&amp;$D330&amp;" 还没填汇率，去【月度汇率】补上就自动算了",IF(YEAR($A330)&lt;&gt;管理年度,"△不是管理年度的单据，年报里看不到",IF(AND($F330="内部转账",$Q330=""),"△内部转账建议在「往来单位」写上对方账户",IF($M330&lt;0,"△这一笔之后该账户余额成负数了，核一下","")))))))))))</f>
        <v/>
      </c>
    </row>
    <row r="331" ht="16.5" spans="1:19">
      <c r="A331" s="45"/>
      <c r="B331" s="46"/>
      <c r="C331" s="12" t="str">
        <f>IF($B331="","",IFERROR(INDEX(账户银行,MATCH($B331,账户名,0)),""))</f>
        <v/>
      </c>
      <c r="D331" s="12" t="str">
        <f>IF($B331="","",IFERROR(INDEX(账户币种,MATCH($B331,账户名,0)),""))</f>
        <v/>
      </c>
      <c r="E331" s="47"/>
      <c r="F331" s="12" t="str">
        <f>IF($E331="","",IFERROR(INDEX(类别属性,MATCH($E331,类别表,0)),""))</f>
        <v/>
      </c>
      <c r="G331" s="48"/>
      <c r="H331" s="48"/>
      <c r="I331" s="49"/>
      <c r="J331" s="24" t="str">
        <f>IF(OR($A331="",$B331=""),"",IF($I331&lt;&gt;"",$I331,IF($D331=本位币,1,IFERROR(LOOKUP(2,1/((汇率月份&lt;=$A331)*(INDEX(记账汇率区,0,MATCH($D331,汇率币种头,0))&lt;&gt;"")),INDEX(记账汇率区,0,MATCH($D331,汇率币种头,0))),""))))</f>
        <v/>
      </c>
      <c r="K331" s="23" t="str">
        <f t="shared" si="10"/>
        <v/>
      </c>
      <c r="L331" s="23" t="str">
        <f t="shared" si="11"/>
        <v/>
      </c>
      <c r="M331" s="23" t="str">
        <f>IF($B331="","",ROUND(SUMIF(账户名,$B331,账户期初)+SUMIFS($K$6:K331,$B$6:B331,$B331),2))</f>
        <v/>
      </c>
      <c r="N331" s="23" t="str">
        <f>IF($B331="","",IFERROR(ROUND(INDEX(账户期初本位,MATCH($B331,账户名,0))+SUMIFS($L$6:L331,$B$6:B331,$B331),2),""))</f>
        <v/>
      </c>
      <c r="O331" s="46"/>
      <c r="P331" s="47"/>
      <c r="Q331" s="46"/>
      <c r="R331" s="46"/>
      <c r="S331" s="6" t="str">
        <f>IF($B331="","",IF(ISNA(MATCH($B331,账户名,0)),"※这个账户不在【参数设置】的账户档案里",IF($A331="","※没填日期，这一笔不会进任何月份的报表",IF(AND($G331&lt;&gt;"",$H331&lt;&gt;""),"※收入和支出不能同时填",IF(AND(N($G331)=0,N($H331)=0),"※收入和支出都没填",IF($E331="","※没填收支类别，分类报表会漏掉这一笔",IF(ISNA(MATCH($E331,类别表,0)),"※收支类别不在【参数设置】的清单里",IF($J331="","△"&amp;$D331&amp;" 还没填汇率，去【月度汇率】补上就自动算了",IF(YEAR($A331)&lt;&gt;管理年度,"△不是管理年度的单据，年报里看不到",IF(AND($F331="内部转账",$Q331=""),"△内部转账建议在「往来单位」写上对方账户",IF($M331&lt;0,"△这一笔之后该账户余额成负数了，核一下","")))))))))))</f>
        <v/>
      </c>
    </row>
    <row r="332" ht="16.5" spans="1:19">
      <c r="A332" s="45"/>
      <c r="B332" s="46"/>
      <c r="C332" s="12" t="str">
        <f>IF($B332="","",IFERROR(INDEX(账户银行,MATCH($B332,账户名,0)),""))</f>
        <v/>
      </c>
      <c r="D332" s="12" t="str">
        <f>IF($B332="","",IFERROR(INDEX(账户币种,MATCH($B332,账户名,0)),""))</f>
        <v/>
      </c>
      <c r="E332" s="47"/>
      <c r="F332" s="12" t="str">
        <f>IF($E332="","",IFERROR(INDEX(类别属性,MATCH($E332,类别表,0)),""))</f>
        <v/>
      </c>
      <c r="G332" s="48"/>
      <c r="H332" s="48"/>
      <c r="I332" s="49"/>
      <c r="J332" s="24" t="str">
        <f>IF(OR($A332="",$B332=""),"",IF($I332&lt;&gt;"",$I332,IF($D332=本位币,1,IFERROR(LOOKUP(2,1/((汇率月份&lt;=$A332)*(INDEX(记账汇率区,0,MATCH($D332,汇率币种头,0))&lt;&gt;"")),INDEX(记账汇率区,0,MATCH($D332,汇率币种头,0))),""))))</f>
        <v/>
      </c>
      <c r="K332" s="23" t="str">
        <f t="shared" si="10"/>
        <v/>
      </c>
      <c r="L332" s="23" t="str">
        <f t="shared" si="11"/>
        <v/>
      </c>
      <c r="M332" s="23" t="str">
        <f>IF($B332="","",ROUND(SUMIF(账户名,$B332,账户期初)+SUMIFS($K$6:K332,$B$6:B332,$B332),2))</f>
        <v/>
      </c>
      <c r="N332" s="23" t="str">
        <f>IF($B332="","",IFERROR(ROUND(INDEX(账户期初本位,MATCH($B332,账户名,0))+SUMIFS($L$6:L332,$B$6:B332,$B332),2),""))</f>
        <v/>
      </c>
      <c r="O332" s="46"/>
      <c r="P332" s="47"/>
      <c r="Q332" s="46"/>
      <c r="R332" s="46"/>
      <c r="S332" s="6" t="str">
        <f>IF($B332="","",IF(ISNA(MATCH($B332,账户名,0)),"※这个账户不在【参数设置】的账户档案里",IF($A332="","※没填日期，这一笔不会进任何月份的报表",IF(AND($G332&lt;&gt;"",$H332&lt;&gt;""),"※收入和支出不能同时填",IF(AND(N($G332)=0,N($H332)=0),"※收入和支出都没填",IF($E332="","※没填收支类别，分类报表会漏掉这一笔",IF(ISNA(MATCH($E332,类别表,0)),"※收支类别不在【参数设置】的清单里",IF($J332="","△"&amp;$D332&amp;" 还没填汇率，去【月度汇率】补上就自动算了",IF(YEAR($A332)&lt;&gt;管理年度,"△不是管理年度的单据，年报里看不到",IF(AND($F332="内部转账",$Q332=""),"△内部转账建议在「往来单位」写上对方账户",IF($M332&lt;0,"△这一笔之后该账户余额成负数了，核一下","")))))))))))</f>
        <v/>
      </c>
    </row>
    <row r="333" ht="16.5" spans="1:19">
      <c r="A333" s="45"/>
      <c r="B333" s="46"/>
      <c r="C333" s="12" t="str">
        <f>IF($B333="","",IFERROR(INDEX(账户银行,MATCH($B333,账户名,0)),""))</f>
        <v/>
      </c>
      <c r="D333" s="12" t="str">
        <f>IF($B333="","",IFERROR(INDEX(账户币种,MATCH($B333,账户名,0)),""))</f>
        <v/>
      </c>
      <c r="E333" s="47"/>
      <c r="F333" s="12" t="str">
        <f>IF($E333="","",IFERROR(INDEX(类别属性,MATCH($E333,类别表,0)),""))</f>
        <v/>
      </c>
      <c r="G333" s="48"/>
      <c r="H333" s="48"/>
      <c r="I333" s="49"/>
      <c r="J333" s="24" t="str">
        <f>IF(OR($A333="",$B333=""),"",IF($I333&lt;&gt;"",$I333,IF($D333=本位币,1,IFERROR(LOOKUP(2,1/((汇率月份&lt;=$A333)*(INDEX(记账汇率区,0,MATCH($D333,汇率币种头,0))&lt;&gt;"")),INDEX(记账汇率区,0,MATCH($D333,汇率币种头,0))),""))))</f>
        <v/>
      </c>
      <c r="K333" s="23" t="str">
        <f t="shared" si="10"/>
        <v/>
      </c>
      <c r="L333" s="23" t="str">
        <f t="shared" si="11"/>
        <v/>
      </c>
      <c r="M333" s="23" t="str">
        <f>IF($B333="","",ROUND(SUMIF(账户名,$B333,账户期初)+SUMIFS($K$6:K333,$B$6:B333,$B333),2))</f>
        <v/>
      </c>
      <c r="N333" s="23" t="str">
        <f>IF($B333="","",IFERROR(ROUND(INDEX(账户期初本位,MATCH($B333,账户名,0))+SUMIFS($L$6:L333,$B$6:B333,$B333),2),""))</f>
        <v/>
      </c>
      <c r="O333" s="46"/>
      <c r="P333" s="47"/>
      <c r="Q333" s="46"/>
      <c r="R333" s="46"/>
      <c r="S333" s="6" t="str">
        <f>IF($B333="","",IF(ISNA(MATCH($B333,账户名,0)),"※这个账户不在【参数设置】的账户档案里",IF($A333="","※没填日期，这一笔不会进任何月份的报表",IF(AND($G333&lt;&gt;"",$H333&lt;&gt;""),"※收入和支出不能同时填",IF(AND(N($G333)=0,N($H333)=0),"※收入和支出都没填",IF($E333="","※没填收支类别，分类报表会漏掉这一笔",IF(ISNA(MATCH($E333,类别表,0)),"※收支类别不在【参数设置】的清单里",IF($J333="","△"&amp;$D333&amp;" 还没填汇率，去【月度汇率】补上就自动算了",IF(YEAR($A333)&lt;&gt;管理年度,"△不是管理年度的单据，年报里看不到",IF(AND($F333="内部转账",$Q333=""),"△内部转账建议在「往来单位」写上对方账户",IF($M333&lt;0,"△这一笔之后该账户余额成负数了，核一下","")))))))))))</f>
        <v/>
      </c>
    </row>
    <row r="334" ht="16.5" spans="1:19">
      <c r="A334" s="45"/>
      <c r="B334" s="46"/>
      <c r="C334" s="12" t="str">
        <f>IF($B334="","",IFERROR(INDEX(账户银行,MATCH($B334,账户名,0)),""))</f>
        <v/>
      </c>
      <c r="D334" s="12" t="str">
        <f>IF($B334="","",IFERROR(INDEX(账户币种,MATCH($B334,账户名,0)),""))</f>
        <v/>
      </c>
      <c r="E334" s="47"/>
      <c r="F334" s="12" t="str">
        <f>IF($E334="","",IFERROR(INDEX(类别属性,MATCH($E334,类别表,0)),""))</f>
        <v/>
      </c>
      <c r="G334" s="48"/>
      <c r="H334" s="48"/>
      <c r="I334" s="49"/>
      <c r="J334" s="24" t="str">
        <f>IF(OR($A334="",$B334=""),"",IF($I334&lt;&gt;"",$I334,IF($D334=本位币,1,IFERROR(LOOKUP(2,1/((汇率月份&lt;=$A334)*(INDEX(记账汇率区,0,MATCH($D334,汇率币种头,0))&lt;&gt;"")),INDEX(记账汇率区,0,MATCH($D334,汇率币种头,0))),""))))</f>
        <v/>
      </c>
      <c r="K334" s="23" t="str">
        <f t="shared" si="10"/>
        <v/>
      </c>
      <c r="L334" s="23" t="str">
        <f t="shared" si="11"/>
        <v/>
      </c>
      <c r="M334" s="23" t="str">
        <f>IF($B334="","",ROUND(SUMIF(账户名,$B334,账户期初)+SUMIFS($K$6:K334,$B$6:B334,$B334),2))</f>
        <v/>
      </c>
      <c r="N334" s="23" t="str">
        <f>IF($B334="","",IFERROR(ROUND(INDEX(账户期初本位,MATCH($B334,账户名,0))+SUMIFS($L$6:L334,$B$6:B334,$B334),2),""))</f>
        <v/>
      </c>
      <c r="O334" s="46"/>
      <c r="P334" s="47"/>
      <c r="Q334" s="46"/>
      <c r="R334" s="46"/>
      <c r="S334" s="6" t="str">
        <f>IF($B334="","",IF(ISNA(MATCH($B334,账户名,0)),"※这个账户不在【参数设置】的账户档案里",IF($A334="","※没填日期，这一笔不会进任何月份的报表",IF(AND($G334&lt;&gt;"",$H334&lt;&gt;""),"※收入和支出不能同时填",IF(AND(N($G334)=0,N($H334)=0),"※收入和支出都没填",IF($E334="","※没填收支类别，分类报表会漏掉这一笔",IF(ISNA(MATCH($E334,类别表,0)),"※收支类别不在【参数设置】的清单里",IF($J334="","△"&amp;$D334&amp;" 还没填汇率，去【月度汇率】补上就自动算了",IF(YEAR($A334)&lt;&gt;管理年度,"△不是管理年度的单据，年报里看不到",IF(AND($F334="内部转账",$Q334=""),"△内部转账建议在「往来单位」写上对方账户",IF($M334&lt;0,"△这一笔之后该账户余额成负数了，核一下","")))))))))))</f>
        <v/>
      </c>
    </row>
    <row r="335" ht="16.5" spans="1:19">
      <c r="A335" s="45"/>
      <c r="B335" s="46"/>
      <c r="C335" s="12" t="str">
        <f>IF($B335="","",IFERROR(INDEX(账户银行,MATCH($B335,账户名,0)),""))</f>
        <v/>
      </c>
      <c r="D335" s="12" t="str">
        <f>IF($B335="","",IFERROR(INDEX(账户币种,MATCH($B335,账户名,0)),""))</f>
        <v/>
      </c>
      <c r="E335" s="47"/>
      <c r="F335" s="12" t="str">
        <f>IF($E335="","",IFERROR(INDEX(类别属性,MATCH($E335,类别表,0)),""))</f>
        <v/>
      </c>
      <c r="G335" s="48"/>
      <c r="H335" s="48"/>
      <c r="I335" s="49"/>
      <c r="J335" s="24" t="str">
        <f>IF(OR($A335="",$B335=""),"",IF($I335&lt;&gt;"",$I335,IF($D335=本位币,1,IFERROR(LOOKUP(2,1/((汇率月份&lt;=$A335)*(INDEX(记账汇率区,0,MATCH($D335,汇率币种头,0))&lt;&gt;"")),INDEX(记账汇率区,0,MATCH($D335,汇率币种头,0))),""))))</f>
        <v/>
      </c>
      <c r="K335" s="23" t="str">
        <f t="shared" si="10"/>
        <v/>
      </c>
      <c r="L335" s="23" t="str">
        <f t="shared" si="11"/>
        <v/>
      </c>
      <c r="M335" s="23" t="str">
        <f>IF($B335="","",ROUND(SUMIF(账户名,$B335,账户期初)+SUMIFS($K$6:K335,$B$6:B335,$B335),2))</f>
        <v/>
      </c>
      <c r="N335" s="23" t="str">
        <f>IF($B335="","",IFERROR(ROUND(INDEX(账户期初本位,MATCH($B335,账户名,0))+SUMIFS($L$6:L335,$B$6:B335,$B335),2),""))</f>
        <v/>
      </c>
      <c r="O335" s="46"/>
      <c r="P335" s="47"/>
      <c r="Q335" s="46"/>
      <c r="R335" s="46"/>
      <c r="S335" s="6" t="str">
        <f>IF($B335="","",IF(ISNA(MATCH($B335,账户名,0)),"※这个账户不在【参数设置】的账户档案里",IF($A335="","※没填日期，这一笔不会进任何月份的报表",IF(AND($G335&lt;&gt;"",$H335&lt;&gt;""),"※收入和支出不能同时填",IF(AND(N($G335)=0,N($H335)=0),"※收入和支出都没填",IF($E335="","※没填收支类别，分类报表会漏掉这一笔",IF(ISNA(MATCH($E335,类别表,0)),"※收支类别不在【参数设置】的清单里",IF($J335="","△"&amp;$D335&amp;" 还没填汇率，去【月度汇率】补上就自动算了",IF(YEAR($A335)&lt;&gt;管理年度,"△不是管理年度的单据，年报里看不到",IF(AND($F335="内部转账",$Q335=""),"△内部转账建议在「往来单位」写上对方账户",IF($M335&lt;0,"△这一笔之后该账户余额成负数了，核一下","")))))))))))</f>
        <v/>
      </c>
    </row>
    <row r="336" ht="16.5" spans="1:19">
      <c r="A336" s="45"/>
      <c r="B336" s="46"/>
      <c r="C336" s="12" t="str">
        <f>IF($B336="","",IFERROR(INDEX(账户银行,MATCH($B336,账户名,0)),""))</f>
        <v/>
      </c>
      <c r="D336" s="12" t="str">
        <f>IF($B336="","",IFERROR(INDEX(账户币种,MATCH($B336,账户名,0)),""))</f>
        <v/>
      </c>
      <c r="E336" s="47"/>
      <c r="F336" s="12" t="str">
        <f>IF($E336="","",IFERROR(INDEX(类别属性,MATCH($E336,类别表,0)),""))</f>
        <v/>
      </c>
      <c r="G336" s="48"/>
      <c r="H336" s="48"/>
      <c r="I336" s="49"/>
      <c r="J336" s="24" t="str">
        <f>IF(OR($A336="",$B336=""),"",IF($I336&lt;&gt;"",$I336,IF($D336=本位币,1,IFERROR(LOOKUP(2,1/((汇率月份&lt;=$A336)*(INDEX(记账汇率区,0,MATCH($D336,汇率币种头,0))&lt;&gt;"")),INDEX(记账汇率区,0,MATCH($D336,汇率币种头,0))),""))))</f>
        <v/>
      </c>
      <c r="K336" s="23" t="str">
        <f t="shared" si="10"/>
        <v/>
      </c>
      <c r="L336" s="23" t="str">
        <f t="shared" si="11"/>
        <v/>
      </c>
      <c r="M336" s="23" t="str">
        <f>IF($B336="","",ROUND(SUMIF(账户名,$B336,账户期初)+SUMIFS($K$6:K336,$B$6:B336,$B336),2))</f>
        <v/>
      </c>
      <c r="N336" s="23" t="str">
        <f>IF($B336="","",IFERROR(ROUND(INDEX(账户期初本位,MATCH($B336,账户名,0))+SUMIFS($L$6:L336,$B$6:B336,$B336),2),""))</f>
        <v/>
      </c>
      <c r="O336" s="46"/>
      <c r="P336" s="47"/>
      <c r="Q336" s="46"/>
      <c r="R336" s="46"/>
      <c r="S336" s="6" t="str">
        <f>IF($B336="","",IF(ISNA(MATCH($B336,账户名,0)),"※这个账户不在【参数设置】的账户档案里",IF($A336="","※没填日期，这一笔不会进任何月份的报表",IF(AND($G336&lt;&gt;"",$H336&lt;&gt;""),"※收入和支出不能同时填",IF(AND(N($G336)=0,N($H336)=0),"※收入和支出都没填",IF($E336="","※没填收支类别，分类报表会漏掉这一笔",IF(ISNA(MATCH($E336,类别表,0)),"※收支类别不在【参数设置】的清单里",IF($J336="","△"&amp;$D336&amp;" 还没填汇率，去【月度汇率】补上就自动算了",IF(YEAR($A336)&lt;&gt;管理年度,"△不是管理年度的单据，年报里看不到",IF(AND($F336="内部转账",$Q336=""),"△内部转账建议在「往来单位」写上对方账户",IF($M336&lt;0,"△这一笔之后该账户余额成负数了，核一下","")))))))))))</f>
        <v/>
      </c>
    </row>
    <row r="337" ht="16.5" spans="1:19">
      <c r="A337" s="45"/>
      <c r="B337" s="46"/>
      <c r="C337" s="12" t="str">
        <f>IF($B337="","",IFERROR(INDEX(账户银行,MATCH($B337,账户名,0)),""))</f>
        <v/>
      </c>
      <c r="D337" s="12" t="str">
        <f>IF($B337="","",IFERROR(INDEX(账户币种,MATCH($B337,账户名,0)),""))</f>
        <v/>
      </c>
      <c r="E337" s="47"/>
      <c r="F337" s="12" t="str">
        <f>IF($E337="","",IFERROR(INDEX(类别属性,MATCH($E337,类别表,0)),""))</f>
        <v/>
      </c>
      <c r="G337" s="48"/>
      <c r="H337" s="48"/>
      <c r="I337" s="49"/>
      <c r="J337" s="24" t="str">
        <f>IF(OR($A337="",$B337=""),"",IF($I337&lt;&gt;"",$I337,IF($D337=本位币,1,IFERROR(LOOKUP(2,1/((汇率月份&lt;=$A337)*(INDEX(记账汇率区,0,MATCH($D337,汇率币种头,0))&lt;&gt;"")),INDEX(记账汇率区,0,MATCH($D337,汇率币种头,0))),""))))</f>
        <v/>
      </c>
      <c r="K337" s="23" t="str">
        <f t="shared" si="10"/>
        <v/>
      </c>
      <c r="L337" s="23" t="str">
        <f t="shared" si="11"/>
        <v/>
      </c>
      <c r="M337" s="23" t="str">
        <f>IF($B337="","",ROUND(SUMIF(账户名,$B337,账户期初)+SUMIFS($K$6:K337,$B$6:B337,$B337),2))</f>
        <v/>
      </c>
      <c r="N337" s="23" t="str">
        <f>IF($B337="","",IFERROR(ROUND(INDEX(账户期初本位,MATCH($B337,账户名,0))+SUMIFS($L$6:L337,$B$6:B337,$B337),2),""))</f>
        <v/>
      </c>
      <c r="O337" s="46"/>
      <c r="P337" s="47"/>
      <c r="Q337" s="46"/>
      <c r="R337" s="46"/>
      <c r="S337" s="6" t="str">
        <f>IF($B337="","",IF(ISNA(MATCH($B337,账户名,0)),"※这个账户不在【参数设置】的账户档案里",IF($A337="","※没填日期，这一笔不会进任何月份的报表",IF(AND($G337&lt;&gt;"",$H337&lt;&gt;""),"※收入和支出不能同时填",IF(AND(N($G337)=0,N($H337)=0),"※收入和支出都没填",IF($E337="","※没填收支类别，分类报表会漏掉这一笔",IF(ISNA(MATCH($E337,类别表,0)),"※收支类别不在【参数设置】的清单里",IF($J337="","△"&amp;$D337&amp;" 还没填汇率，去【月度汇率】补上就自动算了",IF(YEAR($A337)&lt;&gt;管理年度,"△不是管理年度的单据，年报里看不到",IF(AND($F337="内部转账",$Q337=""),"△内部转账建议在「往来单位」写上对方账户",IF($M337&lt;0,"△这一笔之后该账户余额成负数了，核一下","")))))))))))</f>
        <v/>
      </c>
    </row>
    <row r="338" ht="16.5" spans="1:19">
      <c r="A338" s="45"/>
      <c r="B338" s="46"/>
      <c r="C338" s="12" t="str">
        <f>IF($B338="","",IFERROR(INDEX(账户银行,MATCH($B338,账户名,0)),""))</f>
        <v/>
      </c>
      <c r="D338" s="12" t="str">
        <f>IF($B338="","",IFERROR(INDEX(账户币种,MATCH($B338,账户名,0)),""))</f>
        <v/>
      </c>
      <c r="E338" s="47"/>
      <c r="F338" s="12" t="str">
        <f>IF($E338="","",IFERROR(INDEX(类别属性,MATCH($E338,类别表,0)),""))</f>
        <v/>
      </c>
      <c r="G338" s="48"/>
      <c r="H338" s="48"/>
      <c r="I338" s="49"/>
      <c r="J338" s="24" t="str">
        <f>IF(OR($A338="",$B338=""),"",IF($I338&lt;&gt;"",$I338,IF($D338=本位币,1,IFERROR(LOOKUP(2,1/((汇率月份&lt;=$A338)*(INDEX(记账汇率区,0,MATCH($D338,汇率币种头,0))&lt;&gt;"")),INDEX(记账汇率区,0,MATCH($D338,汇率币种头,0))),""))))</f>
        <v/>
      </c>
      <c r="K338" s="23" t="str">
        <f t="shared" si="10"/>
        <v/>
      </c>
      <c r="L338" s="23" t="str">
        <f t="shared" si="11"/>
        <v/>
      </c>
      <c r="M338" s="23" t="str">
        <f>IF($B338="","",ROUND(SUMIF(账户名,$B338,账户期初)+SUMIFS($K$6:K338,$B$6:B338,$B338),2))</f>
        <v/>
      </c>
      <c r="N338" s="23" t="str">
        <f>IF($B338="","",IFERROR(ROUND(INDEX(账户期初本位,MATCH($B338,账户名,0))+SUMIFS($L$6:L338,$B$6:B338,$B338),2),""))</f>
        <v/>
      </c>
      <c r="O338" s="46"/>
      <c r="P338" s="47"/>
      <c r="Q338" s="46"/>
      <c r="R338" s="46"/>
      <c r="S338" s="6" t="str">
        <f>IF($B338="","",IF(ISNA(MATCH($B338,账户名,0)),"※这个账户不在【参数设置】的账户档案里",IF($A338="","※没填日期，这一笔不会进任何月份的报表",IF(AND($G338&lt;&gt;"",$H338&lt;&gt;""),"※收入和支出不能同时填",IF(AND(N($G338)=0,N($H338)=0),"※收入和支出都没填",IF($E338="","※没填收支类别，分类报表会漏掉这一笔",IF(ISNA(MATCH($E338,类别表,0)),"※收支类别不在【参数设置】的清单里",IF($J338="","△"&amp;$D338&amp;" 还没填汇率，去【月度汇率】补上就自动算了",IF(YEAR($A338)&lt;&gt;管理年度,"△不是管理年度的单据，年报里看不到",IF(AND($F338="内部转账",$Q338=""),"△内部转账建议在「往来单位」写上对方账户",IF($M338&lt;0,"△这一笔之后该账户余额成负数了，核一下","")))))))))))</f>
        <v/>
      </c>
    </row>
    <row r="339" ht="16.5" spans="1:19">
      <c r="A339" s="45"/>
      <c r="B339" s="46"/>
      <c r="C339" s="12" t="str">
        <f>IF($B339="","",IFERROR(INDEX(账户银行,MATCH($B339,账户名,0)),""))</f>
        <v/>
      </c>
      <c r="D339" s="12" t="str">
        <f>IF($B339="","",IFERROR(INDEX(账户币种,MATCH($B339,账户名,0)),""))</f>
        <v/>
      </c>
      <c r="E339" s="47"/>
      <c r="F339" s="12" t="str">
        <f>IF($E339="","",IFERROR(INDEX(类别属性,MATCH($E339,类别表,0)),""))</f>
        <v/>
      </c>
      <c r="G339" s="48"/>
      <c r="H339" s="48"/>
      <c r="I339" s="49"/>
      <c r="J339" s="24" t="str">
        <f>IF(OR($A339="",$B339=""),"",IF($I339&lt;&gt;"",$I339,IF($D339=本位币,1,IFERROR(LOOKUP(2,1/((汇率月份&lt;=$A339)*(INDEX(记账汇率区,0,MATCH($D339,汇率币种头,0))&lt;&gt;"")),INDEX(记账汇率区,0,MATCH($D339,汇率币种头,0))),""))))</f>
        <v/>
      </c>
      <c r="K339" s="23" t="str">
        <f t="shared" si="10"/>
        <v/>
      </c>
      <c r="L339" s="23" t="str">
        <f t="shared" si="11"/>
        <v/>
      </c>
      <c r="M339" s="23" t="str">
        <f>IF($B339="","",ROUND(SUMIF(账户名,$B339,账户期初)+SUMIFS($K$6:K339,$B$6:B339,$B339),2))</f>
        <v/>
      </c>
      <c r="N339" s="23" t="str">
        <f>IF($B339="","",IFERROR(ROUND(INDEX(账户期初本位,MATCH($B339,账户名,0))+SUMIFS($L$6:L339,$B$6:B339,$B339),2),""))</f>
        <v/>
      </c>
      <c r="O339" s="46"/>
      <c r="P339" s="47"/>
      <c r="Q339" s="46"/>
      <c r="R339" s="46"/>
      <c r="S339" s="6" t="str">
        <f>IF($B339="","",IF(ISNA(MATCH($B339,账户名,0)),"※这个账户不在【参数设置】的账户档案里",IF($A339="","※没填日期，这一笔不会进任何月份的报表",IF(AND($G339&lt;&gt;"",$H339&lt;&gt;""),"※收入和支出不能同时填",IF(AND(N($G339)=0,N($H339)=0),"※收入和支出都没填",IF($E339="","※没填收支类别，分类报表会漏掉这一笔",IF(ISNA(MATCH($E339,类别表,0)),"※收支类别不在【参数设置】的清单里",IF($J339="","△"&amp;$D339&amp;" 还没填汇率，去【月度汇率】补上就自动算了",IF(YEAR($A339)&lt;&gt;管理年度,"△不是管理年度的单据，年报里看不到",IF(AND($F339="内部转账",$Q339=""),"△内部转账建议在「往来单位」写上对方账户",IF($M339&lt;0,"△这一笔之后该账户余额成负数了，核一下","")))))))))))</f>
        <v/>
      </c>
    </row>
    <row r="340" ht="16.5" spans="1:19">
      <c r="A340" s="45"/>
      <c r="B340" s="46"/>
      <c r="C340" s="12" t="str">
        <f>IF($B340="","",IFERROR(INDEX(账户银行,MATCH($B340,账户名,0)),""))</f>
        <v/>
      </c>
      <c r="D340" s="12" t="str">
        <f>IF($B340="","",IFERROR(INDEX(账户币种,MATCH($B340,账户名,0)),""))</f>
        <v/>
      </c>
      <c r="E340" s="47"/>
      <c r="F340" s="12" t="str">
        <f>IF($E340="","",IFERROR(INDEX(类别属性,MATCH($E340,类别表,0)),""))</f>
        <v/>
      </c>
      <c r="G340" s="48"/>
      <c r="H340" s="48"/>
      <c r="I340" s="49"/>
      <c r="J340" s="24" t="str">
        <f>IF(OR($A340="",$B340=""),"",IF($I340&lt;&gt;"",$I340,IF($D340=本位币,1,IFERROR(LOOKUP(2,1/((汇率月份&lt;=$A340)*(INDEX(记账汇率区,0,MATCH($D340,汇率币种头,0))&lt;&gt;"")),INDEX(记账汇率区,0,MATCH($D340,汇率币种头,0))),""))))</f>
        <v/>
      </c>
      <c r="K340" s="23" t="str">
        <f t="shared" si="10"/>
        <v/>
      </c>
      <c r="L340" s="23" t="str">
        <f t="shared" si="11"/>
        <v/>
      </c>
      <c r="M340" s="23" t="str">
        <f>IF($B340="","",ROUND(SUMIF(账户名,$B340,账户期初)+SUMIFS($K$6:K340,$B$6:B340,$B340),2))</f>
        <v/>
      </c>
      <c r="N340" s="23" t="str">
        <f>IF($B340="","",IFERROR(ROUND(INDEX(账户期初本位,MATCH($B340,账户名,0))+SUMIFS($L$6:L340,$B$6:B340,$B340),2),""))</f>
        <v/>
      </c>
      <c r="O340" s="46"/>
      <c r="P340" s="47"/>
      <c r="Q340" s="46"/>
      <c r="R340" s="46"/>
      <c r="S340" s="6" t="str">
        <f>IF($B340="","",IF(ISNA(MATCH($B340,账户名,0)),"※这个账户不在【参数设置】的账户档案里",IF($A340="","※没填日期，这一笔不会进任何月份的报表",IF(AND($G340&lt;&gt;"",$H340&lt;&gt;""),"※收入和支出不能同时填",IF(AND(N($G340)=0,N($H340)=0),"※收入和支出都没填",IF($E340="","※没填收支类别，分类报表会漏掉这一笔",IF(ISNA(MATCH($E340,类别表,0)),"※收支类别不在【参数设置】的清单里",IF($J340="","△"&amp;$D340&amp;" 还没填汇率，去【月度汇率】补上就自动算了",IF(YEAR($A340)&lt;&gt;管理年度,"△不是管理年度的单据，年报里看不到",IF(AND($F340="内部转账",$Q340=""),"△内部转账建议在「往来单位」写上对方账户",IF($M340&lt;0,"△这一笔之后该账户余额成负数了，核一下","")))))))))))</f>
        <v/>
      </c>
    </row>
    <row r="341" ht="16.5" spans="1:19">
      <c r="A341" s="45"/>
      <c r="B341" s="46"/>
      <c r="C341" s="12" t="str">
        <f>IF($B341="","",IFERROR(INDEX(账户银行,MATCH($B341,账户名,0)),""))</f>
        <v/>
      </c>
      <c r="D341" s="12" t="str">
        <f>IF($B341="","",IFERROR(INDEX(账户币种,MATCH($B341,账户名,0)),""))</f>
        <v/>
      </c>
      <c r="E341" s="47"/>
      <c r="F341" s="12" t="str">
        <f>IF($E341="","",IFERROR(INDEX(类别属性,MATCH($E341,类别表,0)),""))</f>
        <v/>
      </c>
      <c r="G341" s="48"/>
      <c r="H341" s="48"/>
      <c r="I341" s="49"/>
      <c r="J341" s="24" t="str">
        <f>IF(OR($A341="",$B341=""),"",IF($I341&lt;&gt;"",$I341,IF($D341=本位币,1,IFERROR(LOOKUP(2,1/((汇率月份&lt;=$A341)*(INDEX(记账汇率区,0,MATCH($D341,汇率币种头,0))&lt;&gt;"")),INDEX(记账汇率区,0,MATCH($D341,汇率币种头,0))),""))))</f>
        <v/>
      </c>
      <c r="K341" s="23" t="str">
        <f t="shared" si="10"/>
        <v/>
      </c>
      <c r="L341" s="23" t="str">
        <f t="shared" si="11"/>
        <v/>
      </c>
      <c r="M341" s="23" t="str">
        <f>IF($B341="","",ROUND(SUMIF(账户名,$B341,账户期初)+SUMIFS($K$6:K341,$B$6:B341,$B341),2))</f>
        <v/>
      </c>
      <c r="N341" s="23" t="str">
        <f>IF($B341="","",IFERROR(ROUND(INDEX(账户期初本位,MATCH($B341,账户名,0))+SUMIFS($L$6:L341,$B$6:B341,$B341),2),""))</f>
        <v/>
      </c>
      <c r="O341" s="46"/>
      <c r="P341" s="47"/>
      <c r="Q341" s="46"/>
      <c r="R341" s="46"/>
      <c r="S341" s="6" t="str">
        <f>IF($B341="","",IF(ISNA(MATCH($B341,账户名,0)),"※这个账户不在【参数设置】的账户档案里",IF($A341="","※没填日期，这一笔不会进任何月份的报表",IF(AND($G341&lt;&gt;"",$H341&lt;&gt;""),"※收入和支出不能同时填",IF(AND(N($G341)=0,N($H341)=0),"※收入和支出都没填",IF($E341="","※没填收支类别，分类报表会漏掉这一笔",IF(ISNA(MATCH($E341,类别表,0)),"※收支类别不在【参数设置】的清单里",IF($J341="","△"&amp;$D341&amp;" 还没填汇率，去【月度汇率】补上就自动算了",IF(YEAR($A341)&lt;&gt;管理年度,"△不是管理年度的单据，年报里看不到",IF(AND($F341="内部转账",$Q341=""),"△内部转账建议在「往来单位」写上对方账户",IF($M341&lt;0,"△这一笔之后该账户余额成负数了，核一下","")))))))))))</f>
        <v/>
      </c>
    </row>
    <row r="342" ht="16.5" spans="1:19">
      <c r="A342" s="45"/>
      <c r="B342" s="46"/>
      <c r="C342" s="12" t="str">
        <f>IF($B342="","",IFERROR(INDEX(账户银行,MATCH($B342,账户名,0)),""))</f>
        <v/>
      </c>
      <c r="D342" s="12" t="str">
        <f>IF($B342="","",IFERROR(INDEX(账户币种,MATCH($B342,账户名,0)),""))</f>
        <v/>
      </c>
      <c r="E342" s="47"/>
      <c r="F342" s="12" t="str">
        <f>IF($E342="","",IFERROR(INDEX(类别属性,MATCH($E342,类别表,0)),""))</f>
        <v/>
      </c>
      <c r="G342" s="48"/>
      <c r="H342" s="48"/>
      <c r="I342" s="49"/>
      <c r="J342" s="24" t="str">
        <f>IF(OR($A342="",$B342=""),"",IF($I342&lt;&gt;"",$I342,IF($D342=本位币,1,IFERROR(LOOKUP(2,1/((汇率月份&lt;=$A342)*(INDEX(记账汇率区,0,MATCH($D342,汇率币种头,0))&lt;&gt;"")),INDEX(记账汇率区,0,MATCH($D342,汇率币种头,0))),""))))</f>
        <v/>
      </c>
      <c r="K342" s="23" t="str">
        <f t="shared" si="10"/>
        <v/>
      </c>
      <c r="L342" s="23" t="str">
        <f t="shared" si="11"/>
        <v/>
      </c>
      <c r="M342" s="23" t="str">
        <f>IF($B342="","",ROUND(SUMIF(账户名,$B342,账户期初)+SUMIFS($K$6:K342,$B$6:B342,$B342),2))</f>
        <v/>
      </c>
      <c r="N342" s="23" t="str">
        <f>IF($B342="","",IFERROR(ROUND(INDEX(账户期初本位,MATCH($B342,账户名,0))+SUMIFS($L$6:L342,$B$6:B342,$B342),2),""))</f>
        <v/>
      </c>
      <c r="O342" s="46"/>
      <c r="P342" s="47"/>
      <c r="Q342" s="46"/>
      <c r="R342" s="46"/>
      <c r="S342" s="6" t="str">
        <f>IF($B342="","",IF(ISNA(MATCH($B342,账户名,0)),"※这个账户不在【参数设置】的账户档案里",IF($A342="","※没填日期，这一笔不会进任何月份的报表",IF(AND($G342&lt;&gt;"",$H342&lt;&gt;""),"※收入和支出不能同时填",IF(AND(N($G342)=0,N($H342)=0),"※收入和支出都没填",IF($E342="","※没填收支类别，分类报表会漏掉这一笔",IF(ISNA(MATCH($E342,类别表,0)),"※收支类别不在【参数设置】的清单里",IF($J342="","△"&amp;$D342&amp;" 还没填汇率，去【月度汇率】补上就自动算了",IF(YEAR($A342)&lt;&gt;管理年度,"△不是管理年度的单据，年报里看不到",IF(AND($F342="内部转账",$Q342=""),"△内部转账建议在「往来单位」写上对方账户",IF($M342&lt;0,"△这一笔之后该账户余额成负数了，核一下","")))))))))))</f>
        <v/>
      </c>
    </row>
    <row r="343" ht="16.5" spans="1:19">
      <c r="A343" s="45"/>
      <c r="B343" s="46"/>
      <c r="C343" s="12" t="str">
        <f>IF($B343="","",IFERROR(INDEX(账户银行,MATCH($B343,账户名,0)),""))</f>
        <v/>
      </c>
      <c r="D343" s="12" t="str">
        <f>IF($B343="","",IFERROR(INDEX(账户币种,MATCH($B343,账户名,0)),""))</f>
        <v/>
      </c>
      <c r="E343" s="47"/>
      <c r="F343" s="12" t="str">
        <f>IF($E343="","",IFERROR(INDEX(类别属性,MATCH($E343,类别表,0)),""))</f>
        <v/>
      </c>
      <c r="G343" s="48"/>
      <c r="H343" s="48"/>
      <c r="I343" s="49"/>
      <c r="J343" s="24" t="str">
        <f>IF(OR($A343="",$B343=""),"",IF($I343&lt;&gt;"",$I343,IF($D343=本位币,1,IFERROR(LOOKUP(2,1/((汇率月份&lt;=$A343)*(INDEX(记账汇率区,0,MATCH($D343,汇率币种头,0))&lt;&gt;"")),INDEX(记账汇率区,0,MATCH($D343,汇率币种头,0))),""))))</f>
        <v/>
      </c>
      <c r="K343" s="23" t="str">
        <f t="shared" si="10"/>
        <v/>
      </c>
      <c r="L343" s="23" t="str">
        <f t="shared" si="11"/>
        <v/>
      </c>
      <c r="M343" s="23" t="str">
        <f>IF($B343="","",ROUND(SUMIF(账户名,$B343,账户期初)+SUMIFS($K$6:K343,$B$6:B343,$B343),2))</f>
        <v/>
      </c>
      <c r="N343" s="23" t="str">
        <f>IF($B343="","",IFERROR(ROUND(INDEX(账户期初本位,MATCH($B343,账户名,0))+SUMIFS($L$6:L343,$B$6:B343,$B343),2),""))</f>
        <v/>
      </c>
      <c r="O343" s="46"/>
      <c r="P343" s="47"/>
      <c r="Q343" s="46"/>
      <c r="R343" s="46"/>
      <c r="S343" s="6" t="str">
        <f>IF($B343="","",IF(ISNA(MATCH($B343,账户名,0)),"※这个账户不在【参数设置】的账户档案里",IF($A343="","※没填日期，这一笔不会进任何月份的报表",IF(AND($G343&lt;&gt;"",$H343&lt;&gt;""),"※收入和支出不能同时填",IF(AND(N($G343)=0,N($H343)=0),"※收入和支出都没填",IF($E343="","※没填收支类别，分类报表会漏掉这一笔",IF(ISNA(MATCH($E343,类别表,0)),"※收支类别不在【参数设置】的清单里",IF($J343="","△"&amp;$D343&amp;" 还没填汇率，去【月度汇率】补上就自动算了",IF(YEAR($A343)&lt;&gt;管理年度,"△不是管理年度的单据，年报里看不到",IF(AND($F343="内部转账",$Q343=""),"△内部转账建议在「往来单位」写上对方账户",IF($M343&lt;0,"△这一笔之后该账户余额成负数了，核一下","")))))))))))</f>
        <v/>
      </c>
    </row>
    <row r="344" ht="16.5" spans="1:19">
      <c r="A344" s="45"/>
      <c r="B344" s="46"/>
      <c r="C344" s="12" t="str">
        <f>IF($B344="","",IFERROR(INDEX(账户银行,MATCH($B344,账户名,0)),""))</f>
        <v/>
      </c>
      <c r="D344" s="12" t="str">
        <f>IF($B344="","",IFERROR(INDEX(账户币种,MATCH($B344,账户名,0)),""))</f>
        <v/>
      </c>
      <c r="E344" s="47"/>
      <c r="F344" s="12" t="str">
        <f>IF($E344="","",IFERROR(INDEX(类别属性,MATCH($E344,类别表,0)),""))</f>
        <v/>
      </c>
      <c r="G344" s="48"/>
      <c r="H344" s="48"/>
      <c r="I344" s="49"/>
      <c r="J344" s="24" t="str">
        <f>IF(OR($A344="",$B344=""),"",IF($I344&lt;&gt;"",$I344,IF($D344=本位币,1,IFERROR(LOOKUP(2,1/((汇率月份&lt;=$A344)*(INDEX(记账汇率区,0,MATCH($D344,汇率币种头,0))&lt;&gt;"")),INDEX(记账汇率区,0,MATCH($D344,汇率币种头,0))),""))))</f>
        <v/>
      </c>
      <c r="K344" s="23" t="str">
        <f t="shared" si="10"/>
        <v/>
      </c>
      <c r="L344" s="23" t="str">
        <f t="shared" si="11"/>
        <v/>
      </c>
      <c r="M344" s="23" t="str">
        <f>IF($B344="","",ROUND(SUMIF(账户名,$B344,账户期初)+SUMIFS($K$6:K344,$B$6:B344,$B344),2))</f>
        <v/>
      </c>
      <c r="N344" s="23" t="str">
        <f>IF($B344="","",IFERROR(ROUND(INDEX(账户期初本位,MATCH($B344,账户名,0))+SUMIFS($L$6:L344,$B$6:B344,$B344),2),""))</f>
        <v/>
      </c>
      <c r="O344" s="46"/>
      <c r="P344" s="47"/>
      <c r="Q344" s="46"/>
      <c r="R344" s="46"/>
      <c r="S344" s="6" t="str">
        <f>IF($B344="","",IF(ISNA(MATCH($B344,账户名,0)),"※这个账户不在【参数设置】的账户档案里",IF($A344="","※没填日期，这一笔不会进任何月份的报表",IF(AND($G344&lt;&gt;"",$H344&lt;&gt;""),"※收入和支出不能同时填",IF(AND(N($G344)=0,N($H344)=0),"※收入和支出都没填",IF($E344="","※没填收支类别，分类报表会漏掉这一笔",IF(ISNA(MATCH($E344,类别表,0)),"※收支类别不在【参数设置】的清单里",IF($J344="","△"&amp;$D344&amp;" 还没填汇率，去【月度汇率】补上就自动算了",IF(YEAR($A344)&lt;&gt;管理年度,"△不是管理年度的单据，年报里看不到",IF(AND($F344="内部转账",$Q344=""),"△内部转账建议在「往来单位」写上对方账户",IF($M344&lt;0,"△这一笔之后该账户余额成负数了，核一下","")))))))))))</f>
        <v/>
      </c>
    </row>
    <row r="345" ht="16.5" spans="1:19">
      <c r="A345" s="45"/>
      <c r="B345" s="46"/>
      <c r="C345" s="12" t="str">
        <f>IF($B345="","",IFERROR(INDEX(账户银行,MATCH($B345,账户名,0)),""))</f>
        <v/>
      </c>
      <c r="D345" s="12" t="str">
        <f>IF($B345="","",IFERROR(INDEX(账户币种,MATCH($B345,账户名,0)),""))</f>
        <v/>
      </c>
      <c r="E345" s="47"/>
      <c r="F345" s="12" t="str">
        <f>IF($E345="","",IFERROR(INDEX(类别属性,MATCH($E345,类别表,0)),""))</f>
        <v/>
      </c>
      <c r="G345" s="48"/>
      <c r="H345" s="48"/>
      <c r="I345" s="49"/>
      <c r="J345" s="24" t="str">
        <f>IF(OR($A345="",$B345=""),"",IF($I345&lt;&gt;"",$I345,IF($D345=本位币,1,IFERROR(LOOKUP(2,1/((汇率月份&lt;=$A345)*(INDEX(记账汇率区,0,MATCH($D345,汇率币种头,0))&lt;&gt;"")),INDEX(记账汇率区,0,MATCH($D345,汇率币种头,0))),""))))</f>
        <v/>
      </c>
      <c r="K345" s="23" t="str">
        <f t="shared" si="10"/>
        <v/>
      </c>
      <c r="L345" s="23" t="str">
        <f t="shared" si="11"/>
        <v/>
      </c>
      <c r="M345" s="23" t="str">
        <f>IF($B345="","",ROUND(SUMIF(账户名,$B345,账户期初)+SUMIFS($K$6:K345,$B$6:B345,$B345),2))</f>
        <v/>
      </c>
      <c r="N345" s="23" t="str">
        <f>IF($B345="","",IFERROR(ROUND(INDEX(账户期初本位,MATCH($B345,账户名,0))+SUMIFS($L$6:L345,$B$6:B345,$B345),2),""))</f>
        <v/>
      </c>
      <c r="O345" s="46"/>
      <c r="P345" s="47"/>
      <c r="Q345" s="46"/>
      <c r="R345" s="46"/>
      <c r="S345" s="6" t="str">
        <f>IF($B345="","",IF(ISNA(MATCH($B345,账户名,0)),"※这个账户不在【参数设置】的账户档案里",IF($A345="","※没填日期，这一笔不会进任何月份的报表",IF(AND($G345&lt;&gt;"",$H345&lt;&gt;""),"※收入和支出不能同时填",IF(AND(N($G345)=0,N($H345)=0),"※收入和支出都没填",IF($E345="","※没填收支类别，分类报表会漏掉这一笔",IF(ISNA(MATCH($E345,类别表,0)),"※收支类别不在【参数设置】的清单里",IF($J345="","△"&amp;$D345&amp;" 还没填汇率，去【月度汇率】补上就自动算了",IF(YEAR($A345)&lt;&gt;管理年度,"△不是管理年度的单据，年报里看不到",IF(AND($F345="内部转账",$Q345=""),"△内部转账建议在「往来单位」写上对方账户",IF($M345&lt;0,"△这一笔之后该账户余额成负数了，核一下","")))))))))))</f>
        <v/>
      </c>
    </row>
    <row r="346" ht="16.5" spans="1:19">
      <c r="A346" s="45"/>
      <c r="B346" s="46"/>
      <c r="C346" s="12" t="str">
        <f>IF($B346="","",IFERROR(INDEX(账户银行,MATCH($B346,账户名,0)),""))</f>
        <v/>
      </c>
      <c r="D346" s="12" t="str">
        <f>IF($B346="","",IFERROR(INDEX(账户币种,MATCH($B346,账户名,0)),""))</f>
        <v/>
      </c>
      <c r="E346" s="47"/>
      <c r="F346" s="12" t="str">
        <f>IF($E346="","",IFERROR(INDEX(类别属性,MATCH($E346,类别表,0)),""))</f>
        <v/>
      </c>
      <c r="G346" s="48"/>
      <c r="H346" s="48"/>
      <c r="I346" s="49"/>
      <c r="J346" s="24" t="str">
        <f>IF(OR($A346="",$B346=""),"",IF($I346&lt;&gt;"",$I346,IF($D346=本位币,1,IFERROR(LOOKUP(2,1/((汇率月份&lt;=$A346)*(INDEX(记账汇率区,0,MATCH($D346,汇率币种头,0))&lt;&gt;"")),INDEX(记账汇率区,0,MATCH($D346,汇率币种头,0))),""))))</f>
        <v/>
      </c>
      <c r="K346" s="23" t="str">
        <f t="shared" si="10"/>
        <v/>
      </c>
      <c r="L346" s="23" t="str">
        <f t="shared" si="11"/>
        <v/>
      </c>
      <c r="M346" s="23" t="str">
        <f>IF($B346="","",ROUND(SUMIF(账户名,$B346,账户期初)+SUMIFS($K$6:K346,$B$6:B346,$B346),2))</f>
        <v/>
      </c>
      <c r="N346" s="23" t="str">
        <f>IF($B346="","",IFERROR(ROUND(INDEX(账户期初本位,MATCH($B346,账户名,0))+SUMIFS($L$6:L346,$B$6:B346,$B346),2),""))</f>
        <v/>
      </c>
      <c r="O346" s="46"/>
      <c r="P346" s="47"/>
      <c r="Q346" s="46"/>
      <c r="R346" s="46"/>
      <c r="S346" s="6" t="str">
        <f>IF($B346="","",IF(ISNA(MATCH($B346,账户名,0)),"※这个账户不在【参数设置】的账户档案里",IF($A346="","※没填日期，这一笔不会进任何月份的报表",IF(AND($G346&lt;&gt;"",$H346&lt;&gt;""),"※收入和支出不能同时填",IF(AND(N($G346)=0,N($H346)=0),"※收入和支出都没填",IF($E346="","※没填收支类别，分类报表会漏掉这一笔",IF(ISNA(MATCH($E346,类别表,0)),"※收支类别不在【参数设置】的清单里",IF($J346="","△"&amp;$D346&amp;" 还没填汇率，去【月度汇率】补上就自动算了",IF(YEAR($A346)&lt;&gt;管理年度,"△不是管理年度的单据，年报里看不到",IF(AND($F346="内部转账",$Q346=""),"△内部转账建议在「往来单位」写上对方账户",IF($M346&lt;0,"△这一笔之后该账户余额成负数了，核一下","")))))))))))</f>
        <v/>
      </c>
    </row>
    <row r="347" ht="16.5" spans="1:19">
      <c r="A347" s="45"/>
      <c r="B347" s="46"/>
      <c r="C347" s="12" t="str">
        <f>IF($B347="","",IFERROR(INDEX(账户银行,MATCH($B347,账户名,0)),""))</f>
        <v/>
      </c>
      <c r="D347" s="12" t="str">
        <f>IF($B347="","",IFERROR(INDEX(账户币种,MATCH($B347,账户名,0)),""))</f>
        <v/>
      </c>
      <c r="E347" s="47"/>
      <c r="F347" s="12" t="str">
        <f>IF($E347="","",IFERROR(INDEX(类别属性,MATCH($E347,类别表,0)),""))</f>
        <v/>
      </c>
      <c r="G347" s="48"/>
      <c r="H347" s="48"/>
      <c r="I347" s="49"/>
      <c r="J347" s="24" t="str">
        <f>IF(OR($A347="",$B347=""),"",IF($I347&lt;&gt;"",$I347,IF($D347=本位币,1,IFERROR(LOOKUP(2,1/((汇率月份&lt;=$A347)*(INDEX(记账汇率区,0,MATCH($D347,汇率币种头,0))&lt;&gt;"")),INDEX(记账汇率区,0,MATCH($D347,汇率币种头,0))),""))))</f>
        <v/>
      </c>
      <c r="K347" s="23" t="str">
        <f t="shared" si="10"/>
        <v/>
      </c>
      <c r="L347" s="23" t="str">
        <f t="shared" si="11"/>
        <v/>
      </c>
      <c r="M347" s="23" t="str">
        <f>IF($B347="","",ROUND(SUMIF(账户名,$B347,账户期初)+SUMIFS($K$6:K347,$B$6:B347,$B347),2))</f>
        <v/>
      </c>
      <c r="N347" s="23" t="str">
        <f>IF($B347="","",IFERROR(ROUND(INDEX(账户期初本位,MATCH($B347,账户名,0))+SUMIFS($L$6:L347,$B$6:B347,$B347),2),""))</f>
        <v/>
      </c>
      <c r="O347" s="46"/>
      <c r="P347" s="47"/>
      <c r="Q347" s="46"/>
      <c r="R347" s="46"/>
      <c r="S347" s="6" t="str">
        <f>IF($B347="","",IF(ISNA(MATCH($B347,账户名,0)),"※这个账户不在【参数设置】的账户档案里",IF($A347="","※没填日期，这一笔不会进任何月份的报表",IF(AND($G347&lt;&gt;"",$H347&lt;&gt;""),"※收入和支出不能同时填",IF(AND(N($G347)=0,N($H347)=0),"※收入和支出都没填",IF($E347="","※没填收支类别，分类报表会漏掉这一笔",IF(ISNA(MATCH($E347,类别表,0)),"※收支类别不在【参数设置】的清单里",IF($J347="","△"&amp;$D347&amp;" 还没填汇率，去【月度汇率】补上就自动算了",IF(YEAR($A347)&lt;&gt;管理年度,"△不是管理年度的单据，年报里看不到",IF(AND($F347="内部转账",$Q347=""),"△内部转账建议在「往来单位」写上对方账户",IF($M347&lt;0,"△这一笔之后该账户余额成负数了，核一下","")))))))))))</f>
        <v/>
      </c>
    </row>
    <row r="348" ht="16.5" spans="1:19">
      <c r="A348" s="45"/>
      <c r="B348" s="46"/>
      <c r="C348" s="12" t="str">
        <f>IF($B348="","",IFERROR(INDEX(账户银行,MATCH($B348,账户名,0)),""))</f>
        <v/>
      </c>
      <c r="D348" s="12" t="str">
        <f>IF($B348="","",IFERROR(INDEX(账户币种,MATCH($B348,账户名,0)),""))</f>
        <v/>
      </c>
      <c r="E348" s="47"/>
      <c r="F348" s="12" t="str">
        <f>IF($E348="","",IFERROR(INDEX(类别属性,MATCH($E348,类别表,0)),""))</f>
        <v/>
      </c>
      <c r="G348" s="48"/>
      <c r="H348" s="48"/>
      <c r="I348" s="49"/>
      <c r="J348" s="24" t="str">
        <f>IF(OR($A348="",$B348=""),"",IF($I348&lt;&gt;"",$I348,IF($D348=本位币,1,IFERROR(LOOKUP(2,1/((汇率月份&lt;=$A348)*(INDEX(记账汇率区,0,MATCH($D348,汇率币种头,0))&lt;&gt;"")),INDEX(记账汇率区,0,MATCH($D348,汇率币种头,0))),""))))</f>
        <v/>
      </c>
      <c r="K348" s="23" t="str">
        <f t="shared" si="10"/>
        <v/>
      </c>
      <c r="L348" s="23" t="str">
        <f t="shared" si="11"/>
        <v/>
      </c>
      <c r="M348" s="23" t="str">
        <f>IF($B348="","",ROUND(SUMIF(账户名,$B348,账户期初)+SUMIFS($K$6:K348,$B$6:B348,$B348),2))</f>
        <v/>
      </c>
      <c r="N348" s="23" t="str">
        <f>IF($B348="","",IFERROR(ROUND(INDEX(账户期初本位,MATCH($B348,账户名,0))+SUMIFS($L$6:L348,$B$6:B348,$B348),2),""))</f>
        <v/>
      </c>
      <c r="O348" s="46"/>
      <c r="P348" s="47"/>
      <c r="Q348" s="46"/>
      <c r="R348" s="46"/>
      <c r="S348" s="6" t="str">
        <f>IF($B348="","",IF(ISNA(MATCH($B348,账户名,0)),"※这个账户不在【参数设置】的账户档案里",IF($A348="","※没填日期，这一笔不会进任何月份的报表",IF(AND($G348&lt;&gt;"",$H348&lt;&gt;""),"※收入和支出不能同时填",IF(AND(N($G348)=0,N($H348)=0),"※收入和支出都没填",IF($E348="","※没填收支类别，分类报表会漏掉这一笔",IF(ISNA(MATCH($E348,类别表,0)),"※收支类别不在【参数设置】的清单里",IF($J348="","△"&amp;$D348&amp;" 还没填汇率，去【月度汇率】补上就自动算了",IF(YEAR($A348)&lt;&gt;管理年度,"△不是管理年度的单据，年报里看不到",IF(AND($F348="内部转账",$Q348=""),"△内部转账建议在「往来单位」写上对方账户",IF($M348&lt;0,"△这一笔之后该账户余额成负数了，核一下","")))))))))))</f>
        <v/>
      </c>
    </row>
    <row r="349" ht="16.5" spans="1:19">
      <c r="A349" s="45"/>
      <c r="B349" s="46"/>
      <c r="C349" s="12" t="str">
        <f>IF($B349="","",IFERROR(INDEX(账户银行,MATCH($B349,账户名,0)),""))</f>
        <v/>
      </c>
      <c r="D349" s="12" t="str">
        <f>IF($B349="","",IFERROR(INDEX(账户币种,MATCH($B349,账户名,0)),""))</f>
        <v/>
      </c>
      <c r="E349" s="47"/>
      <c r="F349" s="12" t="str">
        <f>IF($E349="","",IFERROR(INDEX(类别属性,MATCH($E349,类别表,0)),""))</f>
        <v/>
      </c>
      <c r="G349" s="48"/>
      <c r="H349" s="48"/>
      <c r="I349" s="49"/>
      <c r="J349" s="24" t="str">
        <f>IF(OR($A349="",$B349=""),"",IF($I349&lt;&gt;"",$I349,IF($D349=本位币,1,IFERROR(LOOKUP(2,1/((汇率月份&lt;=$A349)*(INDEX(记账汇率区,0,MATCH($D349,汇率币种头,0))&lt;&gt;"")),INDEX(记账汇率区,0,MATCH($D349,汇率币种头,0))),""))))</f>
        <v/>
      </c>
      <c r="K349" s="23" t="str">
        <f t="shared" si="10"/>
        <v/>
      </c>
      <c r="L349" s="23" t="str">
        <f t="shared" si="11"/>
        <v/>
      </c>
      <c r="M349" s="23" t="str">
        <f>IF($B349="","",ROUND(SUMIF(账户名,$B349,账户期初)+SUMIFS($K$6:K349,$B$6:B349,$B349),2))</f>
        <v/>
      </c>
      <c r="N349" s="23" t="str">
        <f>IF($B349="","",IFERROR(ROUND(INDEX(账户期初本位,MATCH($B349,账户名,0))+SUMIFS($L$6:L349,$B$6:B349,$B349),2),""))</f>
        <v/>
      </c>
      <c r="O349" s="46"/>
      <c r="P349" s="47"/>
      <c r="Q349" s="46"/>
      <c r="R349" s="46"/>
      <c r="S349" s="6" t="str">
        <f>IF($B349="","",IF(ISNA(MATCH($B349,账户名,0)),"※这个账户不在【参数设置】的账户档案里",IF($A349="","※没填日期，这一笔不会进任何月份的报表",IF(AND($G349&lt;&gt;"",$H349&lt;&gt;""),"※收入和支出不能同时填",IF(AND(N($G349)=0,N($H349)=0),"※收入和支出都没填",IF($E349="","※没填收支类别，分类报表会漏掉这一笔",IF(ISNA(MATCH($E349,类别表,0)),"※收支类别不在【参数设置】的清单里",IF($J349="","△"&amp;$D349&amp;" 还没填汇率，去【月度汇率】补上就自动算了",IF(YEAR($A349)&lt;&gt;管理年度,"△不是管理年度的单据，年报里看不到",IF(AND($F349="内部转账",$Q349=""),"△内部转账建议在「往来单位」写上对方账户",IF($M349&lt;0,"△这一笔之后该账户余额成负数了，核一下","")))))))))))</f>
        <v/>
      </c>
    </row>
    <row r="350" ht="16.5" spans="1:19">
      <c r="A350" s="45"/>
      <c r="B350" s="46"/>
      <c r="C350" s="12" t="str">
        <f>IF($B350="","",IFERROR(INDEX(账户银行,MATCH($B350,账户名,0)),""))</f>
        <v/>
      </c>
      <c r="D350" s="12" t="str">
        <f>IF($B350="","",IFERROR(INDEX(账户币种,MATCH($B350,账户名,0)),""))</f>
        <v/>
      </c>
      <c r="E350" s="47"/>
      <c r="F350" s="12" t="str">
        <f>IF($E350="","",IFERROR(INDEX(类别属性,MATCH($E350,类别表,0)),""))</f>
        <v/>
      </c>
      <c r="G350" s="48"/>
      <c r="H350" s="48"/>
      <c r="I350" s="49"/>
      <c r="J350" s="24" t="str">
        <f>IF(OR($A350="",$B350=""),"",IF($I350&lt;&gt;"",$I350,IF($D350=本位币,1,IFERROR(LOOKUP(2,1/((汇率月份&lt;=$A350)*(INDEX(记账汇率区,0,MATCH($D350,汇率币种头,0))&lt;&gt;"")),INDEX(记账汇率区,0,MATCH($D350,汇率币种头,0))),""))))</f>
        <v/>
      </c>
      <c r="K350" s="23" t="str">
        <f t="shared" si="10"/>
        <v/>
      </c>
      <c r="L350" s="23" t="str">
        <f t="shared" si="11"/>
        <v/>
      </c>
      <c r="M350" s="23" t="str">
        <f>IF($B350="","",ROUND(SUMIF(账户名,$B350,账户期初)+SUMIFS($K$6:K350,$B$6:B350,$B350),2))</f>
        <v/>
      </c>
      <c r="N350" s="23" t="str">
        <f>IF($B350="","",IFERROR(ROUND(INDEX(账户期初本位,MATCH($B350,账户名,0))+SUMIFS($L$6:L350,$B$6:B350,$B350),2),""))</f>
        <v/>
      </c>
      <c r="O350" s="46"/>
      <c r="P350" s="47"/>
      <c r="Q350" s="46"/>
      <c r="R350" s="46"/>
      <c r="S350" s="6" t="str">
        <f>IF($B350="","",IF(ISNA(MATCH($B350,账户名,0)),"※这个账户不在【参数设置】的账户档案里",IF($A350="","※没填日期，这一笔不会进任何月份的报表",IF(AND($G350&lt;&gt;"",$H350&lt;&gt;""),"※收入和支出不能同时填",IF(AND(N($G350)=0,N($H350)=0),"※收入和支出都没填",IF($E350="","※没填收支类别，分类报表会漏掉这一笔",IF(ISNA(MATCH($E350,类别表,0)),"※收支类别不在【参数设置】的清单里",IF($J350="","△"&amp;$D350&amp;" 还没填汇率，去【月度汇率】补上就自动算了",IF(YEAR($A350)&lt;&gt;管理年度,"△不是管理年度的单据，年报里看不到",IF(AND($F350="内部转账",$Q350=""),"△内部转账建议在「往来单位」写上对方账户",IF($M350&lt;0,"△这一笔之后该账户余额成负数了，核一下","")))))))))))</f>
        <v/>
      </c>
    </row>
    <row r="351" ht="16.5" spans="1:19">
      <c r="A351" s="45"/>
      <c r="B351" s="46"/>
      <c r="C351" s="12" t="str">
        <f>IF($B351="","",IFERROR(INDEX(账户银行,MATCH($B351,账户名,0)),""))</f>
        <v/>
      </c>
      <c r="D351" s="12" t="str">
        <f>IF($B351="","",IFERROR(INDEX(账户币种,MATCH($B351,账户名,0)),""))</f>
        <v/>
      </c>
      <c r="E351" s="47"/>
      <c r="F351" s="12" t="str">
        <f>IF($E351="","",IFERROR(INDEX(类别属性,MATCH($E351,类别表,0)),""))</f>
        <v/>
      </c>
      <c r="G351" s="48"/>
      <c r="H351" s="48"/>
      <c r="I351" s="49"/>
      <c r="J351" s="24" t="str">
        <f>IF(OR($A351="",$B351=""),"",IF($I351&lt;&gt;"",$I351,IF($D351=本位币,1,IFERROR(LOOKUP(2,1/((汇率月份&lt;=$A351)*(INDEX(记账汇率区,0,MATCH($D351,汇率币种头,0))&lt;&gt;"")),INDEX(记账汇率区,0,MATCH($D351,汇率币种头,0))),""))))</f>
        <v/>
      </c>
      <c r="K351" s="23" t="str">
        <f t="shared" si="10"/>
        <v/>
      </c>
      <c r="L351" s="23" t="str">
        <f t="shared" si="11"/>
        <v/>
      </c>
      <c r="M351" s="23" t="str">
        <f>IF($B351="","",ROUND(SUMIF(账户名,$B351,账户期初)+SUMIFS($K$6:K351,$B$6:B351,$B351),2))</f>
        <v/>
      </c>
      <c r="N351" s="23" t="str">
        <f>IF($B351="","",IFERROR(ROUND(INDEX(账户期初本位,MATCH($B351,账户名,0))+SUMIFS($L$6:L351,$B$6:B351,$B351),2),""))</f>
        <v/>
      </c>
      <c r="O351" s="46"/>
      <c r="P351" s="47"/>
      <c r="Q351" s="46"/>
      <c r="R351" s="46"/>
      <c r="S351" s="6" t="str">
        <f>IF($B351="","",IF(ISNA(MATCH($B351,账户名,0)),"※这个账户不在【参数设置】的账户档案里",IF($A351="","※没填日期，这一笔不会进任何月份的报表",IF(AND($G351&lt;&gt;"",$H351&lt;&gt;""),"※收入和支出不能同时填",IF(AND(N($G351)=0,N($H351)=0),"※收入和支出都没填",IF($E351="","※没填收支类别，分类报表会漏掉这一笔",IF(ISNA(MATCH($E351,类别表,0)),"※收支类别不在【参数设置】的清单里",IF($J351="","△"&amp;$D351&amp;" 还没填汇率，去【月度汇率】补上就自动算了",IF(YEAR($A351)&lt;&gt;管理年度,"△不是管理年度的单据，年报里看不到",IF(AND($F351="内部转账",$Q351=""),"△内部转账建议在「往来单位」写上对方账户",IF($M351&lt;0,"△这一笔之后该账户余额成负数了，核一下","")))))))))))</f>
        <v/>
      </c>
    </row>
    <row r="352" ht="16.5" spans="1:19">
      <c r="A352" s="45"/>
      <c r="B352" s="46"/>
      <c r="C352" s="12" t="str">
        <f>IF($B352="","",IFERROR(INDEX(账户银行,MATCH($B352,账户名,0)),""))</f>
        <v/>
      </c>
      <c r="D352" s="12" t="str">
        <f>IF($B352="","",IFERROR(INDEX(账户币种,MATCH($B352,账户名,0)),""))</f>
        <v/>
      </c>
      <c r="E352" s="47"/>
      <c r="F352" s="12" t="str">
        <f>IF($E352="","",IFERROR(INDEX(类别属性,MATCH($E352,类别表,0)),""))</f>
        <v/>
      </c>
      <c r="G352" s="48"/>
      <c r="H352" s="48"/>
      <c r="I352" s="49"/>
      <c r="J352" s="24" t="str">
        <f>IF(OR($A352="",$B352=""),"",IF($I352&lt;&gt;"",$I352,IF($D352=本位币,1,IFERROR(LOOKUP(2,1/((汇率月份&lt;=$A352)*(INDEX(记账汇率区,0,MATCH($D352,汇率币种头,0))&lt;&gt;"")),INDEX(记账汇率区,0,MATCH($D352,汇率币种头,0))),""))))</f>
        <v/>
      </c>
      <c r="K352" s="23" t="str">
        <f t="shared" si="10"/>
        <v/>
      </c>
      <c r="L352" s="23" t="str">
        <f t="shared" si="11"/>
        <v/>
      </c>
      <c r="M352" s="23" t="str">
        <f>IF($B352="","",ROUND(SUMIF(账户名,$B352,账户期初)+SUMIFS($K$6:K352,$B$6:B352,$B352),2))</f>
        <v/>
      </c>
      <c r="N352" s="23" t="str">
        <f>IF($B352="","",IFERROR(ROUND(INDEX(账户期初本位,MATCH($B352,账户名,0))+SUMIFS($L$6:L352,$B$6:B352,$B352),2),""))</f>
        <v/>
      </c>
      <c r="O352" s="46"/>
      <c r="P352" s="47"/>
      <c r="Q352" s="46"/>
      <c r="R352" s="46"/>
      <c r="S352" s="6" t="str">
        <f>IF($B352="","",IF(ISNA(MATCH($B352,账户名,0)),"※这个账户不在【参数设置】的账户档案里",IF($A352="","※没填日期，这一笔不会进任何月份的报表",IF(AND($G352&lt;&gt;"",$H352&lt;&gt;""),"※收入和支出不能同时填",IF(AND(N($G352)=0,N($H352)=0),"※收入和支出都没填",IF($E352="","※没填收支类别，分类报表会漏掉这一笔",IF(ISNA(MATCH($E352,类别表,0)),"※收支类别不在【参数设置】的清单里",IF($J352="","△"&amp;$D352&amp;" 还没填汇率，去【月度汇率】补上就自动算了",IF(YEAR($A352)&lt;&gt;管理年度,"△不是管理年度的单据，年报里看不到",IF(AND($F352="内部转账",$Q352=""),"△内部转账建议在「往来单位」写上对方账户",IF($M352&lt;0,"△这一笔之后该账户余额成负数了，核一下","")))))))))))</f>
        <v/>
      </c>
    </row>
    <row r="353" ht="16.5" spans="1:19">
      <c r="A353" s="45"/>
      <c r="B353" s="46"/>
      <c r="C353" s="12" t="str">
        <f>IF($B353="","",IFERROR(INDEX(账户银行,MATCH($B353,账户名,0)),""))</f>
        <v/>
      </c>
      <c r="D353" s="12" t="str">
        <f>IF($B353="","",IFERROR(INDEX(账户币种,MATCH($B353,账户名,0)),""))</f>
        <v/>
      </c>
      <c r="E353" s="47"/>
      <c r="F353" s="12" t="str">
        <f>IF($E353="","",IFERROR(INDEX(类别属性,MATCH($E353,类别表,0)),""))</f>
        <v/>
      </c>
      <c r="G353" s="48"/>
      <c r="H353" s="48"/>
      <c r="I353" s="49"/>
      <c r="J353" s="24" t="str">
        <f>IF(OR($A353="",$B353=""),"",IF($I353&lt;&gt;"",$I353,IF($D353=本位币,1,IFERROR(LOOKUP(2,1/((汇率月份&lt;=$A353)*(INDEX(记账汇率区,0,MATCH($D353,汇率币种头,0))&lt;&gt;"")),INDEX(记账汇率区,0,MATCH($D353,汇率币种头,0))),""))))</f>
        <v/>
      </c>
      <c r="K353" s="23" t="str">
        <f t="shared" si="10"/>
        <v/>
      </c>
      <c r="L353" s="23" t="str">
        <f t="shared" si="11"/>
        <v/>
      </c>
      <c r="M353" s="23" t="str">
        <f>IF($B353="","",ROUND(SUMIF(账户名,$B353,账户期初)+SUMIFS($K$6:K353,$B$6:B353,$B353),2))</f>
        <v/>
      </c>
      <c r="N353" s="23" t="str">
        <f>IF($B353="","",IFERROR(ROUND(INDEX(账户期初本位,MATCH($B353,账户名,0))+SUMIFS($L$6:L353,$B$6:B353,$B353),2),""))</f>
        <v/>
      </c>
      <c r="O353" s="46"/>
      <c r="P353" s="47"/>
      <c r="Q353" s="46"/>
      <c r="R353" s="46"/>
      <c r="S353" s="6" t="str">
        <f>IF($B353="","",IF(ISNA(MATCH($B353,账户名,0)),"※这个账户不在【参数设置】的账户档案里",IF($A353="","※没填日期，这一笔不会进任何月份的报表",IF(AND($G353&lt;&gt;"",$H353&lt;&gt;""),"※收入和支出不能同时填",IF(AND(N($G353)=0,N($H353)=0),"※收入和支出都没填",IF($E353="","※没填收支类别，分类报表会漏掉这一笔",IF(ISNA(MATCH($E353,类别表,0)),"※收支类别不在【参数设置】的清单里",IF($J353="","△"&amp;$D353&amp;" 还没填汇率，去【月度汇率】补上就自动算了",IF(YEAR($A353)&lt;&gt;管理年度,"△不是管理年度的单据，年报里看不到",IF(AND($F353="内部转账",$Q353=""),"△内部转账建议在「往来单位」写上对方账户",IF($M353&lt;0,"△这一笔之后该账户余额成负数了，核一下","")))))))))))</f>
        <v/>
      </c>
    </row>
    <row r="354" ht="16.5" spans="1:19">
      <c r="A354" s="45"/>
      <c r="B354" s="46"/>
      <c r="C354" s="12" t="str">
        <f>IF($B354="","",IFERROR(INDEX(账户银行,MATCH($B354,账户名,0)),""))</f>
        <v/>
      </c>
      <c r="D354" s="12" t="str">
        <f>IF($B354="","",IFERROR(INDEX(账户币种,MATCH($B354,账户名,0)),""))</f>
        <v/>
      </c>
      <c r="E354" s="47"/>
      <c r="F354" s="12" t="str">
        <f>IF($E354="","",IFERROR(INDEX(类别属性,MATCH($E354,类别表,0)),""))</f>
        <v/>
      </c>
      <c r="G354" s="48"/>
      <c r="H354" s="48"/>
      <c r="I354" s="49"/>
      <c r="J354" s="24" t="str">
        <f>IF(OR($A354="",$B354=""),"",IF($I354&lt;&gt;"",$I354,IF($D354=本位币,1,IFERROR(LOOKUP(2,1/((汇率月份&lt;=$A354)*(INDEX(记账汇率区,0,MATCH($D354,汇率币种头,0))&lt;&gt;"")),INDEX(记账汇率区,0,MATCH($D354,汇率币种头,0))),""))))</f>
        <v/>
      </c>
      <c r="K354" s="23" t="str">
        <f t="shared" si="10"/>
        <v/>
      </c>
      <c r="L354" s="23" t="str">
        <f t="shared" si="11"/>
        <v/>
      </c>
      <c r="M354" s="23" t="str">
        <f>IF($B354="","",ROUND(SUMIF(账户名,$B354,账户期初)+SUMIFS($K$6:K354,$B$6:B354,$B354),2))</f>
        <v/>
      </c>
      <c r="N354" s="23" t="str">
        <f>IF($B354="","",IFERROR(ROUND(INDEX(账户期初本位,MATCH($B354,账户名,0))+SUMIFS($L$6:L354,$B$6:B354,$B354),2),""))</f>
        <v/>
      </c>
      <c r="O354" s="46"/>
      <c r="P354" s="47"/>
      <c r="Q354" s="46"/>
      <c r="R354" s="46"/>
      <c r="S354" s="6" t="str">
        <f>IF($B354="","",IF(ISNA(MATCH($B354,账户名,0)),"※这个账户不在【参数设置】的账户档案里",IF($A354="","※没填日期，这一笔不会进任何月份的报表",IF(AND($G354&lt;&gt;"",$H354&lt;&gt;""),"※收入和支出不能同时填",IF(AND(N($G354)=0,N($H354)=0),"※收入和支出都没填",IF($E354="","※没填收支类别，分类报表会漏掉这一笔",IF(ISNA(MATCH($E354,类别表,0)),"※收支类别不在【参数设置】的清单里",IF($J354="","△"&amp;$D354&amp;" 还没填汇率，去【月度汇率】补上就自动算了",IF(YEAR($A354)&lt;&gt;管理年度,"△不是管理年度的单据，年报里看不到",IF(AND($F354="内部转账",$Q354=""),"△内部转账建议在「往来单位」写上对方账户",IF($M354&lt;0,"△这一笔之后该账户余额成负数了，核一下","")))))))))))</f>
        <v/>
      </c>
    </row>
    <row r="355" ht="16.5" spans="1:19">
      <c r="A355" s="45"/>
      <c r="B355" s="46"/>
      <c r="C355" s="12" t="str">
        <f>IF($B355="","",IFERROR(INDEX(账户银行,MATCH($B355,账户名,0)),""))</f>
        <v/>
      </c>
      <c r="D355" s="12" t="str">
        <f>IF($B355="","",IFERROR(INDEX(账户币种,MATCH($B355,账户名,0)),""))</f>
        <v/>
      </c>
      <c r="E355" s="47"/>
      <c r="F355" s="12" t="str">
        <f>IF($E355="","",IFERROR(INDEX(类别属性,MATCH($E355,类别表,0)),""))</f>
        <v/>
      </c>
      <c r="G355" s="48"/>
      <c r="H355" s="48"/>
      <c r="I355" s="49"/>
      <c r="J355" s="24" t="str">
        <f>IF(OR($A355="",$B355=""),"",IF($I355&lt;&gt;"",$I355,IF($D355=本位币,1,IFERROR(LOOKUP(2,1/((汇率月份&lt;=$A355)*(INDEX(记账汇率区,0,MATCH($D355,汇率币种头,0))&lt;&gt;"")),INDEX(记账汇率区,0,MATCH($D355,汇率币种头,0))),""))))</f>
        <v/>
      </c>
      <c r="K355" s="23" t="str">
        <f t="shared" si="10"/>
        <v/>
      </c>
      <c r="L355" s="23" t="str">
        <f t="shared" si="11"/>
        <v/>
      </c>
      <c r="M355" s="23" t="str">
        <f>IF($B355="","",ROUND(SUMIF(账户名,$B355,账户期初)+SUMIFS($K$6:K355,$B$6:B355,$B355),2))</f>
        <v/>
      </c>
      <c r="N355" s="23" t="str">
        <f>IF($B355="","",IFERROR(ROUND(INDEX(账户期初本位,MATCH($B355,账户名,0))+SUMIFS($L$6:L355,$B$6:B355,$B355),2),""))</f>
        <v/>
      </c>
      <c r="O355" s="46"/>
      <c r="P355" s="47"/>
      <c r="Q355" s="46"/>
      <c r="R355" s="46"/>
      <c r="S355" s="6" t="str">
        <f>IF($B355="","",IF(ISNA(MATCH($B355,账户名,0)),"※这个账户不在【参数设置】的账户档案里",IF($A355="","※没填日期，这一笔不会进任何月份的报表",IF(AND($G355&lt;&gt;"",$H355&lt;&gt;""),"※收入和支出不能同时填",IF(AND(N($G355)=0,N($H355)=0),"※收入和支出都没填",IF($E355="","※没填收支类别，分类报表会漏掉这一笔",IF(ISNA(MATCH($E355,类别表,0)),"※收支类别不在【参数设置】的清单里",IF($J355="","△"&amp;$D355&amp;" 还没填汇率，去【月度汇率】补上就自动算了",IF(YEAR($A355)&lt;&gt;管理年度,"△不是管理年度的单据，年报里看不到",IF(AND($F355="内部转账",$Q355=""),"△内部转账建议在「往来单位」写上对方账户",IF($M355&lt;0,"△这一笔之后该账户余额成负数了，核一下","")))))))))))</f>
        <v/>
      </c>
    </row>
    <row r="356" ht="16.5" spans="1:19">
      <c r="A356" s="45"/>
      <c r="B356" s="46"/>
      <c r="C356" s="12" t="str">
        <f>IF($B356="","",IFERROR(INDEX(账户银行,MATCH($B356,账户名,0)),""))</f>
        <v/>
      </c>
      <c r="D356" s="12" t="str">
        <f>IF($B356="","",IFERROR(INDEX(账户币种,MATCH($B356,账户名,0)),""))</f>
        <v/>
      </c>
      <c r="E356" s="47"/>
      <c r="F356" s="12" t="str">
        <f>IF($E356="","",IFERROR(INDEX(类别属性,MATCH($E356,类别表,0)),""))</f>
        <v/>
      </c>
      <c r="G356" s="48"/>
      <c r="H356" s="48"/>
      <c r="I356" s="49"/>
      <c r="J356" s="24" t="str">
        <f>IF(OR($A356="",$B356=""),"",IF($I356&lt;&gt;"",$I356,IF($D356=本位币,1,IFERROR(LOOKUP(2,1/((汇率月份&lt;=$A356)*(INDEX(记账汇率区,0,MATCH($D356,汇率币种头,0))&lt;&gt;"")),INDEX(记账汇率区,0,MATCH($D356,汇率币种头,0))),""))))</f>
        <v/>
      </c>
      <c r="K356" s="23" t="str">
        <f t="shared" si="10"/>
        <v/>
      </c>
      <c r="L356" s="23" t="str">
        <f t="shared" si="11"/>
        <v/>
      </c>
      <c r="M356" s="23" t="str">
        <f>IF($B356="","",ROUND(SUMIF(账户名,$B356,账户期初)+SUMIFS($K$6:K356,$B$6:B356,$B356),2))</f>
        <v/>
      </c>
      <c r="N356" s="23" t="str">
        <f>IF($B356="","",IFERROR(ROUND(INDEX(账户期初本位,MATCH($B356,账户名,0))+SUMIFS($L$6:L356,$B$6:B356,$B356),2),""))</f>
        <v/>
      </c>
      <c r="O356" s="46"/>
      <c r="P356" s="47"/>
      <c r="Q356" s="46"/>
      <c r="R356" s="46"/>
      <c r="S356" s="6" t="str">
        <f>IF($B356="","",IF(ISNA(MATCH($B356,账户名,0)),"※这个账户不在【参数设置】的账户档案里",IF($A356="","※没填日期，这一笔不会进任何月份的报表",IF(AND($G356&lt;&gt;"",$H356&lt;&gt;""),"※收入和支出不能同时填",IF(AND(N($G356)=0,N($H356)=0),"※收入和支出都没填",IF($E356="","※没填收支类别，分类报表会漏掉这一笔",IF(ISNA(MATCH($E356,类别表,0)),"※收支类别不在【参数设置】的清单里",IF($J356="","△"&amp;$D356&amp;" 还没填汇率，去【月度汇率】补上就自动算了",IF(YEAR($A356)&lt;&gt;管理年度,"△不是管理年度的单据，年报里看不到",IF(AND($F356="内部转账",$Q356=""),"△内部转账建议在「往来单位」写上对方账户",IF($M356&lt;0,"△这一笔之后该账户余额成负数了，核一下","")))))))))))</f>
        <v/>
      </c>
    </row>
    <row r="357" ht="16.5" spans="1:19">
      <c r="A357" s="45"/>
      <c r="B357" s="46"/>
      <c r="C357" s="12" t="str">
        <f>IF($B357="","",IFERROR(INDEX(账户银行,MATCH($B357,账户名,0)),""))</f>
        <v/>
      </c>
      <c r="D357" s="12" t="str">
        <f>IF($B357="","",IFERROR(INDEX(账户币种,MATCH($B357,账户名,0)),""))</f>
        <v/>
      </c>
      <c r="E357" s="47"/>
      <c r="F357" s="12" t="str">
        <f>IF($E357="","",IFERROR(INDEX(类别属性,MATCH($E357,类别表,0)),""))</f>
        <v/>
      </c>
      <c r="G357" s="48"/>
      <c r="H357" s="48"/>
      <c r="I357" s="49"/>
      <c r="J357" s="24" t="str">
        <f>IF(OR($A357="",$B357=""),"",IF($I357&lt;&gt;"",$I357,IF($D357=本位币,1,IFERROR(LOOKUP(2,1/((汇率月份&lt;=$A357)*(INDEX(记账汇率区,0,MATCH($D357,汇率币种头,0))&lt;&gt;"")),INDEX(记账汇率区,0,MATCH($D357,汇率币种头,0))),""))))</f>
        <v/>
      </c>
      <c r="K357" s="23" t="str">
        <f t="shared" si="10"/>
        <v/>
      </c>
      <c r="L357" s="23" t="str">
        <f t="shared" si="11"/>
        <v/>
      </c>
      <c r="M357" s="23" t="str">
        <f>IF($B357="","",ROUND(SUMIF(账户名,$B357,账户期初)+SUMIFS($K$6:K357,$B$6:B357,$B357),2))</f>
        <v/>
      </c>
      <c r="N357" s="23" t="str">
        <f>IF($B357="","",IFERROR(ROUND(INDEX(账户期初本位,MATCH($B357,账户名,0))+SUMIFS($L$6:L357,$B$6:B357,$B357),2),""))</f>
        <v/>
      </c>
      <c r="O357" s="46"/>
      <c r="P357" s="47"/>
      <c r="Q357" s="46"/>
      <c r="R357" s="46"/>
      <c r="S357" s="6" t="str">
        <f>IF($B357="","",IF(ISNA(MATCH($B357,账户名,0)),"※这个账户不在【参数设置】的账户档案里",IF($A357="","※没填日期，这一笔不会进任何月份的报表",IF(AND($G357&lt;&gt;"",$H357&lt;&gt;""),"※收入和支出不能同时填",IF(AND(N($G357)=0,N($H357)=0),"※收入和支出都没填",IF($E357="","※没填收支类别，分类报表会漏掉这一笔",IF(ISNA(MATCH($E357,类别表,0)),"※收支类别不在【参数设置】的清单里",IF($J357="","△"&amp;$D357&amp;" 还没填汇率，去【月度汇率】补上就自动算了",IF(YEAR($A357)&lt;&gt;管理年度,"△不是管理年度的单据，年报里看不到",IF(AND($F357="内部转账",$Q357=""),"△内部转账建议在「往来单位」写上对方账户",IF($M357&lt;0,"△这一笔之后该账户余额成负数了，核一下","")))))))))))</f>
        <v/>
      </c>
    </row>
    <row r="358" ht="16.5" spans="1:19">
      <c r="A358" s="45"/>
      <c r="B358" s="46"/>
      <c r="C358" s="12" t="str">
        <f>IF($B358="","",IFERROR(INDEX(账户银行,MATCH($B358,账户名,0)),""))</f>
        <v/>
      </c>
      <c r="D358" s="12" t="str">
        <f>IF($B358="","",IFERROR(INDEX(账户币种,MATCH($B358,账户名,0)),""))</f>
        <v/>
      </c>
      <c r="E358" s="47"/>
      <c r="F358" s="12" t="str">
        <f>IF($E358="","",IFERROR(INDEX(类别属性,MATCH($E358,类别表,0)),""))</f>
        <v/>
      </c>
      <c r="G358" s="48"/>
      <c r="H358" s="48"/>
      <c r="I358" s="49"/>
      <c r="J358" s="24" t="str">
        <f>IF(OR($A358="",$B358=""),"",IF($I358&lt;&gt;"",$I358,IF($D358=本位币,1,IFERROR(LOOKUP(2,1/((汇率月份&lt;=$A358)*(INDEX(记账汇率区,0,MATCH($D358,汇率币种头,0))&lt;&gt;"")),INDEX(记账汇率区,0,MATCH($D358,汇率币种头,0))),""))))</f>
        <v/>
      </c>
      <c r="K358" s="23" t="str">
        <f t="shared" si="10"/>
        <v/>
      </c>
      <c r="L358" s="23" t="str">
        <f t="shared" si="11"/>
        <v/>
      </c>
      <c r="M358" s="23" t="str">
        <f>IF($B358="","",ROUND(SUMIF(账户名,$B358,账户期初)+SUMIFS($K$6:K358,$B$6:B358,$B358),2))</f>
        <v/>
      </c>
      <c r="N358" s="23" t="str">
        <f>IF($B358="","",IFERROR(ROUND(INDEX(账户期初本位,MATCH($B358,账户名,0))+SUMIFS($L$6:L358,$B$6:B358,$B358),2),""))</f>
        <v/>
      </c>
      <c r="O358" s="46"/>
      <c r="P358" s="47"/>
      <c r="Q358" s="46"/>
      <c r="R358" s="46"/>
      <c r="S358" s="6" t="str">
        <f>IF($B358="","",IF(ISNA(MATCH($B358,账户名,0)),"※这个账户不在【参数设置】的账户档案里",IF($A358="","※没填日期，这一笔不会进任何月份的报表",IF(AND($G358&lt;&gt;"",$H358&lt;&gt;""),"※收入和支出不能同时填",IF(AND(N($G358)=0,N($H358)=0),"※收入和支出都没填",IF($E358="","※没填收支类别，分类报表会漏掉这一笔",IF(ISNA(MATCH($E358,类别表,0)),"※收支类别不在【参数设置】的清单里",IF($J358="","△"&amp;$D358&amp;" 还没填汇率，去【月度汇率】补上就自动算了",IF(YEAR($A358)&lt;&gt;管理年度,"△不是管理年度的单据，年报里看不到",IF(AND($F358="内部转账",$Q358=""),"△内部转账建议在「往来单位」写上对方账户",IF($M358&lt;0,"△这一笔之后该账户余额成负数了，核一下","")))))))))))</f>
        <v/>
      </c>
    </row>
    <row r="359" ht="16.5" spans="1:19">
      <c r="A359" s="45"/>
      <c r="B359" s="46"/>
      <c r="C359" s="12" t="str">
        <f>IF($B359="","",IFERROR(INDEX(账户银行,MATCH($B359,账户名,0)),""))</f>
        <v/>
      </c>
      <c r="D359" s="12" t="str">
        <f>IF($B359="","",IFERROR(INDEX(账户币种,MATCH($B359,账户名,0)),""))</f>
        <v/>
      </c>
      <c r="E359" s="47"/>
      <c r="F359" s="12" t="str">
        <f>IF($E359="","",IFERROR(INDEX(类别属性,MATCH($E359,类别表,0)),""))</f>
        <v/>
      </c>
      <c r="G359" s="48"/>
      <c r="H359" s="48"/>
      <c r="I359" s="49"/>
      <c r="J359" s="24" t="str">
        <f>IF(OR($A359="",$B359=""),"",IF($I359&lt;&gt;"",$I359,IF($D359=本位币,1,IFERROR(LOOKUP(2,1/((汇率月份&lt;=$A359)*(INDEX(记账汇率区,0,MATCH($D359,汇率币种头,0))&lt;&gt;"")),INDEX(记账汇率区,0,MATCH($D359,汇率币种头,0))),""))))</f>
        <v/>
      </c>
      <c r="K359" s="23" t="str">
        <f t="shared" si="10"/>
        <v/>
      </c>
      <c r="L359" s="23" t="str">
        <f t="shared" si="11"/>
        <v/>
      </c>
      <c r="M359" s="23" t="str">
        <f>IF($B359="","",ROUND(SUMIF(账户名,$B359,账户期初)+SUMIFS($K$6:K359,$B$6:B359,$B359),2))</f>
        <v/>
      </c>
      <c r="N359" s="23" t="str">
        <f>IF($B359="","",IFERROR(ROUND(INDEX(账户期初本位,MATCH($B359,账户名,0))+SUMIFS($L$6:L359,$B$6:B359,$B359),2),""))</f>
        <v/>
      </c>
      <c r="O359" s="46"/>
      <c r="P359" s="47"/>
      <c r="Q359" s="46"/>
      <c r="R359" s="46"/>
      <c r="S359" s="6" t="str">
        <f>IF($B359="","",IF(ISNA(MATCH($B359,账户名,0)),"※这个账户不在【参数设置】的账户档案里",IF($A359="","※没填日期，这一笔不会进任何月份的报表",IF(AND($G359&lt;&gt;"",$H359&lt;&gt;""),"※收入和支出不能同时填",IF(AND(N($G359)=0,N($H359)=0),"※收入和支出都没填",IF($E359="","※没填收支类别，分类报表会漏掉这一笔",IF(ISNA(MATCH($E359,类别表,0)),"※收支类别不在【参数设置】的清单里",IF($J359="","△"&amp;$D359&amp;" 还没填汇率，去【月度汇率】补上就自动算了",IF(YEAR($A359)&lt;&gt;管理年度,"△不是管理年度的单据，年报里看不到",IF(AND($F359="内部转账",$Q359=""),"△内部转账建议在「往来单位」写上对方账户",IF($M359&lt;0,"△这一笔之后该账户余额成负数了，核一下","")))))))))))</f>
        <v/>
      </c>
    </row>
    <row r="360" ht="16.5" spans="1:19">
      <c r="A360" s="45"/>
      <c r="B360" s="46"/>
      <c r="C360" s="12" t="str">
        <f>IF($B360="","",IFERROR(INDEX(账户银行,MATCH($B360,账户名,0)),""))</f>
        <v/>
      </c>
      <c r="D360" s="12" t="str">
        <f>IF($B360="","",IFERROR(INDEX(账户币种,MATCH($B360,账户名,0)),""))</f>
        <v/>
      </c>
      <c r="E360" s="47"/>
      <c r="F360" s="12" t="str">
        <f>IF($E360="","",IFERROR(INDEX(类别属性,MATCH($E360,类别表,0)),""))</f>
        <v/>
      </c>
      <c r="G360" s="48"/>
      <c r="H360" s="48"/>
      <c r="I360" s="49"/>
      <c r="J360" s="24" t="str">
        <f>IF(OR($A360="",$B360=""),"",IF($I360&lt;&gt;"",$I360,IF($D360=本位币,1,IFERROR(LOOKUP(2,1/((汇率月份&lt;=$A360)*(INDEX(记账汇率区,0,MATCH($D360,汇率币种头,0))&lt;&gt;"")),INDEX(记账汇率区,0,MATCH($D360,汇率币种头,0))),""))))</f>
        <v/>
      </c>
      <c r="K360" s="23" t="str">
        <f t="shared" si="10"/>
        <v/>
      </c>
      <c r="L360" s="23" t="str">
        <f t="shared" si="11"/>
        <v/>
      </c>
      <c r="M360" s="23" t="str">
        <f>IF($B360="","",ROUND(SUMIF(账户名,$B360,账户期初)+SUMIFS($K$6:K360,$B$6:B360,$B360),2))</f>
        <v/>
      </c>
      <c r="N360" s="23" t="str">
        <f>IF($B360="","",IFERROR(ROUND(INDEX(账户期初本位,MATCH($B360,账户名,0))+SUMIFS($L$6:L360,$B$6:B360,$B360),2),""))</f>
        <v/>
      </c>
      <c r="O360" s="46"/>
      <c r="P360" s="47"/>
      <c r="Q360" s="46"/>
      <c r="R360" s="46"/>
      <c r="S360" s="6" t="str">
        <f>IF($B360="","",IF(ISNA(MATCH($B360,账户名,0)),"※这个账户不在【参数设置】的账户档案里",IF($A360="","※没填日期，这一笔不会进任何月份的报表",IF(AND($G360&lt;&gt;"",$H360&lt;&gt;""),"※收入和支出不能同时填",IF(AND(N($G360)=0,N($H360)=0),"※收入和支出都没填",IF($E360="","※没填收支类别，分类报表会漏掉这一笔",IF(ISNA(MATCH($E360,类别表,0)),"※收支类别不在【参数设置】的清单里",IF($J360="","△"&amp;$D360&amp;" 还没填汇率，去【月度汇率】补上就自动算了",IF(YEAR($A360)&lt;&gt;管理年度,"△不是管理年度的单据，年报里看不到",IF(AND($F360="内部转账",$Q360=""),"△内部转账建议在「往来单位」写上对方账户",IF($M360&lt;0,"△这一笔之后该账户余额成负数了，核一下","")))))))))))</f>
        <v/>
      </c>
    </row>
    <row r="361" ht="16.5" spans="1:19">
      <c r="A361" s="45"/>
      <c r="B361" s="46"/>
      <c r="C361" s="12" t="str">
        <f>IF($B361="","",IFERROR(INDEX(账户银行,MATCH($B361,账户名,0)),""))</f>
        <v/>
      </c>
      <c r="D361" s="12" t="str">
        <f>IF($B361="","",IFERROR(INDEX(账户币种,MATCH($B361,账户名,0)),""))</f>
        <v/>
      </c>
      <c r="E361" s="47"/>
      <c r="F361" s="12" t="str">
        <f>IF($E361="","",IFERROR(INDEX(类别属性,MATCH($E361,类别表,0)),""))</f>
        <v/>
      </c>
      <c r="G361" s="48"/>
      <c r="H361" s="48"/>
      <c r="I361" s="49"/>
      <c r="J361" s="24" t="str">
        <f>IF(OR($A361="",$B361=""),"",IF($I361&lt;&gt;"",$I361,IF($D361=本位币,1,IFERROR(LOOKUP(2,1/((汇率月份&lt;=$A361)*(INDEX(记账汇率区,0,MATCH($D361,汇率币种头,0))&lt;&gt;"")),INDEX(记账汇率区,0,MATCH($D361,汇率币种头,0))),""))))</f>
        <v/>
      </c>
      <c r="K361" s="23" t="str">
        <f t="shared" si="10"/>
        <v/>
      </c>
      <c r="L361" s="23" t="str">
        <f t="shared" si="11"/>
        <v/>
      </c>
      <c r="M361" s="23" t="str">
        <f>IF($B361="","",ROUND(SUMIF(账户名,$B361,账户期初)+SUMIFS($K$6:K361,$B$6:B361,$B361),2))</f>
        <v/>
      </c>
      <c r="N361" s="23" t="str">
        <f>IF($B361="","",IFERROR(ROUND(INDEX(账户期初本位,MATCH($B361,账户名,0))+SUMIFS($L$6:L361,$B$6:B361,$B361),2),""))</f>
        <v/>
      </c>
      <c r="O361" s="46"/>
      <c r="P361" s="47"/>
      <c r="Q361" s="46"/>
      <c r="R361" s="46"/>
      <c r="S361" s="6" t="str">
        <f>IF($B361="","",IF(ISNA(MATCH($B361,账户名,0)),"※这个账户不在【参数设置】的账户档案里",IF($A361="","※没填日期，这一笔不会进任何月份的报表",IF(AND($G361&lt;&gt;"",$H361&lt;&gt;""),"※收入和支出不能同时填",IF(AND(N($G361)=0,N($H361)=0),"※收入和支出都没填",IF($E361="","※没填收支类别，分类报表会漏掉这一笔",IF(ISNA(MATCH($E361,类别表,0)),"※收支类别不在【参数设置】的清单里",IF($J361="","△"&amp;$D361&amp;" 还没填汇率，去【月度汇率】补上就自动算了",IF(YEAR($A361)&lt;&gt;管理年度,"△不是管理年度的单据，年报里看不到",IF(AND($F361="内部转账",$Q361=""),"△内部转账建议在「往来单位」写上对方账户",IF($M361&lt;0,"△这一笔之后该账户余额成负数了，核一下","")))))))))))</f>
        <v/>
      </c>
    </row>
    <row r="362" ht="16.5" spans="1:19">
      <c r="A362" s="45"/>
      <c r="B362" s="46"/>
      <c r="C362" s="12" t="str">
        <f>IF($B362="","",IFERROR(INDEX(账户银行,MATCH($B362,账户名,0)),""))</f>
        <v/>
      </c>
      <c r="D362" s="12" t="str">
        <f>IF($B362="","",IFERROR(INDEX(账户币种,MATCH($B362,账户名,0)),""))</f>
        <v/>
      </c>
      <c r="E362" s="47"/>
      <c r="F362" s="12" t="str">
        <f>IF($E362="","",IFERROR(INDEX(类别属性,MATCH($E362,类别表,0)),""))</f>
        <v/>
      </c>
      <c r="G362" s="48"/>
      <c r="H362" s="48"/>
      <c r="I362" s="49"/>
      <c r="J362" s="24" t="str">
        <f>IF(OR($A362="",$B362=""),"",IF($I362&lt;&gt;"",$I362,IF($D362=本位币,1,IFERROR(LOOKUP(2,1/((汇率月份&lt;=$A362)*(INDEX(记账汇率区,0,MATCH($D362,汇率币种头,0))&lt;&gt;"")),INDEX(记账汇率区,0,MATCH($D362,汇率币种头,0))),""))))</f>
        <v/>
      </c>
      <c r="K362" s="23" t="str">
        <f t="shared" si="10"/>
        <v/>
      </c>
      <c r="L362" s="23" t="str">
        <f t="shared" si="11"/>
        <v/>
      </c>
      <c r="M362" s="23" t="str">
        <f>IF($B362="","",ROUND(SUMIF(账户名,$B362,账户期初)+SUMIFS($K$6:K362,$B$6:B362,$B362),2))</f>
        <v/>
      </c>
      <c r="N362" s="23" t="str">
        <f>IF($B362="","",IFERROR(ROUND(INDEX(账户期初本位,MATCH($B362,账户名,0))+SUMIFS($L$6:L362,$B$6:B362,$B362),2),""))</f>
        <v/>
      </c>
      <c r="O362" s="46"/>
      <c r="P362" s="47"/>
      <c r="Q362" s="46"/>
      <c r="R362" s="46"/>
      <c r="S362" s="6" t="str">
        <f>IF($B362="","",IF(ISNA(MATCH($B362,账户名,0)),"※这个账户不在【参数设置】的账户档案里",IF($A362="","※没填日期，这一笔不会进任何月份的报表",IF(AND($G362&lt;&gt;"",$H362&lt;&gt;""),"※收入和支出不能同时填",IF(AND(N($G362)=0,N($H362)=0),"※收入和支出都没填",IF($E362="","※没填收支类别，分类报表会漏掉这一笔",IF(ISNA(MATCH($E362,类别表,0)),"※收支类别不在【参数设置】的清单里",IF($J362="","△"&amp;$D362&amp;" 还没填汇率，去【月度汇率】补上就自动算了",IF(YEAR($A362)&lt;&gt;管理年度,"△不是管理年度的单据，年报里看不到",IF(AND($F362="内部转账",$Q362=""),"△内部转账建议在「往来单位」写上对方账户",IF($M362&lt;0,"△这一笔之后该账户余额成负数了，核一下","")))))))))))</f>
        <v/>
      </c>
    </row>
    <row r="363" ht="16.5" spans="1:19">
      <c r="A363" s="45"/>
      <c r="B363" s="46"/>
      <c r="C363" s="12" t="str">
        <f>IF($B363="","",IFERROR(INDEX(账户银行,MATCH($B363,账户名,0)),""))</f>
        <v/>
      </c>
      <c r="D363" s="12" t="str">
        <f>IF($B363="","",IFERROR(INDEX(账户币种,MATCH($B363,账户名,0)),""))</f>
        <v/>
      </c>
      <c r="E363" s="47"/>
      <c r="F363" s="12" t="str">
        <f>IF($E363="","",IFERROR(INDEX(类别属性,MATCH($E363,类别表,0)),""))</f>
        <v/>
      </c>
      <c r="G363" s="48"/>
      <c r="H363" s="48"/>
      <c r="I363" s="49"/>
      <c r="J363" s="24" t="str">
        <f>IF(OR($A363="",$B363=""),"",IF($I363&lt;&gt;"",$I363,IF($D363=本位币,1,IFERROR(LOOKUP(2,1/((汇率月份&lt;=$A363)*(INDEX(记账汇率区,0,MATCH($D363,汇率币种头,0))&lt;&gt;"")),INDEX(记账汇率区,0,MATCH($D363,汇率币种头,0))),""))))</f>
        <v/>
      </c>
      <c r="K363" s="23" t="str">
        <f t="shared" si="10"/>
        <v/>
      </c>
      <c r="L363" s="23" t="str">
        <f t="shared" si="11"/>
        <v/>
      </c>
      <c r="M363" s="23" t="str">
        <f>IF($B363="","",ROUND(SUMIF(账户名,$B363,账户期初)+SUMIFS($K$6:K363,$B$6:B363,$B363),2))</f>
        <v/>
      </c>
      <c r="N363" s="23" t="str">
        <f>IF($B363="","",IFERROR(ROUND(INDEX(账户期初本位,MATCH($B363,账户名,0))+SUMIFS($L$6:L363,$B$6:B363,$B363),2),""))</f>
        <v/>
      </c>
      <c r="O363" s="46"/>
      <c r="P363" s="47"/>
      <c r="Q363" s="46"/>
      <c r="R363" s="46"/>
      <c r="S363" s="6" t="str">
        <f>IF($B363="","",IF(ISNA(MATCH($B363,账户名,0)),"※这个账户不在【参数设置】的账户档案里",IF($A363="","※没填日期，这一笔不会进任何月份的报表",IF(AND($G363&lt;&gt;"",$H363&lt;&gt;""),"※收入和支出不能同时填",IF(AND(N($G363)=0,N($H363)=0),"※收入和支出都没填",IF($E363="","※没填收支类别，分类报表会漏掉这一笔",IF(ISNA(MATCH($E363,类别表,0)),"※收支类别不在【参数设置】的清单里",IF($J363="","△"&amp;$D363&amp;" 还没填汇率，去【月度汇率】补上就自动算了",IF(YEAR($A363)&lt;&gt;管理年度,"△不是管理年度的单据，年报里看不到",IF(AND($F363="内部转账",$Q363=""),"△内部转账建议在「往来单位」写上对方账户",IF($M363&lt;0,"△这一笔之后该账户余额成负数了，核一下","")))))))))))</f>
        <v/>
      </c>
    </row>
    <row r="364" ht="16.5" spans="1:19">
      <c r="A364" s="45"/>
      <c r="B364" s="46"/>
      <c r="C364" s="12" t="str">
        <f>IF($B364="","",IFERROR(INDEX(账户银行,MATCH($B364,账户名,0)),""))</f>
        <v/>
      </c>
      <c r="D364" s="12" t="str">
        <f>IF($B364="","",IFERROR(INDEX(账户币种,MATCH($B364,账户名,0)),""))</f>
        <v/>
      </c>
      <c r="E364" s="47"/>
      <c r="F364" s="12" t="str">
        <f>IF($E364="","",IFERROR(INDEX(类别属性,MATCH($E364,类别表,0)),""))</f>
        <v/>
      </c>
      <c r="G364" s="48"/>
      <c r="H364" s="48"/>
      <c r="I364" s="49"/>
      <c r="J364" s="24" t="str">
        <f>IF(OR($A364="",$B364=""),"",IF($I364&lt;&gt;"",$I364,IF($D364=本位币,1,IFERROR(LOOKUP(2,1/((汇率月份&lt;=$A364)*(INDEX(记账汇率区,0,MATCH($D364,汇率币种头,0))&lt;&gt;"")),INDEX(记账汇率区,0,MATCH($D364,汇率币种头,0))),""))))</f>
        <v/>
      </c>
      <c r="K364" s="23" t="str">
        <f t="shared" si="10"/>
        <v/>
      </c>
      <c r="L364" s="23" t="str">
        <f t="shared" si="11"/>
        <v/>
      </c>
      <c r="M364" s="23" t="str">
        <f>IF($B364="","",ROUND(SUMIF(账户名,$B364,账户期初)+SUMIFS($K$6:K364,$B$6:B364,$B364),2))</f>
        <v/>
      </c>
      <c r="N364" s="23" t="str">
        <f>IF($B364="","",IFERROR(ROUND(INDEX(账户期初本位,MATCH($B364,账户名,0))+SUMIFS($L$6:L364,$B$6:B364,$B364),2),""))</f>
        <v/>
      </c>
      <c r="O364" s="46"/>
      <c r="P364" s="47"/>
      <c r="Q364" s="46"/>
      <c r="R364" s="46"/>
      <c r="S364" s="6" t="str">
        <f>IF($B364="","",IF(ISNA(MATCH($B364,账户名,0)),"※这个账户不在【参数设置】的账户档案里",IF($A364="","※没填日期，这一笔不会进任何月份的报表",IF(AND($G364&lt;&gt;"",$H364&lt;&gt;""),"※收入和支出不能同时填",IF(AND(N($G364)=0,N($H364)=0),"※收入和支出都没填",IF($E364="","※没填收支类别，分类报表会漏掉这一笔",IF(ISNA(MATCH($E364,类别表,0)),"※收支类别不在【参数设置】的清单里",IF($J364="","△"&amp;$D364&amp;" 还没填汇率，去【月度汇率】补上就自动算了",IF(YEAR($A364)&lt;&gt;管理年度,"△不是管理年度的单据，年报里看不到",IF(AND($F364="内部转账",$Q364=""),"△内部转账建议在「往来单位」写上对方账户",IF($M364&lt;0,"△这一笔之后该账户余额成负数了，核一下","")))))))))))</f>
        <v/>
      </c>
    </row>
    <row r="365" ht="16.5" spans="1:19">
      <c r="A365" s="45"/>
      <c r="B365" s="46"/>
      <c r="C365" s="12" t="str">
        <f>IF($B365="","",IFERROR(INDEX(账户银行,MATCH($B365,账户名,0)),""))</f>
        <v/>
      </c>
      <c r="D365" s="12" t="str">
        <f>IF($B365="","",IFERROR(INDEX(账户币种,MATCH($B365,账户名,0)),""))</f>
        <v/>
      </c>
      <c r="E365" s="47"/>
      <c r="F365" s="12" t="str">
        <f>IF($E365="","",IFERROR(INDEX(类别属性,MATCH($E365,类别表,0)),""))</f>
        <v/>
      </c>
      <c r="G365" s="48"/>
      <c r="H365" s="48"/>
      <c r="I365" s="49"/>
      <c r="J365" s="24" t="str">
        <f>IF(OR($A365="",$B365=""),"",IF($I365&lt;&gt;"",$I365,IF($D365=本位币,1,IFERROR(LOOKUP(2,1/((汇率月份&lt;=$A365)*(INDEX(记账汇率区,0,MATCH($D365,汇率币种头,0))&lt;&gt;"")),INDEX(记账汇率区,0,MATCH($D365,汇率币种头,0))),""))))</f>
        <v/>
      </c>
      <c r="K365" s="23" t="str">
        <f t="shared" si="10"/>
        <v/>
      </c>
      <c r="L365" s="23" t="str">
        <f t="shared" si="11"/>
        <v/>
      </c>
      <c r="M365" s="23" t="str">
        <f>IF($B365="","",ROUND(SUMIF(账户名,$B365,账户期初)+SUMIFS($K$6:K365,$B$6:B365,$B365),2))</f>
        <v/>
      </c>
      <c r="N365" s="23" t="str">
        <f>IF($B365="","",IFERROR(ROUND(INDEX(账户期初本位,MATCH($B365,账户名,0))+SUMIFS($L$6:L365,$B$6:B365,$B365),2),""))</f>
        <v/>
      </c>
      <c r="O365" s="46"/>
      <c r="P365" s="47"/>
      <c r="Q365" s="46"/>
      <c r="R365" s="46"/>
      <c r="S365" s="6" t="str">
        <f>IF($B365="","",IF(ISNA(MATCH($B365,账户名,0)),"※这个账户不在【参数设置】的账户档案里",IF($A365="","※没填日期，这一笔不会进任何月份的报表",IF(AND($G365&lt;&gt;"",$H365&lt;&gt;""),"※收入和支出不能同时填",IF(AND(N($G365)=0,N($H365)=0),"※收入和支出都没填",IF($E365="","※没填收支类别，分类报表会漏掉这一笔",IF(ISNA(MATCH($E365,类别表,0)),"※收支类别不在【参数设置】的清单里",IF($J365="","△"&amp;$D365&amp;" 还没填汇率，去【月度汇率】补上就自动算了",IF(YEAR($A365)&lt;&gt;管理年度,"△不是管理年度的单据，年报里看不到",IF(AND($F365="内部转账",$Q365=""),"△内部转账建议在「往来单位」写上对方账户",IF($M365&lt;0,"△这一笔之后该账户余额成负数了，核一下","")))))))))))</f>
        <v/>
      </c>
    </row>
    <row r="366" ht="16.5" spans="1:19">
      <c r="A366" s="45"/>
      <c r="B366" s="46"/>
      <c r="C366" s="12" t="str">
        <f>IF($B366="","",IFERROR(INDEX(账户银行,MATCH($B366,账户名,0)),""))</f>
        <v/>
      </c>
      <c r="D366" s="12" t="str">
        <f>IF($B366="","",IFERROR(INDEX(账户币种,MATCH($B366,账户名,0)),""))</f>
        <v/>
      </c>
      <c r="E366" s="47"/>
      <c r="F366" s="12" t="str">
        <f>IF($E366="","",IFERROR(INDEX(类别属性,MATCH($E366,类别表,0)),""))</f>
        <v/>
      </c>
      <c r="G366" s="48"/>
      <c r="H366" s="48"/>
      <c r="I366" s="49"/>
      <c r="J366" s="24" t="str">
        <f>IF(OR($A366="",$B366=""),"",IF($I366&lt;&gt;"",$I366,IF($D366=本位币,1,IFERROR(LOOKUP(2,1/((汇率月份&lt;=$A366)*(INDEX(记账汇率区,0,MATCH($D366,汇率币种头,0))&lt;&gt;"")),INDEX(记账汇率区,0,MATCH($D366,汇率币种头,0))),""))))</f>
        <v/>
      </c>
      <c r="K366" s="23" t="str">
        <f t="shared" si="10"/>
        <v/>
      </c>
      <c r="L366" s="23" t="str">
        <f t="shared" si="11"/>
        <v/>
      </c>
      <c r="M366" s="23" t="str">
        <f>IF($B366="","",ROUND(SUMIF(账户名,$B366,账户期初)+SUMIFS($K$6:K366,$B$6:B366,$B366),2))</f>
        <v/>
      </c>
      <c r="N366" s="23" t="str">
        <f>IF($B366="","",IFERROR(ROUND(INDEX(账户期初本位,MATCH($B366,账户名,0))+SUMIFS($L$6:L366,$B$6:B366,$B366),2),""))</f>
        <v/>
      </c>
      <c r="O366" s="46"/>
      <c r="P366" s="47"/>
      <c r="Q366" s="46"/>
      <c r="R366" s="46"/>
      <c r="S366" s="6" t="str">
        <f>IF($B366="","",IF(ISNA(MATCH($B366,账户名,0)),"※这个账户不在【参数设置】的账户档案里",IF($A366="","※没填日期，这一笔不会进任何月份的报表",IF(AND($G366&lt;&gt;"",$H366&lt;&gt;""),"※收入和支出不能同时填",IF(AND(N($G366)=0,N($H366)=0),"※收入和支出都没填",IF($E366="","※没填收支类别，分类报表会漏掉这一笔",IF(ISNA(MATCH($E366,类别表,0)),"※收支类别不在【参数设置】的清单里",IF($J366="","△"&amp;$D366&amp;" 还没填汇率，去【月度汇率】补上就自动算了",IF(YEAR($A366)&lt;&gt;管理年度,"△不是管理年度的单据，年报里看不到",IF(AND($F366="内部转账",$Q366=""),"△内部转账建议在「往来单位」写上对方账户",IF($M366&lt;0,"△这一笔之后该账户余额成负数了，核一下","")))))))))))</f>
        <v/>
      </c>
    </row>
    <row r="367" ht="16.5" spans="1:19">
      <c r="A367" s="45"/>
      <c r="B367" s="46"/>
      <c r="C367" s="12" t="str">
        <f>IF($B367="","",IFERROR(INDEX(账户银行,MATCH($B367,账户名,0)),""))</f>
        <v/>
      </c>
      <c r="D367" s="12" t="str">
        <f>IF($B367="","",IFERROR(INDEX(账户币种,MATCH($B367,账户名,0)),""))</f>
        <v/>
      </c>
      <c r="E367" s="47"/>
      <c r="F367" s="12" t="str">
        <f>IF($E367="","",IFERROR(INDEX(类别属性,MATCH($E367,类别表,0)),""))</f>
        <v/>
      </c>
      <c r="G367" s="48"/>
      <c r="H367" s="48"/>
      <c r="I367" s="49"/>
      <c r="J367" s="24" t="str">
        <f>IF(OR($A367="",$B367=""),"",IF($I367&lt;&gt;"",$I367,IF($D367=本位币,1,IFERROR(LOOKUP(2,1/((汇率月份&lt;=$A367)*(INDEX(记账汇率区,0,MATCH($D367,汇率币种头,0))&lt;&gt;"")),INDEX(记账汇率区,0,MATCH($D367,汇率币种头,0))),""))))</f>
        <v/>
      </c>
      <c r="K367" s="23" t="str">
        <f t="shared" si="10"/>
        <v/>
      </c>
      <c r="L367" s="23" t="str">
        <f t="shared" si="11"/>
        <v/>
      </c>
      <c r="M367" s="23" t="str">
        <f>IF($B367="","",ROUND(SUMIF(账户名,$B367,账户期初)+SUMIFS($K$6:K367,$B$6:B367,$B367),2))</f>
        <v/>
      </c>
      <c r="N367" s="23" t="str">
        <f>IF($B367="","",IFERROR(ROUND(INDEX(账户期初本位,MATCH($B367,账户名,0))+SUMIFS($L$6:L367,$B$6:B367,$B367),2),""))</f>
        <v/>
      </c>
      <c r="O367" s="46"/>
      <c r="P367" s="47"/>
      <c r="Q367" s="46"/>
      <c r="R367" s="46"/>
      <c r="S367" s="6" t="str">
        <f>IF($B367="","",IF(ISNA(MATCH($B367,账户名,0)),"※这个账户不在【参数设置】的账户档案里",IF($A367="","※没填日期，这一笔不会进任何月份的报表",IF(AND($G367&lt;&gt;"",$H367&lt;&gt;""),"※收入和支出不能同时填",IF(AND(N($G367)=0,N($H367)=0),"※收入和支出都没填",IF($E367="","※没填收支类别，分类报表会漏掉这一笔",IF(ISNA(MATCH($E367,类别表,0)),"※收支类别不在【参数设置】的清单里",IF($J367="","△"&amp;$D367&amp;" 还没填汇率，去【月度汇率】补上就自动算了",IF(YEAR($A367)&lt;&gt;管理年度,"△不是管理年度的单据，年报里看不到",IF(AND($F367="内部转账",$Q367=""),"△内部转账建议在「往来单位」写上对方账户",IF($M367&lt;0,"△这一笔之后该账户余额成负数了，核一下","")))))))))))</f>
        <v/>
      </c>
    </row>
    <row r="368" ht="16.5" spans="1:19">
      <c r="A368" s="45"/>
      <c r="B368" s="46"/>
      <c r="C368" s="12" t="str">
        <f>IF($B368="","",IFERROR(INDEX(账户银行,MATCH($B368,账户名,0)),""))</f>
        <v/>
      </c>
      <c r="D368" s="12" t="str">
        <f>IF($B368="","",IFERROR(INDEX(账户币种,MATCH($B368,账户名,0)),""))</f>
        <v/>
      </c>
      <c r="E368" s="47"/>
      <c r="F368" s="12" t="str">
        <f>IF($E368="","",IFERROR(INDEX(类别属性,MATCH($E368,类别表,0)),""))</f>
        <v/>
      </c>
      <c r="G368" s="48"/>
      <c r="H368" s="48"/>
      <c r="I368" s="49"/>
      <c r="J368" s="24" t="str">
        <f>IF(OR($A368="",$B368=""),"",IF($I368&lt;&gt;"",$I368,IF($D368=本位币,1,IFERROR(LOOKUP(2,1/((汇率月份&lt;=$A368)*(INDEX(记账汇率区,0,MATCH($D368,汇率币种头,0))&lt;&gt;"")),INDEX(记账汇率区,0,MATCH($D368,汇率币种头,0))),""))))</f>
        <v/>
      </c>
      <c r="K368" s="23" t="str">
        <f t="shared" si="10"/>
        <v/>
      </c>
      <c r="L368" s="23" t="str">
        <f t="shared" si="11"/>
        <v/>
      </c>
      <c r="M368" s="23" t="str">
        <f>IF($B368="","",ROUND(SUMIF(账户名,$B368,账户期初)+SUMIFS($K$6:K368,$B$6:B368,$B368),2))</f>
        <v/>
      </c>
      <c r="N368" s="23" t="str">
        <f>IF($B368="","",IFERROR(ROUND(INDEX(账户期初本位,MATCH($B368,账户名,0))+SUMIFS($L$6:L368,$B$6:B368,$B368),2),""))</f>
        <v/>
      </c>
      <c r="O368" s="46"/>
      <c r="P368" s="47"/>
      <c r="Q368" s="46"/>
      <c r="R368" s="46"/>
      <c r="S368" s="6" t="str">
        <f>IF($B368="","",IF(ISNA(MATCH($B368,账户名,0)),"※这个账户不在【参数设置】的账户档案里",IF($A368="","※没填日期，这一笔不会进任何月份的报表",IF(AND($G368&lt;&gt;"",$H368&lt;&gt;""),"※收入和支出不能同时填",IF(AND(N($G368)=0,N($H368)=0),"※收入和支出都没填",IF($E368="","※没填收支类别，分类报表会漏掉这一笔",IF(ISNA(MATCH($E368,类别表,0)),"※收支类别不在【参数设置】的清单里",IF($J368="","△"&amp;$D368&amp;" 还没填汇率，去【月度汇率】补上就自动算了",IF(YEAR($A368)&lt;&gt;管理年度,"△不是管理年度的单据，年报里看不到",IF(AND($F368="内部转账",$Q368=""),"△内部转账建议在「往来单位」写上对方账户",IF($M368&lt;0,"△这一笔之后该账户余额成负数了，核一下","")))))))))))</f>
        <v/>
      </c>
    </row>
    <row r="369" ht="16.5" spans="1:19">
      <c r="A369" s="45"/>
      <c r="B369" s="46"/>
      <c r="C369" s="12" t="str">
        <f>IF($B369="","",IFERROR(INDEX(账户银行,MATCH($B369,账户名,0)),""))</f>
        <v/>
      </c>
      <c r="D369" s="12" t="str">
        <f>IF($B369="","",IFERROR(INDEX(账户币种,MATCH($B369,账户名,0)),""))</f>
        <v/>
      </c>
      <c r="E369" s="47"/>
      <c r="F369" s="12" t="str">
        <f>IF($E369="","",IFERROR(INDEX(类别属性,MATCH($E369,类别表,0)),""))</f>
        <v/>
      </c>
      <c r="G369" s="48"/>
      <c r="H369" s="48"/>
      <c r="I369" s="49"/>
      <c r="J369" s="24" t="str">
        <f>IF(OR($A369="",$B369=""),"",IF($I369&lt;&gt;"",$I369,IF($D369=本位币,1,IFERROR(LOOKUP(2,1/((汇率月份&lt;=$A369)*(INDEX(记账汇率区,0,MATCH($D369,汇率币种头,0))&lt;&gt;"")),INDEX(记账汇率区,0,MATCH($D369,汇率币种头,0))),""))))</f>
        <v/>
      </c>
      <c r="K369" s="23" t="str">
        <f t="shared" si="10"/>
        <v/>
      </c>
      <c r="L369" s="23" t="str">
        <f t="shared" si="11"/>
        <v/>
      </c>
      <c r="M369" s="23" t="str">
        <f>IF($B369="","",ROUND(SUMIF(账户名,$B369,账户期初)+SUMIFS($K$6:K369,$B$6:B369,$B369),2))</f>
        <v/>
      </c>
      <c r="N369" s="23" t="str">
        <f>IF($B369="","",IFERROR(ROUND(INDEX(账户期初本位,MATCH($B369,账户名,0))+SUMIFS($L$6:L369,$B$6:B369,$B369),2),""))</f>
        <v/>
      </c>
      <c r="O369" s="46"/>
      <c r="P369" s="47"/>
      <c r="Q369" s="46"/>
      <c r="R369" s="46"/>
      <c r="S369" s="6" t="str">
        <f>IF($B369="","",IF(ISNA(MATCH($B369,账户名,0)),"※这个账户不在【参数设置】的账户档案里",IF($A369="","※没填日期，这一笔不会进任何月份的报表",IF(AND($G369&lt;&gt;"",$H369&lt;&gt;""),"※收入和支出不能同时填",IF(AND(N($G369)=0,N($H369)=0),"※收入和支出都没填",IF($E369="","※没填收支类别，分类报表会漏掉这一笔",IF(ISNA(MATCH($E369,类别表,0)),"※收支类别不在【参数设置】的清单里",IF($J369="","△"&amp;$D369&amp;" 还没填汇率，去【月度汇率】补上就自动算了",IF(YEAR($A369)&lt;&gt;管理年度,"△不是管理年度的单据，年报里看不到",IF(AND($F369="内部转账",$Q369=""),"△内部转账建议在「往来单位」写上对方账户",IF($M369&lt;0,"△这一笔之后该账户余额成负数了，核一下","")))))))))))</f>
        <v/>
      </c>
    </row>
    <row r="370" ht="16.5" spans="1:19">
      <c r="A370" s="45"/>
      <c r="B370" s="46"/>
      <c r="C370" s="12" t="str">
        <f>IF($B370="","",IFERROR(INDEX(账户银行,MATCH($B370,账户名,0)),""))</f>
        <v/>
      </c>
      <c r="D370" s="12" t="str">
        <f>IF($B370="","",IFERROR(INDEX(账户币种,MATCH($B370,账户名,0)),""))</f>
        <v/>
      </c>
      <c r="E370" s="47"/>
      <c r="F370" s="12" t="str">
        <f>IF($E370="","",IFERROR(INDEX(类别属性,MATCH($E370,类别表,0)),""))</f>
        <v/>
      </c>
      <c r="G370" s="48"/>
      <c r="H370" s="48"/>
      <c r="I370" s="49"/>
      <c r="J370" s="24" t="str">
        <f>IF(OR($A370="",$B370=""),"",IF($I370&lt;&gt;"",$I370,IF($D370=本位币,1,IFERROR(LOOKUP(2,1/((汇率月份&lt;=$A370)*(INDEX(记账汇率区,0,MATCH($D370,汇率币种头,0))&lt;&gt;"")),INDEX(记账汇率区,0,MATCH($D370,汇率币种头,0))),""))))</f>
        <v/>
      </c>
      <c r="K370" s="23" t="str">
        <f t="shared" si="10"/>
        <v/>
      </c>
      <c r="L370" s="23" t="str">
        <f t="shared" si="11"/>
        <v/>
      </c>
      <c r="M370" s="23" t="str">
        <f>IF($B370="","",ROUND(SUMIF(账户名,$B370,账户期初)+SUMIFS($K$6:K370,$B$6:B370,$B370),2))</f>
        <v/>
      </c>
      <c r="N370" s="23" t="str">
        <f>IF($B370="","",IFERROR(ROUND(INDEX(账户期初本位,MATCH($B370,账户名,0))+SUMIFS($L$6:L370,$B$6:B370,$B370),2),""))</f>
        <v/>
      </c>
      <c r="O370" s="46"/>
      <c r="P370" s="47"/>
      <c r="Q370" s="46"/>
      <c r="R370" s="46"/>
      <c r="S370" s="6" t="str">
        <f>IF($B370="","",IF(ISNA(MATCH($B370,账户名,0)),"※这个账户不在【参数设置】的账户档案里",IF($A370="","※没填日期，这一笔不会进任何月份的报表",IF(AND($G370&lt;&gt;"",$H370&lt;&gt;""),"※收入和支出不能同时填",IF(AND(N($G370)=0,N($H370)=0),"※收入和支出都没填",IF($E370="","※没填收支类别，分类报表会漏掉这一笔",IF(ISNA(MATCH($E370,类别表,0)),"※收支类别不在【参数设置】的清单里",IF($J370="","△"&amp;$D370&amp;" 还没填汇率，去【月度汇率】补上就自动算了",IF(YEAR($A370)&lt;&gt;管理年度,"△不是管理年度的单据，年报里看不到",IF(AND($F370="内部转账",$Q370=""),"△内部转账建议在「往来单位」写上对方账户",IF($M370&lt;0,"△这一笔之后该账户余额成负数了，核一下","")))))))))))</f>
        <v/>
      </c>
    </row>
    <row r="371" ht="16.5" spans="1:19">
      <c r="A371" s="45"/>
      <c r="B371" s="46"/>
      <c r="C371" s="12" t="str">
        <f>IF($B371="","",IFERROR(INDEX(账户银行,MATCH($B371,账户名,0)),""))</f>
        <v/>
      </c>
      <c r="D371" s="12" t="str">
        <f>IF($B371="","",IFERROR(INDEX(账户币种,MATCH($B371,账户名,0)),""))</f>
        <v/>
      </c>
      <c r="E371" s="47"/>
      <c r="F371" s="12" t="str">
        <f>IF($E371="","",IFERROR(INDEX(类别属性,MATCH($E371,类别表,0)),""))</f>
        <v/>
      </c>
      <c r="G371" s="48"/>
      <c r="H371" s="48"/>
      <c r="I371" s="49"/>
      <c r="J371" s="24" t="str">
        <f>IF(OR($A371="",$B371=""),"",IF($I371&lt;&gt;"",$I371,IF($D371=本位币,1,IFERROR(LOOKUP(2,1/((汇率月份&lt;=$A371)*(INDEX(记账汇率区,0,MATCH($D371,汇率币种头,0))&lt;&gt;"")),INDEX(记账汇率区,0,MATCH($D371,汇率币种头,0))),""))))</f>
        <v/>
      </c>
      <c r="K371" s="23" t="str">
        <f t="shared" si="10"/>
        <v/>
      </c>
      <c r="L371" s="23" t="str">
        <f t="shared" si="11"/>
        <v/>
      </c>
      <c r="M371" s="23" t="str">
        <f>IF($B371="","",ROUND(SUMIF(账户名,$B371,账户期初)+SUMIFS($K$6:K371,$B$6:B371,$B371),2))</f>
        <v/>
      </c>
      <c r="N371" s="23" t="str">
        <f>IF($B371="","",IFERROR(ROUND(INDEX(账户期初本位,MATCH($B371,账户名,0))+SUMIFS($L$6:L371,$B$6:B371,$B371),2),""))</f>
        <v/>
      </c>
      <c r="O371" s="46"/>
      <c r="P371" s="47"/>
      <c r="Q371" s="46"/>
      <c r="R371" s="46"/>
      <c r="S371" s="6" t="str">
        <f>IF($B371="","",IF(ISNA(MATCH($B371,账户名,0)),"※这个账户不在【参数设置】的账户档案里",IF($A371="","※没填日期，这一笔不会进任何月份的报表",IF(AND($G371&lt;&gt;"",$H371&lt;&gt;""),"※收入和支出不能同时填",IF(AND(N($G371)=0,N($H371)=0),"※收入和支出都没填",IF($E371="","※没填收支类别，分类报表会漏掉这一笔",IF(ISNA(MATCH($E371,类别表,0)),"※收支类别不在【参数设置】的清单里",IF($J371="","△"&amp;$D371&amp;" 还没填汇率，去【月度汇率】补上就自动算了",IF(YEAR($A371)&lt;&gt;管理年度,"△不是管理年度的单据，年报里看不到",IF(AND($F371="内部转账",$Q371=""),"△内部转账建议在「往来单位」写上对方账户",IF($M371&lt;0,"△这一笔之后该账户余额成负数了，核一下","")))))))))))</f>
        <v/>
      </c>
    </row>
    <row r="372" ht="16.5" spans="1:19">
      <c r="A372" s="45"/>
      <c r="B372" s="46"/>
      <c r="C372" s="12" t="str">
        <f>IF($B372="","",IFERROR(INDEX(账户银行,MATCH($B372,账户名,0)),""))</f>
        <v/>
      </c>
      <c r="D372" s="12" t="str">
        <f>IF($B372="","",IFERROR(INDEX(账户币种,MATCH($B372,账户名,0)),""))</f>
        <v/>
      </c>
      <c r="E372" s="47"/>
      <c r="F372" s="12" t="str">
        <f>IF($E372="","",IFERROR(INDEX(类别属性,MATCH($E372,类别表,0)),""))</f>
        <v/>
      </c>
      <c r="G372" s="48"/>
      <c r="H372" s="48"/>
      <c r="I372" s="49"/>
      <c r="J372" s="24" t="str">
        <f>IF(OR($A372="",$B372=""),"",IF($I372&lt;&gt;"",$I372,IF($D372=本位币,1,IFERROR(LOOKUP(2,1/((汇率月份&lt;=$A372)*(INDEX(记账汇率区,0,MATCH($D372,汇率币种头,0))&lt;&gt;"")),INDEX(记账汇率区,0,MATCH($D372,汇率币种头,0))),""))))</f>
        <v/>
      </c>
      <c r="K372" s="23" t="str">
        <f t="shared" si="10"/>
        <v/>
      </c>
      <c r="L372" s="23" t="str">
        <f t="shared" si="11"/>
        <v/>
      </c>
      <c r="M372" s="23" t="str">
        <f>IF($B372="","",ROUND(SUMIF(账户名,$B372,账户期初)+SUMIFS($K$6:K372,$B$6:B372,$B372),2))</f>
        <v/>
      </c>
      <c r="N372" s="23" t="str">
        <f>IF($B372="","",IFERROR(ROUND(INDEX(账户期初本位,MATCH($B372,账户名,0))+SUMIFS($L$6:L372,$B$6:B372,$B372),2),""))</f>
        <v/>
      </c>
      <c r="O372" s="46"/>
      <c r="P372" s="47"/>
      <c r="Q372" s="46"/>
      <c r="R372" s="46"/>
      <c r="S372" s="6" t="str">
        <f>IF($B372="","",IF(ISNA(MATCH($B372,账户名,0)),"※这个账户不在【参数设置】的账户档案里",IF($A372="","※没填日期，这一笔不会进任何月份的报表",IF(AND($G372&lt;&gt;"",$H372&lt;&gt;""),"※收入和支出不能同时填",IF(AND(N($G372)=0,N($H372)=0),"※收入和支出都没填",IF($E372="","※没填收支类别，分类报表会漏掉这一笔",IF(ISNA(MATCH($E372,类别表,0)),"※收支类别不在【参数设置】的清单里",IF($J372="","△"&amp;$D372&amp;" 还没填汇率，去【月度汇率】补上就自动算了",IF(YEAR($A372)&lt;&gt;管理年度,"△不是管理年度的单据，年报里看不到",IF(AND($F372="内部转账",$Q372=""),"△内部转账建议在「往来单位」写上对方账户",IF($M372&lt;0,"△这一笔之后该账户余额成负数了，核一下","")))))))))))</f>
        <v/>
      </c>
    </row>
    <row r="373" ht="16.5" spans="1:19">
      <c r="A373" s="45"/>
      <c r="B373" s="46"/>
      <c r="C373" s="12" t="str">
        <f>IF($B373="","",IFERROR(INDEX(账户银行,MATCH($B373,账户名,0)),""))</f>
        <v/>
      </c>
      <c r="D373" s="12" t="str">
        <f>IF($B373="","",IFERROR(INDEX(账户币种,MATCH($B373,账户名,0)),""))</f>
        <v/>
      </c>
      <c r="E373" s="47"/>
      <c r="F373" s="12" t="str">
        <f>IF($E373="","",IFERROR(INDEX(类别属性,MATCH($E373,类别表,0)),""))</f>
        <v/>
      </c>
      <c r="G373" s="48"/>
      <c r="H373" s="48"/>
      <c r="I373" s="49"/>
      <c r="J373" s="24" t="str">
        <f>IF(OR($A373="",$B373=""),"",IF($I373&lt;&gt;"",$I373,IF($D373=本位币,1,IFERROR(LOOKUP(2,1/((汇率月份&lt;=$A373)*(INDEX(记账汇率区,0,MATCH($D373,汇率币种头,0))&lt;&gt;"")),INDEX(记账汇率区,0,MATCH($D373,汇率币种头,0))),""))))</f>
        <v/>
      </c>
      <c r="K373" s="23" t="str">
        <f t="shared" si="10"/>
        <v/>
      </c>
      <c r="L373" s="23" t="str">
        <f t="shared" si="11"/>
        <v/>
      </c>
      <c r="M373" s="23" t="str">
        <f>IF($B373="","",ROUND(SUMIF(账户名,$B373,账户期初)+SUMIFS($K$6:K373,$B$6:B373,$B373),2))</f>
        <v/>
      </c>
      <c r="N373" s="23" t="str">
        <f>IF($B373="","",IFERROR(ROUND(INDEX(账户期初本位,MATCH($B373,账户名,0))+SUMIFS($L$6:L373,$B$6:B373,$B373),2),""))</f>
        <v/>
      </c>
      <c r="O373" s="46"/>
      <c r="P373" s="47"/>
      <c r="Q373" s="46"/>
      <c r="R373" s="46"/>
      <c r="S373" s="6" t="str">
        <f>IF($B373="","",IF(ISNA(MATCH($B373,账户名,0)),"※这个账户不在【参数设置】的账户档案里",IF($A373="","※没填日期，这一笔不会进任何月份的报表",IF(AND($G373&lt;&gt;"",$H373&lt;&gt;""),"※收入和支出不能同时填",IF(AND(N($G373)=0,N($H373)=0),"※收入和支出都没填",IF($E373="","※没填收支类别，分类报表会漏掉这一笔",IF(ISNA(MATCH($E373,类别表,0)),"※收支类别不在【参数设置】的清单里",IF($J373="","△"&amp;$D373&amp;" 还没填汇率，去【月度汇率】补上就自动算了",IF(YEAR($A373)&lt;&gt;管理年度,"△不是管理年度的单据，年报里看不到",IF(AND($F373="内部转账",$Q373=""),"△内部转账建议在「往来单位」写上对方账户",IF($M373&lt;0,"△这一笔之后该账户余额成负数了，核一下","")))))))))))</f>
        <v/>
      </c>
    </row>
    <row r="374" ht="16.5" spans="1:19">
      <c r="A374" s="45"/>
      <c r="B374" s="46"/>
      <c r="C374" s="12" t="str">
        <f>IF($B374="","",IFERROR(INDEX(账户银行,MATCH($B374,账户名,0)),""))</f>
        <v/>
      </c>
      <c r="D374" s="12" t="str">
        <f>IF($B374="","",IFERROR(INDEX(账户币种,MATCH($B374,账户名,0)),""))</f>
        <v/>
      </c>
      <c r="E374" s="47"/>
      <c r="F374" s="12" t="str">
        <f>IF($E374="","",IFERROR(INDEX(类别属性,MATCH($E374,类别表,0)),""))</f>
        <v/>
      </c>
      <c r="G374" s="48"/>
      <c r="H374" s="48"/>
      <c r="I374" s="49"/>
      <c r="J374" s="24" t="str">
        <f>IF(OR($A374="",$B374=""),"",IF($I374&lt;&gt;"",$I374,IF($D374=本位币,1,IFERROR(LOOKUP(2,1/((汇率月份&lt;=$A374)*(INDEX(记账汇率区,0,MATCH($D374,汇率币种头,0))&lt;&gt;"")),INDEX(记账汇率区,0,MATCH($D374,汇率币种头,0))),""))))</f>
        <v/>
      </c>
      <c r="K374" s="23" t="str">
        <f t="shared" si="10"/>
        <v/>
      </c>
      <c r="L374" s="23" t="str">
        <f t="shared" si="11"/>
        <v/>
      </c>
      <c r="M374" s="23" t="str">
        <f>IF($B374="","",ROUND(SUMIF(账户名,$B374,账户期初)+SUMIFS($K$6:K374,$B$6:B374,$B374),2))</f>
        <v/>
      </c>
      <c r="N374" s="23" t="str">
        <f>IF($B374="","",IFERROR(ROUND(INDEX(账户期初本位,MATCH($B374,账户名,0))+SUMIFS($L$6:L374,$B$6:B374,$B374),2),""))</f>
        <v/>
      </c>
      <c r="O374" s="46"/>
      <c r="P374" s="47"/>
      <c r="Q374" s="46"/>
      <c r="R374" s="46"/>
      <c r="S374" s="6" t="str">
        <f>IF($B374="","",IF(ISNA(MATCH($B374,账户名,0)),"※这个账户不在【参数设置】的账户档案里",IF($A374="","※没填日期，这一笔不会进任何月份的报表",IF(AND($G374&lt;&gt;"",$H374&lt;&gt;""),"※收入和支出不能同时填",IF(AND(N($G374)=0,N($H374)=0),"※收入和支出都没填",IF($E374="","※没填收支类别，分类报表会漏掉这一笔",IF(ISNA(MATCH($E374,类别表,0)),"※收支类别不在【参数设置】的清单里",IF($J374="","△"&amp;$D374&amp;" 还没填汇率，去【月度汇率】补上就自动算了",IF(YEAR($A374)&lt;&gt;管理年度,"△不是管理年度的单据，年报里看不到",IF(AND($F374="内部转账",$Q374=""),"△内部转账建议在「往来单位」写上对方账户",IF($M374&lt;0,"△这一笔之后该账户余额成负数了，核一下","")))))))))))</f>
        <v/>
      </c>
    </row>
    <row r="375" ht="16.5" spans="1:19">
      <c r="A375" s="45"/>
      <c r="B375" s="46"/>
      <c r="C375" s="12" t="str">
        <f>IF($B375="","",IFERROR(INDEX(账户银行,MATCH($B375,账户名,0)),""))</f>
        <v/>
      </c>
      <c r="D375" s="12" t="str">
        <f>IF($B375="","",IFERROR(INDEX(账户币种,MATCH($B375,账户名,0)),""))</f>
        <v/>
      </c>
      <c r="E375" s="47"/>
      <c r="F375" s="12" t="str">
        <f>IF($E375="","",IFERROR(INDEX(类别属性,MATCH($E375,类别表,0)),""))</f>
        <v/>
      </c>
      <c r="G375" s="48"/>
      <c r="H375" s="48"/>
      <c r="I375" s="49"/>
      <c r="J375" s="24" t="str">
        <f>IF(OR($A375="",$B375=""),"",IF($I375&lt;&gt;"",$I375,IF($D375=本位币,1,IFERROR(LOOKUP(2,1/((汇率月份&lt;=$A375)*(INDEX(记账汇率区,0,MATCH($D375,汇率币种头,0))&lt;&gt;"")),INDEX(记账汇率区,0,MATCH($D375,汇率币种头,0))),""))))</f>
        <v/>
      </c>
      <c r="K375" s="23" t="str">
        <f t="shared" si="10"/>
        <v/>
      </c>
      <c r="L375" s="23" t="str">
        <f t="shared" si="11"/>
        <v/>
      </c>
      <c r="M375" s="23" t="str">
        <f>IF($B375="","",ROUND(SUMIF(账户名,$B375,账户期初)+SUMIFS($K$6:K375,$B$6:B375,$B375),2))</f>
        <v/>
      </c>
      <c r="N375" s="23" t="str">
        <f>IF($B375="","",IFERROR(ROUND(INDEX(账户期初本位,MATCH($B375,账户名,0))+SUMIFS($L$6:L375,$B$6:B375,$B375),2),""))</f>
        <v/>
      </c>
      <c r="O375" s="46"/>
      <c r="P375" s="47"/>
      <c r="Q375" s="46"/>
      <c r="R375" s="46"/>
      <c r="S375" s="6" t="str">
        <f>IF($B375="","",IF(ISNA(MATCH($B375,账户名,0)),"※这个账户不在【参数设置】的账户档案里",IF($A375="","※没填日期，这一笔不会进任何月份的报表",IF(AND($G375&lt;&gt;"",$H375&lt;&gt;""),"※收入和支出不能同时填",IF(AND(N($G375)=0,N($H375)=0),"※收入和支出都没填",IF($E375="","※没填收支类别，分类报表会漏掉这一笔",IF(ISNA(MATCH($E375,类别表,0)),"※收支类别不在【参数设置】的清单里",IF($J375="","△"&amp;$D375&amp;" 还没填汇率，去【月度汇率】补上就自动算了",IF(YEAR($A375)&lt;&gt;管理年度,"△不是管理年度的单据，年报里看不到",IF(AND($F375="内部转账",$Q375=""),"△内部转账建议在「往来单位」写上对方账户",IF($M375&lt;0,"△这一笔之后该账户余额成负数了，核一下","")))))))))))</f>
        <v/>
      </c>
    </row>
    <row r="376" ht="16.5" spans="1:19">
      <c r="A376" s="45"/>
      <c r="B376" s="46"/>
      <c r="C376" s="12" t="str">
        <f>IF($B376="","",IFERROR(INDEX(账户银行,MATCH($B376,账户名,0)),""))</f>
        <v/>
      </c>
      <c r="D376" s="12" t="str">
        <f>IF($B376="","",IFERROR(INDEX(账户币种,MATCH($B376,账户名,0)),""))</f>
        <v/>
      </c>
      <c r="E376" s="47"/>
      <c r="F376" s="12" t="str">
        <f>IF($E376="","",IFERROR(INDEX(类别属性,MATCH($E376,类别表,0)),""))</f>
        <v/>
      </c>
      <c r="G376" s="48"/>
      <c r="H376" s="48"/>
      <c r="I376" s="49"/>
      <c r="J376" s="24" t="str">
        <f>IF(OR($A376="",$B376=""),"",IF($I376&lt;&gt;"",$I376,IF($D376=本位币,1,IFERROR(LOOKUP(2,1/((汇率月份&lt;=$A376)*(INDEX(记账汇率区,0,MATCH($D376,汇率币种头,0))&lt;&gt;"")),INDEX(记账汇率区,0,MATCH($D376,汇率币种头,0))),""))))</f>
        <v/>
      </c>
      <c r="K376" s="23" t="str">
        <f t="shared" si="10"/>
        <v/>
      </c>
      <c r="L376" s="23" t="str">
        <f t="shared" si="11"/>
        <v/>
      </c>
      <c r="M376" s="23" t="str">
        <f>IF($B376="","",ROUND(SUMIF(账户名,$B376,账户期初)+SUMIFS($K$6:K376,$B$6:B376,$B376),2))</f>
        <v/>
      </c>
      <c r="N376" s="23" t="str">
        <f>IF($B376="","",IFERROR(ROUND(INDEX(账户期初本位,MATCH($B376,账户名,0))+SUMIFS($L$6:L376,$B$6:B376,$B376),2),""))</f>
        <v/>
      </c>
      <c r="O376" s="46"/>
      <c r="P376" s="47"/>
      <c r="Q376" s="46"/>
      <c r="R376" s="46"/>
      <c r="S376" s="6" t="str">
        <f>IF($B376="","",IF(ISNA(MATCH($B376,账户名,0)),"※这个账户不在【参数设置】的账户档案里",IF($A376="","※没填日期，这一笔不会进任何月份的报表",IF(AND($G376&lt;&gt;"",$H376&lt;&gt;""),"※收入和支出不能同时填",IF(AND(N($G376)=0,N($H376)=0),"※收入和支出都没填",IF($E376="","※没填收支类别，分类报表会漏掉这一笔",IF(ISNA(MATCH($E376,类别表,0)),"※收支类别不在【参数设置】的清单里",IF($J376="","△"&amp;$D376&amp;" 还没填汇率，去【月度汇率】补上就自动算了",IF(YEAR($A376)&lt;&gt;管理年度,"△不是管理年度的单据，年报里看不到",IF(AND($F376="内部转账",$Q376=""),"△内部转账建议在「往来单位」写上对方账户",IF($M376&lt;0,"△这一笔之后该账户余额成负数了，核一下","")))))))))))</f>
        <v/>
      </c>
    </row>
    <row r="377" ht="16.5" spans="1:19">
      <c r="A377" s="45"/>
      <c r="B377" s="46"/>
      <c r="C377" s="12" t="str">
        <f>IF($B377="","",IFERROR(INDEX(账户银行,MATCH($B377,账户名,0)),""))</f>
        <v/>
      </c>
      <c r="D377" s="12" t="str">
        <f>IF($B377="","",IFERROR(INDEX(账户币种,MATCH($B377,账户名,0)),""))</f>
        <v/>
      </c>
      <c r="E377" s="47"/>
      <c r="F377" s="12" t="str">
        <f>IF($E377="","",IFERROR(INDEX(类别属性,MATCH($E377,类别表,0)),""))</f>
        <v/>
      </c>
      <c r="G377" s="48"/>
      <c r="H377" s="48"/>
      <c r="I377" s="49"/>
      <c r="J377" s="24" t="str">
        <f>IF(OR($A377="",$B377=""),"",IF($I377&lt;&gt;"",$I377,IF($D377=本位币,1,IFERROR(LOOKUP(2,1/((汇率月份&lt;=$A377)*(INDEX(记账汇率区,0,MATCH($D377,汇率币种头,0))&lt;&gt;"")),INDEX(记账汇率区,0,MATCH($D377,汇率币种头,0))),""))))</f>
        <v/>
      </c>
      <c r="K377" s="23" t="str">
        <f t="shared" si="10"/>
        <v/>
      </c>
      <c r="L377" s="23" t="str">
        <f t="shared" si="11"/>
        <v/>
      </c>
      <c r="M377" s="23" t="str">
        <f>IF($B377="","",ROUND(SUMIF(账户名,$B377,账户期初)+SUMIFS($K$6:K377,$B$6:B377,$B377),2))</f>
        <v/>
      </c>
      <c r="N377" s="23" t="str">
        <f>IF($B377="","",IFERROR(ROUND(INDEX(账户期初本位,MATCH($B377,账户名,0))+SUMIFS($L$6:L377,$B$6:B377,$B377),2),""))</f>
        <v/>
      </c>
      <c r="O377" s="46"/>
      <c r="P377" s="47"/>
      <c r="Q377" s="46"/>
      <c r="R377" s="46"/>
      <c r="S377" s="6" t="str">
        <f>IF($B377="","",IF(ISNA(MATCH($B377,账户名,0)),"※这个账户不在【参数设置】的账户档案里",IF($A377="","※没填日期，这一笔不会进任何月份的报表",IF(AND($G377&lt;&gt;"",$H377&lt;&gt;""),"※收入和支出不能同时填",IF(AND(N($G377)=0,N($H377)=0),"※收入和支出都没填",IF($E377="","※没填收支类别，分类报表会漏掉这一笔",IF(ISNA(MATCH($E377,类别表,0)),"※收支类别不在【参数设置】的清单里",IF($J377="","△"&amp;$D377&amp;" 还没填汇率，去【月度汇率】补上就自动算了",IF(YEAR($A377)&lt;&gt;管理年度,"△不是管理年度的单据，年报里看不到",IF(AND($F377="内部转账",$Q377=""),"△内部转账建议在「往来单位」写上对方账户",IF($M377&lt;0,"△这一笔之后该账户余额成负数了，核一下","")))))))))))</f>
        <v/>
      </c>
    </row>
    <row r="378" ht="16.5" spans="1:19">
      <c r="A378" s="45"/>
      <c r="B378" s="46"/>
      <c r="C378" s="12" t="str">
        <f>IF($B378="","",IFERROR(INDEX(账户银行,MATCH($B378,账户名,0)),""))</f>
        <v/>
      </c>
      <c r="D378" s="12" t="str">
        <f>IF($B378="","",IFERROR(INDEX(账户币种,MATCH($B378,账户名,0)),""))</f>
        <v/>
      </c>
      <c r="E378" s="47"/>
      <c r="F378" s="12" t="str">
        <f>IF($E378="","",IFERROR(INDEX(类别属性,MATCH($E378,类别表,0)),""))</f>
        <v/>
      </c>
      <c r="G378" s="48"/>
      <c r="H378" s="48"/>
      <c r="I378" s="49"/>
      <c r="J378" s="24" t="str">
        <f>IF(OR($A378="",$B378=""),"",IF($I378&lt;&gt;"",$I378,IF($D378=本位币,1,IFERROR(LOOKUP(2,1/((汇率月份&lt;=$A378)*(INDEX(记账汇率区,0,MATCH($D378,汇率币种头,0))&lt;&gt;"")),INDEX(记账汇率区,0,MATCH($D378,汇率币种头,0))),""))))</f>
        <v/>
      </c>
      <c r="K378" s="23" t="str">
        <f t="shared" si="10"/>
        <v/>
      </c>
      <c r="L378" s="23" t="str">
        <f t="shared" si="11"/>
        <v/>
      </c>
      <c r="M378" s="23" t="str">
        <f>IF($B378="","",ROUND(SUMIF(账户名,$B378,账户期初)+SUMIFS($K$6:K378,$B$6:B378,$B378),2))</f>
        <v/>
      </c>
      <c r="N378" s="23" t="str">
        <f>IF($B378="","",IFERROR(ROUND(INDEX(账户期初本位,MATCH($B378,账户名,0))+SUMIFS($L$6:L378,$B$6:B378,$B378),2),""))</f>
        <v/>
      </c>
      <c r="O378" s="46"/>
      <c r="P378" s="47"/>
      <c r="Q378" s="46"/>
      <c r="R378" s="46"/>
      <c r="S378" s="6" t="str">
        <f>IF($B378="","",IF(ISNA(MATCH($B378,账户名,0)),"※这个账户不在【参数设置】的账户档案里",IF($A378="","※没填日期，这一笔不会进任何月份的报表",IF(AND($G378&lt;&gt;"",$H378&lt;&gt;""),"※收入和支出不能同时填",IF(AND(N($G378)=0,N($H378)=0),"※收入和支出都没填",IF($E378="","※没填收支类别，分类报表会漏掉这一笔",IF(ISNA(MATCH($E378,类别表,0)),"※收支类别不在【参数设置】的清单里",IF($J378="","△"&amp;$D378&amp;" 还没填汇率，去【月度汇率】补上就自动算了",IF(YEAR($A378)&lt;&gt;管理年度,"△不是管理年度的单据，年报里看不到",IF(AND($F378="内部转账",$Q378=""),"△内部转账建议在「往来单位」写上对方账户",IF($M378&lt;0,"△这一笔之后该账户余额成负数了，核一下","")))))))))))</f>
        <v/>
      </c>
    </row>
    <row r="379" ht="16.5" spans="1:19">
      <c r="A379" s="45"/>
      <c r="B379" s="46"/>
      <c r="C379" s="12" t="str">
        <f>IF($B379="","",IFERROR(INDEX(账户银行,MATCH($B379,账户名,0)),""))</f>
        <v/>
      </c>
      <c r="D379" s="12" t="str">
        <f>IF($B379="","",IFERROR(INDEX(账户币种,MATCH($B379,账户名,0)),""))</f>
        <v/>
      </c>
      <c r="E379" s="47"/>
      <c r="F379" s="12" t="str">
        <f>IF($E379="","",IFERROR(INDEX(类别属性,MATCH($E379,类别表,0)),""))</f>
        <v/>
      </c>
      <c r="G379" s="48"/>
      <c r="H379" s="48"/>
      <c r="I379" s="49"/>
      <c r="J379" s="24" t="str">
        <f>IF(OR($A379="",$B379=""),"",IF($I379&lt;&gt;"",$I379,IF($D379=本位币,1,IFERROR(LOOKUP(2,1/((汇率月份&lt;=$A379)*(INDEX(记账汇率区,0,MATCH($D379,汇率币种头,0))&lt;&gt;"")),INDEX(记账汇率区,0,MATCH($D379,汇率币种头,0))),""))))</f>
        <v/>
      </c>
      <c r="K379" s="23" t="str">
        <f t="shared" si="10"/>
        <v/>
      </c>
      <c r="L379" s="23" t="str">
        <f t="shared" si="11"/>
        <v/>
      </c>
      <c r="M379" s="23" t="str">
        <f>IF($B379="","",ROUND(SUMIF(账户名,$B379,账户期初)+SUMIFS($K$6:K379,$B$6:B379,$B379),2))</f>
        <v/>
      </c>
      <c r="N379" s="23" t="str">
        <f>IF($B379="","",IFERROR(ROUND(INDEX(账户期初本位,MATCH($B379,账户名,0))+SUMIFS($L$6:L379,$B$6:B379,$B379),2),""))</f>
        <v/>
      </c>
      <c r="O379" s="46"/>
      <c r="P379" s="47"/>
      <c r="Q379" s="46"/>
      <c r="R379" s="46"/>
      <c r="S379" s="6" t="str">
        <f>IF($B379="","",IF(ISNA(MATCH($B379,账户名,0)),"※这个账户不在【参数设置】的账户档案里",IF($A379="","※没填日期，这一笔不会进任何月份的报表",IF(AND($G379&lt;&gt;"",$H379&lt;&gt;""),"※收入和支出不能同时填",IF(AND(N($G379)=0,N($H379)=0),"※收入和支出都没填",IF($E379="","※没填收支类别，分类报表会漏掉这一笔",IF(ISNA(MATCH($E379,类别表,0)),"※收支类别不在【参数设置】的清单里",IF($J379="","△"&amp;$D379&amp;" 还没填汇率，去【月度汇率】补上就自动算了",IF(YEAR($A379)&lt;&gt;管理年度,"△不是管理年度的单据，年报里看不到",IF(AND($F379="内部转账",$Q379=""),"△内部转账建议在「往来单位」写上对方账户",IF($M379&lt;0,"△这一笔之后该账户余额成负数了，核一下","")))))))))))</f>
        <v/>
      </c>
    </row>
    <row r="380" ht="16.5" spans="1:19">
      <c r="A380" s="45"/>
      <c r="B380" s="46"/>
      <c r="C380" s="12" t="str">
        <f>IF($B380="","",IFERROR(INDEX(账户银行,MATCH($B380,账户名,0)),""))</f>
        <v/>
      </c>
      <c r="D380" s="12" t="str">
        <f>IF($B380="","",IFERROR(INDEX(账户币种,MATCH($B380,账户名,0)),""))</f>
        <v/>
      </c>
      <c r="E380" s="47"/>
      <c r="F380" s="12" t="str">
        <f>IF($E380="","",IFERROR(INDEX(类别属性,MATCH($E380,类别表,0)),""))</f>
        <v/>
      </c>
      <c r="G380" s="48"/>
      <c r="H380" s="48"/>
      <c r="I380" s="49"/>
      <c r="J380" s="24" t="str">
        <f>IF(OR($A380="",$B380=""),"",IF($I380&lt;&gt;"",$I380,IF($D380=本位币,1,IFERROR(LOOKUP(2,1/((汇率月份&lt;=$A380)*(INDEX(记账汇率区,0,MATCH($D380,汇率币种头,0))&lt;&gt;"")),INDEX(记账汇率区,0,MATCH($D380,汇率币种头,0))),""))))</f>
        <v/>
      </c>
      <c r="K380" s="23" t="str">
        <f t="shared" si="10"/>
        <v/>
      </c>
      <c r="L380" s="23" t="str">
        <f t="shared" si="11"/>
        <v/>
      </c>
      <c r="M380" s="23" t="str">
        <f>IF($B380="","",ROUND(SUMIF(账户名,$B380,账户期初)+SUMIFS($K$6:K380,$B$6:B380,$B380),2))</f>
        <v/>
      </c>
      <c r="N380" s="23" t="str">
        <f>IF($B380="","",IFERROR(ROUND(INDEX(账户期初本位,MATCH($B380,账户名,0))+SUMIFS($L$6:L380,$B$6:B380,$B380),2),""))</f>
        <v/>
      </c>
      <c r="O380" s="46"/>
      <c r="P380" s="47"/>
      <c r="Q380" s="46"/>
      <c r="R380" s="46"/>
      <c r="S380" s="6" t="str">
        <f>IF($B380="","",IF(ISNA(MATCH($B380,账户名,0)),"※这个账户不在【参数设置】的账户档案里",IF($A380="","※没填日期，这一笔不会进任何月份的报表",IF(AND($G380&lt;&gt;"",$H380&lt;&gt;""),"※收入和支出不能同时填",IF(AND(N($G380)=0,N($H380)=0),"※收入和支出都没填",IF($E380="","※没填收支类别，分类报表会漏掉这一笔",IF(ISNA(MATCH($E380,类别表,0)),"※收支类别不在【参数设置】的清单里",IF($J380="","△"&amp;$D380&amp;" 还没填汇率，去【月度汇率】补上就自动算了",IF(YEAR($A380)&lt;&gt;管理年度,"△不是管理年度的单据，年报里看不到",IF(AND($F380="内部转账",$Q380=""),"△内部转账建议在「往来单位」写上对方账户",IF($M380&lt;0,"△这一笔之后该账户余额成负数了，核一下","")))))))))))</f>
        <v/>
      </c>
    </row>
    <row r="381" ht="16.5" spans="1:19">
      <c r="A381" s="45"/>
      <c r="B381" s="46"/>
      <c r="C381" s="12" t="str">
        <f>IF($B381="","",IFERROR(INDEX(账户银行,MATCH($B381,账户名,0)),""))</f>
        <v/>
      </c>
      <c r="D381" s="12" t="str">
        <f>IF($B381="","",IFERROR(INDEX(账户币种,MATCH($B381,账户名,0)),""))</f>
        <v/>
      </c>
      <c r="E381" s="47"/>
      <c r="F381" s="12" t="str">
        <f>IF($E381="","",IFERROR(INDEX(类别属性,MATCH($E381,类别表,0)),""))</f>
        <v/>
      </c>
      <c r="G381" s="48"/>
      <c r="H381" s="48"/>
      <c r="I381" s="49"/>
      <c r="J381" s="24" t="str">
        <f>IF(OR($A381="",$B381=""),"",IF($I381&lt;&gt;"",$I381,IF($D381=本位币,1,IFERROR(LOOKUP(2,1/((汇率月份&lt;=$A381)*(INDEX(记账汇率区,0,MATCH($D381,汇率币种头,0))&lt;&gt;"")),INDEX(记账汇率区,0,MATCH($D381,汇率币种头,0))),""))))</f>
        <v/>
      </c>
      <c r="K381" s="23" t="str">
        <f t="shared" si="10"/>
        <v/>
      </c>
      <c r="L381" s="23" t="str">
        <f t="shared" si="11"/>
        <v/>
      </c>
      <c r="M381" s="23" t="str">
        <f>IF($B381="","",ROUND(SUMIF(账户名,$B381,账户期初)+SUMIFS($K$6:K381,$B$6:B381,$B381),2))</f>
        <v/>
      </c>
      <c r="N381" s="23" t="str">
        <f>IF($B381="","",IFERROR(ROUND(INDEX(账户期初本位,MATCH($B381,账户名,0))+SUMIFS($L$6:L381,$B$6:B381,$B381),2),""))</f>
        <v/>
      </c>
      <c r="O381" s="46"/>
      <c r="P381" s="47"/>
      <c r="Q381" s="46"/>
      <c r="R381" s="46"/>
      <c r="S381" s="6" t="str">
        <f>IF($B381="","",IF(ISNA(MATCH($B381,账户名,0)),"※这个账户不在【参数设置】的账户档案里",IF($A381="","※没填日期，这一笔不会进任何月份的报表",IF(AND($G381&lt;&gt;"",$H381&lt;&gt;""),"※收入和支出不能同时填",IF(AND(N($G381)=0,N($H381)=0),"※收入和支出都没填",IF($E381="","※没填收支类别，分类报表会漏掉这一笔",IF(ISNA(MATCH($E381,类别表,0)),"※收支类别不在【参数设置】的清单里",IF($J381="","△"&amp;$D381&amp;" 还没填汇率，去【月度汇率】补上就自动算了",IF(YEAR($A381)&lt;&gt;管理年度,"△不是管理年度的单据，年报里看不到",IF(AND($F381="内部转账",$Q381=""),"△内部转账建议在「往来单位」写上对方账户",IF($M381&lt;0,"△这一笔之后该账户余额成负数了，核一下","")))))))))))</f>
        <v/>
      </c>
    </row>
    <row r="382" ht="16.5" spans="1:19">
      <c r="A382" s="45"/>
      <c r="B382" s="46"/>
      <c r="C382" s="12" t="str">
        <f>IF($B382="","",IFERROR(INDEX(账户银行,MATCH($B382,账户名,0)),""))</f>
        <v/>
      </c>
      <c r="D382" s="12" t="str">
        <f>IF($B382="","",IFERROR(INDEX(账户币种,MATCH($B382,账户名,0)),""))</f>
        <v/>
      </c>
      <c r="E382" s="47"/>
      <c r="F382" s="12" t="str">
        <f>IF($E382="","",IFERROR(INDEX(类别属性,MATCH($E382,类别表,0)),""))</f>
        <v/>
      </c>
      <c r="G382" s="48"/>
      <c r="H382" s="48"/>
      <c r="I382" s="49"/>
      <c r="J382" s="24" t="str">
        <f>IF(OR($A382="",$B382=""),"",IF($I382&lt;&gt;"",$I382,IF($D382=本位币,1,IFERROR(LOOKUP(2,1/((汇率月份&lt;=$A382)*(INDEX(记账汇率区,0,MATCH($D382,汇率币种头,0))&lt;&gt;"")),INDEX(记账汇率区,0,MATCH($D382,汇率币种头,0))),""))))</f>
        <v/>
      </c>
      <c r="K382" s="23" t="str">
        <f t="shared" si="10"/>
        <v/>
      </c>
      <c r="L382" s="23" t="str">
        <f t="shared" si="11"/>
        <v/>
      </c>
      <c r="M382" s="23" t="str">
        <f>IF($B382="","",ROUND(SUMIF(账户名,$B382,账户期初)+SUMIFS($K$6:K382,$B$6:B382,$B382),2))</f>
        <v/>
      </c>
      <c r="N382" s="23" t="str">
        <f>IF($B382="","",IFERROR(ROUND(INDEX(账户期初本位,MATCH($B382,账户名,0))+SUMIFS($L$6:L382,$B$6:B382,$B382),2),""))</f>
        <v/>
      </c>
      <c r="O382" s="46"/>
      <c r="P382" s="47"/>
      <c r="Q382" s="46"/>
      <c r="R382" s="46"/>
      <c r="S382" s="6" t="str">
        <f>IF($B382="","",IF(ISNA(MATCH($B382,账户名,0)),"※这个账户不在【参数设置】的账户档案里",IF($A382="","※没填日期，这一笔不会进任何月份的报表",IF(AND($G382&lt;&gt;"",$H382&lt;&gt;""),"※收入和支出不能同时填",IF(AND(N($G382)=0,N($H382)=0),"※收入和支出都没填",IF($E382="","※没填收支类别，分类报表会漏掉这一笔",IF(ISNA(MATCH($E382,类别表,0)),"※收支类别不在【参数设置】的清单里",IF($J382="","△"&amp;$D382&amp;" 还没填汇率，去【月度汇率】补上就自动算了",IF(YEAR($A382)&lt;&gt;管理年度,"△不是管理年度的单据，年报里看不到",IF(AND($F382="内部转账",$Q382=""),"△内部转账建议在「往来单位」写上对方账户",IF($M382&lt;0,"△这一笔之后该账户余额成负数了，核一下","")))))))))))</f>
        <v/>
      </c>
    </row>
    <row r="383" ht="16.5" spans="1:19">
      <c r="A383" s="45"/>
      <c r="B383" s="46"/>
      <c r="C383" s="12" t="str">
        <f>IF($B383="","",IFERROR(INDEX(账户银行,MATCH($B383,账户名,0)),""))</f>
        <v/>
      </c>
      <c r="D383" s="12" t="str">
        <f>IF($B383="","",IFERROR(INDEX(账户币种,MATCH($B383,账户名,0)),""))</f>
        <v/>
      </c>
      <c r="E383" s="47"/>
      <c r="F383" s="12" t="str">
        <f>IF($E383="","",IFERROR(INDEX(类别属性,MATCH($E383,类别表,0)),""))</f>
        <v/>
      </c>
      <c r="G383" s="48"/>
      <c r="H383" s="48"/>
      <c r="I383" s="49"/>
      <c r="J383" s="24" t="str">
        <f>IF(OR($A383="",$B383=""),"",IF($I383&lt;&gt;"",$I383,IF($D383=本位币,1,IFERROR(LOOKUP(2,1/((汇率月份&lt;=$A383)*(INDEX(记账汇率区,0,MATCH($D383,汇率币种头,0))&lt;&gt;"")),INDEX(记账汇率区,0,MATCH($D383,汇率币种头,0))),""))))</f>
        <v/>
      </c>
      <c r="K383" s="23" t="str">
        <f t="shared" si="10"/>
        <v/>
      </c>
      <c r="L383" s="23" t="str">
        <f t="shared" si="11"/>
        <v/>
      </c>
      <c r="M383" s="23" t="str">
        <f>IF($B383="","",ROUND(SUMIF(账户名,$B383,账户期初)+SUMIFS($K$6:K383,$B$6:B383,$B383),2))</f>
        <v/>
      </c>
      <c r="N383" s="23" t="str">
        <f>IF($B383="","",IFERROR(ROUND(INDEX(账户期初本位,MATCH($B383,账户名,0))+SUMIFS($L$6:L383,$B$6:B383,$B383),2),""))</f>
        <v/>
      </c>
      <c r="O383" s="46"/>
      <c r="P383" s="47"/>
      <c r="Q383" s="46"/>
      <c r="R383" s="46"/>
      <c r="S383" s="6" t="str">
        <f>IF($B383="","",IF(ISNA(MATCH($B383,账户名,0)),"※这个账户不在【参数设置】的账户档案里",IF($A383="","※没填日期，这一笔不会进任何月份的报表",IF(AND($G383&lt;&gt;"",$H383&lt;&gt;""),"※收入和支出不能同时填",IF(AND(N($G383)=0,N($H383)=0),"※收入和支出都没填",IF($E383="","※没填收支类别，分类报表会漏掉这一笔",IF(ISNA(MATCH($E383,类别表,0)),"※收支类别不在【参数设置】的清单里",IF($J383="","△"&amp;$D383&amp;" 还没填汇率，去【月度汇率】补上就自动算了",IF(YEAR($A383)&lt;&gt;管理年度,"△不是管理年度的单据，年报里看不到",IF(AND($F383="内部转账",$Q383=""),"△内部转账建议在「往来单位」写上对方账户",IF($M383&lt;0,"△这一笔之后该账户余额成负数了，核一下","")))))))))))</f>
        <v/>
      </c>
    </row>
    <row r="384" ht="16.5" spans="1:19">
      <c r="A384" s="45"/>
      <c r="B384" s="46"/>
      <c r="C384" s="12" t="str">
        <f>IF($B384="","",IFERROR(INDEX(账户银行,MATCH($B384,账户名,0)),""))</f>
        <v/>
      </c>
      <c r="D384" s="12" t="str">
        <f>IF($B384="","",IFERROR(INDEX(账户币种,MATCH($B384,账户名,0)),""))</f>
        <v/>
      </c>
      <c r="E384" s="47"/>
      <c r="F384" s="12" t="str">
        <f>IF($E384="","",IFERROR(INDEX(类别属性,MATCH($E384,类别表,0)),""))</f>
        <v/>
      </c>
      <c r="G384" s="48"/>
      <c r="H384" s="48"/>
      <c r="I384" s="49"/>
      <c r="J384" s="24" t="str">
        <f>IF(OR($A384="",$B384=""),"",IF($I384&lt;&gt;"",$I384,IF($D384=本位币,1,IFERROR(LOOKUP(2,1/((汇率月份&lt;=$A384)*(INDEX(记账汇率区,0,MATCH($D384,汇率币种头,0))&lt;&gt;"")),INDEX(记账汇率区,0,MATCH($D384,汇率币种头,0))),""))))</f>
        <v/>
      </c>
      <c r="K384" s="23" t="str">
        <f t="shared" si="10"/>
        <v/>
      </c>
      <c r="L384" s="23" t="str">
        <f t="shared" si="11"/>
        <v/>
      </c>
      <c r="M384" s="23" t="str">
        <f>IF($B384="","",ROUND(SUMIF(账户名,$B384,账户期初)+SUMIFS($K$6:K384,$B$6:B384,$B384),2))</f>
        <v/>
      </c>
      <c r="N384" s="23" t="str">
        <f>IF($B384="","",IFERROR(ROUND(INDEX(账户期初本位,MATCH($B384,账户名,0))+SUMIFS($L$6:L384,$B$6:B384,$B384),2),""))</f>
        <v/>
      </c>
      <c r="O384" s="46"/>
      <c r="P384" s="47"/>
      <c r="Q384" s="46"/>
      <c r="R384" s="46"/>
      <c r="S384" s="6" t="str">
        <f>IF($B384="","",IF(ISNA(MATCH($B384,账户名,0)),"※这个账户不在【参数设置】的账户档案里",IF($A384="","※没填日期，这一笔不会进任何月份的报表",IF(AND($G384&lt;&gt;"",$H384&lt;&gt;""),"※收入和支出不能同时填",IF(AND(N($G384)=0,N($H384)=0),"※收入和支出都没填",IF($E384="","※没填收支类别，分类报表会漏掉这一笔",IF(ISNA(MATCH($E384,类别表,0)),"※收支类别不在【参数设置】的清单里",IF($J384="","△"&amp;$D384&amp;" 还没填汇率，去【月度汇率】补上就自动算了",IF(YEAR($A384)&lt;&gt;管理年度,"△不是管理年度的单据，年报里看不到",IF(AND($F384="内部转账",$Q384=""),"△内部转账建议在「往来单位」写上对方账户",IF($M384&lt;0,"△这一笔之后该账户余额成负数了，核一下","")))))))))))</f>
        <v/>
      </c>
    </row>
    <row r="385" ht="16.5" spans="1:19">
      <c r="A385" s="45"/>
      <c r="B385" s="46"/>
      <c r="C385" s="12" t="str">
        <f>IF($B385="","",IFERROR(INDEX(账户银行,MATCH($B385,账户名,0)),""))</f>
        <v/>
      </c>
      <c r="D385" s="12" t="str">
        <f>IF($B385="","",IFERROR(INDEX(账户币种,MATCH($B385,账户名,0)),""))</f>
        <v/>
      </c>
      <c r="E385" s="47"/>
      <c r="F385" s="12" t="str">
        <f>IF($E385="","",IFERROR(INDEX(类别属性,MATCH($E385,类别表,0)),""))</f>
        <v/>
      </c>
      <c r="G385" s="48"/>
      <c r="H385" s="48"/>
      <c r="I385" s="49"/>
      <c r="J385" s="24" t="str">
        <f>IF(OR($A385="",$B385=""),"",IF($I385&lt;&gt;"",$I385,IF($D385=本位币,1,IFERROR(LOOKUP(2,1/((汇率月份&lt;=$A385)*(INDEX(记账汇率区,0,MATCH($D385,汇率币种头,0))&lt;&gt;"")),INDEX(记账汇率区,0,MATCH($D385,汇率币种头,0))),""))))</f>
        <v/>
      </c>
      <c r="K385" s="23" t="str">
        <f t="shared" si="10"/>
        <v/>
      </c>
      <c r="L385" s="23" t="str">
        <f t="shared" si="11"/>
        <v/>
      </c>
      <c r="M385" s="23" t="str">
        <f>IF($B385="","",ROUND(SUMIF(账户名,$B385,账户期初)+SUMIFS($K$6:K385,$B$6:B385,$B385),2))</f>
        <v/>
      </c>
      <c r="N385" s="23" t="str">
        <f>IF($B385="","",IFERROR(ROUND(INDEX(账户期初本位,MATCH($B385,账户名,0))+SUMIFS($L$6:L385,$B$6:B385,$B385),2),""))</f>
        <v/>
      </c>
      <c r="O385" s="46"/>
      <c r="P385" s="47"/>
      <c r="Q385" s="46"/>
      <c r="R385" s="46"/>
      <c r="S385" s="6" t="str">
        <f>IF($B385="","",IF(ISNA(MATCH($B385,账户名,0)),"※这个账户不在【参数设置】的账户档案里",IF($A385="","※没填日期，这一笔不会进任何月份的报表",IF(AND($G385&lt;&gt;"",$H385&lt;&gt;""),"※收入和支出不能同时填",IF(AND(N($G385)=0,N($H385)=0),"※收入和支出都没填",IF($E385="","※没填收支类别，分类报表会漏掉这一笔",IF(ISNA(MATCH($E385,类别表,0)),"※收支类别不在【参数设置】的清单里",IF($J385="","△"&amp;$D385&amp;" 还没填汇率，去【月度汇率】补上就自动算了",IF(YEAR($A385)&lt;&gt;管理年度,"△不是管理年度的单据，年报里看不到",IF(AND($F385="内部转账",$Q385=""),"△内部转账建议在「往来单位」写上对方账户",IF($M385&lt;0,"△这一笔之后该账户余额成负数了，核一下","")))))))))))</f>
        <v/>
      </c>
    </row>
    <row r="386" ht="16.5" spans="1:19">
      <c r="A386" s="45"/>
      <c r="B386" s="46"/>
      <c r="C386" s="12" t="str">
        <f>IF($B386="","",IFERROR(INDEX(账户银行,MATCH($B386,账户名,0)),""))</f>
        <v/>
      </c>
      <c r="D386" s="12" t="str">
        <f>IF($B386="","",IFERROR(INDEX(账户币种,MATCH($B386,账户名,0)),""))</f>
        <v/>
      </c>
      <c r="E386" s="47"/>
      <c r="F386" s="12" t="str">
        <f>IF($E386="","",IFERROR(INDEX(类别属性,MATCH($E386,类别表,0)),""))</f>
        <v/>
      </c>
      <c r="G386" s="48"/>
      <c r="H386" s="48"/>
      <c r="I386" s="49"/>
      <c r="J386" s="24" t="str">
        <f>IF(OR($A386="",$B386=""),"",IF($I386&lt;&gt;"",$I386,IF($D386=本位币,1,IFERROR(LOOKUP(2,1/((汇率月份&lt;=$A386)*(INDEX(记账汇率区,0,MATCH($D386,汇率币种头,0))&lt;&gt;"")),INDEX(记账汇率区,0,MATCH($D386,汇率币种头,0))),""))))</f>
        <v/>
      </c>
      <c r="K386" s="23" t="str">
        <f t="shared" si="10"/>
        <v/>
      </c>
      <c r="L386" s="23" t="str">
        <f t="shared" si="11"/>
        <v/>
      </c>
      <c r="M386" s="23" t="str">
        <f>IF($B386="","",ROUND(SUMIF(账户名,$B386,账户期初)+SUMIFS($K$6:K386,$B$6:B386,$B386),2))</f>
        <v/>
      </c>
      <c r="N386" s="23" t="str">
        <f>IF($B386="","",IFERROR(ROUND(INDEX(账户期初本位,MATCH($B386,账户名,0))+SUMIFS($L$6:L386,$B$6:B386,$B386),2),""))</f>
        <v/>
      </c>
      <c r="O386" s="46"/>
      <c r="P386" s="47"/>
      <c r="Q386" s="46"/>
      <c r="R386" s="46"/>
      <c r="S386" s="6" t="str">
        <f>IF($B386="","",IF(ISNA(MATCH($B386,账户名,0)),"※这个账户不在【参数设置】的账户档案里",IF($A386="","※没填日期，这一笔不会进任何月份的报表",IF(AND($G386&lt;&gt;"",$H386&lt;&gt;""),"※收入和支出不能同时填",IF(AND(N($G386)=0,N($H386)=0),"※收入和支出都没填",IF($E386="","※没填收支类别，分类报表会漏掉这一笔",IF(ISNA(MATCH($E386,类别表,0)),"※收支类别不在【参数设置】的清单里",IF($J386="","△"&amp;$D386&amp;" 还没填汇率，去【月度汇率】补上就自动算了",IF(YEAR($A386)&lt;&gt;管理年度,"△不是管理年度的单据，年报里看不到",IF(AND($F386="内部转账",$Q386=""),"△内部转账建议在「往来单位」写上对方账户",IF($M386&lt;0,"△这一笔之后该账户余额成负数了，核一下","")))))))))))</f>
        <v/>
      </c>
    </row>
    <row r="387" ht="16.5" spans="1:19">
      <c r="A387" s="45"/>
      <c r="B387" s="46"/>
      <c r="C387" s="12" t="str">
        <f>IF($B387="","",IFERROR(INDEX(账户银行,MATCH($B387,账户名,0)),""))</f>
        <v/>
      </c>
      <c r="D387" s="12" t="str">
        <f>IF($B387="","",IFERROR(INDEX(账户币种,MATCH($B387,账户名,0)),""))</f>
        <v/>
      </c>
      <c r="E387" s="47"/>
      <c r="F387" s="12" t="str">
        <f>IF($E387="","",IFERROR(INDEX(类别属性,MATCH($E387,类别表,0)),""))</f>
        <v/>
      </c>
      <c r="G387" s="48"/>
      <c r="H387" s="48"/>
      <c r="I387" s="49"/>
      <c r="J387" s="24" t="str">
        <f>IF(OR($A387="",$B387=""),"",IF($I387&lt;&gt;"",$I387,IF($D387=本位币,1,IFERROR(LOOKUP(2,1/((汇率月份&lt;=$A387)*(INDEX(记账汇率区,0,MATCH($D387,汇率币种头,0))&lt;&gt;"")),INDEX(记账汇率区,0,MATCH($D387,汇率币种头,0))),""))))</f>
        <v/>
      </c>
      <c r="K387" s="23" t="str">
        <f t="shared" si="10"/>
        <v/>
      </c>
      <c r="L387" s="23" t="str">
        <f t="shared" si="11"/>
        <v/>
      </c>
      <c r="M387" s="23" t="str">
        <f>IF($B387="","",ROUND(SUMIF(账户名,$B387,账户期初)+SUMIFS($K$6:K387,$B$6:B387,$B387),2))</f>
        <v/>
      </c>
      <c r="N387" s="23" t="str">
        <f>IF($B387="","",IFERROR(ROUND(INDEX(账户期初本位,MATCH($B387,账户名,0))+SUMIFS($L$6:L387,$B$6:B387,$B387),2),""))</f>
        <v/>
      </c>
      <c r="O387" s="46"/>
      <c r="P387" s="47"/>
      <c r="Q387" s="46"/>
      <c r="R387" s="46"/>
      <c r="S387" s="6" t="str">
        <f>IF($B387="","",IF(ISNA(MATCH($B387,账户名,0)),"※这个账户不在【参数设置】的账户档案里",IF($A387="","※没填日期，这一笔不会进任何月份的报表",IF(AND($G387&lt;&gt;"",$H387&lt;&gt;""),"※收入和支出不能同时填",IF(AND(N($G387)=0,N($H387)=0),"※收入和支出都没填",IF($E387="","※没填收支类别，分类报表会漏掉这一笔",IF(ISNA(MATCH($E387,类别表,0)),"※收支类别不在【参数设置】的清单里",IF($J387="","△"&amp;$D387&amp;" 还没填汇率，去【月度汇率】补上就自动算了",IF(YEAR($A387)&lt;&gt;管理年度,"△不是管理年度的单据，年报里看不到",IF(AND($F387="内部转账",$Q387=""),"△内部转账建议在「往来单位」写上对方账户",IF($M387&lt;0,"△这一笔之后该账户余额成负数了，核一下","")))))))))))</f>
        <v/>
      </c>
    </row>
    <row r="388" ht="16.5" spans="1:19">
      <c r="A388" s="45"/>
      <c r="B388" s="46"/>
      <c r="C388" s="12" t="str">
        <f>IF($B388="","",IFERROR(INDEX(账户银行,MATCH($B388,账户名,0)),""))</f>
        <v/>
      </c>
      <c r="D388" s="12" t="str">
        <f>IF($B388="","",IFERROR(INDEX(账户币种,MATCH($B388,账户名,0)),""))</f>
        <v/>
      </c>
      <c r="E388" s="47"/>
      <c r="F388" s="12" t="str">
        <f>IF($E388="","",IFERROR(INDEX(类别属性,MATCH($E388,类别表,0)),""))</f>
        <v/>
      </c>
      <c r="G388" s="48"/>
      <c r="H388" s="48"/>
      <c r="I388" s="49"/>
      <c r="J388" s="24" t="str">
        <f>IF(OR($A388="",$B388=""),"",IF($I388&lt;&gt;"",$I388,IF($D388=本位币,1,IFERROR(LOOKUP(2,1/((汇率月份&lt;=$A388)*(INDEX(记账汇率区,0,MATCH($D388,汇率币种头,0))&lt;&gt;"")),INDEX(记账汇率区,0,MATCH($D388,汇率币种头,0))),""))))</f>
        <v/>
      </c>
      <c r="K388" s="23" t="str">
        <f t="shared" si="10"/>
        <v/>
      </c>
      <c r="L388" s="23" t="str">
        <f t="shared" si="11"/>
        <v/>
      </c>
      <c r="M388" s="23" t="str">
        <f>IF($B388="","",ROUND(SUMIF(账户名,$B388,账户期初)+SUMIFS($K$6:K388,$B$6:B388,$B388),2))</f>
        <v/>
      </c>
      <c r="N388" s="23" t="str">
        <f>IF($B388="","",IFERROR(ROUND(INDEX(账户期初本位,MATCH($B388,账户名,0))+SUMIFS($L$6:L388,$B$6:B388,$B388),2),""))</f>
        <v/>
      </c>
      <c r="O388" s="46"/>
      <c r="P388" s="47"/>
      <c r="Q388" s="46"/>
      <c r="R388" s="46"/>
      <c r="S388" s="6" t="str">
        <f>IF($B388="","",IF(ISNA(MATCH($B388,账户名,0)),"※这个账户不在【参数设置】的账户档案里",IF($A388="","※没填日期，这一笔不会进任何月份的报表",IF(AND($G388&lt;&gt;"",$H388&lt;&gt;""),"※收入和支出不能同时填",IF(AND(N($G388)=0,N($H388)=0),"※收入和支出都没填",IF($E388="","※没填收支类别，分类报表会漏掉这一笔",IF(ISNA(MATCH($E388,类别表,0)),"※收支类别不在【参数设置】的清单里",IF($J388="","△"&amp;$D388&amp;" 还没填汇率，去【月度汇率】补上就自动算了",IF(YEAR($A388)&lt;&gt;管理年度,"△不是管理年度的单据，年报里看不到",IF(AND($F388="内部转账",$Q388=""),"△内部转账建议在「往来单位」写上对方账户",IF($M388&lt;0,"△这一笔之后该账户余额成负数了，核一下","")))))))))))</f>
        <v/>
      </c>
    </row>
    <row r="389" ht="16.5" spans="1:19">
      <c r="A389" s="45"/>
      <c r="B389" s="46"/>
      <c r="C389" s="12" t="str">
        <f>IF($B389="","",IFERROR(INDEX(账户银行,MATCH($B389,账户名,0)),""))</f>
        <v/>
      </c>
      <c r="D389" s="12" t="str">
        <f>IF($B389="","",IFERROR(INDEX(账户币种,MATCH($B389,账户名,0)),""))</f>
        <v/>
      </c>
      <c r="E389" s="47"/>
      <c r="F389" s="12" t="str">
        <f>IF($E389="","",IFERROR(INDEX(类别属性,MATCH($E389,类别表,0)),""))</f>
        <v/>
      </c>
      <c r="G389" s="48"/>
      <c r="H389" s="48"/>
      <c r="I389" s="49"/>
      <c r="J389" s="24" t="str">
        <f>IF(OR($A389="",$B389=""),"",IF($I389&lt;&gt;"",$I389,IF($D389=本位币,1,IFERROR(LOOKUP(2,1/((汇率月份&lt;=$A389)*(INDEX(记账汇率区,0,MATCH($D389,汇率币种头,0))&lt;&gt;"")),INDEX(记账汇率区,0,MATCH($D389,汇率币种头,0))),""))))</f>
        <v/>
      </c>
      <c r="K389" s="23" t="str">
        <f t="shared" si="10"/>
        <v/>
      </c>
      <c r="L389" s="23" t="str">
        <f t="shared" si="11"/>
        <v/>
      </c>
      <c r="M389" s="23" t="str">
        <f>IF($B389="","",ROUND(SUMIF(账户名,$B389,账户期初)+SUMIFS($K$6:K389,$B$6:B389,$B389),2))</f>
        <v/>
      </c>
      <c r="N389" s="23" t="str">
        <f>IF($B389="","",IFERROR(ROUND(INDEX(账户期初本位,MATCH($B389,账户名,0))+SUMIFS($L$6:L389,$B$6:B389,$B389),2),""))</f>
        <v/>
      </c>
      <c r="O389" s="46"/>
      <c r="P389" s="47"/>
      <c r="Q389" s="46"/>
      <c r="R389" s="46"/>
      <c r="S389" s="6" t="str">
        <f>IF($B389="","",IF(ISNA(MATCH($B389,账户名,0)),"※这个账户不在【参数设置】的账户档案里",IF($A389="","※没填日期，这一笔不会进任何月份的报表",IF(AND($G389&lt;&gt;"",$H389&lt;&gt;""),"※收入和支出不能同时填",IF(AND(N($G389)=0,N($H389)=0),"※收入和支出都没填",IF($E389="","※没填收支类别，分类报表会漏掉这一笔",IF(ISNA(MATCH($E389,类别表,0)),"※收支类别不在【参数设置】的清单里",IF($J389="","△"&amp;$D389&amp;" 还没填汇率，去【月度汇率】补上就自动算了",IF(YEAR($A389)&lt;&gt;管理年度,"△不是管理年度的单据，年报里看不到",IF(AND($F389="内部转账",$Q389=""),"△内部转账建议在「往来单位」写上对方账户",IF($M389&lt;0,"△这一笔之后该账户余额成负数了，核一下","")))))))))))</f>
        <v/>
      </c>
    </row>
    <row r="390" ht="16.5" spans="1:19">
      <c r="A390" s="45"/>
      <c r="B390" s="46"/>
      <c r="C390" s="12" t="str">
        <f>IF($B390="","",IFERROR(INDEX(账户银行,MATCH($B390,账户名,0)),""))</f>
        <v/>
      </c>
      <c r="D390" s="12" t="str">
        <f>IF($B390="","",IFERROR(INDEX(账户币种,MATCH($B390,账户名,0)),""))</f>
        <v/>
      </c>
      <c r="E390" s="47"/>
      <c r="F390" s="12" t="str">
        <f>IF($E390="","",IFERROR(INDEX(类别属性,MATCH($E390,类别表,0)),""))</f>
        <v/>
      </c>
      <c r="G390" s="48"/>
      <c r="H390" s="48"/>
      <c r="I390" s="49"/>
      <c r="J390" s="24" t="str">
        <f>IF(OR($A390="",$B390=""),"",IF($I390&lt;&gt;"",$I390,IF($D390=本位币,1,IFERROR(LOOKUP(2,1/((汇率月份&lt;=$A390)*(INDEX(记账汇率区,0,MATCH($D390,汇率币种头,0))&lt;&gt;"")),INDEX(记账汇率区,0,MATCH($D390,汇率币种头,0))),""))))</f>
        <v/>
      </c>
      <c r="K390" s="23" t="str">
        <f t="shared" ref="K390:K453" si="12">IF(AND($G390="",$H390=""),"",ROUND(N($G390)-N($H390),2))</f>
        <v/>
      </c>
      <c r="L390" s="23" t="str">
        <f t="shared" ref="L390:L453" si="13">IF(OR($K390="",$J390=""),"",ROUND($K390*$J390,2))</f>
        <v/>
      </c>
      <c r="M390" s="23" t="str">
        <f>IF($B390="","",ROUND(SUMIF(账户名,$B390,账户期初)+SUMIFS($K$6:K390,$B$6:B390,$B390),2))</f>
        <v/>
      </c>
      <c r="N390" s="23" t="str">
        <f>IF($B390="","",IFERROR(ROUND(INDEX(账户期初本位,MATCH($B390,账户名,0))+SUMIFS($L$6:L390,$B$6:B390,$B390),2),""))</f>
        <v/>
      </c>
      <c r="O390" s="46"/>
      <c r="P390" s="47"/>
      <c r="Q390" s="46"/>
      <c r="R390" s="46"/>
      <c r="S390" s="6" t="str">
        <f>IF($B390="","",IF(ISNA(MATCH($B390,账户名,0)),"※这个账户不在【参数设置】的账户档案里",IF($A390="","※没填日期，这一笔不会进任何月份的报表",IF(AND($G390&lt;&gt;"",$H390&lt;&gt;""),"※收入和支出不能同时填",IF(AND(N($G390)=0,N($H390)=0),"※收入和支出都没填",IF($E390="","※没填收支类别，分类报表会漏掉这一笔",IF(ISNA(MATCH($E390,类别表,0)),"※收支类别不在【参数设置】的清单里",IF($J390="","△"&amp;$D390&amp;" 还没填汇率，去【月度汇率】补上就自动算了",IF(YEAR($A390)&lt;&gt;管理年度,"△不是管理年度的单据，年报里看不到",IF(AND($F390="内部转账",$Q390=""),"△内部转账建议在「往来单位」写上对方账户",IF($M390&lt;0,"△这一笔之后该账户余额成负数了，核一下","")))))))))))</f>
        <v/>
      </c>
    </row>
    <row r="391" ht="16.5" spans="1:19">
      <c r="A391" s="45"/>
      <c r="B391" s="46"/>
      <c r="C391" s="12" t="str">
        <f>IF($B391="","",IFERROR(INDEX(账户银行,MATCH($B391,账户名,0)),""))</f>
        <v/>
      </c>
      <c r="D391" s="12" t="str">
        <f>IF($B391="","",IFERROR(INDEX(账户币种,MATCH($B391,账户名,0)),""))</f>
        <v/>
      </c>
      <c r="E391" s="47"/>
      <c r="F391" s="12" t="str">
        <f>IF($E391="","",IFERROR(INDEX(类别属性,MATCH($E391,类别表,0)),""))</f>
        <v/>
      </c>
      <c r="G391" s="48"/>
      <c r="H391" s="48"/>
      <c r="I391" s="49"/>
      <c r="J391" s="24" t="str">
        <f>IF(OR($A391="",$B391=""),"",IF($I391&lt;&gt;"",$I391,IF($D391=本位币,1,IFERROR(LOOKUP(2,1/((汇率月份&lt;=$A391)*(INDEX(记账汇率区,0,MATCH($D391,汇率币种头,0))&lt;&gt;"")),INDEX(记账汇率区,0,MATCH($D391,汇率币种头,0))),""))))</f>
        <v/>
      </c>
      <c r="K391" s="23" t="str">
        <f t="shared" si="12"/>
        <v/>
      </c>
      <c r="L391" s="23" t="str">
        <f t="shared" si="13"/>
        <v/>
      </c>
      <c r="M391" s="23" t="str">
        <f>IF($B391="","",ROUND(SUMIF(账户名,$B391,账户期初)+SUMIFS($K$6:K391,$B$6:B391,$B391),2))</f>
        <v/>
      </c>
      <c r="N391" s="23" t="str">
        <f>IF($B391="","",IFERROR(ROUND(INDEX(账户期初本位,MATCH($B391,账户名,0))+SUMIFS($L$6:L391,$B$6:B391,$B391),2),""))</f>
        <v/>
      </c>
      <c r="O391" s="46"/>
      <c r="P391" s="47"/>
      <c r="Q391" s="46"/>
      <c r="R391" s="46"/>
      <c r="S391" s="6" t="str">
        <f>IF($B391="","",IF(ISNA(MATCH($B391,账户名,0)),"※这个账户不在【参数设置】的账户档案里",IF($A391="","※没填日期，这一笔不会进任何月份的报表",IF(AND($G391&lt;&gt;"",$H391&lt;&gt;""),"※收入和支出不能同时填",IF(AND(N($G391)=0,N($H391)=0),"※收入和支出都没填",IF($E391="","※没填收支类别，分类报表会漏掉这一笔",IF(ISNA(MATCH($E391,类别表,0)),"※收支类别不在【参数设置】的清单里",IF($J391="","△"&amp;$D391&amp;" 还没填汇率，去【月度汇率】补上就自动算了",IF(YEAR($A391)&lt;&gt;管理年度,"△不是管理年度的单据，年报里看不到",IF(AND($F391="内部转账",$Q391=""),"△内部转账建议在「往来单位」写上对方账户",IF($M391&lt;0,"△这一笔之后该账户余额成负数了，核一下","")))))))))))</f>
        <v/>
      </c>
    </row>
    <row r="392" ht="16.5" spans="1:19">
      <c r="A392" s="45"/>
      <c r="B392" s="46"/>
      <c r="C392" s="12" t="str">
        <f>IF($B392="","",IFERROR(INDEX(账户银行,MATCH($B392,账户名,0)),""))</f>
        <v/>
      </c>
      <c r="D392" s="12" t="str">
        <f>IF($B392="","",IFERROR(INDEX(账户币种,MATCH($B392,账户名,0)),""))</f>
        <v/>
      </c>
      <c r="E392" s="47"/>
      <c r="F392" s="12" t="str">
        <f>IF($E392="","",IFERROR(INDEX(类别属性,MATCH($E392,类别表,0)),""))</f>
        <v/>
      </c>
      <c r="G392" s="48"/>
      <c r="H392" s="48"/>
      <c r="I392" s="49"/>
      <c r="J392" s="24" t="str">
        <f>IF(OR($A392="",$B392=""),"",IF($I392&lt;&gt;"",$I392,IF($D392=本位币,1,IFERROR(LOOKUP(2,1/((汇率月份&lt;=$A392)*(INDEX(记账汇率区,0,MATCH($D392,汇率币种头,0))&lt;&gt;"")),INDEX(记账汇率区,0,MATCH($D392,汇率币种头,0))),""))))</f>
        <v/>
      </c>
      <c r="K392" s="23" t="str">
        <f t="shared" si="12"/>
        <v/>
      </c>
      <c r="L392" s="23" t="str">
        <f t="shared" si="13"/>
        <v/>
      </c>
      <c r="M392" s="23" t="str">
        <f>IF($B392="","",ROUND(SUMIF(账户名,$B392,账户期初)+SUMIFS($K$6:K392,$B$6:B392,$B392),2))</f>
        <v/>
      </c>
      <c r="N392" s="23" t="str">
        <f>IF($B392="","",IFERROR(ROUND(INDEX(账户期初本位,MATCH($B392,账户名,0))+SUMIFS($L$6:L392,$B$6:B392,$B392),2),""))</f>
        <v/>
      </c>
      <c r="O392" s="46"/>
      <c r="P392" s="47"/>
      <c r="Q392" s="46"/>
      <c r="R392" s="46"/>
      <c r="S392" s="6" t="str">
        <f>IF($B392="","",IF(ISNA(MATCH($B392,账户名,0)),"※这个账户不在【参数设置】的账户档案里",IF($A392="","※没填日期，这一笔不会进任何月份的报表",IF(AND($G392&lt;&gt;"",$H392&lt;&gt;""),"※收入和支出不能同时填",IF(AND(N($G392)=0,N($H392)=0),"※收入和支出都没填",IF($E392="","※没填收支类别，分类报表会漏掉这一笔",IF(ISNA(MATCH($E392,类别表,0)),"※收支类别不在【参数设置】的清单里",IF($J392="","△"&amp;$D392&amp;" 还没填汇率，去【月度汇率】补上就自动算了",IF(YEAR($A392)&lt;&gt;管理年度,"△不是管理年度的单据，年报里看不到",IF(AND($F392="内部转账",$Q392=""),"△内部转账建议在「往来单位」写上对方账户",IF($M392&lt;0,"△这一笔之后该账户余额成负数了，核一下","")))))))))))</f>
        <v/>
      </c>
    </row>
    <row r="393" ht="16.5" spans="1:19">
      <c r="A393" s="45"/>
      <c r="B393" s="46"/>
      <c r="C393" s="12" t="str">
        <f>IF($B393="","",IFERROR(INDEX(账户银行,MATCH($B393,账户名,0)),""))</f>
        <v/>
      </c>
      <c r="D393" s="12" t="str">
        <f>IF($B393="","",IFERROR(INDEX(账户币种,MATCH($B393,账户名,0)),""))</f>
        <v/>
      </c>
      <c r="E393" s="47"/>
      <c r="F393" s="12" t="str">
        <f>IF($E393="","",IFERROR(INDEX(类别属性,MATCH($E393,类别表,0)),""))</f>
        <v/>
      </c>
      <c r="G393" s="48"/>
      <c r="H393" s="48"/>
      <c r="I393" s="49"/>
      <c r="J393" s="24" t="str">
        <f>IF(OR($A393="",$B393=""),"",IF($I393&lt;&gt;"",$I393,IF($D393=本位币,1,IFERROR(LOOKUP(2,1/((汇率月份&lt;=$A393)*(INDEX(记账汇率区,0,MATCH($D393,汇率币种头,0))&lt;&gt;"")),INDEX(记账汇率区,0,MATCH($D393,汇率币种头,0))),""))))</f>
        <v/>
      </c>
      <c r="K393" s="23" t="str">
        <f t="shared" si="12"/>
        <v/>
      </c>
      <c r="L393" s="23" t="str">
        <f t="shared" si="13"/>
        <v/>
      </c>
      <c r="M393" s="23" t="str">
        <f>IF($B393="","",ROUND(SUMIF(账户名,$B393,账户期初)+SUMIFS($K$6:K393,$B$6:B393,$B393),2))</f>
        <v/>
      </c>
      <c r="N393" s="23" t="str">
        <f>IF($B393="","",IFERROR(ROUND(INDEX(账户期初本位,MATCH($B393,账户名,0))+SUMIFS($L$6:L393,$B$6:B393,$B393),2),""))</f>
        <v/>
      </c>
      <c r="O393" s="46"/>
      <c r="P393" s="47"/>
      <c r="Q393" s="46"/>
      <c r="R393" s="46"/>
      <c r="S393" s="6" t="str">
        <f>IF($B393="","",IF(ISNA(MATCH($B393,账户名,0)),"※这个账户不在【参数设置】的账户档案里",IF($A393="","※没填日期，这一笔不会进任何月份的报表",IF(AND($G393&lt;&gt;"",$H393&lt;&gt;""),"※收入和支出不能同时填",IF(AND(N($G393)=0,N($H393)=0),"※收入和支出都没填",IF($E393="","※没填收支类别，分类报表会漏掉这一笔",IF(ISNA(MATCH($E393,类别表,0)),"※收支类别不在【参数设置】的清单里",IF($J393="","△"&amp;$D393&amp;" 还没填汇率，去【月度汇率】补上就自动算了",IF(YEAR($A393)&lt;&gt;管理年度,"△不是管理年度的单据，年报里看不到",IF(AND($F393="内部转账",$Q393=""),"△内部转账建议在「往来单位」写上对方账户",IF($M393&lt;0,"△这一笔之后该账户余额成负数了，核一下","")))))))))))</f>
        <v/>
      </c>
    </row>
    <row r="394" ht="16.5" spans="1:19">
      <c r="A394" s="45"/>
      <c r="B394" s="46"/>
      <c r="C394" s="12" t="str">
        <f>IF($B394="","",IFERROR(INDEX(账户银行,MATCH($B394,账户名,0)),""))</f>
        <v/>
      </c>
      <c r="D394" s="12" t="str">
        <f>IF($B394="","",IFERROR(INDEX(账户币种,MATCH($B394,账户名,0)),""))</f>
        <v/>
      </c>
      <c r="E394" s="47"/>
      <c r="F394" s="12" t="str">
        <f>IF($E394="","",IFERROR(INDEX(类别属性,MATCH($E394,类别表,0)),""))</f>
        <v/>
      </c>
      <c r="G394" s="48"/>
      <c r="H394" s="48"/>
      <c r="I394" s="49"/>
      <c r="J394" s="24" t="str">
        <f>IF(OR($A394="",$B394=""),"",IF($I394&lt;&gt;"",$I394,IF($D394=本位币,1,IFERROR(LOOKUP(2,1/((汇率月份&lt;=$A394)*(INDEX(记账汇率区,0,MATCH($D394,汇率币种头,0))&lt;&gt;"")),INDEX(记账汇率区,0,MATCH($D394,汇率币种头,0))),""))))</f>
        <v/>
      </c>
      <c r="K394" s="23" t="str">
        <f t="shared" si="12"/>
        <v/>
      </c>
      <c r="L394" s="23" t="str">
        <f t="shared" si="13"/>
        <v/>
      </c>
      <c r="M394" s="23" t="str">
        <f>IF($B394="","",ROUND(SUMIF(账户名,$B394,账户期初)+SUMIFS($K$6:K394,$B$6:B394,$B394),2))</f>
        <v/>
      </c>
      <c r="N394" s="23" t="str">
        <f>IF($B394="","",IFERROR(ROUND(INDEX(账户期初本位,MATCH($B394,账户名,0))+SUMIFS($L$6:L394,$B$6:B394,$B394),2),""))</f>
        <v/>
      </c>
      <c r="O394" s="46"/>
      <c r="P394" s="47"/>
      <c r="Q394" s="46"/>
      <c r="R394" s="46"/>
      <c r="S394" s="6" t="str">
        <f>IF($B394="","",IF(ISNA(MATCH($B394,账户名,0)),"※这个账户不在【参数设置】的账户档案里",IF($A394="","※没填日期，这一笔不会进任何月份的报表",IF(AND($G394&lt;&gt;"",$H394&lt;&gt;""),"※收入和支出不能同时填",IF(AND(N($G394)=0,N($H394)=0),"※收入和支出都没填",IF($E394="","※没填收支类别，分类报表会漏掉这一笔",IF(ISNA(MATCH($E394,类别表,0)),"※收支类别不在【参数设置】的清单里",IF($J394="","△"&amp;$D394&amp;" 还没填汇率，去【月度汇率】补上就自动算了",IF(YEAR($A394)&lt;&gt;管理年度,"△不是管理年度的单据，年报里看不到",IF(AND($F394="内部转账",$Q394=""),"△内部转账建议在「往来单位」写上对方账户",IF($M394&lt;0,"△这一笔之后该账户余额成负数了，核一下","")))))))))))</f>
        <v/>
      </c>
    </row>
    <row r="395" ht="16.5" spans="1:19">
      <c r="A395" s="45"/>
      <c r="B395" s="46"/>
      <c r="C395" s="12" t="str">
        <f>IF($B395="","",IFERROR(INDEX(账户银行,MATCH($B395,账户名,0)),""))</f>
        <v/>
      </c>
      <c r="D395" s="12" t="str">
        <f>IF($B395="","",IFERROR(INDEX(账户币种,MATCH($B395,账户名,0)),""))</f>
        <v/>
      </c>
      <c r="E395" s="47"/>
      <c r="F395" s="12" t="str">
        <f>IF($E395="","",IFERROR(INDEX(类别属性,MATCH($E395,类别表,0)),""))</f>
        <v/>
      </c>
      <c r="G395" s="48"/>
      <c r="H395" s="48"/>
      <c r="I395" s="49"/>
      <c r="J395" s="24" t="str">
        <f>IF(OR($A395="",$B395=""),"",IF($I395&lt;&gt;"",$I395,IF($D395=本位币,1,IFERROR(LOOKUP(2,1/((汇率月份&lt;=$A395)*(INDEX(记账汇率区,0,MATCH($D395,汇率币种头,0))&lt;&gt;"")),INDEX(记账汇率区,0,MATCH($D395,汇率币种头,0))),""))))</f>
        <v/>
      </c>
      <c r="K395" s="23" t="str">
        <f t="shared" si="12"/>
        <v/>
      </c>
      <c r="L395" s="23" t="str">
        <f t="shared" si="13"/>
        <v/>
      </c>
      <c r="M395" s="23" t="str">
        <f>IF($B395="","",ROUND(SUMIF(账户名,$B395,账户期初)+SUMIFS($K$6:K395,$B$6:B395,$B395),2))</f>
        <v/>
      </c>
      <c r="N395" s="23" t="str">
        <f>IF($B395="","",IFERROR(ROUND(INDEX(账户期初本位,MATCH($B395,账户名,0))+SUMIFS($L$6:L395,$B$6:B395,$B395),2),""))</f>
        <v/>
      </c>
      <c r="O395" s="46"/>
      <c r="P395" s="47"/>
      <c r="Q395" s="46"/>
      <c r="R395" s="46"/>
      <c r="S395" s="6" t="str">
        <f>IF($B395="","",IF(ISNA(MATCH($B395,账户名,0)),"※这个账户不在【参数设置】的账户档案里",IF($A395="","※没填日期，这一笔不会进任何月份的报表",IF(AND($G395&lt;&gt;"",$H395&lt;&gt;""),"※收入和支出不能同时填",IF(AND(N($G395)=0,N($H395)=0),"※收入和支出都没填",IF($E395="","※没填收支类别，分类报表会漏掉这一笔",IF(ISNA(MATCH($E395,类别表,0)),"※收支类别不在【参数设置】的清单里",IF($J395="","△"&amp;$D395&amp;" 还没填汇率，去【月度汇率】补上就自动算了",IF(YEAR($A395)&lt;&gt;管理年度,"△不是管理年度的单据，年报里看不到",IF(AND($F395="内部转账",$Q395=""),"△内部转账建议在「往来单位」写上对方账户",IF($M395&lt;0,"△这一笔之后该账户余额成负数了，核一下","")))))))))))</f>
        <v/>
      </c>
    </row>
    <row r="396" ht="16.5" spans="1:19">
      <c r="A396" s="45"/>
      <c r="B396" s="46"/>
      <c r="C396" s="12" t="str">
        <f>IF($B396="","",IFERROR(INDEX(账户银行,MATCH($B396,账户名,0)),""))</f>
        <v/>
      </c>
      <c r="D396" s="12" t="str">
        <f>IF($B396="","",IFERROR(INDEX(账户币种,MATCH($B396,账户名,0)),""))</f>
        <v/>
      </c>
      <c r="E396" s="47"/>
      <c r="F396" s="12" t="str">
        <f>IF($E396="","",IFERROR(INDEX(类别属性,MATCH($E396,类别表,0)),""))</f>
        <v/>
      </c>
      <c r="G396" s="48"/>
      <c r="H396" s="48"/>
      <c r="I396" s="49"/>
      <c r="J396" s="24" t="str">
        <f>IF(OR($A396="",$B396=""),"",IF($I396&lt;&gt;"",$I396,IF($D396=本位币,1,IFERROR(LOOKUP(2,1/((汇率月份&lt;=$A396)*(INDEX(记账汇率区,0,MATCH($D396,汇率币种头,0))&lt;&gt;"")),INDEX(记账汇率区,0,MATCH($D396,汇率币种头,0))),""))))</f>
        <v/>
      </c>
      <c r="K396" s="23" t="str">
        <f t="shared" si="12"/>
        <v/>
      </c>
      <c r="L396" s="23" t="str">
        <f t="shared" si="13"/>
        <v/>
      </c>
      <c r="M396" s="23" t="str">
        <f>IF($B396="","",ROUND(SUMIF(账户名,$B396,账户期初)+SUMIFS($K$6:K396,$B$6:B396,$B396),2))</f>
        <v/>
      </c>
      <c r="N396" s="23" t="str">
        <f>IF($B396="","",IFERROR(ROUND(INDEX(账户期初本位,MATCH($B396,账户名,0))+SUMIFS($L$6:L396,$B$6:B396,$B396),2),""))</f>
        <v/>
      </c>
      <c r="O396" s="46"/>
      <c r="P396" s="47"/>
      <c r="Q396" s="46"/>
      <c r="R396" s="46"/>
      <c r="S396" s="6" t="str">
        <f>IF($B396="","",IF(ISNA(MATCH($B396,账户名,0)),"※这个账户不在【参数设置】的账户档案里",IF($A396="","※没填日期，这一笔不会进任何月份的报表",IF(AND($G396&lt;&gt;"",$H396&lt;&gt;""),"※收入和支出不能同时填",IF(AND(N($G396)=0,N($H396)=0),"※收入和支出都没填",IF($E396="","※没填收支类别，分类报表会漏掉这一笔",IF(ISNA(MATCH($E396,类别表,0)),"※收支类别不在【参数设置】的清单里",IF($J396="","△"&amp;$D396&amp;" 还没填汇率，去【月度汇率】补上就自动算了",IF(YEAR($A396)&lt;&gt;管理年度,"△不是管理年度的单据，年报里看不到",IF(AND($F396="内部转账",$Q396=""),"△内部转账建议在「往来单位」写上对方账户",IF($M396&lt;0,"△这一笔之后该账户余额成负数了，核一下","")))))))))))</f>
        <v/>
      </c>
    </row>
    <row r="397" ht="16.5" spans="1:19">
      <c r="A397" s="45"/>
      <c r="B397" s="46"/>
      <c r="C397" s="12" t="str">
        <f>IF($B397="","",IFERROR(INDEX(账户银行,MATCH($B397,账户名,0)),""))</f>
        <v/>
      </c>
      <c r="D397" s="12" t="str">
        <f>IF($B397="","",IFERROR(INDEX(账户币种,MATCH($B397,账户名,0)),""))</f>
        <v/>
      </c>
      <c r="E397" s="47"/>
      <c r="F397" s="12" t="str">
        <f>IF($E397="","",IFERROR(INDEX(类别属性,MATCH($E397,类别表,0)),""))</f>
        <v/>
      </c>
      <c r="G397" s="48"/>
      <c r="H397" s="48"/>
      <c r="I397" s="49"/>
      <c r="J397" s="24" t="str">
        <f>IF(OR($A397="",$B397=""),"",IF($I397&lt;&gt;"",$I397,IF($D397=本位币,1,IFERROR(LOOKUP(2,1/((汇率月份&lt;=$A397)*(INDEX(记账汇率区,0,MATCH($D397,汇率币种头,0))&lt;&gt;"")),INDEX(记账汇率区,0,MATCH($D397,汇率币种头,0))),""))))</f>
        <v/>
      </c>
      <c r="K397" s="23" t="str">
        <f t="shared" si="12"/>
        <v/>
      </c>
      <c r="L397" s="23" t="str">
        <f t="shared" si="13"/>
        <v/>
      </c>
      <c r="M397" s="23" t="str">
        <f>IF($B397="","",ROUND(SUMIF(账户名,$B397,账户期初)+SUMIFS($K$6:K397,$B$6:B397,$B397),2))</f>
        <v/>
      </c>
      <c r="N397" s="23" t="str">
        <f>IF($B397="","",IFERROR(ROUND(INDEX(账户期初本位,MATCH($B397,账户名,0))+SUMIFS($L$6:L397,$B$6:B397,$B397),2),""))</f>
        <v/>
      </c>
      <c r="O397" s="46"/>
      <c r="P397" s="47"/>
      <c r="Q397" s="46"/>
      <c r="R397" s="46"/>
      <c r="S397" s="6" t="str">
        <f>IF($B397="","",IF(ISNA(MATCH($B397,账户名,0)),"※这个账户不在【参数设置】的账户档案里",IF($A397="","※没填日期，这一笔不会进任何月份的报表",IF(AND($G397&lt;&gt;"",$H397&lt;&gt;""),"※收入和支出不能同时填",IF(AND(N($G397)=0,N($H397)=0),"※收入和支出都没填",IF($E397="","※没填收支类别，分类报表会漏掉这一笔",IF(ISNA(MATCH($E397,类别表,0)),"※收支类别不在【参数设置】的清单里",IF($J397="","△"&amp;$D397&amp;" 还没填汇率，去【月度汇率】补上就自动算了",IF(YEAR($A397)&lt;&gt;管理年度,"△不是管理年度的单据，年报里看不到",IF(AND($F397="内部转账",$Q397=""),"△内部转账建议在「往来单位」写上对方账户",IF($M397&lt;0,"△这一笔之后该账户余额成负数了，核一下","")))))))))))</f>
        <v/>
      </c>
    </row>
    <row r="398" ht="16.5" spans="1:19">
      <c r="A398" s="45"/>
      <c r="B398" s="46"/>
      <c r="C398" s="12" t="str">
        <f>IF($B398="","",IFERROR(INDEX(账户银行,MATCH($B398,账户名,0)),""))</f>
        <v/>
      </c>
      <c r="D398" s="12" t="str">
        <f>IF($B398="","",IFERROR(INDEX(账户币种,MATCH($B398,账户名,0)),""))</f>
        <v/>
      </c>
      <c r="E398" s="47"/>
      <c r="F398" s="12" t="str">
        <f>IF($E398="","",IFERROR(INDEX(类别属性,MATCH($E398,类别表,0)),""))</f>
        <v/>
      </c>
      <c r="G398" s="48"/>
      <c r="H398" s="48"/>
      <c r="I398" s="49"/>
      <c r="J398" s="24" t="str">
        <f>IF(OR($A398="",$B398=""),"",IF($I398&lt;&gt;"",$I398,IF($D398=本位币,1,IFERROR(LOOKUP(2,1/((汇率月份&lt;=$A398)*(INDEX(记账汇率区,0,MATCH($D398,汇率币种头,0))&lt;&gt;"")),INDEX(记账汇率区,0,MATCH($D398,汇率币种头,0))),""))))</f>
        <v/>
      </c>
      <c r="K398" s="23" t="str">
        <f t="shared" si="12"/>
        <v/>
      </c>
      <c r="L398" s="23" t="str">
        <f t="shared" si="13"/>
        <v/>
      </c>
      <c r="M398" s="23" t="str">
        <f>IF($B398="","",ROUND(SUMIF(账户名,$B398,账户期初)+SUMIFS($K$6:K398,$B$6:B398,$B398),2))</f>
        <v/>
      </c>
      <c r="N398" s="23" t="str">
        <f>IF($B398="","",IFERROR(ROUND(INDEX(账户期初本位,MATCH($B398,账户名,0))+SUMIFS($L$6:L398,$B$6:B398,$B398),2),""))</f>
        <v/>
      </c>
      <c r="O398" s="46"/>
      <c r="P398" s="47"/>
      <c r="Q398" s="46"/>
      <c r="R398" s="46"/>
      <c r="S398" s="6" t="str">
        <f>IF($B398="","",IF(ISNA(MATCH($B398,账户名,0)),"※这个账户不在【参数设置】的账户档案里",IF($A398="","※没填日期，这一笔不会进任何月份的报表",IF(AND($G398&lt;&gt;"",$H398&lt;&gt;""),"※收入和支出不能同时填",IF(AND(N($G398)=0,N($H398)=0),"※收入和支出都没填",IF($E398="","※没填收支类别，分类报表会漏掉这一笔",IF(ISNA(MATCH($E398,类别表,0)),"※收支类别不在【参数设置】的清单里",IF($J398="","△"&amp;$D398&amp;" 还没填汇率，去【月度汇率】补上就自动算了",IF(YEAR($A398)&lt;&gt;管理年度,"△不是管理年度的单据，年报里看不到",IF(AND($F398="内部转账",$Q398=""),"△内部转账建议在「往来单位」写上对方账户",IF($M398&lt;0,"△这一笔之后该账户余额成负数了，核一下","")))))))))))</f>
        <v/>
      </c>
    </row>
    <row r="399" ht="16.5" spans="1:19">
      <c r="A399" s="45"/>
      <c r="B399" s="46"/>
      <c r="C399" s="12" t="str">
        <f>IF($B399="","",IFERROR(INDEX(账户银行,MATCH($B399,账户名,0)),""))</f>
        <v/>
      </c>
      <c r="D399" s="12" t="str">
        <f>IF($B399="","",IFERROR(INDEX(账户币种,MATCH($B399,账户名,0)),""))</f>
        <v/>
      </c>
      <c r="E399" s="47"/>
      <c r="F399" s="12" t="str">
        <f>IF($E399="","",IFERROR(INDEX(类别属性,MATCH($E399,类别表,0)),""))</f>
        <v/>
      </c>
      <c r="G399" s="48"/>
      <c r="H399" s="48"/>
      <c r="I399" s="49"/>
      <c r="J399" s="24" t="str">
        <f>IF(OR($A399="",$B399=""),"",IF($I399&lt;&gt;"",$I399,IF($D399=本位币,1,IFERROR(LOOKUP(2,1/((汇率月份&lt;=$A399)*(INDEX(记账汇率区,0,MATCH($D399,汇率币种头,0))&lt;&gt;"")),INDEX(记账汇率区,0,MATCH($D399,汇率币种头,0))),""))))</f>
        <v/>
      </c>
      <c r="K399" s="23" t="str">
        <f t="shared" si="12"/>
        <v/>
      </c>
      <c r="L399" s="23" t="str">
        <f t="shared" si="13"/>
        <v/>
      </c>
      <c r="M399" s="23" t="str">
        <f>IF($B399="","",ROUND(SUMIF(账户名,$B399,账户期初)+SUMIFS($K$6:K399,$B$6:B399,$B399),2))</f>
        <v/>
      </c>
      <c r="N399" s="23" t="str">
        <f>IF($B399="","",IFERROR(ROUND(INDEX(账户期初本位,MATCH($B399,账户名,0))+SUMIFS($L$6:L399,$B$6:B399,$B399),2),""))</f>
        <v/>
      </c>
      <c r="O399" s="46"/>
      <c r="P399" s="47"/>
      <c r="Q399" s="46"/>
      <c r="R399" s="46"/>
      <c r="S399" s="6" t="str">
        <f>IF($B399="","",IF(ISNA(MATCH($B399,账户名,0)),"※这个账户不在【参数设置】的账户档案里",IF($A399="","※没填日期，这一笔不会进任何月份的报表",IF(AND($G399&lt;&gt;"",$H399&lt;&gt;""),"※收入和支出不能同时填",IF(AND(N($G399)=0,N($H399)=0),"※收入和支出都没填",IF($E399="","※没填收支类别，分类报表会漏掉这一笔",IF(ISNA(MATCH($E399,类别表,0)),"※收支类别不在【参数设置】的清单里",IF($J399="","△"&amp;$D399&amp;" 还没填汇率，去【月度汇率】补上就自动算了",IF(YEAR($A399)&lt;&gt;管理年度,"△不是管理年度的单据，年报里看不到",IF(AND($F399="内部转账",$Q399=""),"△内部转账建议在「往来单位」写上对方账户",IF($M399&lt;0,"△这一笔之后该账户余额成负数了，核一下","")))))))))))</f>
        <v/>
      </c>
    </row>
    <row r="400" ht="16.5" spans="1:19">
      <c r="A400" s="45"/>
      <c r="B400" s="46"/>
      <c r="C400" s="12" t="str">
        <f>IF($B400="","",IFERROR(INDEX(账户银行,MATCH($B400,账户名,0)),""))</f>
        <v/>
      </c>
      <c r="D400" s="12" t="str">
        <f>IF($B400="","",IFERROR(INDEX(账户币种,MATCH($B400,账户名,0)),""))</f>
        <v/>
      </c>
      <c r="E400" s="47"/>
      <c r="F400" s="12" t="str">
        <f>IF($E400="","",IFERROR(INDEX(类别属性,MATCH($E400,类别表,0)),""))</f>
        <v/>
      </c>
      <c r="G400" s="48"/>
      <c r="H400" s="48"/>
      <c r="I400" s="49"/>
      <c r="J400" s="24" t="str">
        <f>IF(OR($A400="",$B400=""),"",IF($I400&lt;&gt;"",$I400,IF($D400=本位币,1,IFERROR(LOOKUP(2,1/((汇率月份&lt;=$A400)*(INDEX(记账汇率区,0,MATCH($D400,汇率币种头,0))&lt;&gt;"")),INDEX(记账汇率区,0,MATCH($D400,汇率币种头,0))),""))))</f>
        <v/>
      </c>
      <c r="K400" s="23" t="str">
        <f t="shared" si="12"/>
        <v/>
      </c>
      <c r="L400" s="23" t="str">
        <f t="shared" si="13"/>
        <v/>
      </c>
      <c r="M400" s="23" t="str">
        <f>IF($B400="","",ROUND(SUMIF(账户名,$B400,账户期初)+SUMIFS($K$6:K400,$B$6:B400,$B400),2))</f>
        <v/>
      </c>
      <c r="N400" s="23" t="str">
        <f>IF($B400="","",IFERROR(ROUND(INDEX(账户期初本位,MATCH($B400,账户名,0))+SUMIFS($L$6:L400,$B$6:B400,$B400),2),""))</f>
        <v/>
      </c>
      <c r="O400" s="46"/>
      <c r="P400" s="47"/>
      <c r="Q400" s="46"/>
      <c r="R400" s="46"/>
      <c r="S400" s="6" t="str">
        <f>IF($B400="","",IF(ISNA(MATCH($B400,账户名,0)),"※这个账户不在【参数设置】的账户档案里",IF($A400="","※没填日期，这一笔不会进任何月份的报表",IF(AND($G400&lt;&gt;"",$H400&lt;&gt;""),"※收入和支出不能同时填",IF(AND(N($G400)=0,N($H400)=0),"※收入和支出都没填",IF($E400="","※没填收支类别，分类报表会漏掉这一笔",IF(ISNA(MATCH($E400,类别表,0)),"※收支类别不在【参数设置】的清单里",IF($J400="","△"&amp;$D400&amp;" 还没填汇率，去【月度汇率】补上就自动算了",IF(YEAR($A400)&lt;&gt;管理年度,"△不是管理年度的单据，年报里看不到",IF(AND($F400="内部转账",$Q400=""),"△内部转账建议在「往来单位」写上对方账户",IF($M400&lt;0,"△这一笔之后该账户余额成负数了，核一下","")))))))))))</f>
        <v/>
      </c>
    </row>
    <row r="401" ht="16.5" spans="1:19">
      <c r="A401" s="45"/>
      <c r="B401" s="46"/>
      <c r="C401" s="12" t="str">
        <f>IF($B401="","",IFERROR(INDEX(账户银行,MATCH($B401,账户名,0)),""))</f>
        <v/>
      </c>
      <c r="D401" s="12" t="str">
        <f>IF($B401="","",IFERROR(INDEX(账户币种,MATCH($B401,账户名,0)),""))</f>
        <v/>
      </c>
      <c r="E401" s="47"/>
      <c r="F401" s="12" t="str">
        <f>IF($E401="","",IFERROR(INDEX(类别属性,MATCH($E401,类别表,0)),""))</f>
        <v/>
      </c>
      <c r="G401" s="48"/>
      <c r="H401" s="48"/>
      <c r="I401" s="49"/>
      <c r="J401" s="24" t="str">
        <f>IF(OR($A401="",$B401=""),"",IF($I401&lt;&gt;"",$I401,IF($D401=本位币,1,IFERROR(LOOKUP(2,1/((汇率月份&lt;=$A401)*(INDEX(记账汇率区,0,MATCH($D401,汇率币种头,0))&lt;&gt;"")),INDEX(记账汇率区,0,MATCH($D401,汇率币种头,0))),""))))</f>
        <v/>
      </c>
      <c r="K401" s="23" t="str">
        <f t="shared" si="12"/>
        <v/>
      </c>
      <c r="L401" s="23" t="str">
        <f t="shared" si="13"/>
        <v/>
      </c>
      <c r="M401" s="23" t="str">
        <f>IF($B401="","",ROUND(SUMIF(账户名,$B401,账户期初)+SUMIFS($K$6:K401,$B$6:B401,$B401),2))</f>
        <v/>
      </c>
      <c r="N401" s="23" t="str">
        <f>IF($B401="","",IFERROR(ROUND(INDEX(账户期初本位,MATCH($B401,账户名,0))+SUMIFS($L$6:L401,$B$6:B401,$B401),2),""))</f>
        <v/>
      </c>
      <c r="O401" s="46"/>
      <c r="P401" s="47"/>
      <c r="Q401" s="46"/>
      <c r="R401" s="46"/>
      <c r="S401" s="6" t="str">
        <f>IF($B401="","",IF(ISNA(MATCH($B401,账户名,0)),"※这个账户不在【参数设置】的账户档案里",IF($A401="","※没填日期，这一笔不会进任何月份的报表",IF(AND($G401&lt;&gt;"",$H401&lt;&gt;""),"※收入和支出不能同时填",IF(AND(N($G401)=0,N($H401)=0),"※收入和支出都没填",IF($E401="","※没填收支类别，分类报表会漏掉这一笔",IF(ISNA(MATCH($E401,类别表,0)),"※收支类别不在【参数设置】的清单里",IF($J401="","△"&amp;$D401&amp;" 还没填汇率，去【月度汇率】补上就自动算了",IF(YEAR($A401)&lt;&gt;管理年度,"△不是管理年度的单据，年报里看不到",IF(AND($F401="内部转账",$Q401=""),"△内部转账建议在「往来单位」写上对方账户",IF($M401&lt;0,"△这一笔之后该账户余额成负数了，核一下","")))))))))))</f>
        <v/>
      </c>
    </row>
    <row r="402" ht="16.5" spans="1:19">
      <c r="A402" s="45"/>
      <c r="B402" s="46"/>
      <c r="C402" s="12" t="str">
        <f>IF($B402="","",IFERROR(INDEX(账户银行,MATCH($B402,账户名,0)),""))</f>
        <v/>
      </c>
      <c r="D402" s="12" t="str">
        <f>IF($B402="","",IFERROR(INDEX(账户币种,MATCH($B402,账户名,0)),""))</f>
        <v/>
      </c>
      <c r="E402" s="47"/>
      <c r="F402" s="12" t="str">
        <f>IF($E402="","",IFERROR(INDEX(类别属性,MATCH($E402,类别表,0)),""))</f>
        <v/>
      </c>
      <c r="G402" s="48"/>
      <c r="H402" s="48"/>
      <c r="I402" s="49"/>
      <c r="J402" s="24" t="str">
        <f>IF(OR($A402="",$B402=""),"",IF($I402&lt;&gt;"",$I402,IF($D402=本位币,1,IFERROR(LOOKUP(2,1/((汇率月份&lt;=$A402)*(INDEX(记账汇率区,0,MATCH($D402,汇率币种头,0))&lt;&gt;"")),INDEX(记账汇率区,0,MATCH($D402,汇率币种头,0))),""))))</f>
        <v/>
      </c>
      <c r="K402" s="23" t="str">
        <f t="shared" si="12"/>
        <v/>
      </c>
      <c r="L402" s="23" t="str">
        <f t="shared" si="13"/>
        <v/>
      </c>
      <c r="M402" s="23" t="str">
        <f>IF($B402="","",ROUND(SUMIF(账户名,$B402,账户期初)+SUMIFS($K$6:K402,$B$6:B402,$B402),2))</f>
        <v/>
      </c>
      <c r="N402" s="23" t="str">
        <f>IF($B402="","",IFERROR(ROUND(INDEX(账户期初本位,MATCH($B402,账户名,0))+SUMIFS($L$6:L402,$B$6:B402,$B402),2),""))</f>
        <v/>
      </c>
      <c r="O402" s="46"/>
      <c r="P402" s="47"/>
      <c r="Q402" s="46"/>
      <c r="R402" s="46"/>
      <c r="S402" s="6" t="str">
        <f>IF($B402="","",IF(ISNA(MATCH($B402,账户名,0)),"※这个账户不在【参数设置】的账户档案里",IF($A402="","※没填日期，这一笔不会进任何月份的报表",IF(AND($G402&lt;&gt;"",$H402&lt;&gt;""),"※收入和支出不能同时填",IF(AND(N($G402)=0,N($H402)=0),"※收入和支出都没填",IF($E402="","※没填收支类别，分类报表会漏掉这一笔",IF(ISNA(MATCH($E402,类别表,0)),"※收支类别不在【参数设置】的清单里",IF($J402="","△"&amp;$D402&amp;" 还没填汇率，去【月度汇率】补上就自动算了",IF(YEAR($A402)&lt;&gt;管理年度,"△不是管理年度的单据，年报里看不到",IF(AND($F402="内部转账",$Q402=""),"△内部转账建议在「往来单位」写上对方账户",IF($M402&lt;0,"△这一笔之后该账户余额成负数了，核一下","")))))))))))</f>
        <v/>
      </c>
    </row>
    <row r="403" ht="16.5" spans="1:19">
      <c r="A403" s="45"/>
      <c r="B403" s="46"/>
      <c r="C403" s="12" t="str">
        <f>IF($B403="","",IFERROR(INDEX(账户银行,MATCH($B403,账户名,0)),""))</f>
        <v/>
      </c>
      <c r="D403" s="12" t="str">
        <f>IF($B403="","",IFERROR(INDEX(账户币种,MATCH($B403,账户名,0)),""))</f>
        <v/>
      </c>
      <c r="E403" s="47"/>
      <c r="F403" s="12" t="str">
        <f>IF($E403="","",IFERROR(INDEX(类别属性,MATCH($E403,类别表,0)),""))</f>
        <v/>
      </c>
      <c r="G403" s="48"/>
      <c r="H403" s="48"/>
      <c r="I403" s="49"/>
      <c r="J403" s="24" t="str">
        <f>IF(OR($A403="",$B403=""),"",IF($I403&lt;&gt;"",$I403,IF($D403=本位币,1,IFERROR(LOOKUP(2,1/((汇率月份&lt;=$A403)*(INDEX(记账汇率区,0,MATCH($D403,汇率币种头,0))&lt;&gt;"")),INDEX(记账汇率区,0,MATCH($D403,汇率币种头,0))),""))))</f>
        <v/>
      </c>
      <c r="K403" s="23" t="str">
        <f t="shared" si="12"/>
        <v/>
      </c>
      <c r="L403" s="23" t="str">
        <f t="shared" si="13"/>
        <v/>
      </c>
      <c r="M403" s="23" t="str">
        <f>IF($B403="","",ROUND(SUMIF(账户名,$B403,账户期初)+SUMIFS($K$6:K403,$B$6:B403,$B403),2))</f>
        <v/>
      </c>
      <c r="N403" s="23" t="str">
        <f>IF($B403="","",IFERROR(ROUND(INDEX(账户期初本位,MATCH($B403,账户名,0))+SUMIFS($L$6:L403,$B$6:B403,$B403),2),""))</f>
        <v/>
      </c>
      <c r="O403" s="46"/>
      <c r="P403" s="47"/>
      <c r="Q403" s="46"/>
      <c r="R403" s="46"/>
      <c r="S403" s="6" t="str">
        <f>IF($B403="","",IF(ISNA(MATCH($B403,账户名,0)),"※这个账户不在【参数设置】的账户档案里",IF($A403="","※没填日期，这一笔不会进任何月份的报表",IF(AND($G403&lt;&gt;"",$H403&lt;&gt;""),"※收入和支出不能同时填",IF(AND(N($G403)=0,N($H403)=0),"※收入和支出都没填",IF($E403="","※没填收支类别，分类报表会漏掉这一笔",IF(ISNA(MATCH($E403,类别表,0)),"※收支类别不在【参数设置】的清单里",IF($J403="","△"&amp;$D403&amp;" 还没填汇率，去【月度汇率】补上就自动算了",IF(YEAR($A403)&lt;&gt;管理年度,"△不是管理年度的单据，年报里看不到",IF(AND($F403="内部转账",$Q403=""),"△内部转账建议在「往来单位」写上对方账户",IF($M403&lt;0,"△这一笔之后该账户余额成负数了，核一下","")))))))))))</f>
        <v/>
      </c>
    </row>
    <row r="404" ht="16.5" spans="1:19">
      <c r="A404" s="45"/>
      <c r="B404" s="46"/>
      <c r="C404" s="12" t="str">
        <f>IF($B404="","",IFERROR(INDEX(账户银行,MATCH($B404,账户名,0)),""))</f>
        <v/>
      </c>
      <c r="D404" s="12" t="str">
        <f>IF($B404="","",IFERROR(INDEX(账户币种,MATCH($B404,账户名,0)),""))</f>
        <v/>
      </c>
      <c r="E404" s="47"/>
      <c r="F404" s="12" t="str">
        <f>IF($E404="","",IFERROR(INDEX(类别属性,MATCH($E404,类别表,0)),""))</f>
        <v/>
      </c>
      <c r="G404" s="48"/>
      <c r="H404" s="48"/>
      <c r="I404" s="49"/>
      <c r="J404" s="24" t="str">
        <f>IF(OR($A404="",$B404=""),"",IF($I404&lt;&gt;"",$I404,IF($D404=本位币,1,IFERROR(LOOKUP(2,1/((汇率月份&lt;=$A404)*(INDEX(记账汇率区,0,MATCH($D404,汇率币种头,0))&lt;&gt;"")),INDEX(记账汇率区,0,MATCH($D404,汇率币种头,0))),""))))</f>
        <v/>
      </c>
      <c r="K404" s="23" t="str">
        <f t="shared" si="12"/>
        <v/>
      </c>
      <c r="L404" s="23" t="str">
        <f t="shared" si="13"/>
        <v/>
      </c>
      <c r="M404" s="23" t="str">
        <f>IF($B404="","",ROUND(SUMIF(账户名,$B404,账户期初)+SUMIFS($K$6:K404,$B$6:B404,$B404),2))</f>
        <v/>
      </c>
      <c r="N404" s="23" t="str">
        <f>IF($B404="","",IFERROR(ROUND(INDEX(账户期初本位,MATCH($B404,账户名,0))+SUMIFS($L$6:L404,$B$6:B404,$B404),2),""))</f>
        <v/>
      </c>
      <c r="O404" s="46"/>
      <c r="P404" s="47"/>
      <c r="Q404" s="46"/>
      <c r="R404" s="46"/>
      <c r="S404" s="6" t="str">
        <f>IF($B404="","",IF(ISNA(MATCH($B404,账户名,0)),"※这个账户不在【参数设置】的账户档案里",IF($A404="","※没填日期，这一笔不会进任何月份的报表",IF(AND($G404&lt;&gt;"",$H404&lt;&gt;""),"※收入和支出不能同时填",IF(AND(N($G404)=0,N($H404)=0),"※收入和支出都没填",IF($E404="","※没填收支类别，分类报表会漏掉这一笔",IF(ISNA(MATCH($E404,类别表,0)),"※收支类别不在【参数设置】的清单里",IF($J404="","△"&amp;$D404&amp;" 还没填汇率，去【月度汇率】补上就自动算了",IF(YEAR($A404)&lt;&gt;管理年度,"△不是管理年度的单据，年报里看不到",IF(AND($F404="内部转账",$Q404=""),"△内部转账建议在「往来单位」写上对方账户",IF($M404&lt;0,"△这一笔之后该账户余额成负数了，核一下","")))))))))))</f>
        <v/>
      </c>
    </row>
    <row r="405" ht="16.5" spans="1:19">
      <c r="A405" s="45"/>
      <c r="B405" s="46"/>
      <c r="C405" s="12" t="str">
        <f>IF($B405="","",IFERROR(INDEX(账户银行,MATCH($B405,账户名,0)),""))</f>
        <v/>
      </c>
      <c r="D405" s="12" t="str">
        <f>IF($B405="","",IFERROR(INDEX(账户币种,MATCH($B405,账户名,0)),""))</f>
        <v/>
      </c>
      <c r="E405" s="47"/>
      <c r="F405" s="12" t="str">
        <f>IF($E405="","",IFERROR(INDEX(类别属性,MATCH($E405,类别表,0)),""))</f>
        <v/>
      </c>
      <c r="G405" s="48"/>
      <c r="H405" s="48"/>
      <c r="I405" s="49"/>
      <c r="J405" s="24" t="str">
        <f>IF(OR($A405="",$B405=""),"",IF($I405&lt;&gt;"",$I405,IF($D405=本位币,1,IFERROR(LOOKUP(2,1/((汇率月份&lt;=$A405)*(INDEX(记账汇率区,0,MATCH($D405,汇率币种头,0))&lt;&gt;"")),INDEX(记账汇率区,0,MATCH($D405,汇率币种头,0))),""))))</f>
        <v/>
      </c>
      <c r="K405" s="23" t="str">
        <f t="shared" si="12"/>
        <v/>
      </c>
      <c r="L405" s="23" t="str">
        <f t="shared" si="13"/>
        <v/>
      </c>
      <c r="M405" s="23" t="str">
        <f>IF($B405="","",ROUND(SUMIF(账户名,$B405,账户期初)+SUMIFS($K$6:K405,$B$6:B405,$B405),2))</f>
        <v/>
      </c>
      <c r="N405" s="23" t="str">
        <f>IF($B405="","",IFERROR(ROUND(INDEX(账户期初本位,MATCH($B405,账户名,0))+SUMIFS($L$6:L405,$B$6:B405,$B405),2),""))</f>
        <v/>
      </c>
      <c r="O405" s="46"/>
      <c r="P405" s="47"/>
      <c r="Q405" s="46"/>
      <c r="R405" s="46"/>
      <c r="S405" s="6" t="str">
        <f>IF($B405="","",IF(ISNA(MATCH($B405,账户名,0)),"※这个账户不在【参数设置】的账户档案里",IF($A405="","※没填日期，这一笔不会进任何月份的报表",IF(AND($G405&lt;&gt;"",$H405&lt;&gt;""),"※收入和支出不能同时填",IF(AND(N($G405)=0,N($H405)=0),"※收入和支出都没填",IF($E405="","※没填收支类别，分类报表会漏掉这一笔",IF(ISNA(MATCH($E405,类别表,0)),"※收支类别不在【参数设置】的清单里",IF($J405="","△"&amp;$D405&amp;" 还没填汇率，去【月度汇率】补上就自动算了",IF(YEAR($A405)&lt;&gt;管理年度,"△不是管理年度的单据，年报里看不到",IF(AND($F405="内部转账",$Q405=""),"△内部转账建议在「往来单位」写上对方账户",IF($M405&lt;0,"△这一笔之后该账户余额成负数了，核一下","")))))))))))</f>
        <v/>
      </c>
    </row>
    <row r="406" ht="16.5" spans="1:19">
      <c r="A406" s="45"/>
      <c r="B406" s="46"/>
      <c r="C406" s="12" t="str">
        <f>IF($B406="","",IFERROR(INDEX(账户银行,MATCH($B406,账户名,0)),""))</f>
        <v/>
      </c>
      <c r="D406" s="12" t="str">
        <f>IF($B406="","",IFERROR(INDEX(账户币种,MATCH($B406,账户名,0)),""))</f>
        <v/>
      </c>
      <c r="E406" s="47"/>
      <c r="F406" s="12" t="str">
        <f>IF($E406="","",IFERROR(INDEX(类别属性,MATCH($E406,类别表,0)),""))</f>
        <v/>
      </c>
      <c r="G406" s="48"/>
      <c r="H406" s="48"/>
      <c r="I406" s="49"/>
      <c r="J406" s="24" t="str">
        <f>IF(OR($A406="",$B406=""),"",IF($I406&lt;&gt;"",$I406,IF($D406=本位币,1,IFERROR(LOOKUP(2,1/((汇率月份&lt;=$A406)*(INDEX(记账汇率区,0,MATCH($D406,汇率币种头,0))&lt;&gt;"")),INDEX(记账汇率区,0,MATCH($D406,汇率币种头,0))),""))))</f>
        <v/>
      </c>
      <c r="K406" s="23" t="str">
        <f t="shared" si="12"/>
        <v/>
      </c>
      <c r="L406" s="23" t="str">
        <f t="shared" si="13"/>
        <v/>
      </c>
      <c r="M406" s="23" t="str">
        <f>IF($B406="","",ROUND(SUMIF(账户名,$B406,账户期初)+SUMIFS($K$6:K406,$B$6:B406,$B406),2))</f>
        <v/>
      </c>
      <c r="N406" s="23" t="str">
        <f>IF($B406="","",IFERROR(ROUND(INDEX(账户期初本位,MATCH($B406,账户名,0))+SUMIFS($L$6:L406,$B$6:B406,$B406),2),""))</f>
        <v/>
      </c>
      <c r="O406" s="46"/>
      <c r="P406" s="47"/>
      <c r="Q406" s="46"/>
      <c r="R406" s="46"/>
      <c r="S406" s="6" t="str">
        <f>IF($B406="","",IF(ISNA(MATCH($B406,账户名,0)),"※这个账户不在【参数设置】的账户档案里",IF($A406="","※没填日期，这一笔不会进任何月份的报表",IF(AND($G406&lt;&gt;"",$H406&lt;&gt;""),"※收入和支出不能同时填",IF(AND(N($G406)=0,N($H406)=0),"※收入和支出都没填",IF($E406="","※没填收支类别，分类报表会漏掉这一笔",IF(ISNA(MATCH($E406,类别表,0)),"※收支类别不在【参数设置】的清单里",IF($J406="","△"&amp;$D406&amp;" 还没填汇率，去【月度汇率】补上就自动算了",IF(YEAR($A406)&lt;&gt;管理年度,"△不是管理年度的单据，年报里看不到",IF(AND($F406="内部转账",$Q406=""),"△内部转账建议在「往来单位」写上对方账户",IF($M406&lt;0,"△这一笔之后该账户余额成负数了，核一下","")))))))))))</f>
        <v/>
      </c>
    </row>
    <row r="407" ht="16.5" spans="1:19">
      <c r="A407" s="45"/>
      <c r="B407" s="46"/>
      <c r="C407" s="12" t="str">
        <f>IF($B407="","",IFERROR(INDEX(账户银行,MATCH($B407,账户名,0)),""))</f>
        <v/>
      </c>
      <c r="D407" s="12" t="str">
        <f>IF($B407="","",IFERROR(INDEX(账户币种,MATCH($B407,账户名,0)),""))</f>
        <v/>
      </c>
      <c r="E407" s="47"/>
      <c r="F407" s="12" t="str">
        <f>IF($E407="","",IFERROR(INDEX(类别属性,MATCH($E407,类别表,0)),""))</f>
        <v/>
      </c>
      <c r="G407" s="48"/>
      <c r="H407" s="48"/>
      <c r="I407" s="49"/>
      <c r="J407" s="24" t="str">
        <f>IF(OR($A407="",$B407=""),"",IF($I407&lt;&gt;"",$I407,IF($D407=本位币,1,IFERROR(LOOKUP(2,1/((汇率月份&lt;=$A407)*(INDEX(记账汇率区,0,MATCH($D407,汇率币种头,0))&lt;&gt;"")),INDEX(记账汇率区,0,MATCH($D407,汇率币种头,0))),""))))</f>
        <v/>
      </c>
      <c r="K407" s="23" t="str">
        <f t="shared" si="12"/>
        <v/>
      </c>
      <c r="L407" s="23" t="str">
        <f t="shared" si="13"/>
        <v/>
      </c>
      <c r="M407" s="23" t="str">
        <f>IF($B407="","",ROUND(SUMIF(账户名,$B407,账户期初)+SUMIFS($K$6:K407,$B$6:B407,$B407),2))</f>
        <v/>
      </c>
      <c r="N407" s="23" t="str">
        <f>IF($B407="","",IFERROR(ROUND(INDEX(账户期初本位,MATCH($B407,账户名,0))+SUMIFS($L$6:L407,$B$6:B407,$B407),2),""))</f>
        <v/>
      </c>
      <c r="O407" s="46"/>
      <c r="P407" s="47"/>
      <c r="Q407" s="46"/>
      <c r="R407" s="46"/>
      <c r="S407" s="6" t="str">
        <f>IF($B407="","",IF(ISNA(MATCH($B407,账户名,0)),"※这个账户不在【参数设置】的账户档案里",IF($A407="","※没填日期，这一笔不会进任何月份的报表",IF(AND($G407&lt;&gt;"",$H407&lt;&gt;""),"※收入和支出不能同时填",IF(AND(N($G407)=0,N($H407)=0),"※收入和支出都没填",IF($E407="","※没填收支类别，分类报表会漏掉这一笔",IF(ISNA(MATCH($E407,类别表,0)),"※收支类别不在【参数设置】的清单里",IF($J407="","△"&amp;$D407&amp;" 还没填汇率，去【月度汇率】补上就自动算了",IF(YEAR($A407)&lt;&gt;管理年度,"△不是管理年度的单据，年报里看不到",IF(AND($F407="内部转账",$Q407=""),"△内部转账建议在「往来单位」写上对方账户",IF($M407&lt;0,"△这一笔之后该账户余额成负数了，核一下","")))))))))))</f>
        <v/>
      </c>
    </row>
    <row r="408" ht="16.5" spans="1:19">
      <c r="A408" s="45"/>
      <c r="B408" s="46"/>
      <c r="C408" s="12" t="str">
        <f>IF($B408="","",IFERROR(INDEX(账户银行,MATCH($B408,账户名,0)),""))</f>
        <v/>
      </c>
      <c r="D408" s="12" t="str">
        <f>IF($B408="","",IFERROR(INDEX(账户币种,MATCH($B408,账户名,0)),""))</f>
        <v/>
      </c>
      <c r="E408" s="47"/>
      <c r="F408" s="12" t="str">
        <f>IF($E408="","",IFERROR(INDEX(类别属性,MATCH($E408,类别表,0)),""))</f>
        <v/>
      </c>
      <c r="G408" s="48"/>
      <c r="H408" s="48"/>
      <c r="I408" s="49"/>
      <c r="J408" s="24" t="str">
        <f>IF(OR($A408="",$B408=""),"",IF($I408&lt;&gt;"",$I408,IF($D408=本位币,1,IFERROR(LOOKUP(2,1/((汇率月份&lt;=$A408)*(INDEX(记账汇率区,0,MATCH($D408,汇率币种头,0))&lt;&gt;"")),INDEX(记账汇率区,0,MATCH($D408,汇率币种头,0))),""))))</f>
        <v/>
      </c>
      <c r="K408" s="23" t="str">
        <f t="shared" si="12"/>
        <v/>
      </c>
      <c r="L408" s="23" t="str">
        <f t="shared" si="13"/>
        <v/>
      </c>
      <c r="M408" s="23" t="str">
        <f>IF($B408="","",ROUND(SUMIF(账户名,$B408,账户期初)+SUMIFS($K$6:K408,$B$6:B408,$B408),2))</f>
        <v/>
      </c>
      <c r="N408" s="23" t="str">
        <f>IF($B408="","",IFERROR(ROUND(INDEX(账户期初本位,MATCH($B408,账户名,0))+SUMIFS($L$6:L408,$B$6:B408,$B408),2),""))</f>
        <v/>
      </c>
      <c r="O408" s="46"/>
      <c r="P408" s="47"/>
      <c r="Q408" s="46"/>
      <c r="R408" s="46"/>
      <c r="S408" s="6" t="str">
        <f>IF($B408="","",IF(ISNA(MATCH($B408,账户名,0)),"※这个账户不在【参数设置】的账户档案里",IF($A408="","※没填日期，这一笔不会进任何月份的报表",IF(AND($G408&lt;&gt;"",$H408&lt;&gt;""),"※收入和支出不能同时填",IF(AND(N($G408)=0,N($H408)=0),"※收入和支出都没填",IF($E408="","※没填收支类别，分类报表会漏掉这一笔",IF(ISNA(MATCH($E408,类别表,0)),"※收支类别不在【参数设置】的清单里",IF($J408="","△"&amp;$D408&amp;" 还没填汇率，去【月度汇率】补上就自动算了",IF(YEAR($A408)&lt;&gt;管理年度,"△不是管理年度的单据，年报里看不到",IF(AND($F408="内部转账",$Q408=""),"△内部转账建议在「往来单位」写上对方账户",IF($M408&lt;0,"△这一笔之后该账户余额成负数了，核一下","")))))))))))</f>
        <v/>
      </c>
    </row>
    <row r="409" ht="16.5" spans="1:19">
      <c r="A409" s="45"/>
      <c r="B409" s="46"/>
      <c r="C409" s="12" t="str">
        <f>IF($B409="","",IFERROR(INDEX(账户银行,MATCH($B409,账户名,0)),""))</f>
        <v/>
      </c>
      <c r="D409" s="12" t="str">
        <f>IF($B409="","",IFERROR(INDEX(账户币种,MATCH($B409,账户名,0)),""))</f>
        <v/>
      </c>
      <c r="E409" s="47"/>
      <c r="F409" s="12" t="str">
        <f>IF($E409="","",IFERROR(INDEX(类别属性,MATCH($E409,类别表,0)),""))</f>
        <v/>
      </c>
      <c r="G409" s="48"/>
      <c r="H409" s="48"/>
      <c r="I409" s="49"/>
      <c r="J409" s="24" t="str">
        <f>IF(OR($A409="",$B409=""),"",IF($I409&lt;&gt;"",$I409,IF($D409=本位币,1,IFERROR(LOOKUP(2,1/((汇率月份&lt;=$A409)*(INDEX(记账汇率区,0,MATCH($D409,汇率币种头,0))&lt;&gt;"")),INDEX(记账汇率区,0,MATCH($D409,汇率币种头,0))),""))))</f>
        <v/>
      </c>
      <c r="K409" s="23" t="str">
        <f t="shared" si="12"/>
        <v/>
      </c>
      <c r="L409" s="23" t="str">
        <f t="shared" si="13"/>
        <v/>
      </c>
      <c r="M409" s="23" t="str">
        <f>IF($B409="","",ROUND(SUMIF(账户名,$B409,账户期初)+SUMIFS($K$6:K409,$B$6:B409,$B409),2))</f>
        <v/>
      </c>
      <c r="N409" s="23" t="str">
        <f>IF($B409="","",IFERROR(ROUND(INDEX(账户期初本位,MATCH($B409,账户名,0))+SUMIFS($L$6:L409,$B$6:B409,$B409),2),""))</f>
        <v/>
      </c>
      <c r="O409" s="46"/>
      <c r="P409" s="47"/>
      <c r="Q409" s="46"/>
      <c r="R409" s="46"/>
      <c r="S409" s="6" t="str">
        <f>IF($B409="","",IF(ISNA(MATCH($B409,账户名,0)),"※这个账户不在【参数设置】的账户档案里",IF($A409="","※没填日期，这一笔不会进任何月份的报表",IF(AND($G409&lt;&gt;"",$H409&lt;&gt;""),"※收入和支出不能同时填",IF(AND(N($G409)=0,N($H409)=0),"※收入和支出都没填",IF($E409="","※没填收支类别，分类报表会漏掉这一笔",IF(ISNA(MATCH($E409,类别表,0)),"※收支类别不在【参数设置】的清单里",IF($J409="","△"&amp;$D409&amp;" 还没填汇率，去【月度汇率】补上就自动算了",IF(YEAR($A409)&lt;&gt;管理年度,"△不是管理年度的单据，年报里看不到",IF(AND($F409="内部转账",$Q409=""),"△内部转账建议在「往来单位」写上对方账户",IF($M409&lt;0,"△这一笔之后该账户余额成负数了，核一下","")))))))))))</f>
        <v/>
      </c>
    </row>
    <row r="410" ht="16.5" spans="1:19">
      <c r="A410" s="45"/>
      <c r="B410" s="46"/>
      <c r="C410" s="12" t="str">
        <f>IF($B410="","",IFERROR(INDEX(账户银行,MATCH($B410,账户名,0)),""))</f>
        <v/>
      </c>
      <c r="D410" s="12" t="str">
        <f>IF($B410="","",IFERROR(INDEX(账户币种,MATCH($B410,账户名,0)),""))</f>
        <v/>
      </c>
      <c r="E410" s="47"/>
      <c r="F410" s="12" t="str">
        <f>IF($E410="","",IFERROR(INDEX(类别属性,MATCH($E410,类别表,0)),""))</f>
        <v/>
      </c>
      <c r="G410" s="48"/>
      <c r="H410" s="48"/>
      <c r="I410" s="49"/>
      <c r="J410" s="24" t="str">
        <f>IF(OR($A410="",$B410=""),"",IF($I410&lt;&gt;"",$I410,IF($D410=本位币,1,IFERROR(LOOKUP(2,1/((汇率月份&lt;=$A410)*(INDEX(记账汇率区,0,MATCH($D410,汇率币种头,0))&lt;&gt;"")),INDEX(记账汇率区,0,MATCH($D410,汇率币种头,0))),""))))</f>
        <v/>
      </c>
      <c r="K410" s="23" t="str">
        <f t="shared" si="12"/>
        <v/>
      </c>
      <c r="L410" s="23" t="str">
        <f t="shared" si="13"/>
        <v/>
      </c>
      <c r="M410" s="23" t="str">
        <f>IF($B410="","",ROUND(SUMIF(账户名,$B410,账户期初)+SUMIFS($K$6:K410,$B$6:B410,$B410),2))</f>
        <v/>
      </c>
      <c r="N410" s="23" t="str">
        <f>IF($B410="","",IFERROR(ROUND(INDEX(账户期初本位,MATCH($B410,账户名,0))+SUMIFS($L$6:L410,$B$6:B410,$B410),2),""))</f>
        <v/>
      </c>
      <c r="O410" s="46"/>
      <c r="P410" s="47"/>
      <c r="Q410" s="46"/>
      <c r="R410" s="46"/>
      <c r="S410" s="6" t="str">
        <f>IF($B410="","",IF(ISNA(MATCH($B410,账户名,0)),"※这个账户不在【参数设置】的账户档案里",IF($A410="","※没填日期，这一笔不会进任何月份的报表",IF(AND($G410&lt;&gt;"",$H410&lt;&gt;""),"※收入和支出不能同时填",IF(AND(N($G410)=0,N($H410)=0),"※收入和支出都没填",IF($E410="","※没填收支类别，分类报表会漏掉这一笔",IF(ISNA(MATCH($E410,类别表,0)),"※收支类别不在【参数设置】的清单里",IF($J410="","△"&amp;$D410&amp;" 还没填汇率，去【月度汇率】补上就自动算了",IF(YEAR($A410)&lt;&gt;管理年度,"△不是管理年度的单据，年报里看不到",IF(AND($F410="内部转账",$Q410=""),"△内部转账建议在「往来单位」写上对方账户",IF($M410&lt;0,"△这一笔之后该账户余额成负数了，核一下","")))))))))))</f>
        <v/>
      </c>
    </row>
    <row r="411" ht="16.5" spans="1:19">
      <c r="A411" s="45"/>
      <c r="B411" s="46"/>
      <c r="C411" s="12" t="str">
        <f>IF($B411="","",IFERROR(INDEX(账户银行,MATCH($B411,账户名,0)),""))</f>
        <v/>
      </c>
      <c r="D411" s="12" t="str">
        <f>IF($B411="","",IFERROR(INDEX(账户币种,MATCH($B411,账户名,0)),""))</f>
        <v/>
      </c>
      <c r="E411" s="47"/>
      <c r="F411" s="12" t="str">
        <f>IF($E411="","",IFERROR(INDEX(类别属性,MATCH($E411,类别表,0)),""))</f>
        <v/>
      </c>
      <c r="G411" s="48"/>
      <c r="H411" s="48"/>
      <c r="I411" s="49"/>
      <c r="J411" s="24" t="str">
        <f>IF(OR($A411="",$B411=""),"",IF($I411&lt;&gt;"",$I411,IF($D411=本位币,1,IFERROR(LOOKUP(2,1/((汇率月份&lt;=$A411)*(INDEX(记账汇率区,0,MATCH($D411,汇率币种头,0))&lt;&gt;"")),INDEX(记账汇率区,0,MATCH($D411,汇率币种头,0))),""))))</f>
        <v/>
      </c>
      <c r="K411" s="23" t="str">
        <f t="shared" si="12"/>
        <v/>
      </c>
      <c r="L411" s="23" t="str">
        <f t="shared" si="13"/>
        <v/>
      </c>
      <c r="M411" s="23" t="str">
        <f>IF($B411="","",ROUND(SUMIF(账户名,$B411,账户期初)+SUMIFS($K$6:K411,$B$6:B411,$B411),2))</f>
        <v/>
      </c>
      <c r="N411" s="23" t="str">
        <f>IF($B411="","",IFERROR(ROUND(INDEX(账户期初本位,MATCH($B411,账户名,0))+SUMIFS($L$6:L411,$B$6:B411,$B411),2),""))</f>
        <v/>
      </c>
      <c r="O411" s="46"/>
      <c r="P411" s="47"/>
      <c r="Q411" s="46"/>
      <c r="R411" s="46"/>
      <c r="S411" s="6" t="str">
        <f>IF($B411="","",IF(ISNA(MATCH($B411,账户名,0)),"※这个账户不在【参数设置】的账户档案里",IF($A411="","※没填日期，这一笔不会进任何月份的报表",IF(AND($G411&lt;&gt;"",$H411&lt;&gt;""),"※收入和支出不能同时填",IF(AND(N($G411)=0,N($H411)=0),"※收入和支出都没填",IF($E411="","※没填收支类别，分类报表会漏掉这一笔",IF(ISNA(MATCH($E411,类别表,0)),"※收支类别不在【参数设置】的清单里",IF($J411="","△"&amp;$D411&amp;" 还没填汇率，去【月度汇率】补上就自动算了",IF(YEAR($A411)&lt;&gt;管理年度,"△不是管理年度的单据，年报里看不到",IF(AND($F411="内部转账",$Q411=""),"△内部转账建议在「往来单位」写上对方账户",IF($M411&lt;0,"△这一笔之后该账户余额成负数了，核一下","")))))))))))</f>
        <v/>
      </c>
    </row>
    <row r="412" ht="16.5" spans="1:19">
      <c r="A412" s="45"/>
      <c r="B412" s="46"/>
      <c r="C412" s="12" t="str">
        <f>IF($B412="","",IFERROR(INDEX(账户银行,MATCH($B412,账户名,0)),""))</f>
        <v/>
      </c>
      <c r="D412" s="12" t="str">
        <f>IF($B412="","",IFERROR(INDEX(账户币种,MATCH($B412,账户名,0)),""))</f>
        <v/>
      </c>
      <c r="E412" s="47"/>
      <c r="F412" s="12" t="str">
        <f>IF($E412="","",IFERROR(INDEX(类别属性,MATCH($E412,类别表,0)),""))</f>
        <v/>
      </c>
      <c r="G412" s="48"/>
      <c r="H412" s="48"/>
      <c r="I412" s="49"/>
      <c r="J412" s="24" t="str">
        <f>IF(OR($A412="",$B412=""),"",IF($I412&lt;&gt;"",$I412,IF($D412=本位币,1,IFERROR(LOOKUP(2,1/((汇率月份&lt;=$A412)*(INDEX(记账汇率区,0,MATCH($D412,汇率币种头,0))&lt;&gt;"")),INDEX(记账汇率区,0,MATCH($D412,汇率币种头,0))),""))))</f>
        <v/>
      </c>
      <c r="K412" s="23" t="str">
        <f t="shared" si="12"/>
        <v/>
      </c>
      <c r="L412" s="23" t="str">
        <f t="shared" si="13"/>
        <v/>
      </c>
      <c r="M412" s="23" t="str">
        <f>IF($B412="","",ROUND(SUMIF(账户名,$B412,账户期初)+SUMIFS($K$6:K412,$B$6:B412,$B412),2))</f>
        <v/>
      </c>
      <c r="N412" s="23" t="str">
        <f>IF($B412="","",IFERROR(ROUND(INDEX(账户期初本位,MATCH($B412,账户名,0))+SUMIFS($L$6:L412,$B$6:B412,$B412),2),""))</f>
        <v/>
      </c>
      <c r="O412" s="46"/>
      <c r="P412" s="47"/>
      <c r="Q412" s="46"/>
      <c r="R412" s="46"/>
      <c r="S412" s="6" t="str">
        <f>IF($B412="","",IF(ISNA(MATCH($B412,账户名,0)),"※这个账户不在【参数设置】的账户档案里",IF($A412="","※没填日期，这一笔不会进任何月份的报表",IF(AND($G412&lt;&gt;"",$H412&lt;&gt;""),"※收入和支出不能同时填",IF(AND(N($G412)=0,N($H412)=0),"※收入和支出都没填",IF($E412="","※没填收支类别，分类报表会漏掉这一笔",IF(ISNA(MATCH($E412,类别表,0)),"※收支类别不在【参数设置】的清单里",IF($J412="","△"&amp;$D412&amp;" 还没填汇率，去【月度汇率】补上就自动算了",IF(YEAR($A412)&lt;&gt;管理年度,"△不是管理年度的单据，年报里看不到",IF(AND($F412="内部转账",$Q412=""),"△内部转账建议在「往来单位」写上对方账户",IF($M412&lt;0,"△这一笔之后该账户余额成负数了，核一下","")))))))))))</f>
        <v/>
      </c>
    </row>
    <row r="413" ht="16.5" spans="1:19">
      <c r="A413" s="45"/>
      <c r="B413" s="46"/>
      <c r="C413" s="12" t="str">
        <f>IF($B413="","",IFERROR(INDEX(账户银行,MATCH($B413,账户名,0)),""))</f>
        <v/>
      </c>
      <c r="D413" s="12" t="str">
        <f>IF($B413="","",IFERROR(INDEX(账户币种,MATCH($B413,账户名,0)),""))</f>
        <v/>
      </c>
      <c r="E413" s="47"/>
      <c r="F413" s="12" t="str">
        <f>IF($E413="","",IFERROR(INDEX(类别属性,MATCH($E413,类别表,0)),""))</f>
        <v/>
      </c>
      <c r="G413" s="48"/>
      <c r="H413" s="48"/>
      <c r="I413" s="49"/>
      <c r="J413" s="24" t="str">
        <f>IF(OR($A413="",$B413=""),"",IF($I413&lt;&gt;"",$I413,IF($D413=本位币,1,IFERROR(LOOKUP(2,1/((汇率月份&lt;=$A413)*(INDEX(记账汇率区,0,MATCH($D413,汇率币种头,0))&lt;&gt;"")),INDEX(记账汇率区,0,MATCH($D413,汇率币种头,0))),""))))</f>
        <v/>
      </c>
      <c r="K413" s="23" t="str">
        <f t="shared" si="12"/>
        <v/>
      </c>
      <c r="L413" s="23" t="str">
        <f t="shared" si="13"/>
        <v/>
      </c>
      <c r="M413" s="23" t="str">
        <f>IF($B413="","",ROUND(SUMIF(账户名,$B413,账户期初)+SUMIFS($K$6:K413,$B$6:B413,$B413),2))</f>
        <v/>
      </c>
      <c r="N413" s="23" t="str">
        <f>IF($B413="","",IFERROR(ROUND(INDEX(账户期初本位,MATCH($B413,账户名,0))+SUMIFS($L$6:L413,$B$6:B413,$B413),2),""))</f>
        <v/>
      </c>
      <c r="O413" s="46"/>
      <c r="P413" s="47"/>
      <c r="Q413" s="46"/>
      <c r="R413" s="46"/>
      <c r="S413" s="6" t="str">
        <f>IF($B413="","",IF(ISNA(MATCH($B413,账户名,0)),"※这个账户不在【参数设置】的账户档案里",IF($A413="","※没填日期，这一笔不会进任何月份的报表",IF(AND($G413&lt;&gt;"",$H413&lt;&gt;""),"※收入和支出不能同时填",IF(AND(N($G413)=0,N($H413)=0),"※收入和支出都没填",IF($E413="","※没填收支类别，分类报表会漏掉这一笔",IF(ISNA(MATCH($E413,类别表,0)),"※收支类别不在【参数设置】的清单里",IF($J413="","△"&amp;$D413&amp;" 还没填汇率，去【月度汇率】补上就自动算了",IF(YEAR($A413)&lt;&gt;管理年度,"△不是管理年度的单据，年报里看不到",IF(AND($F413="内部转账",$Q413=""),"△内部转账建议在「往来单位」写上对方账户",IF($M413&lt;0,"△这一笔之后该账户余额成负数了，核一下","")))))))))))</f>
        <v/>
      </c>
    </row>
    <row r="414" ht="16.5" spans="1:19">
      <c r="A414" s="45"/>
      <c r="B414" s="46"/>
      <c r="C414" s="12" t="str">
        <f>IF($B414="","",IFERROR(INDEX(账户银行,MATCH($B414,账户名,0)),""))</f>
        <v/>
      </c>
      <c r="D414" s="12" t="str">
        <f>IF($B414="","",IFERROR(INDEX(账户币种,MATCH($B414,账户名,0)),""))</f>
        <v/>
      </c>
      <c r="E414" s="47"/>
      <c r="F414" s="12" t="str">
        <f>IF($E414="","",IFERROR(INDEX(类别属性,MATCH($E414,类别表,0)),""))</f>
        <v/>
      </c>
      <c r="G414" s="48"/>
      <c r="H414" s="48"/>
      <c r="I414" s="49"/>
      <c r="J414" s="24" t="str">
        <f>IF(OR($A414="",$B414=""),"",IF($I414&lt;&gt;"",$I414,IF($D414=本位币,1,IFERROR(LOOKUP(2,1/((汇率月份&lt;=$A414)*(INDEX(记账汇率区,0,MATCH($D414,汇率币种头,0))&lt;&gt;"")),INDEX(记账汇率区,0,MATCH($D414,汇率币种头,0))),""))))</f>
        <v/>
      </c>
      <c r="K414" s="23" t="str">
        <f t="shared" si="12"/>
        <v/>
      </c>
      <c r="L414" s="23" t="str">
        <f t="shared" si="13"/>
        <v/>
      </c>
      <c r="M414" s="23" t="str">
        <f>IF($B414="","",ROUND(SUMIF(账户名,$B414,账户期初)+SUMIFS($K$6:K414,$B$6:B414,$B414),2))</f>
        <v/>
      </c>
      <c r="N414" s="23" t="str">
        <f>IF($B414="","",IFERROR(ROUND(INDEX(账户期初本位,MATCH($B414,账户名,0))+SUMIFS($L$6:L414,$B$6:B414,$B414),2),""))</f>
        <v/>
      </c>
      <c r="O414" s="46"/>
      <c r="P414" s="47"/>
      <c r="Q414" s="46"/>
      <c r="R414" s="46"/>
      <c r="S414" s="6" t="str">
        <f>IF($B414="","",IF(ISNA(MATCH($B414,账户名,0)),"※这个账户不在【参数设置】的账户档案里",IF($A414="","※没填日期，这一笔不会进任何月份的报表",IF(AND($G414&lt;&gt;"",$H414&lt;&gt;""),"※收入和支出不能同时填",IF(AND(N($G414)=0,N($H414)=0),"※收入和支出都没填",IF($E414="","※没填收支类别，分类报表会漏掉这一笔",IF(ISNA(MATCH($E414,类别表,0)),"※收支类别不在【参数设置】的清单里",IF($J414="","△"&amp;$D414&amp;" 还没填汇率，去【月度汇率】补上就自动算了",IF(YEAR($A414)&lt;&gt;管理年度,"△不是管理年度的单据，年报里看不到",IF(AND($F414="内部转账",$Q414=""),"△内部转账建议在「往来单位」写上对方账户",IF($M414&lt;0,"△这一笔之后该账户余额成负数了，核一下","")))))))))))</f>
        <v/>
      </c>
    </row>
    <row r="415" ht="16.5" spans="1:19">
      <c r="A415" s="45"/>
      <c r="B415" s="46"/>
      <c r="C415" s="12" t="str">
        <f>IF($B415="","",IFERROR(INDEX(账户银行,MATCH($B415,账户名,0)),""))</f>
        <v/>
      </c>
      <c r="D415" s="12" t="str">
        <f>IF($B415="","",IFERROR(INDEX(账户币种,MATCH($B415,账户名,0)),""))</f>
        <v/>
      </c>
      <c r="E415" s="47"/>
      <c r="F415" s="12" t="str">
        <f>IF($E415="","",IFERROR(INDEX(类别属性,MATCH($E415,类别表,0)),""))</f>
        <v/>
      </c>
      <c r="G415" s="48"/>
      <c r="H415" s="48"/>
      <c r="I415" s="49"/>
      <c r="J415" s="24" t="str">
        <f>IF(OR($A415="",$B415=""),"",IF($I415&lt;&gt;"",$I415,IF($D415=本位币,1,IFERROR(LOOKUP(2,1/((汇率月份&lt;=$A415)*(INDEX(记账汇率区,0,MATCH($D415,汇率币种头,0))&lt;&gt;"")),INDEX(记账汇率区,0,MATCH($D415,汇率币种头,0))),""))))</f>
        <v/>
      </c>
      <c r="K415" s="23" t="str">
        <f t="shared" si="12"/>
        <v/>
      </c>
      <c r="L415" s="23" t="str">
        <f t="shared" si="13"/>
        <v/>
      </c>
      <c r="M415" s="23" t="str">
        <f>IF($B415="","",ROUND(SUMIF(账户名,$B415,账户期初)+SUMIFS($K$6:K415,$B$6:B415,$B415),2))</f>
        <v/>
      </c>
      <c r="N415" s="23" t="str">
        <f>IF($B415="","",IFERROR(ROUND(INDEX(账户期初本位,MATCH($B415,账户名,0))+SUMIFS($L$6:L415,$B$6:B415,$B415),2),""))</f>
        <v/>
      </c>
      <c r="O415" s="46"/>
      <c r="P415" s="47"/>
      <c r="Q415" s="46"/>
      <c r="R415" s="46"/>
      <c r="S415" s="6" t="str">
        <f>IF($B415="","",IF(ISNA(MATCH($B415,账户名,0)),"※这个账户不在【参数设置】的账户档案里",IF($A415="","※没填日期，这一笔不会进任何月份的报表",IF(AND($G415&lt;&gt;"",$H415&lt;&gt;""),"※收入和支出不能同时填",IF(AND(N($G415)=0,N($H415)=0),"※收入和支出都没填",IF($E415="","※没填收支类别，分类报表会漏掉这一笔",IF(ISNA(MATCH($E415,类别表,0)),"※收支类别不在【参数设置】的清单里",IF($J415="","△"&amp;$D415&amp;" 还没填汇率，去【月度汇率】补上就自动算了",IF(YEAR($A415)&lt;&gt;管理年度,"△不是管理年度的单据，年报里看不到",IF(AND($F415="内部转账",$Q415=""),"△内部转账建议在「往来单位」写上对方账户",IF($M415&lt;0,"△这一笔之后该账户余额成负数了，核一下","")))))))))))</f>
        <v/>
      </c>
    </row>
    <row r="416" ht="16.5" spans="1:19">
      <c r="A416" s="45"/>
      <c r="B416" s="46"/>
      <c r="C416" s="12" t="str">
        <f>IF($B416="","",IFERROR(INDEX(账户银行,MATCH($B416,账户名,0)),""))</f>
        <v/>
      </c>
      <c r="D416" s="12" t="str">
        <f>IF($B416="","",IFERROR(INDEX(账户币种,MATCH($B416,账户名,0)),""))</f>
        <v/>
      </c>
      <c r="E416" s="47"/>
      <c r="F416" s="12" t="str">
        <f>IF($E416="","",IFERROR(INDEX(类别属性,MATCH($E416,类别表,0)),""))</f>
        <v/>
      </c>
      <c r="G416" s="48"/>
      <c r="H416" s="48"/>
      <c r="I416" s="49"/>
      <c r="J416" s="24" t="str">
        <f>IF(OR($A416="",$B416=""),"",IF($I416&lt;&gt;"",$I416,IF($D416=本位币,1,IFERROR(LOOKUP(2,1/((汇率月份&lt;=$A416)*(INDEX(记账汇率区,0,MATCH($D416,汇率币种头,0))&lt;&gt;"")),INDEX(记账汇率区,0,MATCH($D416,汇率币种头,0))),""))))</f>
        <v/>
      </c>
      <c r="K416" s="23" t="str">
        <f t="shared" si="12"/>
        <v/>
      </c>
      <c r="L416" s="23" t="str">
        <f t="shared" si="13"/>
        <v/>
      </c>
      <c r="M416" s="23" t="str">
        <f>IF($B416="","",ROUND(SUMIF(账户名,$B416,账户期初)+SUMIFS($K$6:K416,$B$6:B416,$B416),2))</f>
        <v/>
      </c>
      <c r="N416" s="23" t="str">
        <f>IF($B416="","",IFERROR(ROUND(INDEX(账户期初本位,MATCH($B416,账户名,0))+SUMIFS($L$6:L416,$B$6:B416,$B416),2),""))</f>
        <v/>
      </c>
      <c r="O416" s="46"/>
      <c r="P416" s="47"/>
      <c r="Q416" s="46"/>
      <c r="R416" s="46"/>
      <c r="S416" s="6" t="str">
        <f>IF($B416="","",IF(ISNA(MATCH($B416,账户名,0)),"※这个账户不在【参数设置】的账户档案里",IF($A416="","※没填日期，这一笔不会进任何月份的报表",IF(AND($G416&lt;&gt;"",$H416&lt;&gt;""),"※收入和支出不能同时填",IF(AND(N($G416)=0,N($H416)=0),"※收入和支出都没填",IF($E416="","※没填收支类别，分类报表会漏掉这一笔",IF(ISNA(MATCH($E416,类别表,0)),"※收支类别不在【参数设置】的清单里",IF($J416="","△"&amp;$D416&amp;" 还没填汇率，去【月度汇率】补上就自动算了",IF(YEAR($A416)&lt;&gt;管理年度,"△不是管理年度的单据，年报里看不到",IF(AND($F416="内部转账",$Q416=""),"△内部转账建议在「往来单位」写上对方账户",IF($M416&lt;0,"△这一笔之后该账户余额成负数了，核一下","")))))))))))</f>
        <v/>
      </c>
    </row>
    <row r="417" ht="16.5" spans="1:19">
      <c r="A417" s="45"/>
      <c r="B417" s="46"/>
      <c r="C417" s="12" t="str">
        <f>IF($B417="","",IFERROR(INDEX(账户银行,MATCH($B417,账户名,0)),""))</f>
        <v/>
      </c>
      <c r="D417" s="12" t="str">
        <f>IF($B417="","",IFERROR(INDEX(账户币种,MATCH($B417,账户名,0)),""))</f>
        <v/>
      </c>
      <c r="E417" s="47"/>
      <c r="F417" s="12" t="str">
        <f>IF($E417="","",IFERROR(INDEX(类别属性,MATCH($E417,类别表,0)),""))</f>
        <v/>
      </c>
      <c r="G417" s="48"/>
      <c r="H417" s="48"/>
      <c r="I417" s="49"/>
      <c r="J417" s="24" t="str">
        <f>IF(OR($A417="",$B417=""),"",IF($I417&lt;&gt;"",$I417,IF($D417=本位币,1,IFERROR(LOOKUP(2,1/((汇率月份&lt;=$A417)*(INDEX(记账汇率区,0,MATCH($D417,汇率币种头,0))&lt;&gt;"")),INDEX(记账汇率区,0,MATCH($D417,汇率币种头,0))),""))))</f>
        <v/>
      </c>
      <c r="K417" s="23" t="str">
        <f t="shared" si="12"/>
        <v/>
      </c>
      <c r="L417" s="23" t="str">
        <f t="shared" si="13"/>
        <v/>
      </c>
      <c r="M417" s="23" t="str">
        <f>IF($B417="","",ROUND(SUMIF(账户名,$B417,账户期初)+SUMIFS($K$6:K417,$B$6:B417,$B417),2))</f>
        <v/>
      </c>
      <c r="N417" s="23" t="str">
        <f>IF($B417="","",IFERROR(ROUND(INDEX(账户期初本位,MATCH($B417,账户名,0))+SUMIFS($L$6:L417,$B$6:B417,$B417),2),""))</f>
        <v/>
      </c>
      <c r="O417" s="46"/>
      <c r="P417" s="47"/>
      <c r="Q417" s="46"/>
      <c r="R417" s="46"/>
      <c r="S417" s="6" t="str">
        <f>IF($B417="","",IF(ISNA(MATCH($B417,账户名,0)),"※这个账户不在【参数设置】的账户档案里",IF($A417="","※没填日期，这一笔不会进任何月份的报表",IF(AND($G417&lt;&gt;"",$H417&lt;&gt;""),"※收入和支出不能同时填",IF(AND(N($G417)=0,N($H417)=0),"※收入和支出都没填",IF($E417="","※没填收支类别，分类报表会漏掉这一笔",IF(ISNA(MATCH($E417,类别表,0)),"※收支类别不在【参数设置】的清单里",IF($J417="","△"&amp;$D417&amp;" 还没填汇率，去【月度汇率】补上就自动算了",IF(YEAR($A417)&lt;&gt;管理年度,"△不是管理年度的单据，年报里看不到",IF(AND($F417="内部转账",$Q417=""),"△内部转账建议在「往来单位」写上对方账户",IF($M417&lt;0,"△这一笔之后该账户余额成负数了，核一下","")))))))))))</f>
        <v/>
      </c>
    </row>
    <row r="418" ht="16.5" spans="1:19">
      <c r="A418" s="45"/>
      <c r="B418" s="46"/>
      <c r="C418" s="12" t="str">
        <f>IF($B418="","",IFERROR(INDEX(账户银行,MATCH($B418,账户名,0)),""))</f>
        <v/>
      </c>
      <c r="D418" s="12" t="str">
        <f>IF($B418="","",IFERROR(INDEX(账户币种,MATCH($B418,账户名,0)),""))</f>
        <v/>
      </c>
      <c r="E418" s="47"/>
      <c r="F418" s="12" t="str">
        <f>IF($E418="","",IFERROR(INDEX(类别属性,MATCH($E418,类别表,0)),""))</f>
        <v/>
      </c>
      <c r="G418" s="48"/>
      <c r="H418" s="48"/>
      <c r="I418" s="49"/>
      <c r="J418" s="24" t="str">
        <f>IF(OR($A418="",$B418=""),"",IF($I418&lt;&gt;"",$I418,IF($D418=本位币,1,IFERROR(LOOKUP(2,1/((汇率月份&lt;=$A418)*(INDEX(记账汇率区,0,MATCH($D418,汇率币种头,0))&lt;&gt;"")),INDEX(记账汇率区,0,MATCH($D418,汇率币种头,0))),""))))</f>
        <v/>
      </c>
      <c r="K418" s="23" t="str">
        <f t="shared" si="12"/>
        <v/>
      </c>
      <c r="L418" s="23" t="str">
        <f t="shared" si="13"/>
        <v/>
      </c>
      <c r="M418" s="23" t="str">
        <f>IF($B418="","",ROUND(SUMIF(账户名,$B418,账户期初)+SUMIFS($K$6:K418,$B$6:B418,$B418),2))</f>
        <v/>
      </c>
      <c r="N418" s="23" t="str">
        <f>IF($B418="","",IFERROR(ROUND(INDEX(账户期初本位,MATCH($B418,账户名,0))+SUMIFS($L$6:L418,$B$6:B418,$B418),2),""))</f>
        <v/>
      </c>
      <c r="O418" s="46"/>
      <c r="P418" s="47"/>
      <c r="Q418" s="46"/>
      <c r="R418" s="46"/>
      <c r="S418" s="6" t="str">
        <f>IF($B418="","",IF(ISNA(MATCH($B418,账户名,0)),"※这个账户不在【参数设置】的账户档案里",IF($A418="","※没填日期，这一笔不会进任何月份的报表",IF(AND($G418&lt;&gt;"",$H418&lt;&gt;""),"※收入和支出不能同时填",IF(AND(N($G418)=0,N($H418)=0),"※收入和支出都没填",IF($E418="","※没填收支类别，分类报表会漏掉这一笔",IF(ISNA(MATCH($E418,类别表,0)),"※收支类别不在【参数设置】的清单里",IF($J418="","△"&amp;$D418&amp;" 还没填汇率，去【月度汇率】补上就自动算了",IF(YEAR($A418)&lt;&gt;管理年度,"△不是管理年度的单据，年报里看不到",IF(AND($F418="内部转账",$Q418=""),"△内部转账建议在「往来单位」写上对方账户",IF($M418&lt;0,"△这一笔之后该账户余额成负数了，核一下","")))))))))))</f>
        <v/>
      </c>
    </row>
    <row r="419" ht="16.5" spans="1:19">
      <c r="A419" s="45"/>
      <c r="B419" s="46"/>
      <c r="C419" s="12" t="str">
        <f>IF($B419="","",IFERROR(INDEX(账户银行,MATCH($B419,账户名,0)),""))</f>
        <v/>
      </c>
      <c r="D419" s="12" t="str">
        <f>IF($B419="","",IFERROR(INDEX(账户币种,MATCH($B419,账户名,0)),""))</f>
        <v/>
      </c>
      <c r="E419" s="47"/>
      <c r="F419" s="12" t="str">
        <f>IF($E419="","",IFERROR(INDEX(类别属性,MATCH($E419,类别表,0)),""))</f>
        <v/>
      </c>
      <c r="G419" s="48"/>
      <c r="H419" s="48"/>
      <c r="I419" s="49"/>
      <c r="J419" s="24" t="str">
        <f>IF(OR($A419="",$B419=""),"",IF($I419&lt;&gt;"",$I419,IF($D419=本位币,1,IFERROR(LOOKUP(2,1/((汇率月份&lt;=$A419)*(INDEX(记账汇率区,0,MATCH($D419,汇率币种头,0))&lt;&gt;"")),INDEX(记账汇率区,0,MATCH($D419,汇率币种头,0))),""))))</f>
        <v/>
      </c>
      <c r="K419" s="23" t="str">
        <f t="shared" si="12"/>
        <v/>
      </c>
      <c r="L419" s="23" t="str">
        <f t="shared" si="13"/>
        <v/>
      </c>
      <c r="M419" s="23" t="str">
        <f>IF($B419="","",ROUND(SUMIF(账户名,$B419,账户期初)+SUMIFS($K$6:K419,$B$6:B419,$B419),2))</f>
        <v/>
      </c>
      <c r="N419" s="23" t="str">
        <f>IF($B419="","",IFERROR(ROUND(INDEX(账户期初本位,MATCH($B419,账户名,0))+SUMIFS($L$6:L419,$B$6:B419,$B419),2),""))</f>
        <v/>
      </c>
      <c r="O419" s="46"/>
      <c r="P419" s="47"/>
      <c r="Q419" s="46"/>
      <c r="R419" s="46"/>
      <c r="S419" s="6" t="str">
        <f>IF($B419="","",IF(ISNA(MATCH($B419,账户名,0)),"※这个账户不在【参数设置】的账户档案里",IF($A419="","※没填日期，这一笔不会进任何月份的报表",IF(AND($G419&lt;&gt;"",$H419&lt;&gt;""),"※收入和支出不能同时填",IF(AND(N($G419)=0,N($H419)=0),"※收入和支出都没填",IF($E419="","※没填收支类别，分类报表会漏掉这一笔",IF(ISNA(MATCH($E419,类别表,0)),"※收支类别不在【参数设置】的清单里",IF($J419="","△"&amp;$D419&amp;" 还没填汇率，去【月度汇率】补上就自动算了",IF(YEAR($A419)&lt;&gt;管理年度,"△不是管理年度的单据，年报里看不到",IF(AND($F419="内部转账",$Q419=""),"△内部转账建议在「往来单位」写上对方账户",IF($M419&lt;0,"△这一笔之后该账户余额成负数了，核一下","")))))))))))</f>
        <v/>
      </c>
    </row>
    <row r="420" ht="16.5" spans="1:19">
      <c r="A420" s="45"/>
      <c r="B420" s="46"/>
      <c r="C420" s="12" t="str">
        <f>IF($B420="","",IFERROR(INDEX(账户银行,MATCH($B420,账户名,0)),""))</f>
        <v/>
      </c>
      <c r="D420" s="12" t="str">
        <f>IF($B420="","",IFERROR(INDEX(账户币种,MATCH($B420,账户名,0)),""))</f>
        <v/>
      </c>
      <c r="E420" s="47"/>
      <c r="F420" s="12" t="str">
        <f>IF($E420="","",IFERROR(INDEX(类别属性,MATCH($E420,类别表,0)),""))</f>
        <v/>
      </c>
      <c r="G420" s="48"/>
      <c r="H420" s="48"/>
      <c r="I420" s="49"/>
      <c r="J420" s="24" t="str">
        <f>IF(OR($A420="",$B420=""),"",IF($I420&lt;&gt;"",$I420,IF($D420=本位币,1,IFERROR(LOOKUP(2,1/((汇率月份&lt;=$A420)*(INDEX(记账汇率区,0,MATCH($D420,汇率币种头,0))&lt;&gt;"")),INDEX(记账汇率区,0,MATCH($D420,汇率币种头,0))),""))))</f>
        <v/>
      </c>
      <c r="K420" s="23" t="str">
        <f t="shared" si="12"/>
        <v/>
      </c>
      <c r="L420" s="23" t="str">
        <f t="shared" si="13"/>
        <v/>
      </c>
      <c r="M420" s="23" t="str">
        <f>IF($B420="","",ROUND(SUMIF(账户名,$B420,账户期初)+SUMIFS($K$6:K420,$B$6:B420,$B420),2))</f>
        <v/>
      </c>
      <c r="N420" s="23" t="str">
        <f>IF($B420="","",IFERROR(ROUND(INDEX(账户期初本位,MATCH($B420,账户名,0))+SUMIFS($L$6:L420,$B$6:B420,$B420),2),""))</f>
        <v/>
      </c>
      <c r="O420" s="46"/>
      <c r="P420" s="47"/>
      <c r="Q420" s="46"/>
      <c r="R420" s="46"/>
      <c r="S420" s="6" t="str">
        <f>IF($B420="","",IF(ISNA(MATCH($B420,账户名,0)),"※这个账户不在【参数设置】的账户档案里",IF($A420="","※没填日期，这一笔不会进任何月份的报表",IF(AND($G420&lt;&gt;"",$H420&lt;&gt;""),"※收入和支出不能同时填",IF(AND(N($G420)=0,N($H420)=0),"※收入和支出都没填",IF($E420="","※没填收支类别，分类报表会漏掉这一笔",IF(ISNA(MATCH($E420,类别表,0)),"※收支类别不在【参数设置】的清单里",IF($J420="","△"&amp;$D420&amp;" 还没填汇率，去【月度汇率】补上就自动算了",IF(YEAR($A420)&lt;&gt;管理年度,"△不是管理年度的单据，年报里看不到",IF(AND($F420="内部转账",$Q420=""),"△内部转账建议在「往来单位」写上对方账户",IF($M420&lt;0,"△这一笔之后该账户余额成负数了，核一下","")))))))))))</f>
        <v/>
      </c>
    </row>
    <row r="421" ht="16.5" spans="1:19">
      <c r="A421" s="45"/>
      <c r="B421" s="46"/>
      <c r="C421" s="12" t="str">
        <f>IF($B421="","",IFERROR(INDEX(账户银行,MATCH($B421,账户名,0)),""))</f>
        <v/>
      </c>
      <c r="D421" s="12" t="str">
        <f>IF($B421="","",IFERROR(INDEX(账户币种,MATCH($B421,账户名,0)),""))</f>
        <v/>
      </c>
      <c r="E421" s="47"/>
      <c r="F421" s="12" t="str">
        <f>IF($E421="","",IFERROR(INDEX(类别属性,MATCH($E421,类别表,0)),""))</f>
        <v/>
      </c>
      <c r="G421" s="48"/>
      <c r="H421" s="48"/>
      <c r="I421" s="49"/>
      <c r="J421" s="24" t="str">
        <f>IF(OR($A421="",$B421=""),"",IF($I421&lt;&gt;"",$I421,IF($D421=本位币,1,IFERROR(LOOKUP(2,1/((汇率月份&lt;=$A421)*(INDEX(记账汇率区,0,MATCH($D421,汇率币种头,0))&lt;&gt;"")),INDEX(记账汇率区,0,MATCH($D421,汇率币种头,0))),""))))</f>
        <v/>
      </c>
      <c r="K421" s="23" t="str">
        <f t="shared" si="12"/>
        <v/>
      </c>
      <c r="L421" s="23" t="str">
        <f t="shared" si="13"/>
        <v/>
      </c>
      <c r="M421" s="23" t="str">
        <f>IF($B421="","",ROUND(SUMIF(账户名,$B421,账户期初)+SUMIFS($K$6:K421,$B$6:B421,$B421),2))</f>
        <v/>
      </c>
      <c r="N421" s="23" t="str">
        <f>IF($B421="","",IFERROR(ROUND(INDEX(账户期初本位,MATCH($B421,账户名,0))+SUMIFS($L$6:L421,$B$6:B421,$B421),2),""))</f>
        <v/>
      </c>
      <c r="O421" s="46"/>
      <c r="P421" s="47"/>
      <c r="Q421" s="46"/>
      <c r="R421" s="46"/>
      <c r="S421" s="6" t="str">
        <f>IF($B421="","",IF(ISNA(MATCH($B421,账户名,0)),"※这个账户不在【参数设置】的账户档案里",IF($A421="","※没填日期，这一笔不会进任何月份的报表",IF(AND($G421&lt;&gt;"",$H421&lt;&gt;""),"※收入和支出不能同时填",IF(AND(N($G421)=0,N($H421)=0),"※收入和支出都没填",IF($E421="","※没填收支类别，分类报表会漏掉这一笔",IF(ISNA(MATCH($E421,类别表,0)),"※收支类别不在【参数设置】的清单里",IF($J421="","△"&amp;$D421&amp;" 还没填汇率，去【月度汇率】补上就自动算了",IF(YEAR($A421)&lt;&gt;管理年度,"△不是管理年度的单据，年报里看不到",IF(AND($F421="内部转账",$Q421=""),"△内部转账建议在「往来单位」写上对方账户",IF($M421&lt;0,"△这一笔之后该账户余额成负数了，核一下","")))))))))))</f>
        <v/>
      </c>
    </row>
    <row r="422" ht="16.5" spans="1:19">
      <c r="A422" s="45"/>
      <c r="B422" s="46"/>
      <c r="C422" s="12" t="str">
        <f>IF($B422="","",IFERROR(INDEX(账户银行,MATCH($B422,账户名,0)),""))</f>
        <v/>
      </c>
      <c r="D422" s="12" t="str">
        <f>IF($B422="","",IFERROR(INDEX(账户币种,MATCH($B422,账户名,0)),""))</f>
        <v/>
      </c>
      <c r="E422" s="47"/>
      <c r="F422" s="12" t="str">
        <f>IF($E422="","",IFERROR(INDEX(类别属性,MATCH($E422,类别表,0)),""))</f>
        <v/>
      </c>
      <c r="G422" s="48"/>
      <c r="H422" s="48"/>
      <c r="I422" s="49"/>
      <c r="J422" s="24" t="str">
        <f>IF(OR($A422="",$B422=""),"",IF($I422&lt;&gt;"",$I422,IF($D422=本位币,1,IFERROR(LOOKUP(2,1/((汇率月份&lt;=$A422)*(INDEX(记账汇率区,0,MATCH($D422,汇率币种头,0))&lt;&gt;"")),INDEX(记账汇率区,0,MATCH($D422,汇率币种头,0))),""))))</f>
        <v/>
      </c>
      <c r="K422" s="23" t="str">
        <f t="shared" si="12"/>
        <v/>
      </c>
      <c r="L422" s="23" t="str">
        <f t="shared" si="13"/>
        <v/>
      </c>
      <c r="M422" s="23" t="str">
        <f>IF($B422="","",ROUND(SUMIF(账户名,$B422,账户期初)+SUMIFS($K$6:K422,$B$6:B422,$B422),2))</f>
        <v/>
      </c>
      <c r="N422" s="23" t="str">
        <f>IF($B422="","",IFERROR(ROUND(INDEX(账户期初本位,MATCH($B422,账户名,0))+SUMIFS($L$6:L422,$B$6:B422,$B422),2),""))</f>
        <v/>
      </c>
      <c r="O422" s="46"/>
      <c r="P422" s="47"/>
      <c r="Q422" s="46"/>
      <c r="R422" s="46"/>
      <c r="S422" s="6" t="str">
        <f>IF($B422="","",IF(ISNA(MATCH($B422,账户名,0)),"※这个账户不在【参数设置】的账户档案里",IF($A422="","※没填日期，这一笔不会进任何月份的报表",IF(AND($G422&lt;&gt;"",$H422&lt;&gt;""),"※收入和支出不能同时填",IF(AND(N($G422)=0,N($H422)=0),"※收入和支出都没填",IF($E422="","※没填收支类别，分类报表会漏掉这一笔",IF(ISNA(MATCH($E422,类别表,0)),"※收支类别不在【参数设置】的清单里",IF($J422="","△"&amp;$D422&amp;" 还没填汇率，去【月度汇率】补上就自动算了",IF(YEAR($A422)&lt;&gt;管理年度,"△不是管理年度的单据，年报里看不到",IF(AND($F422="内部转账",$Q422=""),"△内部转账建议在「往来单位」写上对方账户",IF($M422&lt;0,"△这一笔之后该账户余额成负数了，核一下","")))))))))))</f>
        <v/>
      </c>
    </row>
    <row r="423" ht="16.5" spans="1:19">
      <c r="A423" s="45"/>
      <c r="B423" s="46"/>
      <c r="C423" s="12" t="str">
        <f>IF($B423="","",IFERROR(INDEX(账户银行,MATCH($B423,账户名,0)),""))</f>
        <v/>
      </c>
      <c r="D423" s="12" t="str">
        <f>IF($B423="","",IFERROR(INDEX(账户币种,MATCH($B423,账户名,0)),""))</f>
        <v/>
      </c>
      <c r="E423" s="47"/>
      <c r="F423" s="12" t="str">
        <f>IF($E423="","",IFERROR(INDEX(类别属性,MATCH($E423,类别表,0)),""))</f>
        <v/>
      </c>
      <c r="G423" s="48"/>
      <c r="H423" s="48"/>
      <c r="I423" s="49"/>
      <c r="J423" s="24" t="str">
        <f>IF(OR($A423="",$B423=""),"",IF($I423&lt;&gt;"",$I423,IF($D423=本位币,1,IFERROR(LOOKUP(2,1/((汇率月份&lt;=$A423)*(INDEX(记账汇率区,0,MATCH($D423,汇率币种头,0))&lt;&gt;"")),INDEX(记账汇率区,0,MATCH($D423,汇率币种头,0))),""))))</f>
        <v/>
      </c>
      <c r="K423" s="23" t="str">
        <f t="shared" si="12"/>
        <v/>
      </c>
      <c r="L423" s="23" t="str">
        <f t="shared" si="13"/>
        <v/>
      </c>
      <c r="M423" s="23" t="str">
        <f>IF($B423="","",ROUND(SUMIF(账户名,$B423,账户期初)+SUMIFS($K$6:K423,$B$6:B423,$B423),2))</f>
        <v/>
      </c>
      <c r="N423" s="23" t="str">
        <f>IF($B423="","",IFERROR(ROUND(INDEX(账户期初本位,MATCH($B423,账户名,0))+SUMIFS($L$6:L423,$B$6:B423,$B423),2),""))</f>
        <v/>
      </c>
      <c r="O423" s="46"/>
      <c r="P423" s="47"/>
      <c r="Q423" s="46"/>
      <c r="R423" s="46"/>
      <c r="S423" s="6" t="str">
        <f>IF($B423="","",IF(ISNA(MATCH($B423,账户名,0)),"※这个账户不在【参数设置】的账户档案里",IF($A423="","※没填日期，这一笔不会进任何月份的报表",IF(AND($G423&lt;&gt;"",$H423&lt;&gt;""),"※收入和支出不能同时填",IF(AND(N($G423)=0,N($H423)=0),"※收入和支出都没填",IF($E423="","※没填收支类别，分类报表会漏掉这一笔",IF(ISNA(MATCH($E423,类别表,0)),"※收支类别不在【参数设置】的清单里",IF($J423="","△"&amp;$D423&amp;" 还没填汇率，去【月度汇率】补上就自动算了",IF(YEAR($A423)&lt;&gt;管理年度,"△不是管理年度的单据，年报里看不到",IF(AND($F423="内部转账",$Q423=""),"△内部转账建议在「往来单位」写上对方账户",IF($M423&lt;0,"△这一笔之后该账户余额成负数了，核一下","")))))))))))</f>
        <v/>
      </c>
    </row>
    <row r="424" ht="16.5" spans="1:19">
      <c r="A424" s="45"/>
      <c r="B424" s="46"/>
      <c r="C424" s="12" t="str">
        <f>IF($B424="","",IFERROR(INDEX(账户银行,MATCH($B424,账户名,0)),""))</f>
        <v/>
      </c>
      <c r="D424" s="12" t="str">
        <f>IF($B424="","",IFERROR(INDEX(账户币种,MATCH($B424,账户名,0)),""))</f>
        <v/>
      </c>
      <c r="E424" s="47"/>
      <c r="F424" s="12" t="str">
        <f>IF($E424="","",IFERROR(INDEX(类别属性,MATCH($E424,类别表,0)),""))</f>
        <v/>
      </c>
      <c r="G424" s="48"/>
      <c r="H424" s="48"/>
      <c r="I424" s="49"/>
      <c r="J424" s="24" t="str">
        <f>IF(OR($A424="",$B424=""),"",IF($I424&lt;&gt;"",$I424,IF($D424=本位币,1,IFERROR(LOOKUP(2,1/((汇率月份&lt;=$A424)*(INDEX(记账汇率区,0,MATCH($D424,汇率币种头,0))&lt;&gt;"")),INDEX(记账汇率区,0,MATCH($D424,汇率币种头,0))),""))))</f>
        <v/>
      </c>
      <c r="K424" s="23" t="str">
        <f t="shared" si="12"/>
        <v/>
      </c>
      <c r="L424" s="23" t="str">
        <f t="shared" si="13"/>
        <v/>
      </c>
      <c r="M424" s="23" t="str">
        <f>IF($B424="","",ROUND(SUMIF(账户名,$B424,账户期初)+SUMIFS($K$6:K424,$B$6:B424,$B424),2))</f>
        <v/>
      </c>
      <c r="N424" s="23" t="str">
        <f>IF($B424="","",IFERROR(ROUND(INDEX(账户期初本位,MATCH($B424,账户名,0))+SUMIFS($L$6:L424,$B$6:B424,$B424),2),""))</f>
        <v/>
      </c>
      <c r="O424" s="46"/>
      <c r="P424" s="47"/>
      <c r="Q424" s="46"/>
      <c r="R424" s="46"/>
      <c r="S424" s="6" t="str">
        <f>IF($B424="","",IF(ISNA(MATCH($B424,账户名,0)),"※这个账户不在【参数设置】的账户档案里",IF($A424="","※没填日期，这一笔不会进任何月份的报表",IF(AND($G424&lt;&gt;"",$H424&lt;&gt;""),"※收入和支出不能同时填",IF(AND(N($G424)=0,N($H424)=0),"※收入和支出都没填",IF($E424="","※没填收支类别，分类报表会漏掉这一笔",IF(ISNA(MATCH($E424,类别表,0)),"※收支类别不在【参数设置】的清单里",IF($J424="","△"&amp;$D424&amp;" 还没填汇率，去【月度汇率】补上就自动算了",IF(YEAR($A424)&lt;&gt;管理年度,"△不是管理年度的单据，年报里看不到",IF(AND($F424="内部转账",$Q424=""),"△内部转账建议在「往来单位」写上对方账户",IF($M424&lt;0,"△这一笔之后该账户余额成负数了，核一下","")))))))))))</f>
        <v/>
      </c>
    </row>
    <row r="425" ht="16.5" spans="1:19">
      <c r="A425" s="45"/>
      <c r="B425" s="46"/>
      <c r="C425" s="12" t="str">
        <f>IF($B425="","",IFERROR(INDEX(账户银行,MATCH($B425,账户名,0)),""))</f>
        <v/>
      </c>
      <c r="D425" s="12" t="str">
        <f>IF($B425="","",IFERROR(INDEX(账户币种,MATCH($B425,账户名,0)),""))</f>
        <v/>
      </c>
      <c r="E425" s="47"/>
      <c r="F425" s="12" t="str">
        <f>IF($E425="","",IFERROR(INDEX(类别属性,MATCH($E425,类别表,0)),""))</f>
        <v/>
      </c>
      <c r="G425" s="48"/>
      <c r="H425" s="48"/>
      <c r="I425" s="49"/>
      <c r="J425" s="24" t="str">
        <f>IF(OR($A425="",$B425=""),"",IF($I425&lt;&gt;"",$I425,IF($D425=本位币,1,IFERROR(LOOKUP(2,1/((汇率月份&lt;=$A425)*(INDEX(记账汇率区,0,MATCH($D425,汇率币种头,0))&lt;&gt;"")),INDEX(记账汇率区,0,MATCH($D425,汇率币种头,0))),""))))</f>
        <v/>
      </c>
      <c r="K425" s="23" t="str">
        <f t="shared" si="12"/>
        <v/>
      </c>
      <c r="L425" s="23" t="str">
        <f t="shared" si="13"/>
        <v/>
      </c>
      <c r="M425" s="23" t="str">
        <f>IF($B425="","",ROUND(SUMIF(账户名,$B425,账户期初)+SUMIFS($K$6:K425,$B$6:B425,$B425),2))</f>
        <v/>
      </c>
      <c r="N425" s="23" t="str">
        <f>IF($B425="","",IFERROR(ROUND(INDEX(账户期初本位,MATCH($B425,账户名,0))+SUMIFS($L$6:L425,$B$6:B425,$B425),2),""))</f>
        <v/>
      </c>
      <c r="O425" s="46"/>
      <c r="P425" s="47"/>
      <c r="Q425" s="46"/>
      <c r="R425" s="46"/>
      <c r="S425" s="6" t="str">
        <f>IF($B425="","",IF(ISNA(MATCH($B425,账户名,0)),"※这个账户不在【参数设置】的账户档案里",IF($A425="","※没填日期，这一笔不会进任何月份的报表",IF(AND($G425&lt;&gt;"",$H425&lt;&gt;""),"※收入和支出不能同时填",IF(AND(N($G425)=0,N($H425)=0),"※收入和支出都没填",IF($E425="","※没填收支类别，分类报表会漏掉这一笔",IF(ISNA(MATCH($E425,类别表,0)),"※收支类别不在【参数设置】的清单里",IF($J425="","△"&amp;$D425&amp;" 还没填汇率，去【月度汇率】补上就自动算了",IF(YEAR($A425)&lt;&gt;管理年度,"△不是管理年度的单据，年报里看不到",IF(AND($F425="内部转账",$Q425=""),"△内部转账建议在「往来单位」写上对方账户",IF($M425&lt;0,"△这一笔之后该账户余额成负数了，核一下","")))))))))))</f>
        <v/>
      </c>
    </row>
    <row r="426" ht="16.5" spans="1:19">
      <c r="A426" s="45"/>
      <c r="B426" s="46"/>
      <c r="C426" s="12" t="str">
        <f>IF($B426="","",IFERROR(INDEX(账户银行,MATCH($B426,账户名,0)),""))</f>
        <v/>
      </c>
      <c r="D426" s="12" t="str">
        <f>IF($B426="","",IFERROR(INDEX(账户币种,MATCH($B426,账户名,0)),""))</f>
        <v/>
      </c>
      <c r="E426" s="47"/>
      <c r="F426" s="12" t="str">
        <f>IF($E426="","",IFERROR(INDEX(类别属性,MATCH($E426,类别表,0)),""))</f>
        <v/>
      </c>
      <c r="G426" s="48"/>
      <c r="H426" s="48"/>
      <c r="I426" s="49"/>
      <c r="J426" s="24" t="str">
        <f>IF(OR($A426="",$B426=""),"",IF($I426&lt;&gt;"",$I426,IF($D426=本位币,1,IFERROR(LOOKUP(2,1/((汇率月份&lt;=$A426)*(INDEX(记账汇率区,0,MATCH($D426,汇率币种头,0))&lt;&gt;"")),INDEX(记账汇率区,0,MATCH($D426,汇率币种头,0))),""))))</f>
        <v/>
      </c>
      <c r="K426" s="23" t="str">
        <f t="shared" si="12"/>
        <v/>
      </c>
      <c r="L426" s="23" t="str">
        <f t="shared" si="13"/>
        <v/>
      </c>
      <c r="M426" s="23" t="str">
        <f>IF($B426="","",ROUND(SUMIF(账户名,$B426,账户期初)+SUMIFS($K$6:K426,$B$6:B426,$B426),2))</f>
        <v/>
      </c>
      <c r="N426" s="23" t="str">
        <f>IF($B426="","",IFERROR(ROUND(INDEX(账户期初本位,MATCH($B426,账户名,0))+SUMIFS($L$6:L426,$B$6:B426,$B426),2),""))</f>
        <v/>
      </c>
      <c r="O426" s="46"/>
      <c r="P426" s="47"/>
      <c r="Q426" s="46"/>
      <c r="R426" s="46"/>
      <c r="S426" s="6" t="str">
        <f>IF($B426="","",IF(ISNA(MATCH($B426,账户名,0)),"※这个账户不在【参数设置】的账户档案里",IF($A426="","※没填日期，这一笔不会进任何月份的报表",IF(AND($G426&lt;&gt;"",$H426&lt;&gt;""),"※收入和支出不能同时填",IF(AND(N($G426)=0,N($H426)=0),"※收入和支出都没填",IF($E426="","※没填收支类别，分类报表会漏掉这一笔",IF(ISNA(MATCH($E426,类别表,0)),"※收支类别不在【参数设置】的清单里",IF($J426="","△"&amp;$D426&amp;" 还没填汇率，去【月度汇率】补上就自动算了",IF(YEAR($A426)&lt;&gt;管理年度,"△不是管理年度的单据，年报里看不到",IF(AND($F426="内部转账",$Q426=""),"△内部转账建议在「往来单位」写上对方账户",IF($M426&lt;0,"△这一笔之后该账户余额成负数了，核一下","")))))))))))</f>
        <v/>
      </c>
    </row>
    <row r="427" ht="16.5" spans="1:19">
      <c r="A427" s="45"/>
      <c r="B427" s="46"/>
      <c r="C427" s="12" t="str">
        <f>IF($B427="","",IFERROR(INDEX(账户银行,MATCH($B427,账户名,0)),""))</f>
        <v/>
      </c>
      <c r="D427" s="12" t="str">
        <f>IF($B427="","",IFERROR(INDEX(账户币种,MATCH($B427,账户名,0)),""))</f>
        <v/>
      </c>
      <c r="E427" s="47"/>
      <c r="F427" s="12" t="str">
        <f>IF($E427="","",IFERROR(INDEX(类别属性,MATCH($E427,类别表,0)),""))</f>
        <v/>
      </c>
      <c r="G427" s="48"/>
      <c r="H427" s="48"/>
      <c r="I427" s="49"/>
      <c r="J427" s="24" t="str">
        <f>IF(OR($A427="",$B427=""),"",IF($I427&lt;&gt;"",$I427,IF($D427=本位币,1,IFERROR(LOOKUP(2,1/((汇率月份&lt;=$A427)*(INDEX(记账汇率区,0,MATCH($D427,汇率币种头,0))&lt;&gt;"")),INDEX(记账汇率区,0,MATCH($D427,汇率币种头,0))),""))))</f>
        <v/>
      </c>
      <c r="K427" s="23" t="str">
        <f t="shared" si="12"/>
        <v/>
      </c>
      <c r="L427" s="23" t="str">
        <f t="shared" si="13"/>
        <v/>
      </c>
      <c r="M427" s="23" t="str">
        <f>IF($B427="","",ROUND(SUMIF(账户名,$B427,账户期初)+SUMIFS($K$6:K427,$B$6:B427,$B427),2))</f>
        <v/>
      </c>
      <c r="N427" s="23" t="str">
        <f>IF($B427="","",IFERROR(ROUND(INDEX(账户期初本位,MATCH($B427,账户名,0))+SUMIFS($L$6:L427,$B$6:B427,$B427),2),""))</f>
        <v/>
      </c>
      <c r="O427" s="46"/>
      <c r="P427" s="47"/>
      <c r="Q427" s="46"/>
      <c r="R427" s="46"/>
      <c r="S427" s="6" t="str">
        <f>IF($B427="","",IF(ISNA(MATCH($B427,账户名,0)),"※这个账户不在【参数设置】的账户档案里",IF($A427="","※没填日期，这一笔不会进任何月份的报表",IF(AND($G427&lt;&gt;"",$H427&lt;&gt;""),"※收入和支出不能同时填",IF(AND(N($G427)=0,N($H427)=0),"※收入和支出都没填",IF($E427="","※没填收支类别，分类报表会漏掉这一笔",IF(ISNA(MATCH($E427,类别表,0)),"※收支类别不在【参数设置】的清单里",IF($J427="","△"&amp;$D427&amp;" 还没填汇率，去【月度汇率】补上就自动算了",IF(YEAR($A427)&lt;&gt;管理年度,"△不是管理年度的单据，年报里看不到",IF(AND($F427="内部转账",$Q427=""),"△内部转账建议在「往来单位」写上对方账户",IF($M427&lt;0,"△这一笔之后该账户余额成负数了，核一下","")))))))))))</f>
        <v/>
      </c>
    </row>
    <row r="428" ht="16.5" spans="1:19">
      <c r="A428" s="45"/>
      <c r="B428" s="46"/>
      <c r="C428" s="12" t="str">
        <f>IF($B428="","",IFERROR(INDEX(账户银行,MATCH($B428,账户名,0)),""))</f>
        <v/>
      </c>
      <c r="D428" s="12" t="str">
        <f>IF($B428="","",IFERROR(INDEX(账户币种,MATCH($B428,账户名,0)),""))</f>
        <v/>
      </c>
      <c r="E428" s="47"/>
      <c r="F428" s="12" t="str">
        <f>IF($E428="","",IFERROR(INDEX(类别属性,MATCH($E428,类别表,0)),""))</f>
        <v/>
      </c>
      <c r="G428" s="48"/>
      <c r="H428" s="48"/>
      <c r="I428" s="49"/>
      <c r="J428" s="24" t="str">
        <f>IF(OR($A428="",$B428=""),"",IF($I428&lt;&gt;"",$I428,IF($D428=本位币,1,IFERROR(LOOKUP(2,1/((汇率月份&lt;=$A428)*(INDEX(记账汇率区,0,MATCH($D428,汇率币种头,0))&lt;&gt;"")),INDEX(记账汇率区,0,MATCH($D428,汇率币种头,0))),""))))</f>
        <v/>
      </c>
      <c r="K428" s="23" t="str">
        <f t="shared" si="12"/>
        <v/>
      </c>
      <c r="L428" s="23" t="str">
        <f t="shared" si="13"/>
        <v/>
      </c>
      <c r="M428" s="23" t="str">
        <f>IF($B428="","",ROUND(SUMIF(账户名,$B428,账户期初)+SUMIFS($K$6:K428,$B$6:B428,$B428),2))</f>
        <v/>
      </c>
      <c r="N428" s="23" t="str">
        <f>IF($B428="","",IFERROR(ROUND(INDEX(账户期初本位,MATCH($B428,账户名,0))+SUMIFS($L$6:L428,$B$6:B428,$B428),2),""))</f>
        <v/>
      </c>
      <c r="O428" s="46"/>
      <c r="P428" s="47"/>
      <c r="Q428" s="46"/>
      <c r="R428" s="46"/>
      <c r="S428" s="6" t="str">
        <f>IF($B428="","",IF(ISNA(MATCH($B428,账户名,0)),"※这个账户不在【参数设置】的账户档案里",IF($A428="","※没填日期，这一笔不会进任何月份的报表",IF(AND($G428&lt;&gt;"",$H428&lt;&gt;""),"※收入和支出不能同时填",IF(AND(N($G428)=0,N($H428)=0),"※收入和支出都没填",IF($E428="","※没填收支类别，分类报表会漏掉这一笔",IF(ISNA(MATCH($E428,类别表,0)),"※收支类别不在【参数设置】的清单里",IF($J428="","△"&amp;$D428&amp;" 还没填汇率，去【月度汇率】补上就自动算了",IF(YEAR($A428)&lt;&gt;管理年度,"△不是管理年度的单据，年报里看不到",IF(AND($F428="内部转账",$Q428=""),"△内部转账建议在「往来单位」写上对方账户",IF($M428&lt;0,"△这一笔之后该账户余额成负数了，核一下","")))))))))))</f>
        <v/>
      </c>
    </row>
    <row r="429" ht="16.5" spans="1:19">
      <c r="A429" s="45"/>
      <c r="B429" s="46"/>
      <c r="C429" s="12" t="str">
        <f>IF($B429="","",IFERROR(INDEX(账户银行,MATCH($B429,账户名,0)),""))</f>
        <v/>
      </c>
      <c r="D429" s="12" t="str">
        <f>IF($B429="","",IFERROR(INDEX(账户币种,MATCH($B429,账户名,0)),""))</f>
        <v/>
      </c>
      <c r="E429" s="47"/>
      <c r="F429" s="12" t="str">
        <f>IF($E429="","",IFERROR(INDEX(类别属性,MATCH($E429,类别表,0)),""))</f>
        <v/>
      </c>
      <c r="G429" s="48"/>
      <c r="H429" s="48"/>
      <c r="I429" s="49"/>
      <c r="J429" s="24" t="str">
        <f>IF(OR($A429="",$B429=""),"",IF($I429&lt;&gt;"",$I429,IF($D429=本位币,1,IFERROR(LOOKUP(2,1/((汇率月份&lt;=$A429)*(INDEX(记账汇率区,0,MATCH($D429,汇率币种头,0))&lt;&gt;"")),INDEX(记账汇率区,0,MATCH($D429,汇率币种头,0))),""))))</f>
        <v/>
      </c>
      <c r="K429" s="23" t="str">
        <f t="shared" si="12"/>
        <v/>
      </c>
      <c r="L429" s="23" t="str">
        <f t="shared" si="13"/>
        <v/>
      </c>
      <c r="M429" s="23" t="str">
        <f>IF($B429="","",ROUND(SUMIF(账户名,$B429,账户期初)+SUMIFS($K$6:K429,$B$6:B429,$B429),2))</f>
        <v/>
      </c>
      <c r="N429" s="23" t="str">
        <f>IF($B429="","",IFERROR(ROUND(INDEX(账户期初本位,MATCH($B429,账户名,0))+SUMIFS($L$6:L429,$B$6:B429,$B429),2),""))</f>
        <v/>
      </c>
      <c r="O429" s="46"/>
      <c r="P429" s="47"/>
      <c r="Q429" s="46"/>
      <c r="R429" s="46"/>
      <c r="S429" s="6" t="str">
        <f>IF($B429="","",IF(ISNA(MATCH($B429,账户名,0)),"※这个账户不在【参数设置】的账户档案里",IF($A429="","※没填日期，这一笔不会进任何月份的报表",IF(AND($G429&lt;&gt;"",$H429&lt;&gt;""),"※收入和支出不能同时填",IF(AND(N($G429)=0,N($H429)=0),"※收入和支出都没填",IF($E429="","※没填收支类别，分类报表会漏掉这一笔",IF(ISNA(MATCH($E429,类别表,0)),"※收支类别不在【参数设置】的清单里",IF($J429="","△"&amp;$D429&amp;" 还没填汇率，去【月度汇率】补上就自动算了",IF(YEAR($A429)&lt;&gt;管理年度,"△不是管理年度的单据，年报里看不到",IF(AND($F429="内部转账",$Q429=""),"△内部转账建议在「往来单位」写上对方账户",IF($M429&lt;0,"△这一笔之后该账户余额成负数了，核一下","")))))))))))</f>
        <v/>
      </c>
    </row>
    <row r="430" ht="16.5" spans="1:19">
      <c r="A430" s="45"/>
      <c r="B430" s="46"/>
      <c r="C430" s="12" t="str">
        <f>IF($B430="","",IFERROR(INDEX(账户银行,MATCH($B430,账户名,0)),""))</f>
        <v/>
      </c>
      <c r="D430" s="12" t="str">
        <f>IF($B430="","",IFERROR(INDEX(账户币种,MATCH($B430,账户名,0)),""))</f>
        <v/>
      </c>
      <c r="E430" s="47"/>
      <c r="F430" s="12" t="str">
        <f>IF($E430="","",IFERROR(INDEX(类别属性,MATCH($E430,类别表,0)),""))</f>
        <v/>
      </c>
      <c r="G430" s="48"/>
      <c r="H430" s="48"/>
      <c r="I430" s="49"/>
      <c r="J430" s="24" t="str">
        <f>IF(OR($A430="",$B430=""),"",IF($I430&lt;&gt;"",$I430,IF($D430=本位币,1,IFERROR(LOOKUP(2,1/((汇率月份&lt;=$A430)*(INDEX(记账汇率区,0,MATCH($D430,汇率币种头,0))&lt;&gt;"")),INDEX(记账汇率区,0,MATCH($D430,汇率币种头,0))),""))))</f>
        <v/>
      </c>
      <c r="K430" s="23" t="str">
        <f t="shared" si="12"/>
        <v/>
      </c>
      <c r="L430" s="23" t="str">
        <f t="shared" si="13"/>
        <v/>
      </c>
      <c r="M430" s="23" t="str">
        <f>IF($B430="","",ROUND(SUMIF(账户名,$B430,账户期初)+SUMIFS($K$6:K430,$B$6:B430,$B430),2))</f>
        <v/>
      </c>
      <c r="N430" s="23" t="str">
        <f>IF($B430="","",IFERROR(ROUND(INDEX(账户期初本位,MATCH($B430,账户名,0))+SUMIFS($L$6:L430,$B$6:B430,$B430),2),""))</f>
        <v/>
      </c>
      <c r="O430" s="46"/>
      <c r="P430" s="47"/>
      <c r="Q430" s="46"/>
      <c r="R430" s="46"/>
      <c r="S430" s="6" t="str">
        <f>IF($B430="","",IF(ISNA(MATCH($B430,账户名,0)),"※这个账户不在【参数设置】的账户档案里",IF($A430="","※没填日期，这一笔不会进任何月份的报表",IF(AND($G430&lt;&gt;"",$H430&lt;&gt;""),"※收入和支出不能同时填",IF(AND(N($G430)=0,N($H430)=0),"※收入和支出都没填",IF($E430="","※没填收支类别，分类报表会漏掉这一笔",IF(ISNA(MATCH($E430,类别表,0)),"※收支类别不在【参数设置】的清单里",IF($J430="","△"&amp;$D430&amp;" 还没填汇率，去【月度汇率】补上就自动算了",IF(YEAR($A430)&lt;&gt;管理年度,"△不是管理年度的单据，年报里看不到",IF(AND($F430="内部转账",$Q430=""),"△内部转账建议在「往来单位」写上对方账户",IF($M430&lt;0,"△这一笔之后该账户余额成负数了，核一下","")))))))))))</f>
        <v/>
      </c>
    </row>
    <row r="431" ht="16.5" spans="1:19">
      <c r="A431" s="45"/>
      <c r="B431" s="46"/>
      <c r="C431" s="12" t="str">
        <f>IF($B431="","",IFERROR(INDEX(账户银行,MATCH($B431,账户名,0)),""))</f>
        <v/>
      </c>
      <c r="D431" s="12" t="str">
        <f>IF($B431="","",IFERROR(INDEX(账户币种,MATCH($B431,账户名,0)),""))</f>
        <v/>
      </c>
      <c r="E431" s="47"/>
      <c r="F431" s="12" t="str">
        <f>IF($E431="","",IFERROR(INDEX(类别属性,MATCH($E431,类别表,0)),""))</f>
        <v/>
      </c>
      <c r="G431" s="48"/>
      <c r="H431" s="48"/>
      <c r="I431" s="49"/>
      <c r="J431" s="24" t="str">
        <f>IF(OR($A431="",$B431=""),"",IF($I431&lt;&gt;"",$I431,IF($D431=本位币,1,IFERROR(LOOKUP(2,1/((汇率月份&lt;=$A431)*(INDEX(记账汇率区,0,MATCH($D431,汇率币种头,0))&lt;&gt;"")),INDEX(记账汇率区,0,MATCH($D431,汇率币种头,0))),""))))</f>
        <v/>
      </c>
      <c r="K431" s="23" t="str">
        <f t="shared" si="12"/>
        <v/>
      </c>
      <c r="L431" s="23" t="str">
        <f t="shared" si="13"/>
        <v/>
      </c>
      <c r="M431" s="23" t="str">
        <f>IF($B431="","",ROUND(SUMIF(账户名,$B431,账户期初)+SUMIFS($K$6:K431,$B$6:B431,$B431),2))</f>
        <v/>
      </c>
      <c r="N431" s="23" t="str">
        <f>IF($B431="","",IFERROR(ROUND(INDEX(账户期初本位,MATCH($B431,账户名,0))+SUMIFS($L$6:L431,$B$6:B431,$B431),2),""))</f>
        <v/>
      </c>
      <c r="O431" s="46"/>
      <c r="P431" s="47"/>
      <c r="Q431" s="46"/>
      <c r="R431" s="46"/>
      <c r="S431" s="6" t="str">
        <f>IF($B431="","",IF(ISNA(MATCH($B431,账户名,0)),"※这个账户不在【参数设置】的账户档案里",IF($A431="","※没填日期，这一笔不会进任何月份的报表",IF(AND($G431&lt;&gt;"",$H431&lt;&gt;""),"※收入和支出不能同时填",IF(AND(N($G431)=0,N($H431)=0),"※收入和支出都没填",IF($E431="","※没填收支类别，分类报表会漏掉这一笔",IF(ISNA(MATCH($E431,类别表,0)),"※收支类别不在【参数设置】的清单里",IF($J431="","△"&amp;$D431&amp;" 还没填汇率，去【月度汇率】补上就自动算了",IF(YEAR($A431)&lt;&gt;管理年度,"△不是管理年度的单据，年报里看不到",IF(AND($F431="内部转账",$Q431=""),"△内部转账建议在「往来单位」写上对方账户",IF($M431&lt;0,"△这一笔之后该账户余额成负数了，核一下","")))))))))))</f>
        <v/>
      </c>
    </row>
    <row r="432" ht="16.5" spans="1:19">
      <c r="A432" s="45"/>
      <c r="B432" s="46"/>
      <c r="C432" s="12" t="str">
        <f>IF($B432="","",IFERROR(INDEX(账户银行,MATCH($B432,账户名,0)),""))</f>
        <v/>
      </c>
      <c r="D432" s="12" t="str">
        <f>IF($B432="","",IFERROR(INDEX(账户币种,MATCH($B432,账户名,0)),""))</f>
        <v/>
      </c>
      <c r="E432" s="47"/>
      <c r="F432" s="12" t="str">
        <f>IF($E432="","",IFERROR(INDEX(类别属性,MATCH($E432,类别表,0)),""))</f>
        <v/>
      </c>
      <c r="G432" s="48"/>
      <c r="H432" s="48"/>
      <c r="I432" s="49"/>
      <c r="J432" s="24" t="str">
        <f>IF(OR($A432="",$B432=""),"",IF($I432&lt;&gt;"",$I432,IF($D432=本位币,1,IFERROR(LOOKUP(2,1/((汇率月份&lt;=$A432)*(INDEX(记账汇率区,0,MATCH($D432,汇率币种头,0))&lt;&gt;"")),INDEX(记账汇率区,0,MATCH($D432,汇率币种头,0))),""))))</f>
        <v/>
      </c>
      <c r="K432" s="23" t="str">
        <f t="shared" si="12"/>
        <v/>
      </c>
      <c r="L432" s="23" t="str">
        <f t="shared" si="13"/>
        <v/>
      </c>
      <c r="M432" s="23" t="str">
        <f>IF($B432="","",ROUND(SUMIF(账户名,$B432,账户期初)+SUMIFS($K$6:K432,$B$6:B432,$B432),2))</f>
        <v/>
      </c>
      <c r="N432" s="23" t="str">
        <f>IF($B432="","",IFERROR(ROUND(INDEX(账户期初本位,MATCH($B432,账户名,0))+SUMIFS($L$6:L432,$B$6:B432,$B432),2),""))</f>
        <v/>
      </c>
      <c r="O432" s="46"/>
      <c r="P432" s="47"/>
      <c r="Q432" s="46"/>
      <c r="R432" s="46"/>
      <c r="S432" s="6" t="str">
        <f>IF($B432="","",IF(ISNA(MATCH($B432,账户名,0)),"※这个账户不在【参数设置】的账户档案里",IF($A432="","※没填日期，这一笔不会进任何月份的报表",IF(AND($G432&lt;&gt;"",$H432&lt;&gt;""),"※收入和支出不能同时填",IF(AND(N($G432)=0,N($H432)=0),"※收入和支出都没填",IF($E432="","※没填收支类别，分类报表会漏掉这一笔",IF(ISNA(MATCH($E432,类别表,0)),"※收支类别不在【参数设置】的清单里",IF($J432="","△"&amp;$D432&amp;" 还没填汇率，去【月度汇率】补上就自动算了",IF(YEAR($A432)&lt;&gt;管理年度,"△不是管理年度的单据，年报里看不到",IF(AND($F432="内部转账",$Q432=""),"△内部转账建议在「往来单位」写上对方账户",IF($M432&lt;0,"△这一笔之后该账户余额成负数了，核一下","")))))))))))</f>
        <v/>
      </c>
    </row>
    <row r="433" ht="16.5" spans="1:19">
      <c r="A433" s="45"/>
      <c r="B433" s="46"/>
      <c r="C433" s="12" t="str">
        <f>IF($B433="","",IFERROR(INDEX(账户银行,MATCH($B433,账户名,0)),""))</f>
        <v/>
      </c>
      <c r="D433" s="12" t="str">
        <f>IF($B433="","",IFERROR(INDEX(账户币种,MATCH($B433,账户名,0)),""))</f>
        <v/>
      </c>
      <c r="E433" s="47"/>
      <c r="F433" s="12" t="str">
        <f>IF($E433="","",IFERROR(INDEX(类别属性,MATCH($E433,类别表,0)),""))</f>
        <v/>
      </c>
      <c r="G433" s="48"/>
      <c r="H433" s="48"/>
      <c r="I433" s="49"/>
      <c r="J433" s="24" t="str">
        <f>IF(OR($A433="",$B433=""),"",IF($I433&lt;&gt;"",$I433,IF($D433=本位币,1,IFERROR(LOOKUP(2,1/((汇率月份&lt;=$A433)*(INDEX(记账汇率区,0,MATCH($D433,汇率币种头,0))&lt;&gt;"")),INDEX(记账汇率区,0,MATCH($D433,汇率币种头,0))),""))))</f>
        <v/>
      </c>
      <c r="K433" s="23" t="str">
        <f t="shared" si="12"/>
        <v/>
      </c>
      <c r="L433" s="23" t="str">
        <f t="shared" si="13"/>
        <v/>
      </c>
      <c r="M433" s="23" t="str">
        <f>IF($B433="","",ROUND(SUMIF(账户名,$B433,账户期初)+SUMIFS($K$6:K433,$B$6:B433,$B433),2))</f>
        <v/>
      </c>
      <c r="N433" s="23" t="str">
        <f>IF($B433="","",IFERROR(ROUND(INDEX(账户期初本位,MATCH($B433,账户名,0))+SUMIFS($L$6:L433,$B$6:B433,$B433),2),""))</f>
        <v/>
      </c>
      <c r="O433" s="46"/>
      <c r="P433" s="47"/>
      <c r="Q433" s="46"/>
      <c r="R433" s="46"/>
      <c r="S433" s="6" t="str">
        <f>IF($B433="","",IF(ISNA(MATCH($B433,账户名,0)),"※这个账户不在【参数设置】的账户档案里",IF($A433="","※没填日期，这一笔不会进任何月份的报表",IF(AND($G433&lt;&gt;"",$H433&lt;&gt;""),"※收入和支出不能同时填",IF(AND(N($G433)=0,N($H433)=0),"※收入和支出都没填",IF($E433="","※没填收支类别，分类报表会漏掉这一笔",IF(ISNA(MATCH($E433,类别表,0)),"※收支类别不在【参数设置】的清单里",IF($J433="","△"&amp;$D433&amp;" 还没填汇率，去【月度汇率】补上就自动算了",IF(YEAR($A433)&lt;&gt;管理年度,"△不是管理年度的单据，年报里看不到",IF(AND($F433="内部转账",$Q433=""),"△内部转账建议在「往来单位」写上对方账户",IF($M433&lt;0,"△这一笔之后该账户余额成负数了，核一下","")))))))))))</f>
        <v/>
      </c>
    </row>
    <row r="434" ht="16.5" spans="1:19">
      <c r="A434" s="45"/>
      <c r="B434" s="46"/>
      <c r="C434" s="12" t="str">
        <f>IF($B434="","",IFERROR(INDEX(账户银行,MATCH($B434,账户名,0)),""))</f>
        <v/>
      </c>
      <c r="D434" s="12" t="str">
        <f>IF($B434="","",IFERROR(INDEX(账户币种,MATCH($B434,账户名,0)),""))</f>
        <v/>
      </c>
      <c r="E434" s="47"/>
      <c r="F434" s="12" t="str">
        <f>IF($E434="","",IFERROR(INDEX(类别属性,MATCH($E434,类别表,0)),""))</f>
        <v/>
      </c>
      <c r="G434" s="48"/>
      <c r="H434" s="48"/>
      <c r="I434" s="49"/>
      <c r="J434" s="24" t="str">
        <f>IF(OR($A434="",$B434=""),"",IF($I434&lt;&gt;"",$I434,IF($D434=本位币,1,IFERROR(LOOKUP(2,1/((汇率月份&lt;=$A434)*(INDEX(记账汇率区,0,MATCH($D434,汇率币种头,0))&lt;&gt;"")),INDEX(记账汇率区,0,MATCH($D434,汇率币种头,0))),""))))</f>
        <v/>
      </c>
      <c r="K434" s="23" t="str">
        <f t="shared" si="12"/>
        <v/>
      </c>
      <c r="L434" s="23" t="str">
        <f t="shared" si="13"/>
        <v/>
      </c>
      <c r="M434" s="23" t="str">
        <f>IF($B434="","",ROUND(SUMIF(账户名,$B434,账户期初)+SUMIFS($K$6:K434,$B$6:B434,$B434),2))</f>
        <v/>
      </c>
      <c r="N434" s="23" t="str">
        <f>IF($B434="","",IFERROR(ROUND(INDEX(账户期初本位,MATCH($B434,账户名,0))+SUMIFS($L$6:L434,$B$6:B434,$B434),2),""))</f>
        <v/>
      </c>
      <c r="O434" s="46"/>
      <c r="P434" s="47"/>
      <c r="Q434" s="46"/>
      <c r="R434" s="46"/>
      <c r="S434" s="6" t="str">
        <f>IF($B434="","",IF(ISNA(MATCH($B434,账户名,0)),"※这个账户不在【参数设置】的账户档案里",IF($A434="","※没填日期，这一笔不会进任何月份的报表",IF(AND($G434&lt;&gt;"",$H434&lt;&gt;""),"※收入和支出不能同时填",IF(AND(N($G434)=0,N($H434)=0),"※收入和支出都没填",IF($E434="","※没填收支类别，分类报表会漏掉这一笔",IF(ISNA(MATCH($E434,类别表,0)),"※收支类别不在【参数设置】的清单里",IF($J434="","△"&amp;$D434&amp;" 还没填汇率，去【月度汇率】补上就自动算了",IF(YEAR($A434)&lt;&gt;管理年度,"△不是管理年度的单据，年报里看不到",IF(AND($F434="内部转账",$Q434=""),"△内部转账建议在「往来单位」写上对方账户",IF($M434&lt;0,"△这一笔之后该账户余额成负数了，核一下","")))))))))))</f>
        <v/>
      </c>
    </row>
    <row r="435" ht="16.5" spans="1:19">
      <c r="A435" s="45"/>
      <c r="B435" s="46"/>
      <c r="C435" s="12" t="str">
        <f>IF($B435="","",IFERROR(INDEX(账户银行,MATCH($B435,账户名,0)),""))</f>
        <v/>
      </c>
      <c r="D435" s="12" t="str">
        <f>IF($B435="","",IFERROR(INDEX(账户币种,MATCH($B435,账户名,0)),""))</f>
        <v/>
      </c>
      <c r="E435" s="47"/>
      <c r="F435" s="12" t="str">
        <f>IF($E435="","",IFERROR(INDEX(类别属性,MATCH($E435,类别表,0)),""))</f>
        <v/>
      </c>
      <c r="G435" s="48"/>
      <c r="H435" s="48"/>
      <c r="I435" s="49"/>
      <c r="J435" s="24" t="str">
        <f>IF(OR($A435="",$B435=""),"",IF($I435&lt;&gt;"",$I435,IF($D435=本位币,1,IFERROR(LOOKUP(2,1/((汇率月份&lt;=$A435)*(INDEX(记账汇率区,0,MATCH($D435,汇率币种头,0))&lt;&gt;"")),INDEX(记账汇率区,0,MATCH($D435,汇率币种头,0))),""))))</f>
        <v/>
      </c>
      <c r="K435" s="23" t="str">
        <f t="shared" si="12"/>
        <v/>
      </c>
      <c r="L435" s="23" t="str">
        <f t="shared" si="13"/>
        <v/>
      </c>
      <c r="M435" s="23" t="str">
        <f>IF($B435="","",ROUND(SUMIF(账户名,$B435,账户期初)+SUMIFS($K$6:K435,$B$6:B435,$B435),2))</f>
        <v/>
      </c>
      <c r="N435" s="23" t="str">
        <f>IF($B435="","",IFERROR(ROUND(INDEX(账户期初本位,MATCH($B435,账户名,0))+SUMIFS($L$6:L435,$B$6:B435,$B435),2),""))</f>
        <v/>
      </c>
      <c r="O435" s="46"/>
      <c r="P435" s="47"/>
      <c r="Q435" s="46"/>
      <c r="R435" s="46"/>
      <c r="S435" s="6" t="str">
        <f>IF($B435="","",IF(ISNA(MATCH($B435,账户名,0)),"※这个账户不在【参数设置】的账户档案里",IF($A435="","※没填日期，这一笔不会进任何月份的报表",IF(AND($G435&lt;&gt;"",$H435&lt;&gt;""),"※收入和支出不能同时填",IF(AND(N($G435)=0,N($H435)=0),"※收入和支出都没填",IF($E435="","※没填收支类别，分类报表会漏掉这一笔",IF(ISNA(MATCH($E435,类别表,0)),"※收支类别不在【参数设置】的清单里",IF($J435="","△"&amp;$D435&amp;" 还没填汇率，去【月度汇率】补上就自动算了",IF(YEAR($A435)&lt;&gt;管理年度,"△不是管理年度的单据，年报里看不到",IF(AND($F435="内部转账",$Q435=""),"△内部转账建议在「往来单位」写上对方账户",IF($M435&lt;0,"△这一笔之后该账户余额成负数了，核一下","")))))))))))</f>
        <v/>
      </c>
    </row>
    <row r="436" ht="16.5" spans="1:19">
      <c r="A436" s="45"/>
      <c r="B436" s="46"/>
      <c r="C436" s="12" t="str">
        <f>IF($B436="","",IFERROR(INDEX(账户银行,MATCH($B436,账户名,0)),""))</f>
        <v/>
      </c>
      <c r="D436" s="12" t="str">
        <f>IF($B436="","",IFERROR(INDEX(账户币种,MATCH($B436,账户名,0)),""))</f>
        <v/>
      </c>
      <c r="E436" s="47"/>
      <c r="F436" s="12" t="str">
        <f>IF($E436="","",IFERROR(INDEX(类别属性,MATCH($E436,类别表,0)),""))</f>
        <v/>
      </c>
      <c r="G436" s="48"/>
      <c r="H436" s="48"/>
      <c r="I436" s="49"/>
      <c r="J436" s="24" t="str">
        <f>IF(OR($A436="",$B436=""),"",IF($I436&lt;&gt;"",$I436,IF($D436=本位币,1,IFERROR(LOOKUP(2,1/((汇率月份&lt;=$A436)*(INDEX(记账汇率区,0,MATCH($D436,汇率币种头,0))&lt;&gt;"")),INDEX(记账汇率区,0,MATCH($D436,汇率币种头,0))),""))))</f>
        <v/>
      </c>
      <c r="K436" s="23" t="str">
        <f t="shared" si="12"/>
        <v/>
      </c>
      <c r="L436" s="23" t="str">
        <f t="shared" si="13"/>
        <v/>
      </c>
      <c r="M436" s="23" t="str">
        <f>IF($B436="","",ROUND(SUMIF(账户名,$B436,账户期初)+SUMIFS($K$6:K436,$B$6:B436,$B436),2))</f>
        <v/>
      </c>
      <c r="N436" s="23" t="str">
        <f>IF($B436="","",IFERROR(ROUND(INDEX(账户期初本位,MATCH($B436,账户名,0))+SUMIFS($L$6:L436,$B$6:B436,$B436),2),""))</f>
        <v/>
      </c>
      <c r="O436" s="46"/>
      <c r="P436" s="47"/>
      <c r="Q436" s="46"/>
      <c r="R436" s="46"/>
      <c r="S436" s="6" t="str">
        <f>IF($B436="","",IF(ISNA(MATCH($B436,账户名,0)),"※这个账户不在【参数设置】的账户档案里",IF($A436="","※没填日期，这一笔不会进任何月份的报表",IF(AND($G436&lt;&gt;"",$H436&lt;&gt;""),"※收入和支出不能同时填",IF(AND(N($G436)=0,N($H436)=0),"※收入和支出都没填",IF($E436="","※没填收支类别，分类报表会漏掉这一笔",IF(ISNA(MATCH($E436,类别表,0)),"※收支类别不在【参数设置】的清单里",IF($J436="","△"&amp;$D436&amp;" 还没填汇率，去【月度汇率】补上就自动算了",IF(YEAR($A436)&lt;&gt;管理年度,"△不是管理年度的单据，年报里看不到",IF(AND($F436="内部转账",$Q436=""),"△内部转账建议在「往来单位」写上对方账户",IF($M436&lt;0,"△这一笔之后该账户余额成负数了，核一下","")))))))))))</f>
        <v/>
      </c>
    </row>
    <row r="437" ht="16.5" spans="1:19">
      <c r="A437" s="45"/>
      <c r="B437" s="46"/>
      <c r="C437" s="12" t="str">
        <f>IF($B437="","",IFERROR(INDEX(账户银行,MATCH($B437,账户名,0)),""))</f>
        <v/>
      </c>
      <c r="D437" s="12" t="str">
        <f>IF($B437="","",IFERROR(INDEX(账户币种,MATCH($B437,账户名,0)),""))</f>
        <v/>
      </c>
      <c r="E437" s="47"/>
      <c r="F437" s="12" t="str">
        <f>IF($E437="","",IFERROR(INDEX(类别属性,MATCH($E437,类别表,0)),""))</f>
        <v/>
      </c>
      <c r="G437" s="48"/>
      <c r="H437" s="48"/>
      <c r="I437" s="49"/>
      <c r="J437" s="24" t="str">
        <f>IF(OR($A437="",$B437=""),"",IF($I437&lt;&gt;"",$I437,IF($D437=本位币,1,IFERROR(LOOKUP(2,1/((汇率月份&lt;=$A437)*(INDEX(记账汇率区,0,MATCH($D437,汇率币种头,0))&lt;&gt;"")),INDEX(记账汇率区,0,MATCH($D437,汇率币种头,0))),""))))</f>
        <v/>
      </c>
      <c r="K437" s="23" t="str">
        <f t="shared" si="12"/>
        <v/>
      </c>
      <c r="L437" s="23" t="str">
        <f t="shared" si="13"/>
        <v/>
      </c>
      <c r="M437" s="23" t="str">
        <f>IF($B437="","",ROUND(SUMIF(账户名,$B437,账户期初)+SUMIFS($K$6:K437,$B$6:B437,$B437),2))</f>
        <v/>
      </c>
      <c r="N437" s="23" t="str">
        <f>IF($B437="","",IFERROR(ROUND(INDEX(账户期初本位,MATCH($B437,账户名,0))+SUMIFS($L$6:L437,$B$6:B437,$B437),2),""))</f>
        <v/>
      </c>
      <c r="O437" s="46"/>
      <c r="P437" s="47"/>
      <c r="Q437" s="46"/>
      <c r="R437" s="46"/>
      <c r="S437" s="6" t="str">
        <f>IF($B437="","",IF(ISNA(MATCH($B437,账户名,0)),"※这个账户不在【参数设置】的账户档案里",IF($A437="","※没填日期，这一笔不会进任何月份的报表",IF(AND($G437&lt;&gt;"",$H437&lt;&gt;""),"※收入和支出不能同时填",IF(AND(N($G437)=0,N($H437)=0),"※收入和支出都没填",IF($E437="","※没填收支类别，分类报表会漏掉这一笔",IF(ISNA(MATCH($E437,类别表,0)),"※收支类别不在【参数设置】的清单里",IF($J437="","△"&amp;$D437&amp;" 还没填汇率，去【月度汇率】补上就自动算了",IF(YEAR($A437)&lt;&gt;管理年度,"△不是管理年度的单据，年报里看不到",IF(AND($F437="内部转账",$Q437=""),"△内部转账建议在「往来单位」写上对方账户",IF($M437&lt;0,"△这一笔之后该账户余额成负数了，核一下","")))))))))))</f>
        <v/>
      </c>
    </row>
    <row r="438" ht="16.5" spans="1:19">
      <c r="A438" s="45"/>
      <c r="B438" s="46"/>
      <c r="C438" s="12" t="str">
        <f>IF($B438="","",IFERROR(INDEX(账户银行,MATCH($B438,账户名,0)),""))</f>
        <v/>
      </c>
      <c r="D438" s="12" t="str">
        <f>IF($B438="","",IFERROR(INDEX(账户币种,MATCH($B438,账户名,0)),""))</f>
        <v/>
      </c>
      <c r="E438" s="47"/>
      <c r="F438" s="12" t="str">
        <f>IF($E438="","",IFERROR(INDEX(类别属性,MATCH($E438,类别表,0)),""))</f>
        <v/>
      </c>
      <c r="G438" s="48"/>
      <c r="H438" s="48"/>
      <c r="I438" s="49"/>
      <c r="J438" s="24" t="str">
        <f>IF(OR($A438="",$B438=""),"",IF($I438&lt;&gt;"",$I438,IF($D438=本位币,1,IFERROR(LOOKUP(2,1/((汇率月份&lt;=$A438)*(INDEX(记账汇率区,0,MATCH($D438,汇率币种头,0))&lt;&gt;"")),INDEX(记账汇率区,0,MATCH($D438,汇率币种头,0))),""))))</f>
        <v/>
      </c>
      <c r="K438" s="23" t="str">
        <f t="shared" si="12"/>
        <v/>
      </c>
      <c r="L438" s="23" t="str">
        <f t="shared" si="13"/>
        <v/>
      </c>
      <c r="M438" s="23" t="str">
        <f>IF($B438="","",ROUND(SUMIF(账户名,$B438,账户期初)+SUMIFS($K$6:K438,$B$6:B438,$B438),2))</f>
        <v/>
      </c>
      <c r="N438" s="23" t="str">
        <f>IF($B438="","",IFERROR(ROUND(INDEX(账户期初本位,MATCH($B438,账户名,0))+SUMIFS($L$6:L438,$B$6:B438,$B438),2),""))</f>
        <v/>
      </c>
      <c r="O438" s="46"/>
      <c r="P438" s="47"/>
      <c r="Q438" s="46"/>
      <c r="R438" s="46"/>
      <c r="S438" s="6" t="str">
        <f>IF($B438="","",IF(ISNA(MATCH($B438,账户名,0)),"※这个账户不在【参数设置】的账户档案里",IF($A438="","※没填日期，这一笔不会进任何月份的报表",IF(AND($G438&lt;&gt;"",$H438&lt;&gt;""),"※收入和支出不能同时填",IF(AND(N($G438)=0,N($H438)=0),"※收入和支出都没填",IF($E438="","※没填收支类别，分类报表会漏掉这一笔",IF(ISNA(MATCH($E438,类别表,0)),"※收支类别不在【参数设置】的清单里",IF($J438="","△"&amp;$D438&amp;" 还没填汇率，去【月度汇率】补上就自动算了",IF(YEAR($A438)&lt;&gt;管理年度,"△不是管理年度的单据，年报里看不到",IF(AND($F438="内部转账",$Q438=""),"△内部转账建议在「往来单位」写上对方账户",IF($M438&lt;0,"△这一笔之后该账户余额成负数了，核一下","")))))))))))</f>
        <v/>
      </c>
    </row>
    <row r="439" ht="16.5" spans="1:19">
      <c r="A439" s="45"/>
      <c r="B439" s="46"/>
      <c r="C439" s="12" t="str">
        <f>IF($B439="","",IFERROR(INDEX(账户银行,MATCH($B439,账户名,0)),""))</f>
        <v/>
      </c>
      <c r="D439" s="12" t="str">
        <f>IF($B439="","",IFERROR(INDEX(账户币种,MATCH($B439,账户名,0)),""))</f>
        <v/>
      </c>
      <c r="E439" s="47"/>
      <c r="F439" s="12" t="str">
        <f>IF($E439="","",IFERROR(INDEX(类别属性,MATCH($E439,类别表,0)),""))</f>
        <v/>
      </c>
      <c r="G439" s="48"/>
      <c r="H439" s="48"/>
      <c r="I439" s="49"/>
      <c r="J439" s="24" t="str">
        <f>IF(OR($A439="",$B439=""),"",IF($I439&lt;&gt;"",$I439,IF($D439=本位币,1,IFERROR(LOOKUP(2,1/((汇率月份&lt;=$A439)*(INDEX(记账汇率区,0,MATCH($D439,汇率币种头,0))&lt;&gt;"")),INDEX(记账汇率区,0,MATCH($D439,汇率币种头,0))),""))))</f>
        <v/>
      </c>
      <c r="K439" s="23" t="str">
        <f t="shared" si="12"/>
        <v/>
      </c>
      <c r="L439" s="23" t="str">
        <f t="shared" si="13"/>
        <v/>
      </c>
      <c r="M439" s="23" t="str">
        <f>IF($B439="","",ROUND(SUMIF(账户名,$B439,账户期初)+SUMIFS($K$6:K439,$B$6:B439,$B439),2))</f>
        <v/>
      </c>
      <c r="N439" s="23" t="str">
        <f>IF($B439="","",IFERROR(ROUND(INDEX(账户期初本位,MATCH($B439,账户名,0))+SUMIFS($L$6:L439,$B$6:B439,$B439),2),""))</f>
        <v/>
      </c>
      <c r="O439" s="46"/>
      <c r="P439" s="47"/>
      <c r="Q439" s="46"/>
      <c r="R439" s="46"/>
      <c r="S439" s="6" t="str">
        <f>IF($B439="","",IF(ISNA(MATCH($B439,账户名,0)),"※这个账户不在【参数设置】的账户档案里",IF($A439="","※没填日期，这一笔不会进任何月份的报表",IF(AND($G439&lt;&gt;"",$H439&lt;&gt;""),"※收入和支出不能同时填",IF(AND(N($G439)=0,N($H439)=0),"※收入和支出都没填",IF($E439="","※没填收支类别，分类报表会漏掉这一笔",IF(ISNA(MATCH($E439,类别表,0)),"※收支类别不在【参数设置】的清单里",IF($J439="","△"&amp;$D439&amp;" 还没填汇率，去【月度汇率】补上就自动算了",IF(YEAR($A439)&lt;&gt;管理年度,"△不是管理年度的单据，年报里看不到",IF(AND($F439="内部转账",$Q439=""),"△内部转账建议在「往来单位」写上对方账户",IF($M439&lt;0,"△这一笔之后该账户余额成负数了，核一下","")))))))))))</f>
        <v/>
      </c>
    </row>
    <row r="440" ht="16.5" spans="1:19">
      <c r="A440" s="45"/>
      <c r="B440" s="46"/>
      <c r="C440" s="12" t="str">
        <f>IF($B440="","",IFERROR(INDEX(账户银行,MATCH($B440,账户名,0)),""))</f>
        <v/>
      </c>
      <c r="D440" s="12" t="str">
        <f>IF($B440="","",IFERROR(INDEX(账户币种,MATCH($B440,账户名,0)),""))</f>
        <v/>
      </c>
      <c r="E440" s="47"/>
      <c r="F440" s="12" t="str">
        <f>IF($E440="","",IFERROR(INDEX(类别属性,MATCH($E440,类别表,0)),""))</f>
        <v/>
      </c>
      <c r="G440" s="48"/>
      <c r="H440" s="48"/>
      <c r="I440" s="49"/>
      <c r="J440" s="24" t="str">
        <f>IF(OR($A440="",$B440=""),"",IF($I440&lt;&gt;"",$I440,IF($D440=本位币,1,IFERROR(LOOKUP(2,1/((汇率月份&lt;=$A440)*(INDEX(记账汇率区,0,MATCH($D440,汇率币种头,0))&lt;&gt;"")),INDEX(记账汇率区,0,MATCH($D440,汇率币种头,0))),""))))</f>
        <v/>
      </c>
      <c r="K440" s="23" t="str">
        <f t="shared" si="12"/>
        <v/>
      </c>
      <c r="L440" s="23" t="str">
        <f t="shared" si="13"/>
        <v/>
      </c>
      <c r="M440" s="23" t="str">
        <f>IF($B440="","",ROUND(SUMIF(账户名,$B440,账户期初)+SUMIFS($K$6:K440,$B$6:B440,$B440),2))</f>
        <v/>
      </c>
      <c r="N440" s="23" t="str">
        <f>IF($B440="","",IFERROR(ROUND(INDEX(账户期初本位,MATCH($B440,账户名,0))+SUMIFS($L$6:L440,$B$6:B440,$B440),2),""))</f>
        <v/>
      </c>
      <c r="O440" s="46"/>
      <c r="P440" s="47"/>
      <c r="Q440" s="46"/>
      <c r="R440" s="46"/>
      <c r="S440" s="6" t="str">
        <f>IF($B440="","",IF(ISNA(MATCH($B440,账户名,0)),"※这个账户不在【参数设置】的账户档案里",IF($A440="","※没填日期，这一笔不会进任何月份的报表",IF(AND($G440&lt;&gt;"",$H440&lt;&gt;""),"※收入和支出不能同时填",IF(AND(N($G440)=0,N($H440)=0),"※收入和支出都没填",IF($E440="","※没填收支类别，分类报表会漏掉这一笔",IF(ISNA(MATCH($E440,类别表,0)),"※收支类别不在【参数设置】的清单里",IF($J440="","△"&amp;$D440&amp;" 还没填汇率，去【月度汇率】补上就自动算了",IF(YEAR($A440)&lt;&gt;管理年度,"△不是管理年度的单据，年报里看不到",IF(AND($F440="内部转账",$Q440=""),"△内部转账建议在「往来单位」写上对方账户",IF($M440&lt;0,"△这一笔之后该账户余额成负数了，核一下","")))))))))))</f>
        <v/>
      </c>
    </row>
    <row r="441" ht="16.5" spans="1:19">
      <c r="A441" s="45"/>
      <c r="B441" s="46"/>
      <c r="C441" s="12" t="str">
        <f>IF($B441="","",IFERROR(INDEX(账户银行,MATCH($B441,账户名,0)),""))</f>
        <v/>
      </c>
      <c r="D441" s="12" t="str">
        <f>IF($B441="","",IFERROR(INDEX(账户币种,MATCH($B441,账户名,0)),""))</f>
        <v/>
      </c>
      <c r="E441" s="47"/>
      <c r="F441" s="12" t="str">
        <f>IF($E441="","",IFERROR(INDEX(类别属性,MATCH($E441,类别表,0)),""))</f>
        <v/>
      </c>
      <c r="G441" s="48"/>
      <c r="H441" s="48"/>
      <c r="I441" s="49"/>
      <c r="J441" s="24" t="str">
        <f>IF(OR($A441="",$B441=""),"",IF($I441&lt;&gt;"",$I441,IF($D441=本位币,1,IFERROR(LOOKUP(2,1/((汇率月份&lt;=$A441)*(INDEX(记账汇率区,0,MATCH($D441,汇率币种头,0))&lt;&gt;"")),INDEX(记账汇率区,0,MATCH($D441,汇率币种头,0))),""))))</f>
        <v/>
      </c>
      <c r="K441" s="23" t="str">
        <f t="shared" si="12"/>
        <v/>
      </c>
      <c r="L441" s="23" t="str">
        <f t="shared" si="13"/>
        <v/>
      </c>
      <c r="M441" s="23" t="str">
        <f>IF($B441="","",ROUND(SUMIF(账户名,$B441,账户期初)+SUMIFS($K$6:K441,$B$6:B441,$B441),2))</f>
        <v/>
      </c>
      <c r="N441" s="23" t="str">
        <f>IF($B441="","",IFERROR(ROUND(INDEX(账户期初本位,MATCH($B441,账户名,0))+SUMIFS($L$6:L441,$B$6:B441,$B441),2),""))</f>
        <v/>
      </c>
      <c r="O441" s="46"/>
      <c r="P441" s="47"/>
      <c r="Q441" s="46"/>
      <c r="R441" s="46"/>
      <c r="S441" s="6" t="str">
        <f>IF($B441="","",IF(ISNA(MATCH($B441,账户名,0)),"※这个账户不在【参数设置】的账户档案里",IF($A441="","※没填日期，这一笔不会进任何月份的报表",IF(AND($G441&lt;&gt;"",$H441&lt;&gt;""),"※收入和支出不能同时填",IF(AND(N($G441)=0,N($H441)=0),"※收入和支出都没填",IF($E441="","※没填收支类别，分类报表会漏掉这一笔",IF(ISNA(MATCH($E441,类别表,0)),"※收支类别不在【参数设置】的清单里",IF($J441="","△"&amp;$D441&amp;" 还没填汇率，去【月度汇率】补上就自动算了",IF(YEAR($A441)&lt;&gt;管理年度,"△不是管理年度的单据，年报里看不到",IF(AND($F441="内部转账",$Q441=""),"△内部转账建议在「往来单位」写上对方账户",IF($M441&lt;0,"△这一笔之后该账户余额成负数了，核一下","")))))))))))</f>
        <v/>
      </c>
    </row>
    <row r="442" ht="16.5" spans="1:19">
      <c r="A442" s="45"/>
      <c r="B442" s="46"/>
      <c r="C442" s="12" t="str">
        <f>IF($B442="","",IFERROR(INDEX(账户银行,MATCH($B442,账户名,0)),""))</f>
        <v/>
      </c>
      <c r="D442" s="12" t="str">
        <f>IF($B442="","",IFERROR(INDEX(账户币种,MATCH($B442,账户名,0)),""))</f>
        <v/>
      </c>
      <c r="E442" s="47"/>
      <c r="F442" s="12" t="str">
        <f>IF($E442="","",IFERROR(INDEX(类别属性,MATCH($E442,类别表,0)),""))</f>
        <v/>
      </c>
      <c r="G442" s="48"/>
      <c r="H442" s="48"/>
      <c r="I442" s="49"/>
      <c r="J442" s="24" t="str">
        <f>IF(OR($A442="",$B442=""),"",IF($I442&lt;&gt;"",$I442,IF($D442=本位币,1,IFERROR(LOOKUP(2,1/((汇率月份&lt;=$A442)*(INDEX(记账汇率区,0,MATCH($D442,汇率币种头,0))&lt;&gt;"")),INDEX(记账汇率区,0,MATCH($D442,汇率币种头,0))),""))))</f>
        <v/>
      </c>
      <c r="K442" s="23" t="str">
        <f t="shared" si="12"/>
        <v/>
      </c>
      <c r="L442" s="23" t="str">
        <f t="shared" si="13"/>
        <v/>
      </c>
      <c r="M442" s="23" t="str">
        <f>IF($B442="","",ROUND(SUMIF(账户名,$B442,账户期初)+SUMIFS($K$6:K442,$B$6:B442,$B442),2))</f>
        <v/>
      </c>
      <c r="N442" s="23" t="str">
        <f>IF($B442="","",IFERROR(ROUND(INDEX(账户期初本位,MATCH($B442,账户名,0))+SUMIFS($L$6:L442,$B$6:B442,$B442),2),""))</f>
        <v/>
      </c>
      <c r="O442" s="46"/>
      <c r="P442" s="47"/>
      <c r="Q442" s="46"/>
      <c r="R442" s="46"/>
      <c r="S442" s="6" t="str">
        <f>IF($B442="","",IF(ISNA(MATCH($B442,账户名,0)),"※这个账户不在【参数设置】的账户档案里",IF($A442="","※没填日期，这一笔不会进任何月份的报表",IF(AND($G442&lt;&gt;"",$H442&lt;&gt;""),"※收入和支出不能同时填",IF(AND(N($G442)=0,N($H442)=0),"※收入和支出都没填",IF($E442="","※没填收支类别，分类报表会漏掉这一笔",IF(ISNA(MATCH($E442,类别表,0)),"※收支类别不在【参数设置】的清单里",IF($J442="","△"&amp;$D442&amp;" 还没填汇率，去【月度汇率】补上就自动算了",IF(YEAR($A442)&lt;&gt;管理年度,"△不是管理年度的单据，年报里看不到",IF(AND($F442="内部转账",$Q442=""),"△内部转账建议在「往来单位」写上对方账户",IF($M442&lt;0,"△这一笔之后该账户余额成负数了，核一下","")))))))))))</f>
        <v/>
      </c>
    </row>
    <row r="443" ht="16.5" spans="1:19">
      <c r="A443" s="45"/>
      <c r="B443" s="46"/>
      <c r="C443" s="12" t="str">
        <f>IF($B443="","",IFERROR(INDEX(账户银行,MATCH($B443,账户名,0)),""))</f>
        <v/>
      </c>
      <c r="D443" s="12" t="str">
        <f>IF($B443="","",IFERROR(INDEX(账户币种,MATCH($B443,账户名,0)),""))</f>
        <v/>
      </c>
      <c r="E443" s="47"/>
      <c r="F443" s="12" t="str">
        <f>IF($E443="","",IFERROR(INDEX(类别属性,MATCH($E443,类别表,0)),""))</f>
        <v/>
      </c>
      <c r="G443" s="48"/>
      <c r="H443" s="48"/>
      <c r="I443" s="49"/>
      <c r="J443" s="24" t="str">
        <f>IF(OR($A443="",$B443=""),"",IF($I443&lt;&gt;"",$I443,IF($D443=本位币,1,IFERROR(LOOKUP(2,1/((汇率月份&lt;=$A443)*(INDEX(记账汇率区,0,MATCH($D443,汇率币种头,0))&lt;&gt;"")),INDEX(记账汇率区,0,MATCH($D443,汇率币种头,0))),""))))</f>
        <v/>
      </c>
      <c r="K443" s="23" t="str">
        <f t="shared" si="12"/>
        <v/>
      </c>
      <c r="L443" s="23" t="str">
        <f t="shared" si="13"/>
        <v/>
      </c>
      <c r="M443" s="23" t="str">
        <f>IF($B443="","",ROUND(SUMIF(账户名,$B443,账户期初)+SUMIFS($K$6:K443,$B$6:B443,$B443),2))</f>
        <v/>
      </c>
      <c r="N443" s="23" t="str">
        <f>IF($B443="","",IFERROR(ROUND(INDEX(账户期初本位,MATCH($B443,账户名,0))+SUMIFS($L$6:L443,$B$6:B443,$B443),2),""))</f>
        <v/>
      </c>
      <c r="O443" s="46"/>
      <c r="P443" s="47"/>
      <c r="Q443" s="46"/>
      <c r="R443" s="46"/>
      <c r="S443" s="6" t="str">
        <f>IF($B443="","",IF(ISNA(MATCH($B443,账户名,0)),"※这个账户不在【参数设置】的账户档案里",IF($A443="","※没填日期，这一笔不会进任何月份的报表",IF(AND($G443&lt;&gt;"",$H443&lt;&gt;""),"※收入和支出不能同时填",IF(AND(N($G443)=0,N($H443)=0),"※收入和支出都没填",IF($E443="","※没填收支类别，分类报表会漏掉这一笔",IF(ISNA(MATCH($E443,类别表,0)),"※收支类别不在【参数设置】的清单里",IF($J443="","△"&amp;$D443&amp;" 还没填汇率，去【月度汇率】补上就自动算了",IF(YEAR($A443)&lt;&gt;管理年度,"△不是管理年度的单据，年报里看不到",IF(AND($F443="内部转账",$Q443=""),"△内部转账建议在「往来单位」写上对方账户",IF($M443&lt;0,"△这一笔之后该账户余额成负数了，核一下","")))))))))))</f>
        <v/>
      </c>
    </row>
    <row r="444" ht="16.5" spans="1:19">
      <c r="A444" s="45"/>
      <c r="B444" s="46"/>
      <c r="C444" s="12" t="str">
        <f>IF($B444="","",IFERROR(INDEX(账户银行,MATCH($B444,账户名,0)),""))</f>
        <v/>
      </c>
      <c r="D444" s="12" t="str">
        <f>IF($B444="","",IFERROR(INDEX(账户币种,MATCH($B444,账户名,0)),""))</f>
        <v/>
      </c>
      <c r="E444" s="47"/>
      <c r="F444" s="12" t="str">
        <f>IF($E444="","",IFERROR(INDEX(类别属性,MATCH($E444,类别表,0)),""))</f>
        <v/>
      </c>
      <c r="G444" s="48"/>
      <c r="H444" s="48"/>
      <c r="I444" s="49"/>
      <c r="J444" s="24" t="str">
        <f>IF(OR($A444="",$B444=""),"",IF($I444&lt;&gt;"",$I444,IF($D444=本位币,1,IFERROR(LOOKUP(2,1/((汇率月份&lt;=$A444)*(INDEX(记账汇率区,0,MATCH($D444,汇率币种头,0))&lt;&gt;"")),INDEX(记账汇率区,0,MATCH($D444,汇率币种头,0))),""))))</f>
        <v/>
      </c>
      <c r="K444" s="23" t="str">
        <f t="shared" si="12"/>
        <v/>
      </c>
      <c r="L444" s="23" t="str">
        <f t="shared" si="13"/>
        <v/>
      </c>
      <c r="M444" s="23" t="str">
        <f>IF($B444="","",ROUND(SUMIF(账户名,$B444,账户期初)+SUMIFS($K$6:K444,$B$6:B444,$B444),2))</f>
        <v/>
      </c>
      <c r="N444" s="23" t="str">
        <f>IF($B444="","",IFERROR(ROUND(INDEX(账户期初本位,MATCH($B444,账户名,0))+SUMIFS($L$6:L444,$B$6:B444,$B444),2),""))</f>
        <v/>
      </c>
      <c r="O444" s="46"/>
      <c r="P444" s="47"/>
      <c r="Q444" s="46"/>
      <c r="R444" s="46"/>
      <c r="S444" s="6" t="str">
        <f>IF($B444="","",IF(ISNA(MATCH($B444,账户名,0)),"※这个账户不在【参数设置】的账户档案里",IF($A444="","※没填日期，这一笔不会进任何月份的报表",IF(AND($G444&lt;&gt;"",$H444&lt;&gt;""),"※收入和支出不能同时填",IF(AND(N($G444)=0,N($H444)=0),"※收入和支出都没填",IF($E444="","※没填收支类别，分类报表会漏掉这一笔",IF(ISNA(MATCH($E444,类别表,0)),"※收支类别不在【参数设置】的清单里",IF($J444="","△"&amp;$D444&amp;" 还没填汇率，去【月度汇率】补上就自动算了",IF(YEAR($A444)&lt;&gt;管理年度,"△不是管理年度的单据，年报里看不到",IF(AND($F444="内部转账",$Q444=""),"△内部转账建议在「往来单位」写上对方账户",IF($M444&lt;0,"△这一笔之后该账户余额成负数了，核一下","")))))))))))</f>
        <v/>
      </c>
    </row>
    <row r="445" ht="16.5" spans="1:19">
      <c r="A445" s="45"/>
      <c r="B445" s="46"/>
      <c r="C445" s="12" t="str">
        <f>IF($B445="","",IFERROR(INDEX(账户银行,MATCH($B445,账户名,0)),""))</f>
        <v/>
      </c>
      <c r="D445" s="12" t="str">
        <f>IF($B445="","",IFERROR(INDEX(账户币种,MATCH($B445,账户名,0)),""))</f>
        <v/>
      </c>
      <c r="E445" s="47"/>
      <c r="F445" s="12" t="str">
        <f>IF($E445="","",IFERROR(INDEX(类别属性,MATCH($E445,类别表,0)),""))</f>
        <v/>
      </c>
      <c r="G445" s="48"/>
      <c r="H445" s="48"/>
      <c r="I445" s="49"/>
      <c r="J445" s="24" t="str">
        <f>IF(OR($A445="",$B445=""),"",IF($I445&lt;&gt;"",$I445,IF($D445=本位币,1,IFERROR(LOOKUP(2,1/((汇率月份&lt;=$A445)*(INDEX(记账汇率区,0,MATCH($D445,汇率币种头,0))&lt;&gt;"")),INDEX(记账汇率区,0,MATCH($D445,汇率币种头,0))),""))))</f>
        <v/>
      </c>
      <c r="K445" s="23" t="str">
        <f t="shared" si="12"/>
        <v/>
      </c>
      <c r="L445" s="23" t="str">
        <f t="shared" si="13"/>
        <v/>
      </c>
      <c r="M445" s="23" t="str">
        <f>IF($B445="","",ROUND(SUMIF(账户名,$B445,账户期初)+SUMIFS($K$6:K445,$B$6:B445,$B445),2))</f>
        <v/>
      </c>
      <c r="N445" s="23" t="str">
        <f>IF($B445="","",IFERROR(ROUND(INDEX(账户期初本位,MATCH($B445,账户名,0))+SUMIFS($L$6:L445,$B$6:B445,$B445),2),""))</f>
        <v/>
      </c>
      <c r="O445" s="46"/>
      <c r="P445" s="47"/>
      <c r="Q445" s="46"/>
      <c r="R445" s="46"/>
      <c r="S445" s="6" t="str">
        <f>IF($B445="","",IF(ISNA(MATCH($B445,账户名,0)),"※这个账户不在【参数设置】的账户档案里",IF($A445="","※没填日期，这一笔不会进任何月份的报表",IF(AND($G445&lt;&gt;"",$H445&lt;&gt;""),"※收入和支出不能同时填",IF(AND(N($G445)=0,N($H445)=0),"※收入和支出都没填",IF($E445="","※没填收支类别，分类报表会漏掉这一笔",IF(ISNA(MATCH($E445,类别表,0)),"※收支类别不在【参数设置】的清单里",IF($J445="","△"&amp;$D445&amp;" 还没填汇率，去【月度汇率】补上就自动算了",IF(YEAR($A445)&lt;&gt;管理年度,"△不是管理年度的单据，年报里看不到",IF(AND($F445="内部转账",$Q445=""),"△内部转账建议在「往来单位」写上对方账户",IF($M445&lt;0,"△这一笔之后该账户余额成负数了，核一下","")))))))))))</f>
        <v/>
      </c>
    </row>
    <row r="446" ht="16.5" spans="1:19">
      <c r="A446" s="45"/>
      <c r="B446" s="46"/>
      <c r="C446" s="12" t="str">
        <f>IF($B446="","",IFERROR(INDEX(账户银行,MATCH($B446,账户名,0)),""))</f>
        <v/>
      </c>
      <c r="D446" s="12" t="str">
        <f>IF($B446="","",IFERROR(INDEX(账户币种,MATCH($B446,账户名,0)),""))</f>
        <v/>
      </c>
      <c r="E446" s="47"/>
      <c r="F446" s="12" t="str">
        <f>IF($E446="","",IFERROR(INDEX(类别属性,MATCH($E446,类别表,0)),""))</f>
        <v/>
      </c>
      <c r="G446" s="48"/>
      <c r="H446" s="48"/>
      <c r="I446" s="49"/>
      <c r="J446" s="24" t="str">
        <f>IF(OR($A446="",$B446=""),"",IF($I446&lt;&gt;"",$I446,IF($D446=本位币,1,IFERROR(LOOKUP(2,1/((汇率月份&lt;=$A446)*(INDEX(记账汇率区,0,MATCH($D446,汇率币种头,0))&lt;&gt;"")),INDEX(记账汇率区,0,MATCH($D446,汇率币种头,0))),""))))</f>
        <v/>
      </c>
      <c r="K446" s="23" t="str">
        <f t="shared" si="12"/>
        <v/>
      </c>
      <c r="L446" s="23" t="str">
        <f t="shared" si="13"/>
        <v/>
      </c>
      <c r="M446" s="23" t="str">
        <f>IF($B446="","",ROUND(SUMIF(账户名,$B446,账户期初)+SUMIFS($K$6:K446,$B$6:B446,$B446),2))</f>
        <v/>
      </c>
      <c r="N446" s="23" t="str">
        <f>IF($B446="","",IFERROR(ROUND(INDEX(账户期初本位,MATCH($B446,账户名,0))+SUMIFS($L$6:L446,$B$6:B446,$B446),2),""))</f>
        <v/>
      </c>
      <c r="O446" s="46"/>
      <c r="P446" s="47"/>
      <c r="Q446" s="46"/>
      <c r="R446" s="46"/>
      <c r="S446" s="6" t="str">
        <f>IF($B446="","",IF(ISNA(MATCH($B446,账户名,0)),"※这个账户不在【参数设置】的账户档案里",IF($A446="","※没填日期，这一笔不会进任何月份的报表",IF(AND($G446&lt;&gt;"",$H446&lt;&gt;""),"※收入和支出不能同时填",IF(AND(N($G446)=0,N($H446)=0),"※收入和支出都没填",IF($E446="","※没填收支类别，分类报表会漏掉这一笔",IF(ISNA(MATCH($E446,类别表,0)),"※收支类别不在【参数设置】的清单里",IF($J446="","△"&amp;$D446&amp;" 还没填汇率，去【月度汇率】补上就自动算了",IF(YEAR($A446)&lt;&gt;管理年度,"△不是管理年度的单据，年报里看不到",IF(AND($F446="内部转账",$Q446=""),"△内部转账建议在「往来单位」写上对方账户",IF($M446&lt;0,"△这一笔之后该账户余额成负数了，核一下","")))))))))))</f>
        <v/>
      </c>
    </row>
    <row r="447" ht="16.5" spans="1:19">
      <c r="A447" s="45"/>
      <c r="B447" s="46"/>
      <c r="C447" s="12" t="str">
        <f>IF($B447="","",IFERROR(INDEX(账户银行,MATCH($B447,账户名,0)),""))</f>
        <v/>
      </c>
      <c r="D447" s="12" t="str">
        <f>IF($B447="","",IFERROR(INDEX(账户币种,MATCH($B447,账户名,0)),""))</f>
        <v/>
      </c>
      <c r="E447" s="47"/>
      <c r="F447" s="12" t="str">
        <f>IF($E447="","",IFERROR(INDEX(类别属性,MATCH($E447,类别表,0)),""))</f>
        <v/>
      </c>
      <c r="G447" s="48"/>
      <c r="H447" s="48"/>
      <c r="I447" s="49"/>
      <c r="J447" s="24" t="str">
        <f>IF(OR($A447="",$B447=""),"",IF($I447&lt;&gt;"",$I447,IF($D447=本位币,1,IFERROR(LOOKUP(2,1/((汇率月份&lt;=$A447)*(INDEX(记账汇率区,0,MATCH($D447,汇率币种头,0))&lt;&gt;"")),INDEX(记账汇率区,0,MATCH($D447,汇率币种头,0))),""))))</f>
        <v/>
      </c>
      <c r="K447" s="23" t="str">
        <f t="shared" si="12"/>
        <v/>
      </c>
      <c r="L447" s="23" t="str">
        <f t="shared" si="13"/>
        <v/>
      </c>
      <c r="M447" s="23" t="str">
        <f>IF($B447="","",ROUND(SUMIF(账户名,$B447,账户期初)+SUMIFS($K$6:K447,$B$6:B447,$B447),2))</f>
        <v/>
      </c>
      <c r="N447" s="23" t="str">
        <f>IF($B447="","",IFERROR(ROUND(INDEX(账户期初本位,MATCH($B447,账户名,0))+SUMIFS($L$6:L447,$B$6:B447,$B447),2),""))</f>
        <v/>
      </c>
      <c r="O447" s="46"/>
      <c r="P447" s="47"/>
      <c r="Q447" s="46"/>
      <c r="R447" s="46"/>
      <c r="S447" s="6" t="str">
        <f>IF($B447="","",IF(ISNA(MATCH($B447,账户名,0)),"※这个账户不在【参数设置】的账户档案里",IF($A447="","※没填日期，这一笔不会进任何月份的报表",IF(AND($G447&lt;&gt;"",$H447&lt;&gt;""),"※收入和支出不能同时填",IF(AND(N($G447)=0,N($H447)=0),"※收入和支出都没填",IF($E447="","※没填收支类别，分类报表会漏掉这一笔",IF(ISNA(MATCH($E447,类别表,0)),"※收支类别不在【参数设置】的清单里",IF($J447="","△"&amp;$D447&amp;" 还没填汇率，去【月度汇率】补上就自动算了",IF(YEAR($A447)&lt;&gt;管理年度,"△不是管理年度的单据，年报里看不到",IF(AND($F447="内部转账",$Q447=""),"△内部转账建议在「往来单位」写上对方账户",IF($M447&lt;0,"△这一笔之后该账户余额成负数了，核一下","")))))))))))</f>
        <v/>
      </c>
    </row>
    <row r="448" ht="16.5" spans="1:19">
      <c r="A448" s="45"/>
      <c r="B448" s="46"/>
      <c r="C448" s="12" t="str">
        <f>IF($B448="","",IFERROR(INDEX(账户银行,MATCH($B448,账户名,0)),""))</f>
        <v/>
      </c>
      <c r="D448" s="12" t="str">
        <f>IF($B448="","",IFERROR(INDEX(账户币种,MATCH($B448,账户名,0)),""))</f>
        <v/>
      </c>
      <c r="E448" s="47"/>
      <c r="F448" s="12" t="str">
        <f>IF($E448="","",IFERROR(INDEX(类别属性,MATCH($E448,类别表,0)),""))</f>
        <v/>
      </c>
      <c r="G448" s="48"/>
      <c r="H448" s="48"/>
      <c r="I448" s="49"/>
      <c r="J448" s="24" t="str">
        <f>IF(OR($A448="",$B448=""),"",IF($I448&lt;&gt;"",$I448,IF($D448=本位币,1,IFERROR(LOOKUP(2,1/((汇率月份&lt;=$A448)*(INDEX(记账汇率区,0,MATCH($D448,汇率币种头,0))&lt;&gt;"")),INDEX(记账汇率区,0,MATCH($D448,汇率币种头,0))),""))))</f>
        <v/>
      </c>
      <c r="K448" s="23" t="str">
        <f t="shared" si="12"/>
        <v/>
      </c>
      <c r="L448" s="23" t="str">
        <f t="shared" si="13"/>
        <v/>
      </c>
      <c r="M448" s="23" t="str">
        <f>IF($B448="","",ROUND(SUMIF(账户名,$B448,账户期初)+SUMIFS($K$6:K448,$B$6:B448,$B448),2))</f>
        <v/>
      </c>
      <c r="N448" s="23" t="str">
        <f>IF($B448="","",IFERROR(ROUND(INDEX(账户期初本位,MATCH($B448,账户名,0))+SUMIFS($L$6:L448,$B$6:B448,$B448),2),""))</f>
        <v/>
      </c>
      <c r="O448" s="46"/>
      <c r="P448" s="47"/>
      <c r="Q448" s="46"/>
      <c r="R448" s="46"/>
      <c r="S448" s="6" t="str">
        <f>IF($B448="","",IF(ISNA(MATCH($B448,账户名,0)),"※这个账户不在【参数设置】的账户档案里",IF($A448="","※没填日期，这一笔不会进任何月份的报表",IF(AND($G448&lt;&gt;"",$H448&lt;&gt;""),"※收入和支出不能同时填",IF(AND(N($G448)=0,N($H448)=0),"※收入和支出都没填",IF($E448="","※没填收支类别，分类报表会漏掉这一笔",IF(ISNA(MATCH($E448,类别表,0)),"※收支类别不在【参数设置】的清单里",IF($J448="","△"&amp;$D448&amp;" 还没填汇率，去【月度汇率】补上就自动算了",IF(YEAR($A448)&lt;&gt;管理年度,"△不是管理年度的单据，年报里看不到",IF(AND($F448="内部转账",$Q448=""),"△内部转账建议在「往来单位」写上对方账户",IF($M448&lt;0,"△这一笔之后该账户余额成负数了，核一下","")))))))))))</f>
        <v/>
      </c>
    </row>
    <row r="449" ht="16.5" spans="1:19">
      <c r="A449" s="45"/>
      <c r="B449" s="46"/>
      <c r="C449" s="12" t="str">
        <f>IF($B449="","",IFERROR(INDEX(账户银行,MATCH($B449,账户名,0)),""))</f>
        <v/>
      </c>
      <c r="D449" s="12" t="str">
        <f>IF($B449="","",IFERROR(INDEX(账户币种,MATCH($B449,账户名,0)),""))</f>
        <v/>
      </c>
      <c r="E449" s="47"/>
      <c r="F449" s="12" t="str">
        <f>IF($E449="","",IFERROR(INDEX(类别属性,MATCH($E449,类别表,0)),""))</f>
        <v/>
      </c>
      <c r="G449" s="48"/>
      <c r="H449" s="48"/>
      <c r="I449" s="49"/>
      <c r="J449" s="24" t="str">
        <f>IF(OR($A449="",$B449=""),"",IF($I449&lt;&gt;"",$I449,IF($D449=本位币,1,IFERROR(LOOKUP(2,1/((汇率月份&lt;=$A449)*(INDEX(记账汇率区,0,MATCH($D449,汇率币种头,0))&lt;&gt;"")),INDEX(记账汇率区,0,MATCH($D449,汇率币种头,0))),""))))</f>
        <v/>
      </c>
      <c r="K449" s="23" t="str">
        <f t="shared" si="12"/>
        <v/>
      </c>
      <c r="L449" s="23" t="str">
        <f t="shared" si="13"/>
        <v/>
      </c>
      <c r="M449" s="23" t="str">
        <f>IF($B449="","",ROUND(SUMIF(账户名,$B449,账户期初)+SUMIFS($K$6:K449,$B$6:B449,$B449),2))</f>
        <v/>
      </c>
      <c r="N449" s="23" t="str">
        <f>IF($B449="","",IFERROR(ROUND(INDEX(账户期初本位,MATCH($B449,账户名,0))+SUMIFS($L$6:L449,$B$6:B449,$B449),2),""))</f>
        <v/>
      </c>
      <c r="O449" s="46"/>
      <c r="P449" s="47"/>
      <c r="Q449" s="46"/>
      <c r="R449" s="46"/>
      <c r="S449" s="6" t="str">
        <f>IF($B449="","",IF(ISNA(MATCH($B449,账户名,0)),"※这个账户不在【参数设置】的账户档案里",IF($A449="","※没填日期，这一笔不会进任何月份的报表",IF(AND($G449&lt;&gt;"",$H449&lt;&gt;""),"※收入和支出不能同时填",IF(AND(N($G449)=0,N($H449)=0),"※收入和支出都没填",IF($E449="","※没填收支类别，分类报表会漏掉这一笔",IF(ISNA(MATCH($E449,类别表,0)),"※收支类别不在【参数设置】的清单里",IF($J449="","△"&amp;$D449&amp;" 还没填汇率，去【月度汇率】补上就自动算了",IF(YEAR($A449)&lt;&gt;管理年度,"△不是管理年度的单据，年报里看不到",IF(AND($F449="内部转账",$Q449=""),"△内部转账建议在「往来单位」写上对方账户",IF($M449&lt;0,"△这一笔之后该账户余额成负数了，核一下","")))))))))))</f>
        <v/>
      </c>
    </row>
    <row r="450" ht="16.5" spans="1:19">
      <c r="A450" s="45"/>
      <c r="B450" s="46"/>
      <c r="C450" s="12" t="str">
        <f>IF($B450="","",IFERROR(INDEX(账户银行,MATCH($B450,账户名,0)),""))</f>
        <v/>
      </c>
      <c r="D450" s="12" t="str">
        <f>IF($B450="","",IFERROR(INDEX(账户币种,MATCH($B450,账户名,0)),""))</f>
        <v/>
      </c>
      <c r="E450" s="47"/>
      <c r="F450" s="12" t="str">
        <f>IF($E450="","",IFERROR(INDEX(类别属性,MATCH($E450,类别表,0)),""))</f>
        <v/>
      </c>
      <c r="G450" s="48"/>
      <c r="H450" s="48"/>
      <c r="I450" s="49"/>
      <c r="J450" s="24" t="str">
        <f>IF(OR($A450="",$B450=""),"",IF($I450&lt;&gt;"",$I450,IF($D450=本位币,1,IFERROR(LOOKUP(2,1/((汇率月份&lt;=$A450)*(INDEX(记账汇率区,0,MATCH($D450,汇率币种头,0))&lt;&gt;"")),INDEX(记账汇率区,0,MATCH($D450,汇率币种头,0))),""))))</f>
        <v/>
      </c>
      <c r="K450" s="23" t="str">
        <f t="shared" si="12"/>
        <v/>
      </c>
      <c r="L450" s="23" t="str">
        <f t="shared" si="13"/>
        <v/>
      </c>
      <c r="M450" s="23" t="str">
        <f>IF($B450="","",ROUND(SUMIF(账户名,$B450,账户期初)+SUMIFS($K$6:K450,$B$6:B450,$B450),2))</f>
        <v/>
      </c>
      <c r="N450" s="23" t="str">
        <f>IF($B450="","",IFERROR(ROUND(INDEX(账户期初本位,MATCH($B450,账户名,0))+SUMIFS($L$6:L450,$B$6:B450,$B450),2),""))</f>
        <v/>
      </c>
      <c r="O450" s="46"/>
      <c r="P450" s="47"/>
      <c r="Q450" s="46"/>
      <c r="R450" s="46"/>
      <c r="S450" s="6" t="str">
        <f>IF($B450="","",IF(ISNA(MATCH($B450,账户名,0)),"※这个账户不在【参数设置】的账户档案里",IF($A450="","※没填日期，这一笔不会进任何月份的报表",IF(AND($G450&lt;&gt;"",$H450&lt;&gt;""),"※收入和支出不能同时填",IF(AND(N($G450)=0,N($H450)=0),"※收入和支出都没填",IF($E450="","※没填收支类别，分类报表会漏掉这一笔",IF(ISNA(MATCH($E450,类别表,0)),"※收支类别不在【参数设置】的清单里",IF($J450="","△"&amp;$D450&amp;" 还没填汇率，去【月度汇率】补上就自动算了",IF(YEAR($A450)&lt;&gt;管理年度,"△不是管理年度的单据，年报里看不到",IF(AND($F450="内部转账",$Q450=""),"△内部转账建议在「往来单位」写上对方账户",IF($M450&lt;0,"△这一笔之后该账户余额成负数了，核一下","")))))))))))</f>
        <v/>
      </c>
    </row>
    <row r="451" ht="16.5" spans="1:19">
      <c r="A451" s="45"/>
      <c r="B451" s="46"/>
      <c r="C451" s="12" t="str">
        <f>IF($B451="","",IFERROR(INDEX(账户银行,MATCH($B451,账户名,0)),""))</f>
        <v/>
      </c>
      <c r="D451" s="12" t="str">
        <f>IF($B451="","",IFERROR(INDEX(账户币种,MATCH($B451,账户名,0)),""))</f>
        <v/>
      </c>
      <c r="E451" s="47"/>
      <c r="F451" s="12" t="str">
        <f>IF($E451="","",IFERROR(INDEX(类别属性,MATCH($E451,类别表,0)),""))</f>
        <v/>
      </c>
      <c r="G451" s="48"/>
      <c r="H451" s="48"/>
      <c r="I451" s="49"/>
      <c r="J451" s="24" t="str">
        <f>IF(OR($A451="",$B451=""),"",IF($I451&lt;&gt;"",$I451,IF($D451=本位币,1,IFERROR(LOOKUP(2,1/((汇率月份&lt;=$A451)*(INDEX(记账汇率区,0,MATCH($D451,汇率币种头,0))&lt;&gt;"")),INDEX(记账汇率区,0,MATCH($D451,汇率币种头,0))),""))))</f>
        <v/>
      </c>
      <c r="K451" s="23" t="str">
        <f t="shared" si="12"/>
        <v/>
      </c>
      <c r="L451" s="23" t="str">
        <f t="shared" si="13"/>
        <v/>
      </c>
      <c r="M451" s="23" t="str">
        <f>IF($B451="","",ROUND(SUMIF(账户名,$B451,账户期初)+SUMIFS($K$6:K451,$B$6:B451,$B451),2))</f>
        <v/>
      </c>
      <c r="N451" s="23" t="str">
        <f>IF($B451="","",IFERROR(ROUND(INDEX(账户期初本位,MATCH($B451,账户名,0))+SUMIFS($L$6:L451,$B$6:B451,$B451),2),""))</f>
        <v/>
      </c>
      <c r="O451" s="46"/>
      <c r="P451" s="47"/>
      <c r="Q451" s="46"/>
      <c r="R451" s="46"/>
      <c r="S451" s="6" t="str">
        <f>IF($B451="","",IF(ISNA(MATCH($B451,账户名,0)),"※这个账户不在【参数设置】的账户档案里",IF($A451="","※没填日期，这一笔不会进任何月份的报表",IF(AND($G451&lt;&gt;"",$H451&lt;&gt;""),"※收入和支出不能同时填",IF(AND(N($G451)=0,N($H451)=0),"※收入和支出都没填",IF($E451="","※没填收支类别，分类报表会漏掉这一笔",IF(ISNA(MATCH($E451,类别表,0)),"※收支类别不在【参数设置】的清单里",IF($J451="","△"&amp;$D451&amp;" 还没填汇率，去【月度汇率】补上就自动算了",IF(YEAR($A451)&lt;&gt;管理年度,"△不是管理年度的单据，年报里看不到",IF(AND($F451="内部转账",$Q451=""),"△内部转账建议在「往来单位」写上对方账户",IF($M451&lt;0,"△这一笔之后该账户余额成负数了，核一下","")))))))))))</f>
        <v/>
      </c>
    </row>
    <row r="452" ht="16.5" spans="1:19">
      <c r="A452" s="45"/>
      <c r="B452" s="46"/>
      <c r="C452" s="12" t="str">
        <f>IF($B452="","",IFERROR(INDEX(账户银行,MATCH($B452,账户名,0)),""))</f>
        <v/>
      </c>
      <c r="D452" s="12" t="str">
        <f>IF($B452="","",IFERROR(INDEX(账户币种,MATCH($B452,账户名,0)),""))</f>
        <v/>
      </c>
      <c r="E452" s="47"/>
      <c r="F452" s="12" t="str">
        <f>IF($E452="","",IFERROR(INDEX(类别属性,MATCH($E452,类别表,0)),""))</f>
        <v/>
      </c>
      <c r="G452" s="48"/>
      <c r="H452" s="48"/>
      <c r="I452" s="49"/>
      <c r="J452" s="24" t="str">
        <f>IF(OR($A452="",$B452=""),"",IF($I452&lt;&gt;"",$I452,IF($D452=本位币,1,IFERROR(LOOKUP(2,1/((汇率月份&lt;=$A452)*(INDEX(记账汇率区,0,MATCH($D452,汇率币种头,0))&lt;&gt;"")),INDEX(记账汇率区,0,MATCH($D452,汇率币种头,0))),""))))</f>
        <v/>
      </c>
      <c r="K452" s="23" t="str">
        <f t="shared" si="12"/>
        <v/>
      </c>
      <c r="L452" s="23" t="str">
        <f t="shared" si="13"/>
        <v/>
      </c>
      <c r="M452" s="23" t="str">
        <f>IF($B452="","",ROUND(SUMIF(账户名,$B452,账户期初)+SUMIFS($K$6:K452,$B$6:B452,$B452),2))</f>
        <v/>
      </c>
      <c r="N452" s="23" t="str">
        <f>IF($B452="","",IFERROR(ROUND(INDEX(账户期初本位,MATCH($B452,账户名,0))+SUMIFS($L$6:L452,$B$6:B452,$B452),2),""))</f>
        <v/>
      </c>
      <c r="O452" s="46"/>
      <c r="P452" s="47"/>
      <c r="Q452" s="46"/>
      <c r="R452" s="46"/>
      <c r="S452" s="6" t="str">
        <f>IF($B452="","",IF(ISNA(MATCH($B452,账户名,0)),"※这个账户不在【参数设置】的账户档案里",IF($A452="","※没填日期，这一笔不会进任何月份的报表",IF(AND($G452&lt;&gt;"",$H452&lt;&gt;""),"※收入和支出不能同时填",IF(AND(N($G452)=0,N($H452)=0),"※收入和支出都没填",IF($E452="","※没填收支类别，分类报表会漏掉这一笔",IF(ISNA(MATCH($E452,类别表,0)),"※收支类别不在【参数设置】的清单里",IF($J452="","△"&amp;$D452&amp;" 还没填汇率，去【月度汇率】补上就自动算了",IF(YEAR($A452)&lt;&gt;管理年度,"△不是管理年度的单据，年报里看不到",IF(AND($F452="内部转账",$Q452=""),"△内部转账建议在「往来单位」写上对方账户",IF($M452&lt;0,"△这一笔之后该账户余额成负数了，核一下","")))))))))))</f>
        <v/>
      </c>
    </row>
    <row r="453" ht="16.5" spans="1:19">
      <c r="A453" s="45"/>
      <c r="B453" s="46"/>
      <c r="C453" s="12" t="str">
        <f>IF($B453="","",IFERROR(INDEX(账户银行,MATCH($B453,账户名,0)),""))</f>
        <v/>
      </c>
      <c r="D453" s="12" t="str">
        <f>IF($B453="","",IFERROR(INDEX(账户币种,MATCH($B453,账户名,0)),""))</f>
        <v/>
      </c>
      <c r="E453" s="47"/>
      <c r="F453" s="12" t="str">
        <f>IF($E453="","",IFERROR(INDEX(类别属性,MATCH($E453,类别表,0)),""))</f>
        <v/>
      </c>
      <c r="G453" s="48"/>
      <c r="H453" s="48"/>
      <c r="I453" s="49"/>
      <c r="J453" s="24" t="str">
        <f>IF(OR($A453="",$B453=""),"",IF($I453&lt;&gt;"",$I453,IF($D453=本位币,1,IFERROR(LOOKUP(2,1/((汇率月份&lt;=$A453)*(INDEX(记账汇率区,0,MATCH($D453,汇率币种头,0))&lt;&gt;"")),INDEX(记账汇率区,0,MATCH($D453,汇率币种头,0))),""))))</f>
        <v/>
      </c>
      <c r="K453" s="23" t="str">
        <f t="shared" si="12"/>
        <v/>
      </c>
      <c r="L453" s="23" t="str">
        <f t="shared" si="13"/>
        <v/>
      </c>
      <c r="M453" s="23" t="str">
        <f>IF($B453="","",ROUND(SUMIF(账户名,$B453,账户期初)+SUMIFS($K$6:K453,$B$6:B453,$B453),2))</f>
        <v/>
      </c>
      <c r="N453" s="23" t="str">
        <f>IF($B453="","",IFERROR(ROUND(INDEX(账户期初本位,MATCH($B453,账户名,0))+SUMIFS($L$6:L453,$B$6:B453,$B453),2),""))</f>
        <v/>
      </c>
      <c r="O453" s="46"/>
      <c r="P453" s="47"/>
      <c r="Q453" s="46"/>
      <c r="R453" s="46"/>
      <c r="S453" s="6" t="str">
        <f>IF($B453="","",IF(ISNA(MATCH($B453,账户名,0)),"※这个账户不在【参数设置】的账户档案里",IF($A453="","※没填日期，这一笔不会进任何月份的报表",IF(AND($G453&lt;&gt;"",$H453&lt;&gt;""),"※收入和支出不能同时填",IF(AND(N($G453)=0,N($H453)=0),"※收入和支出都没填",IF($E453="","※没填收支类别，分类报表会漏掉这一笔",IF(ISNA(MATCH($E453,类别表,0)),"※收支类别不在【参数设置】的清单里",IF($J453="","△"&amp;$D453&amp;" 还没填汇率，去【月度汇率】补上就自动算了",IF(YEAR($A453)&lt;&gt;管理年度,"△不是管理年度的单据，年报里看不到",IF(AND($F453="内部转账",$Q453=""),"△内部转账建议在「往来单位」写上对方账户",IF($M453&lt;0,"△这一笔之后该账户余额成负数了，核一下","")))))))))))</f>
        <v/>
      </c>
    </row>
    <row r="454" ht="16.5" spans="1:19">
      <c r="A454" s="45"/>
      <c r="B454" s="46"/>
      <c r="C454" s="12" t="str">
        <f>IF($B454="","",IFERROR(INDEX(账户银行,MATCH($B454,账户名,0)),""))</f>
        <v/>
      </c>
      <c r="D454" s="12" t="str">
        <f>IF($B454="","",IFERROR(INDEX(账户币种,MATCH($B454,账户名,0)),""))</f>
        <v/>
      </c>
      <c r="E454" s="47"/>
      <c r="F454" s="12" t="str">
        <f>IF($E454="","",IFERROR(INDEX(类别属性,MATCH($E454,类别表,0)),""))</f>
        <v/>
      </c>
      <c r="G454" s="48"/>
      <c r="H454" s="48"/>
      <c r="I454" s="49"/>
      <c r="J454" s="24" t="str">
        <f>IF(OR($A454="",$B454=""),"",IF($I454&lt;&gt;"",$I454,IF($D454=本位币,1,IFERROR(LOOKUP(2,1/((汇率月份&lt;=$A454)*(INDEX(记账汇率区,0,MATCH($D454,汇率币种头,0))&lt;&gt;"")),INDEX(记账汇率区,0,MATCH($D454,汇率币种头,0))),""))))</f>
        <v/>
      </c>
      <c r="K454" s="23" t="str">
        <f t="shared" ref="K454:K517" si="14">IF(AND($G454="",$H454=""),"",ROUND(N($G454)-N($H454),2))</f>
        <v/>
      </c>
      <c r="L454" s="23" t="str">
        <f t="shared" ref="L454:L517" si="15">IF(OR($K454="",$J454=""),"",ROUND($K454*$J454,2))</f>
        <v/>
      </c>
      <c r="M454" s="23" t="str">
        <f>IF($B454="","",ROUND(SUMIF(账户名,$B454,账户期初)+SUMIFS($K$6:K454,$B$6:B454,$B454),2))</f>
        <v/>
      </c>
      <c r="N454" s="23" t="str">
        <f>IF($B454="","",IFERROR(ROUND(INDEX(账户期初本位,MATCH($B454,账户名,0))+SUMIFS($L$6:L454,$B$6:B454,$B454),2),""))</f>
        <v/>
      </c>
      <c r="O454" s="46"/>
      <c r="P454" s="47"/>
      <c r="Q454" s="46"/>
      <c r="R454" s="46"/>
      <c r="S454" s="6" t="str">
        <f>IF($B454="","",IF(ISNA(MATCH($B454,账户名,0)),"※这个账户不在【参数设置】的账户档案里",IF($A454="","※没填日期，这一笔不会进任何月份的报表",IF(AND($G454&lt;&gt;"",$H454&lt;&gt;""),"※收入和支出不能同时填",IF(AND(N($G454)=0,N($H454)=0),"※收入和支出都没填",IF($E454="","※没填收支类别，分类报表会漏掉这一笔",IF(ISNA(MATCH($E454,类别表,0)),"※收支类别不在【参数设置】的清单里",IF($J454="","△"&amp;$D454&amp;" 还没填汇率，去【月度汇率】补上就自动算了",IF(YEAR($A454)&lt;&gt;管理年度,"△不是管理年度的单据，年报里看不到",IF(AND($F454="内部转账",$Q454=""),"△内部转账建议在「往来单位」写上对方账户",IF($M454&lt;0,"△这一笔之后该账户余额成负数了，核一下","")))))))))))</f>
        <v/>
      </c>
    </row>
    <row r="455" ht="16.5" spans="1:19">
      <c r="A455" s="45"/>
      <c r="B455" s="46"/>
      <c r="C455" s="12" t="str">
        <f>IF($B455="","",IFERROR(INDEX(账户银行,MATCH($B455,账户名,0)),""))</f>
        <v/>
      </c>
      <c r="D455" s="12" t="str">
        <f>IF($B455="","",IFERROR(INDEX(账户币种,MATCH($B455,账户名,0)),""))</f>
        <v/>
      </c>
      <c r="E455" s="47"/>
      <c r="F455" s="12" t="str">
        <f>IF($E455="","",IFERROR(INDEX(类别属性,MATCH($E455,类别表,0)),""))</f>
        <v/>
      </c>
      <c r="G455" s="48"/>
      <c r="H455" s="48"/>
      <c r="I455" s="49"/>
      <c r="J455" s="24" t="str">
        <f>IF(OR($A455="",$B455=""),"",IF($I455&lt;&gt;"",$I455,IF($D455=本位币,1,IFERROR(LOOKUP(2,1/((汇率月份&lt;=$A455)*(INDEX(记账汇率区,0,MATCH($D455,汇率币种头,0))&lt;&gt;"")),INDEX(记账汇率区,0,MATCH($D455,汇率币种头,0))),""))))</f>
        <v/>
      </c>
      <c r="K455" s="23" t="str">
        <f t="shared" si="14"/>
        <v/>
      </c>
      <c r="L455" s="23" t="str">
        <f t="shared" si="15"/>
        <v/>
      </c>
      <c r="M455" s="23" t="str">
        <f>IF($B455="","",ROUND(SUMIF(账户名,$B455,账户期初)+SUMIFS($K$6:K455,$B$6:B455,$B455),2))</f>
        <v/>
      </c>
      <c r="N455" s="23" t="str">
        <f>IF($B455="","",IFERROR(ROUND(INDEX(账户期初本位,MATCH($B455,账户名,0))+SUMIFS($L$6:L455,$B$6:B455,$B455),2),""))</f>
        <v/>
      </c>
      <c r="O455" s="46"/>
      <c r="P455" s="47"/>
      <c r="Q455" s="46"/>
      <c r="R455" s="46"/>
      <c r="S455" s="6" t="str">
        <f>IF($B455="","",IF(ISNA(MATCH($B455,账户名,0)),"※这个账户不在【参数设置】的账户档案里",IF($A455="","※没填日期，这一笔不会进任何月份的报表",IF(AND($G455&lt;&gt;"",$H455&lt;&gt;""),"※收入和支出不能同时填",IF(AND(N($G455)=0,N($H455)=0),"※收入和支出都没填",IF($E455="","※没填收支类别，分类报表会漏掉这一笔",IF(ISNA(MATCH($E455,类别表,0)),"※收支类别不在【参数设置】的清单里",IF($J455="","△"&amp;$D455&amp;" 还没填汇率，去【月度汇率】补上就自动算了",IF(YEAR($A455)&lt;&gt;管理年度,"△不是管理年度的单据，年报里看不到",IF(AND($F455="内部转账",$Q455=""),"△内部转账建议在「往来单位」写上对方账户",IF($M455&lt;0,"△这一笔之后该账户余额成负数了，核一下","")))))))))))</f>
        <v/>
      </c>
    </row>
    <row r="456" ht="16.5" spans="1:19">
      <c r="A456" s="45"/>
      <c r="B456" s="46"/>
      <c r="C456" s="12" t="str">
        <f>IF($B456="","",IFERROR(INDEX(账户银行,MATCH($B456,账户名,0)),""))</f>
        <v/>
      </c>
      <c r="D456" s="12" t="str">
        <f>IF($B456="","",IFERROR(INDEX(账户币种,MATCH($B456,账户名,0)),""))</f>
        <v/>
      </c>
      <c r="E456" s="47"/>
      <c r="F456" s="12" t="str">
        <f>IF($E456="","",IFERROR(INDEX(类别属性,MATCH($E456,类别表,0)),""))</f>
        <v/>
      </c>
      <c r="G456" s="48"/>
      <c r="H456" s="48"/>
      <c r="I456" s="49"/>
      <c r="J456" s="24" t="str">
        <f>IF(OR($A456="",$B456=""),"",IF($I456&lt;&gt;"",$I456,IF($D456=本位币,1,IFERROR(LOOKUP(2,1/((汇率月份&lt;=$A456)*(INDEX(记账汇率区,0,MATCH($D456,汇率币种头,0))&lt;&gt;"")),INDEX(记账汇率区,0,MATCH($D456,汇率币种头,0))),""))))</f>
        <v/>
      </c>
      <c r="K456" s="23" t="str">
        <f t="shared" si="14"/>
        <v/>
      </c>
      <c r="L456" s="23" t="str">
        <f t="shared" si="15"/>
        <v/>
      </c>
      <c r="M456" s="23" t="str">
        <f>IF($B456="","",ROUND(SUMIF(账户名,$B456,账户期初)+SUMIFS($K$6:K456,$B$6:B456,$B456),2))</f>
        <v/>
      </c>
      <c r="N456" s="23" t="str">
        <f>IF($B456="","",IFERROR(ROUND(INDEX(账户期初本位,MATCH($B456,账户名,0))+SUMIFS($L$6:L456,$B$6:B456,$B456),2),""))</f>
        <v/>
      </c>
      <c r="O456" s="46"/>
      <c r="P456" s="47"/>
      <c r="Q456" s="46"/>
      <c r="R456" s="46"/>
      <c r="S456" s="6" t="str">
        <f>IF($B456="","",IF(ISNA(MATCH($B456,账户名,0)),"※这个账户不在【参数设置】的账户档案里",IF($A456="","※没填日期，这一笔不会进任何月份的报表",IF(AND($G456&lt;&gt;"",$H456&lt;&gt;""),"※收入和支出不能同时填",IF(AND(N($G456)=0,N($H456)=0),"※收入和支出都没填",IF($E456="","※没填收支类别，分类报表会漏掉这一笔",IF(ISNA(MATCH($E456,类别表,0)),"※收支类别不在【参数设置】的清单里",IF($J456="","△"&amp;$D456&amp;" 还没填汇率，去【月度汇率】补上就自动算了",IF(YEAR($A456)&lt;&gt;管理年度,"△不是管理年度的单据，年报里看不到",IF(AND($F456="内部转账",$Q456=""),"△内部转账建议在「往来单位」写上对方账户",IF($M456&lt;0,"△这一笔之后该账户余额成负数了，核一下","")))))))))))</f>
        <v/>
      </c>
    </row>
    <row r="457" ht="16.5" spans="1:19">
      <c r="A457" s="45"/>
      <c r="B457" s="46"/>
      <c r="C457" s="12" t="str">
        <f>IF($B457="","",IFERROR(INDEX(账户银行,MATCH($B457,账户名,0)),""))</f>
        <v/>
      </c>
      <c r="D457" s="12" t="str">
        <f>IF($B457="","",IFERROR(INDEX(账户币种,MATCH($B457,账户名,0)),""))</f>
        <v/>
      </c>
      <c r="E457" s="47"/>
      <c r="F457" s="12" t="str">
        <f>IF($E457="","",IFERROR(INDEX(类别属性,MATCH($E457,类别表,0)),""))</f>
        <v/>
      </c>
      <c r="G457" s="48"/>
      <c r="H457" s="48"/>
      <c r="I457" s="49"/>
      <c r="J457" s="24" t="str">
        <f>IF(OR($A457="",$B457=""),"",IF($I457&lt;&gt;"",$I457,IF($D457=本位币,1,IFERROR(LOOKUP(2,1/((汇率月份&lt;=$A457)*(INDEX(记账汇率区,0,MATCH($D457,汇率币种头,0))&lt;&gt;"")),INDEX(记账汇率区,0,MATCH($D457,汇率币种头,0))),""))))</f>
        <v/>
      </c>
      <c r="K457" s="23" t="str">
        <f t="shared" si="14"/>
        <v/>
      </c>
      <c r="L457" s="23" t="str">
        <f t="shared" si="15"/>
        <v/>
      </c>
      <c r="M457" s="23" t="str">
        <f>IF($B457="","",ROUND(SUMIF(账户名,$B457,账户期初)+SUMIFS($K$6:K457,$B$6:B457,$B457),2))</f>
        <v/>
      </c>
      <c r="N457" s="23" t="str">
        <f>IF($B457="","",IFERROR(ROUND(INDEX(账户期初本位,MATCH($B457,账户名,0))+SUMIFS($L$6:L457,$B$6:B457,$B457),2),""))</f>
        <v/>
      </c>
      <c r="O457" s="46"/>
      <c r="P457" s="47"/>
      <c r="Q457" s="46"/>
      <c r="R457" s="46"/>
      <c r="S457" s="6" t="str">
        <f>IF($B457="","",IF(ISNA(MATCH($B457,账户名,0)),"※这个账户不在【参数设置】的账户档案里",IF($A457="","※没填日期，这一笔不会进任何月份的报表",IF(AND($G457&lt;&gt;"",$H457&lt;&gt;""),"※收入和支出不能同时填",IF(AND(N($G457)=0,N($H457)=0),"※收入和支出都没填",IF($E457="","※没填收支类别，分类报表会漏掉这一笔",IF(ISNA(MATCH($E457,类别表,0)),"※收支类别不在【参数设置】的清单里",IF($J457="","△"&amp;$D457&amp;" 还没填汇率，去【月度汇率】补上就自动算了",IF(YEAR($A457)&lt;&gt;管理年度,"△不是管理年度的单据，年报里看不到",IF(AND($F457="内部转账",$Q457=""),"△内部转账建议在「往来单位」写上对方账户",IF($M457&lt;0,"△这一笔之后该账户余额成负数了，核一下","")))))))))))</f>
        <v/>
      </c>
    </row>
    <row r="458" ht="16.5" spans="1:19">
      <c r="A458" s="45"/>
      <c r="B458" s="46"/>
      <c r="C458" s="12" t="str">
        <f>IF($B458="","",IFERROR(INDEX(账户银行,MATCH($B458,账户名,0)),""))</f>
        <v/>
      </c>
      <c r="D458" s="12" t="str">
        <f>IF($B458="","",IFERROR(INDEX(账户币种,MATCH($B458,账户名,0)),""))</f>
        <v/>
      </c>
      <c r="E458" s="47"/>
      <c r="F458" s="12" t="str">
        <f>IF($E458="","",IFERROR(INDEX(类别属性,MATCH($E458,类别表,0)),""))</f>
        <v/>
      </c>
      <c r="G458" s="48"/>
      <c r="H458" s="48"/>
      <c r="I458" s="49"/>
      <c r="J458" s="24" t="str">
        <f>IF(OR($A458="",$B458=""),"",IF($I458&lt;&gt;"",$I458,IF($D458=本位币,1,IFERROR(LOOKUP(2,1/((汇率月份&lt;=$A458)*(INDEX(记账汇率区,0,MATCH($D458,汇率币种头,0))&lt;&gt;"")),INDEX(记账汇率区,0,MATCH($D458,汇率币种头,0))),""))))</f>
        <v/>
      </c>
      <c r="K458" s="23" t="str">
        <f t="shared" si="14"/>
        <v/>
      </c>
      <c r="L458" s="23" t="str">
        <f t="shared" si="15"/>
        <v/>
      </c>
      <c r="M458" s="23" t="str">
        <f>IF($B458="","",ROUND(SUMIF(账户名,$B458,账户期初)+SUMIFS($K$6:K458,$B$6:B458,$B458),2))</f>
        <v/>
      </c>
      <c r="N458" s="23" t="str">
        <f>IF($B458="","",IFERROR(ROUND(INDEX(账户期初本位,MATCH($B458,账户名,0))+SUMIFS($L$6:L458,$B$6:B458,$B458),2),""))</f>
        <v/>
      </c>
      <c r="O458" s="46"/>
      <c r="P458" s="47"/>
      <c r="Q458" s="46"/>
      <c r="R458" s="46"/>
      <c r="S458" s="6" t="str">
        <f>IF($B458="","",IF(ISNA(MATCH($B458,账户名,0)),"※这个账户不在【参数设置】的账户档案里",IF($A458="","※没填日期，这一笔不会进任何月份的报表",IF(AND($G458&lt;&gt;"",$H458&lt;&gt;""),"※收入和支出不能同时填",IF(AND(N($G458)=0,N($H458)=0),"※收入和支出都没填",IF($E458="","※没填收支类别，分类报表会漏掉这一笔",IF(ISNA(MATCH($E458,类别表,0)),"※收支类别不在【参数设置】的清单里",IF($J458="","△"&amp;$D458&amp;" 还没填汇率，去【月度汇率】补上就自动算了",IF(YEAR($A458)&lt;&gt;管理年度,"△不是管理年度的单据，年报里看不到",IF(AND($F458="内部转账",$Q458=""),"△内部转账建议在「往来单位」写上对方账户",IF($M458&lt;0,"△这一笔之后该账户余额成负数了，核一下","")))))))))))</f>
        <v/>
      </c>
    </row>
    <row r="459" ht="16.5" spans="1:19">
      <c r="A459" s="45"/>
      <c r="B459" s="46"/>
      <c r="C459" s="12" t="str">
        <f>IF($B459="","",IFERROR(INDEX(账户银行,MATCH($B459,账户名,0)),""))</f>
        <v/>
      </c>
      <c r="D459" s="12" t="str">
        <f>IF($B459="","",IFERROR(INDEX(账户币种,MATCH($B459,账户名,0)),""))</f>
        <v/>
      </c>
      <c r="E459" s="47"/>
      <c r="F459" s="12" t="str">
        <f>IF($E459="","",IFERROR(INDEX(类别属性,MATCH($E459,类别表,0)),""))</f>
        <v/>
      </c>
      <c r="G459" s="48"/>
      <c r="H459" s="48"/>
      <c r="I459" s="49"/>
      <c r="J459" s="24" t="str">
        <f>IF(OR($A459="",$B459=""),"",IF($I459&lt;&gt;"",$I459,IF($D459=本位币,1,IFERROR(LOOKUP(2,1/((汇率月份&lt;=$A459)*(INDEX(记账汇率区,0,MATCH($D459,汇率币种头,0))&lt;&gt;"")),INDEX(记账汇率区,0,MATCH($D459,汇率币种头,0))),""))))</f>
        <v/>
      </c>
      <c r="K459" s="23" t="str">
        <f t="shared" si="14"/>
        <v/>
      </c>
      <c r="L459" s="23" t="str">
        <f t="shared" si="15"/>
        <v/>
      </c>
      <c r="M459" s="23" t="str">
        <f>IF($B459="","",ROUND(SUMIF(账户名,$B459,账户期初)+SUMIFS($K$6:K459,$B$6:B459,$B459),2))</f>
        <v/>
      </c>
      <c r="N459" s="23" t="str">
        <f>IF($B459="","",IFERROR(ROUND(INDEX(账户期初本位,MATCH($B459,账户名,0))+SUMIFS($L$6:L459,$B$6:B459,$B459),2),""))</f>
        <v/>
      </c>
      <c r="O459" s="46"/>
      <c r="P459" s="47"/>
      <c r="Q459" s="46"/>
      <c r="R459" s="46"/>
      <c r="S459" s="6" t="str">
        <f>IF($B459="","",IF(ISNA(MATCH($B459,账户名,0)),"※这个账户不在【参数设置】的账户档案里",IF($A459="","※没填日期，这一笔不会进任何月份的报表",IF(AND($G459&lt;&gt;"",$H459&lt;&gt;""),"※收入和支出不能同时填",IF(AND(N($G459)=0,N($H459)=0),"※收入和支出都没填",IF($E459="","※没填收支类别，分类报表会漏掉这一笔",IF(ISNA(MATCH($E459,类别表,0)),"※收支类别不在【参数设置】的清单里",IF($J459="","△"&amp;$D459&amp;" 还没填汇率，去【月度汇率】补上就自动算了",IF(YEAR($A459)&lt;&gt;管理年度,"△不是管理年度的单据，年报里看不到",IF(AND($F459="内部转账",$Q459=""),"△内部转账建议在「往来单位」写上对方账户",IF($M459&lt;0,"△这一笔之后该账户余额成负数了，核一下","")))))))))))</f>
        <v/>
      </c>
    </row>
    <row r="460" ht="16.5" spans="1:19">
      <c r="A460" s="45"/>
      <c r="B460" s="46"/>
      <c r="C460" s="12" t="str">
        <f>IF($B460="","",IFERROR(INDEX(账户银行,MATCH($B460,账户名,0)),""))</f>
        <v/>
      </c>
      <c r="D460" s="12" t="str">
        <f>IF($B460="","",IFERROR(INDEX(账户币种,MATCH($B460,账户名,0)),""))</f>
        <v/>
      </c>
      <c r="E460" s="47"/>
      <c r="F460" s="12" t="str">
        <f>IF($E460="","",IFERROR(INDEX(类别属性,MATCH($E460,类别表,0)),""))</f>
        <v/>
      </c>
      <c r="G460" s="48"/>
      <c r="H460" s="48"/>
      <c r="I460" s="49"/>
      <c r="J460" s="24" t="str">
        <f>IF(OR($A460="",$B460=""),"",IF($I460&lt;&gt;"",$I460,IF($D460=本位币,1,IFERROR(LOOKUP(2,1/((汇率月份&lt;=$A460)*(INDEX(记账汇率区,0,MATCH($D460,汇率币种头,0))&lt;&gt;"")),INDEX(记账汇率区,0,MATCH($D460,汇率币种头,0))),""))))</f>
        <v/>
      </c>
      <c r="K460" s="23" t="str">
        <f t="shared" si="14"/>
        <v/>
      </c>
      <c r="L460" s="23" t="str">
        <f t="shared" si="15"/>
        <v/>
      </c>
      <c r="M460" s="23" t="str">
        <f>IF($B460="","",ROUND(SUMIF(账户名,$B460,账户期初)+SUMIFS($K$6:K460,$B$6:B460,$B460),2))</f>
        <v/>
      </c>
      <c r="N460" s="23" t="str">
        <f>IF($B460="","",IFERROR(ROUND(INDEX(账户期初本位,MATCH($B460,账户名,0))+SUMIFS($L$6:L460,$B$6:B460,$B460),2),""))</f>
        <v/>
      </c>
      <c r="O460" s="46"/>
      <c r="P460" s="47"/>
      <c r="Q460" s="46"/>
      <c r="R460" s="46"/>
      <c r="S460" s="6" t="str">
        <f>IF($B460="","",IF(ISNA(MATCH($B460,账户名,0)),"※这个账户不在【参数设置】的账户档案里",IF($A460="","※没填日期，这一笔不会进任何月份的报表",IF(AND($G460&lt;&gt;"",$H460&lt;&gt;""),"※收入和支出不能同时填",IF(AND(N($G460)=0,N($H460)=0),"※收入和支出都没填",IF($E460="","※没填收支类别，分类报表会漏掉这一笔",IF(ISNA(MATCH($E460,类别表,0)),"※收支类别不在【参数设置】的清单里",IF($J460="","△"&amp;$D460&amp;" 还没填汇率，去【月度汇率】补上就自动算了",IF(YEAR($A460)&lt;&gt;管理年度,"△不是管理年度的单据，年报里看不到",IF(AND($F460="内部转账",$Q460=""),"△内部转账建议在「往来单位」写上对方账户",IF($M460&lt;0,"△这一笔之后该账户余额成负数了，核一下","")))))))))))</f>
        <v/>
      </c>
    </row>
    <row r="461" ht="16.5" spans="1:19">
      <c r="A461" s="45"/>
      <c r="B461" s="46"/>
      <c r="C461" s="12" t="str">
        <f>IF($B461="","",IFERROR(INDEX(账户银行,MATCH($B461,账户名,0)),""))</f>
        <v/>
      </c>
      <c r="D461" s="12" t="str">
        <f>IF($B461="","",IFERROR(INDEX(账户币种,MATCH($B461,账户名,0)),""))</f>
        <v/>
      </c>
      <c r="E461" s="47"/>
      <c r="F461" s="12" t="str">
        <f>IF($E461="","",IFERROR(INDEX(类别属性,MATCH($E461,类别表,0)),""))</f>
        <v/>
      </c>
      <c r="G461" s="48"/>
      <c r="H461" s="48"/>
      <c r="I461" s="49"/>
      <c r="J461" s="24" t="str">
        <f>IF(OR($A461="",$B461=""),"",IF($I461&lt;&gt;"",$I461,IF($D461=本位币,1,IFERROR(LOOKUP(2,1/((汇率月份&lt;=$A461)*(INDEX(记账汇率区,0,MATCH($D461,汇率币种头,0))&lt;&gt;"")),INDEX(记账汇率区,0,MATCH($D461,汇率币种头,0))),""))))</f>
        <v/>
      </c>
      <c r="K461" s="23" t="str">
        <f t="shared" si="14"/>
        <v/>
      </c>
      <c r="L461" s="23" t="str">
        <f t="shared" si="15"/>
        <v/>
      </c>
      <c r="M461" s="23" t="str">
        <f>IF($B461="","",ROUND(SUMIF(账户名,$B461,账户期初)+SUMIFS($K$6:K461,$B$6:B461,$B461),2))</f>
        <v/>
      </c>
      <c r="N461" s="23" t="str">
        <f>IF($B461="","",IFERROR(ROUND(INDEX(账户期初本位,MATCH($B461,账户名,0))+SUMIFS($L$6:L461,$B$6:B461,$B461),2),""))</f>
        <v/>
      </c>
      <c r="O461" s="46"/>
      <c r="P461" s="47"/>
      <c r="Q461" s="46"/>
      <c r="R461" s="46"/>
      <c r="S461" s="6" t="str">
        <f>IF($B461="","",IF(ISNA(MATCH($B461,账户名,0)),"※这个账户不在【参数设置】的账户档案里",IF($A461="","※没填日期，这一笔不会进任何月份的报表",IF(AND($G461&lt;&gt;"",$H461&lt;&gt;""),"※收入和支出不能同时填",IF(AND(N($G461)=0,N($H461)=0),"※收入和支出都没填",IF($E461="","※没填收支类别，分类报表会漏掉这一笔",IF(ISNA(MATCH($E461,类别表,0)),"※收支类别不在【参数设置】的清单里",IF($J461="","△"&amp;$D461&amp;" 还没填汇率，去【月度汇率】补上就自动算了",IF(YEAR($A461)&lt;&gt;管理年度,"△不是管理年度的单据，年报里看不到",IF(AND($F461="内部转账",$Q461=""),"△内部转账建议在「往来单位」写上对方账户",IF($M461&lt;0,"△这一笔之后该账户余额成负数了，核一下","")))))))))))</f>
        <v/>
      </c>
    </row>
    <row r="462" ht="16.5" spans="1:19">
      <c r="A462" s="45"/>
      <c r="B462" s="46"/>
      <c r="C462" s="12" t="str">
        <f>IF($B462="","",IFERROR(INDEX(账户银行,MATCH($B462,账户名,0)),""))</f>
        <v/>
      </c>
      <c r="D462" s="12" t="str">
        <f>IF($B462="","",IFERROR(INDEX(账户币种,MATCH($B462,账户名,0)),""))</f>
        <v/>
      </c>
      <c r="E462" s="47"/>
      <c r="F462" s="12" t="str">
        <f>IF($E462="","",IFERROR(INDEX(类别属性,MATCH($E462,类别表,0)),""))</f>
        <v/>
      </c>
      <c r="G462" s="48"/>
      <c r="H462" s="48"/>
      <c r="I462" s="49"/>
      <c r="J462" s="24" t="str">
        <f>IF(OR($A462="",$B462=""),"",IF($I462&lt;&gt;"",$I462,IF($D462=本位币,1,IFERROR(LOOKUP(2,1/((汇率月份&lt;=$A462)*(INDEX(记账汇率区,0,MATCH($D462,汇率币种头,0))&lt;&gt;"")),INDEX(记账汇率区,0,MATCH($D462,汇率币种头,0))),""))))</f>
        <v/>
      </c>
      <c r="K462" s="23" t="str">
        <f t="shared" si="14"/>
        <v/>
      </c>
      <c r="L462" s="23" t="str">
        <f t="shared" si="15"/>
        <v/>
      </c>
      <c r="M462" s="23" t="str">
        <f>IF($B462="","",ROUND(SUMIF(账户名,$B462,账户期初)+SUMIFS($K$6:K462,$B$6:B462,$B462),2))</f>
        <v/>
      </c>
      <c r="N462" s="23" t="str">
        <f>IF($B462="","",IFERROR(ROUND(INDEX(账户期初本位,MATCH($B462,账户名,0))+SUMIFS($L$6:L462,$B$6:B462,$B462),2),""))</f>
        <v/>
      </c>
      <c r="O462" s="46"/>
      <c r="P462" s="47"/>
      <c r="Q462" s="46"/>
      <c r="R462" s="46"/>
      <c r="S462" s="6" t="str">
        <f>IF($B462="","",IF(ISNA(MATCH($B462,账户名,0)),"※这个账户不在【参数设置】的账户档案里",IF($A462="","※没填日期，这一笔不会进任何月份的报表",IF(AND($G462&lt;&gt;"",$H462&lt;&gt;""),"※收入和支出不能同时填",IF(AND(N($G462)=0,N($H462)=0),"※收入和支出都没填",IF($E462="","※没填收支类别，分类报表会漏掉这一笔",IF(ISNA(MATCH($E462,类别表,0)),"※收支类别不在【参数设置】的清单里",IF($J462="","△"&amp;$D462&amp;" 还没填汇率，去【月度汇率】补上就自动算了",IF(YEAR($A462)&lt;&gt;管理年度,"△不是管理年度的单据，年报里看不到",IF(AND($F462="内部转账",$Q462=""),"△内部转账建议在「往来单位」写上对方账户",IF($M462&lt;0,"△这一笔之后该账户余额成负数了，核一下","")))))))))))</f>
        <v/>
      </c>
    </row>
    <row r="463" ht="16.5" spans="1:19">
      <c r="A463" s="45"/>
      <c r="B463" s="46"/>
      <c r="C463" s="12" t="str">
        <f>IF($B463="","",IFERROR(INDEX(账户银行,MATCH($B463,账户名,0)),""))</f>
        <v/>
      </c>
      <c r="D463" s="12" t="str">
        <f>IF($B463="","",IFERROR(INDEX(账户币种,MATCH($B463,账户名,0)),""))</f>
        <v/>
      </c>
      <c r="E463" s="47"/>
      <c r="F463" s="12" t="str">
        <f>IF($E463="","",IFERROR(INDEX(类别属性,MATCH($E463,类别表,0)),""))</f>
        <v/>
      </c>
      <c r="G463" s="48"/>
      <c r="H463" s="48"/>
      <c r="I463" s="49"/>
      <c r="J463" s="24" t="str">
        <f>IF(OR($A463="",$B463=""),"",IF($I463&lt;&gt;"",$I463,IF($D463=本位币,1,IFERROR(LOOKUP(2,1/((汇率月份&lt;=$A463)*(INDEX(记账汇率区,0,MATCH($D463,汇率币种头,0))&lt;&gt;"")),INDEX(记账汇率区,0,MATCH($D463,汇率币种头,0))),""))))</f>
        <v/>
      </c>
      <c r="K463" s="23" t="str">
        <f t="shared" si="14"/>
        <v/>
      </c>
      <c r="L463" s="23" t="str">
        <f t="shared" si="15"/>
        <v/>
      </c>
      <c r="M463" s="23" t="str">
        <f>IF($B463="","",ROUND(SUMIF(账户名,$B463,账户期初)+SUMIFS($K$6:K463,$B$6:B463,$B463),2))</f>
        <v/>
      </c>
      <c r="N463" s="23" t="str">
        <f>IF($B463="","",IFERROR(ROUND(INDEX(账户期初本位,MATCH($B463,账户名,0))+SUMIFS($L$6:L463,$B$6:B463,$B463),2),""))</f>
        <v/>
      </c>
      <c r="O463" s="46"/>
      <c r="P463" s="47"/>
      <c r="Q463" s="46"/>
      <c r="R463" s="46"/>
      <c r="S463" s="6" t="str">
        <f>IF($B463="","",IF(ISNA(MATCH($B463,账户名,0)),"※这个账户不在【参数设置】的账户档案里",IF($A463="","※没填日期，这一笔不会进任何月份的报表",IF(AND($G463&lt;&gt;"",$H463&lt;&gt;""),"※收入和支出不能同时填",IF(AND(N($G463)=0,N($H463)=0),"※收入和支出都没填",IF($E463="","※没填收支类别，分类报表会漏掉这一笔",IF(ISNA(MATCH($E463,类别表,0)),"※收支类别不在【参数设置】的清单里",IF($J463="","△"&amp;$D463&amp;" 还没填汇率，去【月度汇率】补上就自动算了",IF(YEAR($A463)&lt;&gt;管理年度,"△不是管理年度的单据，年报里看不到",IF(AND($F463="内部转账",$Q463=""),"△内部转账建议在「往来单位」写上对方账户",IF($M463&lt;0,"△这一笔之后该账户余额成负数了，核一下","")))))))))))</f>
        <v/>
      </c>
    </row>
    <row r="464" ht="16.5" spans="1:19">
      <c r="A464" s="45"/>
      <c r="B464" s="46"/>
      <c r="C464" s="12" t="str">
        <f>IF($B464="","",IFERROR(INDEX(账户银行,MATCH($B464,账户名,0)),""))</f>
        <v/>
      </c>
      <c r="D464" s="12" t="str">
        <f>IF($B464="","",IFERROR(INDEX(账户币种,MATCH($B464,账户名,0)),""))</f>
        <v/>
      </c>
      <c r="E464" s="47"/>
      <c r="F464" s="12" t="str">
        <f>IF($E464="","",IFERROR(INDEX(类别属性,MATCH($E464,类别表,0)),""))</f>
        <v/>
      </c>
      <c r="G464" s="48"/>
      <c r="H464" s="48"/>
      <c r="I464" s="49"/>
      <c r="J464" s="24" t="str">
        <f>IF(OR($A464="",$B464=""),"",IF($I464&lt;&gt;"",$I464,IF($D464=本位币,1,IFERROR(LOOKUP(2,1/((汇率月份&lt;=$A464)*(INDEX(记账汇率区,0,MATCH($D464,汇率币种头,0))&lt;&gt;"")),INDEX(记账汇率区,0,MATCH($D464,汇率币种头,0))),""))))</f>
        <v/>
      </c>
      <c r="K464" s="23" t="str">
        <f t="shared" si="14"/>
        <v/>
      </c>
      <c r="L464" s="23" t="str">
        <f t="shared" si="15"/>
        <v/>
      </c>
      <c r="M464" s="23" t="str">
        <f>IF($B464="","",ROUND(SUMIF(账户名,$B464,账户期初)+SUMIFS($K$6:K464,$B$6:B464,$B464),2))</f>
        <v/>
      </c>
      <c r="N464" s="23" t="str">
        <f>IF($B464="","",IFERROR(ROUND(INDEX(账户期初本位,MATCH($B464,账户名,0))+SUMIFS($L$6:L464,$B$6:B464,$B464),2),""))</f>
        <v/>
      </c>
      <c r="O464" s="46"/>
      <c r="P464" s="47"/>
      <c r="Q464" s="46"/>
      <c r="R464" s="46"/>
      <c r="S464" s="6" t="str">
        <f>IF($B464="","",IF(ISNA(MATCH($B464,账户名,0)),"※这个账户不在【参数设置】的账户档案里",IF($A464="","※没填日期，这一笔不会进任何月份的报表",IF(AND($G464&lt;&gt;"",$H464&lt;&gt;""),"※收入和支出不能同时填",IF(AND(N($G464)=0,N($H464)=0),"※收入和支出都没填",IF($E464="","※没填收支类别，分类报表会漏掉这一笔",IF(ISNA(MATCH($E464,类别表,0)),"※收支类别不在【参数设置】的清单里",IF($J464="","△"&amp;$D464&amp;" 还没填汇率，去【月度汇率】补上就自动算了",IF(YEAR($A464)&lt;&gt;管理年度,"△不是管理年度的单据，年报里看不到",IF(AND($F464="内部转账",$Q464=""),"△内部转账建议在「往来单位」写上对方账户",IF($M464&lt;0,"△这一笔之后该账户余额成负数了，核一下","")))))))))))</f>
        <v/>
      </c>
    </row>
    <row r="465" ht="16.5" spans="1:19">
      <c r="A465" s="45"/>
      <c r="B465" s="46"/>
      <c r="C465" s="12" t="str">
        <f>IF($B465="","",IFERROR(INDEX(账户银行,MATCH($B465,账户名,0)),""))</f>
        <v/>
      </c>
      <c r="D465" s="12" t="str">
        <f>IF($B465="","",IFERROR(INDEX(账户币种,MATCH($B465,账户名,0)),""))</f>
        <v/>
      </c>
      <c r="E465" s="47"/>
      <c r="F465" s="12" t="str">
        <f>IF($E465="","",IFERROR(INDEX(类别属性,MATCH($E465,类别表,0)),""))</f>
        <v/>
      </c>
      <c r="G465" s="48"/>
      <c r="H465" s="48"/>
      <c r="I465" s="49"/>
      <c r="J465" s="24" t="str">
        <f>IF(OR($A465="",$B465=""),"",IF($I465&lt;&gt;"",$I465,IF($D465=本位币,1,IFERROR(LOOKUP(2,1/((汇率月份&lt;=$A465)*(INDEX(记账汇率区,0,MATCH($D465,汇率币种头,0))&lt;&gt;"")),INDEX(记账汇率区,0,MATCH($D465,汇率币种头,0))),""))))</f>
        <v/>
      </c>
      <c r="K465" s="23" t="str">
        <f t="shared" si="14"/>
        <v/>
      </c>
      <c r="L465" s="23" t="str">
        <f t="shared" si="15"/>
        <v/>
      </c>
      <c r="M465" s="23" t="str">
        <f>IF($B465="","",ROUND(SUMIF(账户名,$B465,账户期初)+SUMIFS($K$6:K465,$B$6:B465,$B465),2))</f>
        <v/>
      </c>
      <c r="N465" s="23" t="str">
        <f>IF($B465="","",IFERROR(ROUND(INDEX(账户期初本位,MATCH($B465,账户名,0))+SUMIFS($L$6:L465,$B$6:B465,$B465),2),""))</f>
        <v/>
      </c>
      <c r="O465" s="46"/>
      <c r="P465" s="47"/>
      <c r="Q465" s="46"/>
      <c r="R465" s="46"/>
      <c r="S465" s="6" t="str">
        <f>IF($B465="","",IF(ISNA(MATCH($B465,账户名,0)),"※这个账户不在【参数设置】的账户档案里",IF($A465="","※没填日期，这一笔不会进任何月份的报表",IF(AND($G465&lt;&gt;"",$H465&lt;&gt;""),"※收入和支出不能同时填",IF(AND(N($G465)=0,N($H465)=0),"※收入和支出都没填",IF($E465="","※没填收支类别，分类报表会漏掉这一笔",IF(ISNA(MATCH($E465,类别表,0)),"※收支类别不在【参数设置】的清单里",IF($J465="","△"&amp;$D465&amp;" 还没填汇率，去【月度汇率】补上就自动算了",IF(YEAR($A465)&lt;&gt;管理年度,"△不是管理年度的单据，年报里看不到",IF(AND($F465="内部转账",$Q465=""),"△内部转账建议在「往来单位」写上对方账户",IF($M465&lt;0,"△这一笔之后该账户余额成负数了，核一下","")))))))))))</f>
        <v/>
      </c>
    </row>
    <row r="466" ht="16.5" spans="1:19">
      <c r="A466" s="45"/>
      <c r="B466" s="46"/>
      <c r="C466" s="12" t="str">
        <f>IF($B466="","",IFERROR(INDEX(账户银行,MATCH($B466,账户名,0)),""))</f>
        <v/>
      </c>
      <c r="D466" s="12" t="str">
        <f>IF($B466="","",IFERROR(INDEX(账户币种,MATCH($B466,账户名,0)),""))</f>
        <v/>
      </c>
      <c r="E466" s="47"/>
      <c r="F466" s="12" t="str">
        <f>IF($E466="","",IFERROR(INDEX(类别属性,MATCH($E466,类别表,0)),""))</f>
        <v/>
      </c>
      <c r="G466" s="48"/>
      <c r="H466" s="48"/>
      <c r="I466" s="49"/>
      <c r="J466" s="24" t="str">
        <f>IF(OR($A466="",$B466=""),"",IF($I466&lt;&gt;"",$I466,IF($D466=本位币,1,IFERROR(LOOKUP(2,1/((汇率月份&lt;=$A466)*(INDEX(记账汇率区,0,MATCH($D466,汇率币种头,0))&lt;&gt;"")),INDEX(记账汇率区,0,MATCH($D466,汇率币种头,0))),""))))</f>
        <v/>
      </c>
      <c r="K466" s="23" t="str">
        <f t="shared" si="14"/>
        <v/>
      </c>
      <c r="L466" s="23" t="str">
        <f t="shared" si="15"/>
        <v/>
      </c>
      <c r="M466" s="23" t="str">
        <f>IF($B466="","",ROUND(SUMIF(账户名,$B466,账户期初)+SUMIFS($K$6:K466,$B$6:B466,$B466),2))</f>
        <v/>
      </c>
      <c r="N466" s="23" t="str">
        <f>IF($B466="","",IFERROR(ROUND(INDEX(账户期初本位,MATCH($B466,账户名,0))+SUMIFS($L$6:L466,$B$6:B466,$B466),2),""))</f>
        <v/>
      </c>
      <c r="O466" s="46"/>
      <c r="P466" s="47"/>
      <c r="Q466" s="46"/>
      <c r="R466" s="46"/>
      <c r="S466" s="6" t="str">
        <f>IF($B466="","",IF(ISNA(MATCH($B466,账户名,0)),"※这个账户不在【参数设置】的账户档案里",IF($A466="","※没填日期，这一笔不会进任何月份的报表",IF(AND($G466&lt;&gt;"",$H466&lt;&gt;""),"※收入和支出不能同时填",IF(AND(N($G466)=0,N($H466)=0),"※收入和支出都没填",IF($E466="","※没填收支类别，分类报表会漏掉这一笔",IF(ISNA(MATCH($E466,类别表,0)),"※收支类别不在【参数设置】的清单里",IF($J466="","△"&amp;$D466&amp;" 还没填汇率，去【月度汇率】补上就自动算了",IF(YEAR($A466)&lt;&gt;管理年度,"△不是管理年度的单据，年报里看不到",IF(AND($F466="内部转账",$Q466=""),"△内部转账建议在「往来单位」写上对方账户",IF($M466&lt;0,"△这一笔之后该账户余额成负数了，核一下","")))))))))))</f>
        <v/>
      </c>
    </row>
    <row r="467" ht="16.5" spans="1:19">
      <c r="A467" s="45"/>
      <c r="B467" s="46"/>
      <c r="C467" s="12" t="str">
        <f>IF($B467="","",IFERROR(INDEX(账户银行,MATCH($B467,账户名,0)),""))</f>
        <v/>
      </c>
      <c r="D467" s="12" t="str">
        <f>IF($B467="","",IFERROR(INDEX(账户币种,MATCH($B467,账户名,0)),""))</f>
        <v/>
      </c>
      <c r="E467" s="47"/>
      <c r="F467" s="12" t="str">
        <f>IF($E467="","",IFERROR(INDEX(类别属性,MATCH($E467,类别表,0)),""))</f>
        <v/>
      </c>
      <c r="G467" s="48"/>
      <c r="H467" s="48"/>
      <c r="I467" s="49"/>
      <c r="J467" s="24" t="str">
        <f>IF(OR($A467="",$B467=""),"",IF($I467&lt;&gt;"",$I467,IF($D467=本位币,1,IFERROR(LOOKUP(2,1/((汇率月份&lt;=$A467)*(INDEX(记账汇率区,0,MATCH($D467,汇率币种头,0))&lt;&gt;"")),INDEX(记账汇率区,0,MATCH($D467,汇率币种头,0))),""))))</f>
        <v/>
      </c>
      <c r="K467" s="23" t="str">
        <f t="shared" si="14"/>
        <v/>
      </c>
      <c r="L467" s="23" t="str">
        <f t="shared" si="15"/>
        <v/>
      </c>
      <c r="M467" s="23" t="str">
        <f>IF($B467="","",ROUND(SUMIF(账户名,$B467,账户期初)+SUMIFS($K$6:K467,$B$6:B467,$B467),2))</f>
        <v/>
      </c>
      <c r="N467" s="23" t="str">
        <f>IF($B467="","",IFERROR(ROUND(INDEX(账户期初本位,MATCH($B467,账户名,0))+SUMIFS($L$6:L467,$B$6:B467,$B467),2),""))</f>
        <v/>
      </c>
      <c r="O467" s="46"/>
      <c r="P467" s="47"/>
      <c r="Q467" s="46"/>
      <c r="R467" s="46"/>
      <c r="S467" s="6" t="str">
        <f>IF($B467="","",IF(ISNA(MATCH($B467,账户名,0)),"※这个账户不在【参数设置】的账户档案里",IF($A467="","※没填日期，这一笔不会进任何月份的报表",IF(AND($G467&lt;&gt;"",$H467&lt;&gt;""),"※收入和支出不能同时填",IF(AND(N($G467)=0,N($H467)=0),"※收入和支出都没填",IF($E467="","※没填收支类别，分类报表会漏掉这一笔",IF(ISNA(MATCH($E467,类别表,0)),"※收支类别不在【参数设置】的清单里",IF($J467="","△"&amp;$D467&amp;" 还没填汇率，去【月度汇率】补上就自动算了",IF(YEAR($A467)&lt;&gt;管理年度,"△不是管理年度的单据，年报里看不到",IF(AND($F467="内部转账",$Q467=""),"△内部转账建议在「往来单位」写上对方账户",IF($M467&lt;0,"△这一笔之后该账户余额成负数了，核一下","")))))))))))</f>
        <v/>
      </c>
    </row>
    <row r="468" ht="16.5" spans="1:19">
      <c r="A468" s="45"/>
      <c r="B468" s="46"/>
      <c r="C468" s="12" t="str">
        <f>IF($B468="","",IFERROR(INDEX(账户银行,MATCH($B468,账户名,0)),""))</f>
        <v/>
      </c>
      <c r="D468" s="12" t="str">
        <f>IF($B468="","",IFERROR(INDEX(账户币种,MATCH($B468,账户名,0)),""))</f>
        <v/>
      </c>
      <c r="E468" s="47"/>
      <c r="F468" s="12" t="str">
        <f>IF($E468="","",IFERROR(INDEX(类别属性,MATCH($E468,类别表,0)),""))</f>
        <v/>
      </c>
      <c r="G468" s="48"/>
      <c r="H468" s="48"/>
      <c r="I468" s="49"/>
      <c r="J468" s="24" t="str">
        <f>IF(OR($A468="",$B468=""),"",IF($I468&lt;&gt;"",$I468,IF($D468=本位币,1,IFERROR(LOOKUP(2,1/((汇率月份&lt;=$A468)*(INDEX(记账汇率区,0,MATCH($D468,汇率币种头,0))&lt;&gt;"")),INDEX(记账汇率区,0,MATCH($D468,汇率币种头,0))),""))))</f>
        <v/>
      </c>
      <c r="K468" s="23" t="str">
        <f t="shared" si="14"/>
        <v/>
      </c>
      <c r="L468" s="23" t="str">
        <f t="shared" si="15"/>
        <v/>
      </c>
      <c r="M468" s="23" t="str">
        <f>IF($B468="","",ROUND(SUMIF(账户名,$B468,账户期初)+SUMIFS($K$6:K468,$B$6:B468,$B468),2))</f>
        <v/>
      </c>
      <c r="N468" s="23" t="str">
        <f>IF($B468="","",IFERROR(ROUND(INDEX(账户期初本位,MATCH($B468,账户名,0))+SUMIFS($L$6:L468,$B$6:B468,$B468),2),""))</f>
        <v/>
      </c>
      <c r="O468" s="46"/>
      <c r="P468" s="47"/>
      <c r="Q468" s="46"/>
      <c r="R468" s="46"/>
      <c r="S468" s="6" t="str">
        <f>IF($B468="","",IF(ISNA(MATCH($B468,账户名,0)),"※这个账户不在【参数设置】的账户档案里",IF($A468="","※没填日期，这一笔不会进任何月份的报表",IF(AND($G468&lt;&gt;"",$H468&lt;&gt;""),"※收入和支出不能同时填",IF(AND(N($G468)=0,N($H468)=0),"※收入和支出都没填",IF($E468="","※没填收支类别，分类报表会漏掉这一笔",IF(ISNA(MATCH($E468,类别表,0)),"※收支类别不在【参数设置】的清单里",IF($J468="","△"&amp;$D468&amp;" 还没填汇率，去【月度汇率】补上就自动算了",IF(YEAR($A468)&lt;&gt;管理年度,"△不是管理年度的单据，年报里看不到",IF(AND($F468="内部转账",$Q468=""),"△内部转账建议在「往来单位」写上对方账户",IF($M468&lt;0,"△这一笔之后该账户余额成负数了，核一下","")))))))))))</f>
        <v/>
      </c>
    </row>
    <row r="469" ht="16.5" spans="1:19">
      <c r="A469" s="45"/>
      <c r="B469" s="46"/>
      <c r="C469" s="12" t="str">
        <f>IF($B469="","",IFERROR(INDEX(账户银行,MATCH($B469,账户名,0)),""))</f>
        <v/>
      </c>
      <c r="D469" s="12" t="str">
        <f>IF($B469="","",IFERROR(INDEX(账户币种,MATCH($B469,账户名,0)),""))</f>
        <v/>
      </c>
      <c r="E469" s="47"/>
      <c r="F469" s="12" t="str">
        <f>IF($E469="","",IFERROR(INDEX(类别属性,MATCH($E469,类别表,0)),""))</f>
        <v/>
      </c>
      <c r="G469" s="48"/>
      <c r="H469" s="48"/>
      <c r="I469" s="49"/>
      <c r="J469" s="24" t="str">
        <f>IF(OR($A469="",$B469=""),"",IF($I469&lt;&gt;"",$I469,IF($D469=本位币,1,IFERROR(LOOKUP(2,1/((汇率月份&lt;=$A469)*(INDEX(记账汇率区,0,MATCH($D469,汇率币种头,0))&lt;&gt;"")),INDEX(记账汇率区,0,MATCH($D469,汇率币种头,0))),""))))</f>
        <v/>
      </c>
      <c r="K469" s="23" t="str">
        <f t="shared" si="14"/>
        <v/>
      </c>
      <c r="L469" s="23" t="str">
        <f t="shared" si="15"/>
        <v/>
      </c>
      <c r="M469" s="23" t="str">
        <f>IF($B469="","",ROUND(SUMIF(账户名,$B469,账户期初)+SUMIFS($K$6:K469,$B$6:B469,$B469),2))</f>
        <v/>
      </c>
      <c r="N469" s="23" t="str">
        <f>IF($B469="","",IFERROR(ROUND(INDEX(账户期初本位,MATCH($B469,账户名,0))+SUMIFS($L$6:L469,$B$6:B469,$B469),2),""))</f>
        <v/>
      </c>
      <c r="O469" s="46"/>
      <c r="P469" s="47"/>
      <c r="Q469" s="46"/>
      <c r="R469" s="46"/>
      <c r="S469" s="6" t="str">
        <f>IF($B469="","",IF(ISNA(MATCH($B469,账户名,0)),"※这个账户不在【参数设置】的账户档案里",IF($A469="","※没填日期，这一笔不会进任何月份的报表",IF(AND($G469&lt;&gt;"",$H469&lt;&gt;""),"※收入和支出不能同时填",IF(AND(N($G469)=0,N($H469)=0),"※收入和支出都没填",IF($E469="","※没填收支类别，分类报表会漏掉这一笔",IF(ISNA(MATCH($E469,类别表,0)),"※收支类别不在【参数设置】的清单里",IF($J469="","△"&amp;$D469&amp;" 还没填汇率，去【月度汇率】补上就自动算了",IF(YEAR($A469)&lt;&gt;管理年度,"△不是管理年度的单据，年报里看不到",IF(AND($F469="内部转账",$Q469=""),"△内部转账建议在「往来单位」写上对方账户",IF($M469&lt;0,"△这一笔之后该账户余额成负数了，核一下","")))))))))))</f>
        <v/>
      </c>
    </row>
    <row r="470" ht="16.5" spans="1:19">
      <c r="A470" s="45"/>
      <c r="B470" s="46"/>
      <c r="C470" s="12" t="str">
        <f>IF($B470="","",IFERROR(INDEX(账户银行,MATCH($B470,账户名,0)),""))</f>
        <v/>
      </c>
      <c r="D470" s="12" t="str">
        <f>IF($B470="","",IFERROR(INDEX(账户币种,MATCH($B470,账户名,0)),""))</f>
        <v/>
      </c>
      <c r="E470" s="47"/>
      <c r="F470" s="12" t="str">
        <f>IF($E470="","",IFERROR(INDEX(类别属性,MATCH($E470,类别表,0)),""))</f>
        <v/>
      </c>
      <c r="G470" s="48"/>
      <c r="H470" s="48"/>
      <c r="I470" s="49"/>
      <c r="J470" s="24" t="str">
        <f>IF(OR($A470="",$B470=""),"",IF($I470&lt;&gt;"",$I470,IF($D470=本位币,1,IFERROR(LOOKUP(2,1/((汇率月份&lt;=$A470)*(INDEX(记账汇率区,0,MATCH($D470,汇率币种头,0))&lt;&gt;"")),INDEX(记账汇率区,0,MATCH($D470,汇率币种头,0))),""))))</f>
        <v/>
      </c>
      <c r="K470" s="23" t="str">
        <f t="shared" si="14"/>
        <v/>
      </c>
      <c r="L470" s="23" t="str">
        <f t="shared" si="15"/>
        <v/>
      </c>
      <c r="M470" s="23" t="str">
        <f>IF($B470="","",ROUND(SUMIF(账户名,$B470,账户期初)+SUMIFS($K$6:K470,$B$6:B470,$B470),2))</f>
        <v/>
      </c>
      <c r="N470" s="23" t="str">
        <f>IF($B470="","",IFERROR(ROUND(INDEX(账户期初本位,MATCH($B470,账户名,0))+SUMIFS($L$6:L470,$B$6:B470,$B470),2),""))</f>
        <v/>
      </c>
      <c r="O470" s="46"/>
      <c r="P470" s="47"/>
      <c r="Q470" s="46"/>
      <c r="R470" s="46"/>
      <c r="S470" s="6" t="str">
        <f>IF($B470="","",IF(ISNA(MATCH($B470,账户名,0)),"※这个账户不在【参数设置】的账户档案里",IF($A470="","※没填日期，这一笔不会进任何月份的报表",IF(AND($G470&lt;&gt;"",$H470&lt;&gt;""),"※收入和支出不能同时填",IF(AND(N($G470)=0,N($H470)=0),"※收入和支出都没填",IF($E470="","※没填收支类别，分类报表会漏掉这一笔",IF(ISNA(MATCH($E470,类别表,0)),"※收支类别不在【参数设置】的清单里",IF($J470="","△"&amp;$D470&amp;" 还没填汇率，去【月度汇率】补上就自动算了",IF(YEAR($A470)&lt;&gt;管理年度,"△不是管理年度的单据，年报里看不到",IF(AND($F470="内部转账",$Q470=""),"△内部转账建议在「往来单位」写上对方账户",IF($M470&lt;0,"△这一笔之后该账户余额成负数了，核一下","")))))))))))</f>
        <v/>
      </c>
    </row>
    <row r="471" ht="16.5" spans="1:19">
      <c r="A471" s="45"/>
      <c r="B471" s="46"/>
      <c r="C471" s="12" t="str">
        <f>IF($B471="","",IFERROR(INDEX(账户银行,MATCH($B471,账户名,0)),""))</f>
        <v/>
      </c>
      <c r="D471" s="12" t="str">
        <f>IF($B471="","",IFERROR(INDEX(账户币种,MATCH($B471,账户名,0)),""))</f>
        <v/>
      </c>
      <c r="E471" s="47"/>
      <c r="F471" s="12" t="str">
        <f>IF($E471="","",IFERROR(INDEX(类别属性,MATCH($E471,类别表,0)),""))</f>
        <v/>
      </c>
      <c r="G471" s="48"/>
      <c r="H471" s="48"/>
      <c r="I471" s="49"/>
      <c r="J471" s="24" t="str">
        <f>IF(OR($A471="",$B471=""),"",IF($I471&lt;&gt;"",$I471,IF($D471=本位币,1,IFERROR(LOOKUP(2,1/((汇率月份&lt;=$A471)*(INDEX(记账汇率区,0,MATCH($D471,汇率币种头,0))&lt;&gt;"")),INDEX(记账汇率区,0,MATCH($D471,汇率币种头,0))),""))))</f>
        <v/>
      </c>
      <c r="K471" s="23" t="str">
        <f t="shared" si="14"/>
        <v/>
      </c>
      <c r="L471" s="23" t="str">
        <f t="shared" si="15"/>
        <v/>
      </c>
      <c r="M471" s="23" t="str">
        <f>IF($B471="","",ROUND(SUMIF(账户名,$B471,账户期初)+SUMIFS($K$6:K471,$B$6:B471,$B471),2))</f>
        <v/>
      </c>
      <c r="N471" s="23" t="str">
        <f>IF($B471="","",IFERROR(ROUND(INDEX(账户期初本位,MATCH($B471,账户名,0))+SUMIFS($L$6:L471,$B$6:B471,$B471),2),""))</f>
        <v/>
      </c>
      <c r="O471" s="46"/>
      <c r="P471" s="47"/>
      <c r="Q471" s="46"/>
      <c r="R471" s="46"/>
      <c r="S471" s="6" t="str">
        <f>IF($B471="","",IF(ISNA(MATCH($B471,账户名,0)),"※这个账户不在【参数设置】的账户档案里",IF($A471="","※没填日期，这一笔不会进任何月份的报表",IF(AND($G471&lt;&gt;"",$H471&lt;&gt;""),"※收入和支出不能同时填",IF(AND(N($G471)=0,N($H471)=0),"※收入和支出都没填",IF($E471="","※没填收支类别，分类报表会漏掉这一笔",IF(ISNA(MATCH($E471,类别表,0)),"※收支类别不在【参数设置】的清单里",IF($J471="","△"&amp;$D471&amp;" 还没填汇率，去【月度汇率】补上就自动算了",IF(YEAR($A471)&lt;&gt;管理年度,"△不是管理年度的单据，年报里看不到",IF(AND($F471="内部转账",$Q471=""),"△内部转账建议在「往来单位」写上对方账户",IF($M471&lt;0,"△这一笔之后该账户余额成负数了，核一下","")))))))))))</f>
        <v/>
      </c>
    </row>
    <row r="472" ht="16.5" spans="1:19">
      <c r="A472" s="45"/>
      <c r="B472" s="46"/>
      <c r="C472" s="12" t="str">
        <f>IF($B472="","",IFERROR(INDEX(账户银行,MATCH($B472,账户名,0)),""))</f>
        <v/>
      </c>
      <c r="D472" s="12" t="str">
        <f>IF($B472="","",IFERROR(INDEX(账户币种,MATCH($B472,账户名,0)),""))</f>
        <v/>
      </c>
      <c r="E472" s="47"/>
      <c r="F472" s="12" t="str">
        <f>IF($E472="","",IFERROR(INDEX(类别属性,MATCH($E472,类别表,0)),""))</f>
        <v/>
      </c>
      <c r="G472" s="48"/>
      <c r="H472" s="48"/>
      <c r="I472" s="49"/>
      <c r="J472" s="24" t="str">
        <f>IF(OR($A472="",$B472=""),"",IF($I472&lt;&gt;"",$I472,IF($D472=本位币,1,IFERROR(LOOKUP(2,1/((汇率月份&lt;=$A472)*(INDEX(记账汇率区,0,MATCH($D472,汇率币种头,0))&lt;&gt;"")),INDEX(记账汇率区,0,MATCH($D472,汇率币种头,0))),""))))</f>
        <v/>
      </c>
      <c r="K472" s="23" t="str">
        <f t="shared" si="14"/>
        <v/>
      </c>
      <c r="L472" s="23" t="str">
        <f t="shared" si="15"/>
        <v/>
      </c>
      <c r="M472" s="23" t="str">
        <f>IF($B472="","",ROUND(SUMIF(账户名,$B472,账户期初)+SUMIFS($K$6:K472,$B$6:B472,$B472),2))</f>
        <v/>
      </c>
      <c r="N472" s="23" t="str">
        <f>IF($B472="","",IFERROR(ROUND(INDEX(账户期初本位,MATCH($B472,账户名,0))+SUMIFS($L$6:L472,$B$6:B472,$B472),2),""))</f>
        <v/>
      </c>
      <c r="O472" s="46"/>
      <c r="P472" s="47"/>
      <c r="Q472" s="46"/>
      <c r="R472" s="46"/>
      <c r="S472" s="6" t="str">
        <f>IF($B472="","",IF(ISNA(MATCH($B472,账户名,0)),"※这个账户不在【参数设置】的账户档案里",IF($A472="","※没填日期，这一笔不会进任何月份的报表",IF(AND($G472&lt;&gt;"",$H472&lt;&gt;""),"※收入和支出不能同时填",IF(AND(N($G472)=0,N($H472)=0),"※收入和支出都没填",IF($E472="","※没填收支类别，分类报表会漏掉这一笔",IF(ISNA(MATCH($E472,类别表,0)),"※收支类别不在【参数设置】的清单里",IF($J472="","△"&amp;$D472&amp;" 还没填汇率，去【月度汇率】补上就自动算了",IF(YEAR($A472)&lt;&gt;管理年度,"△不是管理年度的单据，年报里看不到",IF(AND($F472="内部转账",$Q472=""),"△内部转账建议在「往来单位」写上对方账户",IF($M472&lt;0,"△这一笔之后该账户余额成负数了，核一下","")))))))))))</f>
        <v/>
      </c>
    </row>
    <row r="473" ht="16.5" spans="1:19">
      <c r="A473" s="45"/>
      <c r="B473" s="46"/>
      <c r="C473" s="12" t="str">
        <f>IF($B473="","",IFERROR(INDEX(账户银行,MATCH($B473,账户名,0)),""))</f>
        <v/>
      </c>
      <c r="D473" s="12" t="str">
        <f>IF($B473="","",IFERROR(INDEX(账户币种,MATCH($B473,账户名,0)),""))</f>
        <v/>
      </c>
      <c r="E473" s="47"/>
      <c r="F473" s="12" t="str">
        <f>IF($E473="","",IFERROR(INDEX(类别属性,MATCH($E473,类别表,0)),""))</f>
        <v/>
      </c>
      <c r="G473" s="48"/>
      <c r="H473" s="48"/>
      <c r="I473" s="49"/>
      <c r="J473" s="24" t="str">
        <f>IF(OR($A473="",$B473=""),"",IF($I473&lt;&gt;"",$I473,IF($D473=本位币,1,IFERROR(LOOKUP(2,1/((汇率月份&lt;=$A473)*(INDEX(记账汇率区,0,MATCH($D473,汇率币种头,0))&lt;&gt;"")),INDEX(记账汇率区,0,MATCH($D473,汇率币种头,0))),""))))</f>
        <v/>
      </c>
      <c r="K473" s="23" t="str">
        <f t="shared" si="14"/>
        <v/>
      </c>
      <c r="L473" s="23" t="str">
        <f t="shared" si="15"/>
        <v/>
      </c>
      <c r="M473" s="23" t="str">
        <f>IF($B473="","",ROUND(SUMIF(账户名,$B473,账户期初)+SUMIFS($K$6:K473,$B$6:B473,$B473),2))</f>
        <v/>
      </c>
      <c r="N473" s="23" t="str">
        <f>IF($B473="","",IFERROR(ROUND(INDEX(账户期初本位,MATCH($B473,账户名,0))+SUMIFS($L$6:L473,$B$6:B473,$B473),2),""))</f>
        <v/>
      </c>
      <c r="O473" s="46"/>
      <c r="P473" s="47"/>
      <c r="Q473" s="46"/>
      <c r="R473" s="46"/>
      <c r="S473" s="6" t="str">
        <f>IF($B473="","",IF(ISNA(MATCH($B473,账户名,0)),"※这个账户不在【参数设置】的账户档案里",IF($A473="","※没填日期，这一笔不会进任何月份的报表",IF(AND($G473&lt;&gt;"",$H473&lt;&gt;""),"※收入和支出不能同时填",IF(AND(N($G473)=0,N($H473)=0),"※收入和支出都没填",IF($E473="","※没填收支类别，分类报表会漏掉这一笔",IF(ISNA(MATCH($E473,类别表,0)),"※收支类别不在【参数设置】的清单里",IF($J473="","△"&amp;$D473&amp;" 还没填汇率，去【月度汇率】补上就自动算了",IF(YEAR($A473)&lt;&gt;管理年度,"△不是管理年度的单据，年报里看不到",IF(AND($F473="内部转账",$Q473=""),"△内部转账建议在「往来单位」写上对方账户",IF($M473&lt;0,"△这一笔之后该账户余额成负数了，核一下","")))))))))))</f>
        <v/>
      </c>
    </row>
    <row r="474" ht="16.5" spans="1:19">
      <c r="A474" s="45"/>
      <c r="B474" s="46"/>
      <c r="C474" s="12" t="str">
        <f>IF($B474="","",IFERROR(INDEX(账户银行,MATCH($B474,账户名,0)),""))</f>
        <v/>
      </c>
      <c r="D474" s="12" t="str">
        <f>IF($B474="","",IFERROR(INDEX(账户币种,MATCH($B474,账户名,0)),""))</f>
        <v/>
      </c>
      <c r="E474" s="47"/>
      <c r="F474" s="12" t="str">
        <f>IF($E474="","",IFERROR(INDEX(类别属性,MATCH($E474,类别表,0)),""))</f>
        <v/>
      </c>
      <c r="G474" s="48"/>
      <c r="H474" s="48"/>
      <c r="I474" s="49"/>
      <c r="J474" s="24" t="str">
        <f>IF(OR($A474="",$B474=""),"",IF($I474&lt;&gt;"",$I474,IF($D474=本位币,1,IFERROR(LOOKUP(2,1/((汇率月份&lt;=$A474)*(INDEX(记账汇率区,0,MATCH($D474,汇率币种头,0))&lt;&gt;"")),INDEX(记账汇率区,0,MATCH($D474,汇率币种头,0))),""))))</f>
        <v/>
      </c>
      <c r="K474" s="23" t="str">
        <f t="shared" si="14"/>
        <v/>
      </c>
      <c r="L474" s="23" t="str">
        <f t="shared" si="15"/>
        <v/>
      </c>
      <c r="M474" s="23" t="str">
        <f>IF($B474="","",ROUND(SUMIF(账户名,$B474,账户期初)+SUMIFS($K$6:K474,$B$6:B474,$B474),2))</f>
        <v/>
      </c>
      <c r="N474" s="23" t="str">
        <f>IF($B474="","",IFERROR(ROUND(INDEX(账户期初本位,MATCH($B474,账户名,0))+SUMIFS($L$6:L474,$B$6:B474,$B474),2),""))</f>
        <v/>
      </c>
      <c r="O474" s="46"/>
      <c r="P474" s="47"/>
      <c r="Q474" s="46"/>
      <c r="R474" s="46"/>
      <c r="S474" s="6" t="str">
        <f>IF($B474="","",IF(ISNA(MATCH($B474,账户名,0)),"※这个账户不在【参数设置】的账户档案里",IF($A474="","※没填日期，这一笔不会进任何月份的报表",IF(AND($G474&lt;&gt;"",$H474&lt;&gt;""),"※收入和支出不能同时填",IF(AND(N($G474)=0,N($H474)=0),"※收入和支出都没填",IF($E474="","※没填收支类别，分类报表会漏掉这一笔",IF(ISNA(MATCH($E474,类别表,0)),"※收支类别不在【参数设置】的清单里",IF($J474="","△"&amp;$D474&amp;" 还没填汇率，去【月度汇率】补上就自动算了",IF(YEAR($A474)&lt;&gt;管理年度,"△不是管理年度的单据，年报里看不到",IF(AND($F474="内部转账",$Q474=""),"△内部转账建议在「往来单位」写上对方账户",IF($M474&lt;0,"△这一笔之后该账户余额成负数了，核一下","")))))))))))</f>
        <v/>
      </c>
    </row>
    <row r="475" ht="16.5" spans="1:19">
      <c r="A475" s="45"/>
      <c r="B475" s="46"/>
      <c r="C475" s="12" t="str">
        <f>IF($B475="","",IFERROR(INDEX(账户银行,MATCH($B475,账户名,0)),""))</f>
        <v/>
      </c>
      <c r="D475" s="12" t="str">
        <f>IF($B475="","",IFERROR(INDEX(账户币种,MATCH($B475,账户名,0)),""))</f>
        <v/>
      </c>
      <c r="E475" s="47"/>
      <c r="F475" s="12" t="str">
        <f>IF($E475="","",IFERROR(INDEX(类别属性,MATCH($E475,类别表,0)),""))</f>
        <v/>
      </c>
      <c r="G475" s="48"/>
      <c r="H475" s="48"/>
      <c r="I475" s="49"/>
      <c r="J475" s="24" t="str">
        <f>IF(OR($A475="",$B475=""),"",IF($I475&lt;&gt;"",$I475,IF($D475=本位币,1,IFERROR(LOOKUP(2,1/((汇率月份&lt;=$A475)*(INDEX(记账汇率区,0,MATCH($D475,汇率币种头,0))&lt;&gt;"")),INDEX(记账汇率区,0,MATCH($D475,汇率币种头,0))),""))))</f>
        <v/>
      </c>
      <c r="K475" s="23" t="str">
        <f t="shared" si="14"/>
        <v/>
      </c>
      <c r="L475" s="23" t="str">
        <f t="shared" si="15"/>
        <v/>
      </c>
      <c r="M475" s="23" t="str">
        <f>IF($B475="","",ROUND(SUMIF(账户名,$B475,账户期初)+SUMIFS($K$6:K475,$B$6:B475,$B475),2))</f>
        <v/>
      </c>
      <c r="N475" s="23" t="str">
        <f>IF($B475="","",IFERROR(ROUND(INDEX(账户期初本位,MATCH($B475,账户名,0))+SUMIFS($L$6:L475,$B$6:B475,$B475),2),""))</f>
        <v/>
      </c>
      <c r="O475" s="46"/>
      <c r="P475" s="47"/>
      <c r="Q475" s="46"/>
      <c r="R475" s="46"/>
      <c r="S475" s="6" t="str">
        <f>IF($B475="","",IF(ISNA(MATCH($B475,账户名,0)),"※这个账户不在【参数设置】的账户档案里",IF($A475="","※没填日期，这一笔不会进任何月份的报表",IF(AND($G475&lt;&gt;"",$H475&lt;&gt;""),"※收入和支出不能同时填",IF(AND(N($G475)=0,N($H475)=0),"※收入和支出都没填",IF($E475="","※没填收支类别，分类报表会漏掉这一笔",IF(ISNA(MATCH($E475,类别表,0)),"※收支类别不在【参数设置】的清单里",IF($J475="","△"&amp;$D475&amp;" 还没填汇率，去【月度汇率】补上就自动算了",IF(YEAR($A475)&lt;&gt;管理年度,"△不是管理年度的单据，年报里看不到",IF(AND($F475="内部转账",$Q475=""),"△内部转账建议在「往来单位」写上对方账户",IF($M475&lt;0,"△这一笔之后该账户余额成负数了，核一下","")))))))))))</f>
        <v/>
      </c>
    </row>
    <row r="476" ht="16.5" spans="1:19">
      <c r="A476" s="45"/>
      <c r="B476" s="46"/>
      <c r="C476" s="12" t="str">
        <f>IF($B476="","",IFERROR(INDEX(账户银行,MATCH($B476,账户名,0)),""))</f>
        <v/>
      </c>
      <c r="D476" s="12" t="str">
        <f>IF($B476="","",IFERROR(INDEX(账户币种,MATCH($B476,账户名,0)),""))</f>
        <v/>
      </c>
      <c r="E476" s="47"/>
      <c r="F476" s="12" t="str">
        <f>IF($E476="","",IFERROR(INDEX(类别属性,MATCH($E476,类别表,0)),""))</f>
        <v/>
      </c>
      <c r="G476" s="48"/>
      <c r="H476" s="48"/>
      <c r="I476" s="49"/>
      <c r="J476" s="24" t="str">
        <f>IF(OR($A476="",$B476=""),"",IF($I476&lt;&gt;"",$I476,IF($D476=本位币,1,IFERROR(LOOKUP(2,1/((汇率月份&lt;=$A476)*(INDEX(记账汇率区,0,MATCH($D476,汇率币种头,0))&lt;&gt;"")),INDEX(记账汇率区,0,MATCH($D476,汇率币种头,0))),""))))</f>
        <v/>
      </c>
      <c r="K476" s="23" t="str">
        <f t="shared" si="14"/>
        <v/>
      </c>
      <c r="L476" s="23" t="str">
        <f t="shared" si="15"/>
        <v/>
      </c>
      <c r="M476" s="23" t="str">
        <f>IF($B476="","",ROUND(SUMIF(账户名,$B476,账户期初)+SUMIFS($K$6:K476,$B$6:B476,$B476),2))</f>
        <v/>
      </c>
      <c r="N476" s="23" t="str">
        <f>IF($B476="","",IFERROR(ROUND(INDEX(账户期初本位,MATCH($B476,账户名,0))+SUMIFS($L$6:L476,$B$6:B476,$B476),2),""))</f>
        <v/>
      </c>
      <c r="O476" s="46"/>
      <c r="P476" s="47"/>
      <c r="Q476" s="46"/>
      <c r="R476" s="46"/>
      <c r="S476" s="6" t="str">
        <f>IF($B476="","",IF(ISNA(MATCH($B476,账户名,0)),"※这个账户不在【参数设置】的账户档案里",IF($A476="","※没填日期，这一笔不会进任何月份的报表",IF(AND($G476&lt;&gt;"",$H476&lt;&gt;""),"※收入和支出不能同时填",IF(AND(N($G476)=0,N($H476)=0),"※收入和支出都没填",IF($E476="","※没填收支类别，分类报表会漏掉这一笔",IF(ISNA(MATCH($E476,类别表,0)),"※收支类别不在【参数设置】的清单里",IF($J476="","△"&amp;$D476&amp;" 还没填汇率，去【月度汇率】补上就自动算了",IF(YEAR($A476)&lt;&gt;管理年度,"△不是管理年度的单据，年报里看不到",IF(AND($F476="内部转账",$Q476=""),"△内部转账建议在「往来单位」写上对方账户",IF($M476&lt;0,"△这一笔之后该账户余额成负数了，核一下","")))))))))))</f>
        <v/>
      </c>
    </row>
    <row r="477" ht="16.5" spans="1:19">
      <c r="A477" s="45"/>
      <c r="B477" s="46"/>
      <c r="C477" s="12" t="str">
        <f>IF($B477="","",IFERROR(INDEX(账户银行,MATCH($B477,账户名,0)),""))</f>
        <v/>
      </c>
      <c r="D477" s="12" t="str">
        <f>IF($B477="","",IFERROR(INDEX(账户币种,MATCH($B477,账户名,0)),""))</f>
        <v/>
      </c>
      <c r="E477" s="47"/>
      <c r="F477" s="12" t="str">
        <f>IF($E477="","",IFERROR(INDEX(类别属性,MATCH($E477,类别表,0)),""))</f>
        <v/>
      </c>
      <c r="G477" s="48"/>
      <c r="H477" s="48"/>
      <c r="I477" s="49"/>
      <c r="J477" s="24" t="str">
        <f>IF(OR($A477="",$B477=""),"",IF($I477&lt;&gt;"",$I477,IF($D477=本位币,1,IFERROR(LOOKUP(2,1/((汇率月份&lt;=$A477)*(INDEX(记账汇率区,0,MATCH($D477,汇率币种头,0))&lt;&gt;"")),INDEX(记账汇率区,0,MATCH($D477,汇率币种头,0))),""))))</f>
        <v/>
      </c>
      <c r="K477" s="23" t="str">
        <f t="shared" si="14"/>
        <v/>
      </c>
      <c r="L477" s="23" t="str">
        <f t="shared" si="15"/>
        <v/>
      </c>
      <c r="M477" s="23" t="str">
        <f>IF($B477="","",ROUND(SUMIF(账户名,$B477,账户期初)+SUMIFS($K$6:K477,$B$6:B477,$B477),2))</f>
        <v/>
      </c>
      <c r="N477" s="23" t="str">
        <f>IF($B477="","",IFERROR(ROUND(INDEX(账户期初本位,MATCH($B477,账户名,0))+SUMIFS($L$6:L477,$B$6:B477,$B477),2),""))</f>
        <v/>
      </c>
      <c r="O477" s="46"/>
      <c r="P477" s="47"/>
      <c r="Q477" s="46"/>
      <c r="R477" s="46"/>
      <c r="S477" s="6" t="str">
        <f>IF($B477="","",IF(ISNA(MATCH($B477,账户名,0)),"※这个账户不在【参数设置】的账户档案里",IF($A477="","※没填日期，这一笔不会进任何月份的报表",IF(AND($G477&lt;&gt;"",$H477&lt;&gt;""),"※收入和支出不能同时填",IF(AND(N($G477)=0,N($H477)=0),"※收入和支出都没填",IF($E477="","※没填收支类别，分类报表会漏掉这一笔",IF(ISNA(MATCH($E477,类别表,0)),"※收支类别不在【参数设置】的清单里",IF($J477="","△"&amp;$D477&amp;" 还没填汇率，去【月度汇率】补上就自动算了",IF(YEAR($A477)&lt;&gt;管理年度,"△不是管理年度的单据，年报里看不到",IF(AND($F477="内部转账",$Q477=""),"△内部转账建议在「往来单位」写上对方账户",IF($M477&lt;0,"△这一笔之后该账户余额成负数了，核一下","")))))))))))</f>
        <v/>
      </c>
    </row>
    <row r="478" ht="16.5" spans="1:19">
      <c r="A478" s="45"/>
      <c r="B478" s="46"/>
      <c r="C478" s="12" t="str">
        <f>IF($B478="","",IFERROR(INDEX(账户银行,MATCH($B478,账户名,0)),""))</f>
        <v/>
      </c>
      <c r="D478" s="12" t="str">
        <f>IF($B478="","",IFERROR(INDEX(账户币种,MATCH($B478,账户名,0)),""))</f>
        <v/>
      </c>
      <c r="E478" s="47"/>
      <c r="F478" s="12" t="str">
        <f>IF($E478="","",IFERROR(INDEX(类别属性,MATCH($E478,类别表,0)),""))</f>
        <v/>
      </c>
      <c r="G478" s="48"/>
      <c r="H478" s="48"/>
      <c r="I478" s="49"/>
      <c r="J478" s="24" t="str">
        <f>IF(OR($A478="",$B478=""),"",IF($I478&lt;&gt;"",$I478,IF($D478=本位币,1,IFERROR(LOOKUP(2,1/((汇率月份&lt;=$A478)*(INDEX(记账汇率区,0,MATCH($D478,汇率币种头,0))&lt;&gt;"")),INDEX(记账汇率区,0,MATCH($D478,汇率币种头,0))),""))))</f>
        <v/>
      </c>
      <c r="K478" s="23" t="str">
        <f t="shared" si="14"/>
        <v/>
      </c>
      <c r="L478" s="23" t="str">
        <f t="shared" si="15"/>
        <v/>
      </c>
      <c r="M478" s="23" t="str">
        <f>IF($B478="","",ROUND(SUMIF(账户名,$B478,账户期初)+SUMIFS($K$6:K478,$B$6:B478,$B478),2))</f>
        <v/>
      </c>
      <c r="N478" s="23" t="str">
        <f>IF($B478="","",IFERROR(ROUND(INDEX(账户期初本位,MATCH($B478,账户名,0))+SUMIFS($L$6:L478,$B$6:B478,$B478),2),""))</f>
        <v/>
      </c>
      <c r="O478" s="46"/>
      <c r="P478" s="47"/>
      <c r="Q478" s="46"/>
      <c r="R478" s="46"/>
      <c r="S478" s="6" t="str">
        <f>IF($B478="","",IF(ISNA(MATCH($B478,账户名,0)),"※这个账户不在【参数设置】的账户档案里",IF($A478="","※没填日期，这一笔不会进任何月份的报表",IF(AND($G478&lt;&gt;"",$H478&lt;&gt;""),"※收入和支出不能同时填",IF(AND(N($G478)=0,N($H478)=0),"※收入和支出都没填",IF($E478="","※没填收支类别，分类报表会漏掉这一笔",IF(ISNA(MATCH($E478,类别表,0)),"※收支类别不在【参数设置】的清单里",IF($J478="","△"&amp;$D478&amp;" 还没填汇率，去【月度汇率】补上就自动算了",IF(YEAR($A478)&lt;&gt;管理年度,"△不是管理年度的单据，年报里看不到",IF(AND($F478="内部转账",$Q478=""),"△内部转账建议在「往来单位」写上对方账户",IF($M478&lt;0,"△这一笔之后该账户余额成负数了，核一下","")))))))))))</f>
        <v/>
      </c>
    </row>
    <row r="479" ht="16.5" spans="1:19">
      <c r="A479" s="45"/>
      <c r="B479" s="46"/>
      <c r="C479" s="12" t="str">
        <f>IF($B479="","",IFERROR(INDEX(账户银行,MATCH($B479,账户名,0)),""))</f>
        <v/>
      </c>
      <c r="D479" s="12" t="str">
        <f>IF($B479="","",IFERROR(INDEX(账户币种,MATCH($B479,账户名,0)),""))</f>
        <v/>
      </c>
      <c r="E479" s="47"/>
      <c r="F479" s="12" t="str">
        <f>IF($E479="","",IFERROR(INDEX(类别属性,MATCH($E479,类别表,0)),""))</f>
        <v/>
      </c>
      <c r="G479" s="48"/>
      <c r="H479" s="48"/>
      <c r="I479" s="49"/>
      <c r="J479" s="24" t="str">
        <f>IF(OR($A479="",$B479=""),"",IF($I479&lt;&gt;"",$I479,IF($D479=本位币,1,IFERROR(LOOKUP(2,1/((汇率月份&lt;=$A479)*(INDEX(记账汇率区,0,MATCH($D479,汇率币种头,0))&lt;&gt;"")),INDEX(记账汇率区,0,MATCH($D479,汇率币种头,0))),""))))</f>
        <v/>
      </c>
      <c r="K479" s="23" t="str">
        <f t="shared" si="14"/>
        <v/>
      </c>
      <c r="L479" s="23" t="str">
        <f t="shared" si="15"/>
        <v/>
      </c>
      <c r="M479" s="23" t="str">
        <f>IF($B479="","",ROUND(SUMIF(账户名,$B479,账户期初)+SUMIFS($K$6:K479,$B$6:B479,$B479),2))</f>
        <v/>
      </c>
      <c r="N479" s="23" t="str">
        <f>IF($B479="","",IFERROR(ROUND(INDEX(账户期初本位,MATCH($B479,账户名,0))+SUMIFS($L$6:L479,$B$6:B479,$B479),2),""))</f>
        <v/>
      </c>
      <c r="O479" s="46"/>
      <c r="P479" s="47"/>
      <c r="Q479" s="46"/>
      <c r="R479" s="46"/>
      <c r="S479" s="6" t="str">
        <f>IF($B479="","",IF(ISNA(MATCH($B479,账户名,0)),"※这个账户不在【参数设置】的账户档案里",IF($A479="","※没填日期，这一笔不会进任何月份的报表",IF(AND($G479&lt;&gt;"",$H479&lt;&gt;""),"※收入和支出不能同时填",IF(AND(N($G479)=0,N($H479)=0),"※收入和支出都没填",IF($E479="","※没填收支类别，分类报表会漏掉这一笔",IF(ISNA(MATCH($E479,类别表,0)),"※收支类别不在【参数设置】的清单里",IF($J479="","△"&amp;$D479&amp;" 还没填汇率，去【月度汇率】补上就自动算了",IF(YEAR($A479)&lt;&gt;管理年度,"△不是管理年度的单据，年报里看不到",IF(AND($F479="内部转账",$Q479=""),"△内部转账建议在「往来单位」写上对方账户",IF($M479&lt;0,"△这一笔之后该账户余额成负数了，核一下","")))))))))))</f>
        <v/>
      </c>
    </row>
    <row r="480" ht="16.5" spans="1:19">
      <c r="A480" s="45"/>
      <c r="B480" s="46"/>
      <c r="C480" s="12" t="str">
        <f>IF($B480="","",IFERROR(INDEX(账户银行,MATCH($B480,账户名,0)),""))</f>
        <v/>
      </c>
      <c r="D480" s="12" t="str">
        <f>IF($B480="","",IFERROR(INDEX(账户币种,MATCH($B480,账户名,0)),""))</f>
        <v/>
      </c>
      <c r="E480" s="47"/>
      <c r="F480" s="12" t="str">
        <f>IF($E480="","",IFERROR(INDEX(类别属性,MATCH($E480,类别表,0)),""))</f>
        <v/>
      </c>
      <c r="G480" s="48"/>
      <c r="H480" s="48"/>
      <c r="I480" s="49"/>
      <c r="J480" s="24" t="str">
        <f>IF(OR($A480="",$B480=""),"",IF($I480&lt;&gt;"",$I480,IF($D480=本位币,1,IFERROR(LOOKUP(2,1/((汇率月份&lt;=$A480)*(INDEX(记账汇率区,0,MATCH($D480,汇率币种头,0))&lt;&gt;"")),INDEX(记账汇率区,0,MATCH($D480,汇率币种头,0))),""))))</f>
        <v/>
      </c>
      <c r="K480" s="23" t="str">
        <f t="shared" si="14"/>
        <v/>
      </c>
      <c r="L480" s="23" t="str">
        <f t="shared" si="15"/>
        <v/>
      </c>
      <c r="M480" s="23" t="str">
        <f>IF($B480="","",ROUND(SUMIF(账户名,$B480,账户期初)+SUMIFS($K$6:K480,$B$6:B480,$B480),2))</f>
        <v/>
      </c>
      <c r="N480" s="23" t="str">
        <f>IF($B480="","",IFERROR(ROUND(INDEX(账户期初本位,MATCH($B480,账户名,0))+SUMIFS($L$6:L480,$B$6:B480,$B480),2),""))</f>
        <v/>
      </c>
      <c r="O480" s="46"/>
      <c r="P480" s="47"/>
      <c r="Q480" s="46"/>
      <c r="R480" s="46"/>
      <c r="S480" s="6" t="str">
        <f>IF($B480="","",IF(ISNA(MATCH($B480,账户名,0)),"※这个账户不在【参数设置】的账户档案里",IF($A480="","※没填日期，这一笔不会进任何月份的报表",IF(AND($G480&lt;&gt;"",$H480&lt;&gt;""),"※收入和支出不能同时填",IF(AND(N($G480)=0,N($H480)=0),"※收入和支出都没填",IF($E480="","※没填收支类别，分类报表会漏掉这一笔",IF(ISNA(MATCH($E480,类别表,0)),"※收支类别不在【参数设置】的清单里",IF($J480="","△"&amp;$D480&amp;" 还没填汇率，去【月度汇率】补上就自动算了",IF(YEAR($A480)&lt;&gt;管理年度,"△不是管理年度的单据，年报里看不到",IF(AND($F480="内部转账",$Q480=""),"△内部转账建议在「往来单位」写上对方账户",IF($M480&lt;0,"△这一笔之后该账户余额成负数了，核一下","")))))))))))</f>
        <v/>
      </c>
    </row>
    <row r="481" ht="16.5" spans="1:19">
      <c r="A481" s="45"/>
      <c r="B481" s="46"/>
      <c r="C481" s="12" t="str">
        <f>IF($B481="","",IFERROR(INDEX(账户银行,MATCH($B481,账户名,0)),""))</f>
        <v/>
      </c>
      <c r="D481" s="12" t="str">
        <f>IF($B481="","",IFERROR(INDEX(账户币种,MATCH($B481,账户名,0)),""))</f>
        <v/>
      </c>
      <c r="E481" s="47"/>
      <c r="F481" s="12" t="str">
        <f>IF($E481="","",IFERROR(INDEX(类别属性,MATCH($E481,类别表,0)),""))</f>
        <v/>
      </c>
      <c r="G481" s="48"/>
      <c r="H481" s="48"/>
      <c r="I481" s="49"/>
      <c r="J481" s="24" t="str">
        <f>IF(OR($A481="",$B481=""),"",IF($I481&lt;&gt;"",$I481,IF($D481=本位币,1,IFERROR(LOOKUP(2,1/((汇率月份&lt;=$A481)*(INDEX(记账汇率区,0,MATCH($D481,汇率币种头,0))&lt;&gt;"")),INDEX(记账汇率区,0,MATCH($D481,汇率币种头,0))),""))))</f>
        <v/>
      </c>
      <c r="K481" s="23" t="str">
        <f t="shared" si="14"/>
        <v/>
      </c>
      <c r="L481" s="23" t="str">
        <f t="shared" si="15"/>
        <v/>
      </c>
      <c r="M481" s="23" t="str">
        <f>IF($B481="","",ROUND(SUMIF(账户名,$B481,账户期初)+SUMIFS($K$6:K481,$B$6:B481,$B481),2))</f>
        <v/>
      </c>
      <c r="N481" s="23" t="str">
        <f>IF($B481="","",IFERROR(ROUND(INDEX(账户期初本位,MATCH($B481,账户名,0))+SUMIFS($L$6:L481,$B$6:B481,$B481),2),""))</f>
        <v/>
      </c>
      <c r="O481" s="46"/>
      <c r="P481" s="47"/>
      <c r="Q481" s="46"/>
      <c r="R481" s="46"/>
      <c r="S481" s="6" t="str">
        <f>IF($B481="","",IF(ISNA(MATCH($B481,账户名,0)),"※这个账户不在【参数设置】的账户档案里",IF($A481="","※没填日期，这一笔不会进任何月份的报表",IF(AND($G481&lt;&gt;"",$H481&lt;&gt;""),"※收入和支出不能同时填",IF(AND(N($G481)=0,N($H481)=0),"※收入和支出都没填",IF($E481="","※没填收支类别，分类报表会漏掉这一笔",IF(ISNA(MATCH($E481,类别表,0)),"※收支类别不在【参数设置】的清单里",IF($J481="","△"&amp;$D481&amp;" 还没填汇率，去【月度汇率】补上就自动算了",IF(YEAR($A481)&lt;&gt;管理年度,"△不是管理年度的单据，年报里看不到",IF(AND($F481="内部转账",$Q481=""),"△内部转账建议在「往来单位」写上对方账户",IF($M481&lt;0,"△这一笔之后该账户余额成负数了，核一下","")))))))))))</f>
        <v/>
      </c>
    </row>
    <row r="482" ht="16.5" spans="1:19">
      <c r="A482" s="45"/>
      <c r="B482" s="46"/>
      <c r="C482" s="12" t="str">
        <f>IF($B482="","",IFERROR(INDEX(账户银行,MATCH($B482,账户名,0)),""))</f>
        <v/>
      </c>
      <c r="D482" s="12" t="str">
        <f>IF($B482="","",IFERROR(INDEX(账户币种,MATCH($B482,账户名,0)),""))</f>
        <v/>
      </c>
      <c r="E482" s="47"/>
      <c r="F482" s="12" t="str">
        <f>IF($E482="","",IFERROR(INDEX(类别属性,MATCH($E482,类别表,0)),""))</f>
        <v/>
      </c>
      <c r="G482" s="48"/>
      <c r="H482" s="48"/>
      <c r="I482" s="49"/>
      <c r="J482" s="24" t="str">
        <f>IF(OR($A482="",$B482=""),"",IF($I482&lt;&gt;"",$I482,IF($D482=本位币,1,IFERROR(LOOKUP(2,1/((汇率月份&lt;=$A482)*(INDEX(记账汇率区,0,MATCH($D482,汇率币种头,0))&lt;&gt;"")),INDEX(记账汇率区,0,MATCH($D482,汇率币种头,0))),""))))</f>
        <v/>
      </c>
      <c r="K482" s="23" t="str">
        <f t="shared" si="14"/>
        <v/>
      </c>
      <c r="L482" s="23" t="str">
        <f t="shared" si="15"/>
        <v/>
      </c>
      <c r="M482" s="23" t="str">
        <f>IF($B482="","",ROUND(SUMIF(账户名,$B482,账户期初)+SUMIFS($K$6:K482,$B$6:B482,$B482),2))</f>
        <v/>
      </c>
      <c r="N482" s="23" t="str">
        <f>IF($B482="","",IFERROR(ROUND(INDEX(账户期初本位,MATCH($B482,账户名,0))+SUMIFS($L$6:L482,$B$6:B482,$B482),2),""))</f>
        <v/>
      </c>
      <c r="O482" s="46"/>
      <c r="P482" s="47"/>
      <c r="Q482" s="46"/>
      <c r="R482" s="46"/>
      <c r="S482" s="6" t="str">
        <f>IF($B482="","",IF(ISNA(MATCH($B482,账户名,0)),"※这个账户不在【参数设置】的账户档案里",IF($A482="","※没填日期，这一笔不会进任何月份的报表",IF(AND($G482&lt;&gt;"",$H482&lt;&gt;""),"※收入和支出不能同时填",IF(AND(N($G482)=0,N($H482)=0),"※收入和支出都没填",IF($E482="","※没填收支类别，分类报表会漏掉这一笔",IF(ISNA(MATCH($E482,类别表,0)),"※收支类别不在【参数设置】的清单里",IF($J482="","△"&amp;$D482&amp;" 还没填汇率，去【月度汇率】补上就自动算了",IF(YEAR($A482)&lt;&gt;管理年度,"△不是管理年度的单据，年报里看不到",IF(AND($F482="内部转账",$Q482=""),"△内部转账建议在「往来单位」写上对方账户",IF($M482&lt;0,"△这一笔之后该账户余额成负数了，核一下","")))))))))))</f>
        <v/>
      </c>
    </row>
    <row r="483" ht="16.5" spans="1:19">
      <c r="A483" s="45"/>
      <c r="B483" s="46"/>
      <c r="C483" s="12" t="str">
        <f>IF($B483="","",IFERROR(INDEX(账户银行,MATCH($B483,账户名,0)),""))</f>
        <v/>
      </c>
      <c r="D483" s="12" t="str">
        <f>IF($B483="","",IFERROR(INDEX(账户币种,MATCH($B483,账户名,0)),""))</f>
        <v/>
      </c>
      <c r="E483" s="47"/>
      <c r="F483" s="12" t="str">
        <f>IF($E483="","",IFERROR(INDEX(类别属性,MATCH($E483,类别表,0)),""))</f>
        <v/>
      </c>
      <c r="G483" s="48"/>
      <c r="H483" s="48"/>
      <c r="I483" s="49"/>
      <c r="J483" s="24" t="str">
        <f>IF(OR($A483="",$B483=""),"",IF($I483&lt;&gt;"",$I483,IF($D483=本位币,1,IFERROR(LOOKUP(2,1/((汇率月份&lt;=$A483)*(INDEX(记账汇率区,0,MATCH($D483,汇率币种头,0))&lt;&gt;"")),INDEX(记账汇率区,0,MATCH($D483,汇率币种头,0))),""))))</f>
        <v/>
      </c>
      <c r="K483" s="23" t="str">
        <f t="shared" si="14"/>
        <v/>
      </c>
      <c r="L483" s="23" t="str">
        <f t="shared" si="15"/>
        <v/>
      </c>
      <c r="M483" s="23" t="str">
        <f>IF($B483="","",ROUND(SUMIF(账户名,$B483,账户期初)+SUMIFS($K$6:K483,$B$6:B483,$B483),2))</f>
        <v/>
      </c>
      <c r="N483" s="23" t="str">
        <f>IF($B483="","",IFERROR(ROUND(INDEX(账户期初本位,MATCH($B483,账户名,0))+SUMIFS($L$6:L483,$B$6:B483,$B483),2),""))</f>
        <v/>
      </c>
      <c r="O483" s="46"/>
      <c r="P483" s="47"/>
      <c r="Q483" s="46"/>
      <c r="R483" s="46"/>
      <c r="S483" s="6" t="str">
        <f>IF($B483="","",IF(ISNA(MATCH($B483,账户名,0)),"※这个账户不在【参数设置】的账户档案里",IF($A483="","※没填日期，这一笔不会进任何月份的报表",IF(AND($G483&lt;&gt;"",$H483&lt;&gt;""),"※收入和支出不能同时填",IF(AND(N($G483)=0,N($H483)=0),"※收入和支出都没填",IF($E483="","※没填收支类别，分类报表会漏掉这一笔",IF(ISNA(MATCH($E483,类别表,0)),"※收支类别不在【参数设置】的清单里",IF($J483="","△"&amp;$D483&amp;" 还没填汇率，去【月度汇率】补上就自动算了",IF(YEAR($A483)&lt;&gt;管理年度,"△不是管理年度的单据，年报里看不到",IF(AND($F483="内部转账",$Q483=""),"△内部转账建议在「往来单位」写上对方账户",IF($M483&lt;0,"△这一笔之后该账户余额成负数了，核一下","")))))))))))</f>
        <v/>
      </c>
    </row>
    <row r="484" ht="16.5" spans="1:19">
      <c r="A484" s="45"/>
      <c r="B484" s="46"/>
      <c r="C484" s="12" t="str">
        <f>IF($B484="","",IFERROR(INDEX(账户银行,MATCH($B484,账户名,0)),""))</f>
        <v/>
      </c>
      <c r="D484" s="12" t="str">
        <f>IF($B484="","",IFERROR(INDEX(账户币种,MATCH($B484,账户名,0)),""))</f>
        <v/>
      </c>
      <c r="E484" s="47"/>
      <c r="F484" s="12" t="str">
        <f>IF($E484="","",IFERROR(INDEX(类别属性,MATCH($E484,类别表,0)),""))</f>
        <v/>
      </c>
      <c r="G484" s="48"/>
      <c r="H484" s="48"/>
      <c r="I484" s="49"/>
      <c r="J484" s="24" t="str">
        <f>IF(OR($A484="",$B484=""),"",IF($I484&lt;&gt;"",$I484,IF($D484=本位币,1,IFERROR(LOOKUP(2,1/((汇率月份&lt;=$A484)*(INDEX(记账汇率区,0,MATCH($D484,汇率币种头,0))&lt;&gt;"")),INDEX(记账汇率区,0,MATCH($D484,汇率币种头,0))),""))))</f>
        <v/>
      </c>
      <c r="K484" s="23" t="str">
        <f t="shared" si="14"/>
        <v/>
      </c>
      <c r="L484" s="23" t="str">
        <f t="shared" si="15"/>
        <v/>
      </c>
      <c r="M484" s="23" t="str">
        <f>IF($B484="","",ROUND(SUMIF(账户名,$B484,账户期初)+SUMIFS($K$6:K484,$B$6:B484,$B484),2))</f>
        <v/>
      </c>
      <c r="N484" s="23" t="str">
        <f>IF($B484="","",IFERROR(ROUND(INDEX(账户期初本位,MATCH($B484,账户名,0))+SUMIFS($L$6:L484,$B$6:B484,$B484),2),""))</f>
        <v/>
      </c>
      <c r="O484" s="46"/>
      <c r="P484" s="47"/>
      <c r="Q484" s="46"/>
      <c r="R484" s="46"/>
      <c r="S484" s="6" t="str">
        <f>IF($B484="","",IF(ISNA(MATCH($B484,账户名,0)),"※这个账户不在【参数设置】的账户档案里",IF($A484="","※没填日期，这一笔不会进任何月份的报表",IF(AND($G484&lt;&gt;"",$H484&lt;&gt;""),"※收入和支出不能同时填",IF(AND(N($G484)=0,N($H484)=0),"※收入和支出都没填",IF($E484="","※没填收支类别，分类报表会漏掉这一笔",IF(ISNA(MATCH($E484,类别表,0)),"※收支类别不在【参数设置】的清单里",IF($J484="","△"&amp;$D484&amp;" 还没填汇率，去【月度汇率】补上就自动算了",IF(YEAR($A484)&lt;&gt;管理年度,"△不是管理年度的单据，年报里看不到",IF(AND($F484="内部转账",$Q484=""),"△内部转账建议在「往来单位」写上对方账户",IF($M484&lt;0,"△这一笔之后该账户余额成负数了，核一下","")))))))))))</f>
        <v/>
      </c>
    </row>
    <row r="485" ht="16.5" spans="1:19">
      <c r="A485" s="45"/>
      <c r="B485" s="46"/>
      <c r="C485" s="12" t="str">
        <f>IF($B485="","",IFERROR(INDEX(账户银行,MATCH($B485,账户名,0)),""))</f>
        <v/>
      </c>
      <c r="D485" s="12" t="str">
        <f>IF($B485="","",IFERROR(INDEX(账户币种,MATCH($B485,账户名,0)),""))</f>
        <v/>
      </c>
      <c r="E485" s="47"/>
      <c r="F485" s="12" t="str">
        <f>IF($E485="","",IFERROR(INDEX(类别属性,MATCH($E485,类别表,0)),""))</f>
        <v/>
      </c>
      <c r="G485" s="48"/>
      <c r="H485" s="48"/>
      <c r="I485" s="49"/>
      <c r="J485" s="24" t="str">
        <f>IF(OR($A485="",$B485=""),"",IF($I485&lt;&gt;"",$I485,IF($D485=本位币,1,IFERROR(LOOKUP(2,1/((汇率月份&lt;=$A485)*(INDEX(记账汇率区,0,MATCH($D485,汇率币种头,0))&lt;&gt;"")),INDEX(记账汇率区,0,MATCH($D485,汇率币种头,0))),""))))</f>
        <v/>
      </c>
      <c r="K485" s="23" t="str">
        <f t="shared" si="14"/>
        <v/>
      </c>
      <c r="L485" s="23" t="str">
        <f t="shared" si="15"/>
        <v/>
      </c>
      <c r="M485" s="23" t="str">
        <f>IF($B485="","",ROUND(SUMIF(账户名,$B485,账户期初)+SUMIFS($K$6:K485,$B$6:B485,$B485),2))</f>
        <v/>
      </c>
      <c r="N485" s="23" t="str">
        <f>IF($B485="","",IFERROR(ROUND(INDEX(账户期初本位,MATCH($B485,账户名,0))+SUMIFS($L$6:L485,$B$6:B485,$B485),2),""))</f>
        <v/>
      </c>
      <c r="O485" s="46"/>
      <c r="P485" s="47"/>
      <c r="Q485" s="46"/>
      <c r="R485" s="46"/>
      <c r="S485" s="6" t="str">
        <f>IF($B485="","",IF(ISNA(MATCH($B485,账户名,0)),"※这个账户不在【参数设置】的账户档案里",IF($A485="","※没填日期，这一笔不会进任何月份的报表",IF(AND($G485&lt;&gt;"",$H485&lt;&gt;""),"※收入和支出不能同时填",IF(AND(N($G485)=0,N($H485)=0),"※收入和支出都没填",IF($E485="","※没填收支类别，分类报表会漏掉这一笔",IF(ISNA(MATCH($E485,类别表,0)),"※收支类别不在【参数设置】的清单里",IF($J485="","△"&amp;$D485&amp;" 还没填汇率，去【月度汇率】补上就自动算了",IF(YEAR($A485)&lt;&gt;管理年度,"△不是管理年度的单据，年报里看不到",IF(AND($F485="内部转账",$Q485=""),"△内部转账建议在「往来单位」写上对方账户",IF($M485&lt;0,"△这一笔之后该账户余额成负数了，核一下","")))))))))))</f>
        <v/>
      </c>
    </row>
    <row r="486" ht="16.5" spans="1:19">
      <c r="A486" s="45"/>
      <c r="B486" s="46"/>
      <c r="C486" s="12" t="str">
        <f>IF($B486="","",IFERROR(INDEX(账户银行,MATCH($B486,账户名,0)),""))</f>
        <v/>
      </c>
      <c r="D486" s="12" t="str">
        <f>IF($B486="","",IFERROR(INDEX(账户币种,MATCH($B486,账户名,0)),""))</f>
        <v/>
      </c>
      <c r="E486" s="47"/>
      <c r="F486" s="12" t="str">
        <f>IF($E486="","",IFERROR(INDEX(类别属性,MATCH($E486,类别表,0)),""))</f>
        <v/>
      </c>
      <c r="G486" s="48"/>
      <c r="H486" s="48"/>
      <c r="I486" s="49"/>
      <c r="J486" s="24" t="str">
        <f>IF(OR($A486="",$B486=""),"",IF($I486&lt;&gt;"",$I486,IF($D486=本位币,1,IFERROR(LOOKUP(2,1/((汇率月份&lt;=$A486)*(INDEX(记账汇率区,0,MATCH($D486,汇率币种头,0))&lt;&gt;"")),INDEX(记账汇率区,0,MATCH($D486,汇率币种头,0))),""))))</f>
        <v/>
      </c>
      <c r="K486" s="23" t="str">
        <f t="shared" si="14"/>
        <v/>
      </c>
      <c r="L486" s="23" t="str">
        <f t="shared" si="15"/>
        <v/>
      </c>
      <c r="M486" s="23" t="str">
        <f>IF($B486="","",ROUND(SUMIF(账户名,$B486,账户期初)+SUMIFS($K$6:K486,$B$6:B486,$B486),2))</f>
        <v/>
      </c>
      <c r="N486" s="23" t="str">
        <f>IF($B486="","",IFERROR(ROUND(INDEX(账户期初本位,MATCH($B486,账户名,0))+SUMIFS($L$6:L486,$B$6:B486,$B486),2),""))</f>
        <v/>
      </c>
      <c r="O486" s="46"/>
      <c r="P486" s="47"/>
      <c r="Q486" s="46"/>
      <c r="R486" s="46"/>
      <c r="S486" s="6" t="str">
        <f>IF($B486="","",IF(ISNA(MATCH($B486,账户名,0)),"※这个账户不在【参数设置】的账户档案里",IF($A486="","※没填日期，这一笔不会进任何月份的报表",IF(AND($G486&lt;&gt;"",$H486&lt;&gt;""),"※收入和支出不能同时填",IF(AND(N($G486)=0,N($H486)=0),"※收入和支出都没填",IF($E486="","※没填收支类别，分类报表会漏掉这一笔",IF(ISNA(MATCH($E486,类别表,0)),"※收支类别不在【参数设置】的清单里",IF($J486="","△"&amp;$D486&amp;" 还没填汇率，去【月度汇率】补上就自动算了",IF(YEAR($A486)&lt;&gt;管理年度,"△不是管理年度的单据，年报里看不到",IF(AND($F486="内部转账",$Q486=""),"△内部转账建议在「往来单位」写上对方账户",IF($M486&lt;0,"△这一笔之后该账户余额成负数了，核一下","")))))))))))</f>
        <v/>
      </c>
    </row>
    <row r="487" ht="16.5" spans="1:19">
      <c r="A487" s="45"/>
      <c r="B487" s="46"/>
      <c r="C487" s="12" t="str">
        <f>IF($B487="","",IFERROR(INDEX(账户银行,MATCH($B487,账户名,0)),""))</f>
        <v/>
      </c>
      <c r="D487" s="12" t="str">
        <f>IF($B487="","",IFERROR(INDEX(账户币种,MATCH($B487,账户名,0)),""))</f>
        <v/>
      </c>
      <c r="E487" s="47"/>
      <c r="F487" s="12" t="str">
        <f>IF($E487="","",IFERROR(INDEX(类别属性,MATCH($E487,类别表,0)),""))</f>
        <v/>
      </c>
      <c r="G487" s="48"/>
      <c r="H487" s="48"/>
      <c r="I487" s="49"/>
      <c r="J487" s="24" t="str">
        <f>IF(OR($A487="",$B487=""),"",IF($I487&lt;&gt;"",$I487,IF($D487=本位币,1,IFERROR(LOOKUP(2,1/((汇率月份&lt;=$A487)*(INDEX(记账汇率区,0,MATCH($D487,汇率币种头,0))&lt;&gt;"")),INDEX(记账汇率区,0,MATCH($D487,汇率币种头,0))),""))))</f>
        <v/>
      </c>
      <c r="K487" s="23" t="str">
        <f t="shared" si="14"/>
        <v/>
      </c>
      <c r="L487" s="23" t="str">
        <f t="shared" si="15"/>
        <v/>
      </c>
      <c r="M487" s="23" t="str">
        <f>IF($B487="","",ROUND(SUMIF(账户名,$B487,账户期初)+SUMIFS($K$6:K487,$B$6:B487,$B487),2))</f>
        <v/>
      </c>
      <c r="N487" s="23" t="str">
        <f>IF($B487="","",IFERROR(ROUND(INDEX(账户期初本位,MATCH($B487,账户名,0))+SUMIFS($L$6:L487,$B$6:B487,$B487),2),""))</f>
        <v/>
      </c>
      <c r="O487" s="46"/>
      <c r="P487" s="47"/>
      <c r="Q487" s="46"/>
      <c r="R487" s="46"/>
      <c r="S487" s="6" t="str">
        <f>IF($B487="","",IF(ISNA(MATCH($B487,账户名,0)),"※这个账户不在【参数设置】的账户档案里",IF($A487="","※没填日期，这一笔不会进任何月份的报表",IF(AND($G487&lt;&gt;"",$H487&lt;&gt;""),"※收入和支出不能同时填",IF(AND(N($G487)=0,N($H487)=0),"※收入和支出都没填",IF($E487="","※没填收支类别，分类报表会漏掉这一笔",IF(ISNA(MATCH($E487,类别表,0)),"※收支类别不在【参数设置】的清单里",IF($J487="","△"&amp;$D487&amp;" 还没填汇率，去【月度汇率】补上就自动算了",IF(YEAR($A487)&lt;&gt;管理年度,"△不是管理年度的单据，年报里看不到",IF(AND($F487="内部转账",$Q487=""),"△内部转账建议在「往来单位」写上对方账户",IF($M487&lt;0,"△这一笔之后该账户余额成负数了，核一下","")))))))))))</f>
        <v/>
      </c>
    </row>
    <row r="488" ht="16.5" spans="1:19">
      <c r="A488" s="45"/>
      <c r="B488" s="46"/>
      <c r="C488" s="12" t="str">
        <f>IF($B488="","",IFERROR(INDEX(账户银行,MATCH($B488,账户名,0)),""))</f>
        <v/>
      </c>
      <c r="D488" s="12" t="str">
        <f>IF($B488="","",IFERROR(INDEX(账户币种,MATCH($B488,账户名,0)),""))</f>
        <v/>
      </c>
      <c r="E488" s="47"/>
      <c r="F488" s="12" t="str">
        <f>IF($E488="","",IFERROR(INDEX(类别属性,MATCH($E488,类别表,0)),""))</f>
        <v/>
      </c>
      <c r="G488" s="48"/>
      <c r="H488" s="48"/>
      <c r="I488" s="49"/>
      <c r="J488" s="24" t="str">
        <f>IF(OR($A488="",$B488=""),"",IF($I488&lt;&gt;"",$I488,IF($D488=本位币,1,IFERROR(LOOKUP(2,1/((汇率月份&lt;=$A488)*(INDEX(记账汇率区,0,MATCH($D488,汇率币种头,0))&lt;&gt;"")),INDEX(记账汇率区,0,MATCH($D488,汇率币种头,0))),""))))</f>
        <v/>
      </c>
      <c r="K488" s="23" t="str">
        <f t="shared" si="14"/>
        <v/>
      </c>
      <c r="L488" s="23" t="str">
        <f t="shared" si="15"/>
        <v/>
      </c>
      <c r="M488" s="23" t="str">
        <f>IF($B488="","",ROUND(SUMIF(账户名,$B488,账户期初)+SUMIFS($K$6:K488,$B$6:B488,$B488),2))</f>
        <v/>
      </c>
      <c r="N488" s="23" t="str">
        <f>IF($B488="","",IFERROR(ROUND(INDEX(账户期初本位,MATCH($B488,账户名,0))+SUMIFS($L$6:L488,$B$6:B488,$B488),2),""))</f>
        <v/>
      </c>
      <c r="O488" s="46"/>
      <c r="P488" s="47"/>
      <c r="Q488" s="46"/>
      <c r="R488" s="46"/>
      <c r="S488" s="6" t="str">
        <f>IF($B488="","",IF(ISNA(MATCH($B488,账户名,0)),"※这个账户不在【参数设置】的账户档案里",IF($A488="","※没填日期，这一笔不会进任何月份的报表",IF(AND($G488&lt;&gt;"",$H488&lt;&gt;""),"※收入和支出不能同时填",IF(AND(N($G488)=0,N($H488)=0),"※收入和支出都没填",IF($E488="","※没填收支类别，分类报表会漏掉这一笔",IF(ISNA(MATCH($E488,类别表,0)),"※收支类别不在【参数设置】的清单里",IF($J488="","△"&amp;$D488&amp;" 还没填汇率，去【月度汇率】补上就自动算了",IF(YEAR($A488)&lt;&gt;管理年度,"△不是管理年度的单据，年报里看不到",IF(AND($F488="内部转账",$Q488=""),"△内部转账建议在「往来单位」写上对方账户",IF($M488&lt;0,"△这一笔之后该账户余额成负数了，核一下","")))))))))))</f>
        <v/>
      </c>
    </row>
    <row r="489" ht="16.5" spans="1:19">
      <c r="A489" s="45"/>
      <c r="B489" s="46"/>
      <c r="C489" s="12" t="str">
        <f>IF($B489="","",IFERROR(INDEX(账户银行,MATCH($B489,账户名,0)),""))</f>
        <v/>
      </c>
      <c r="D489" s="12" t="str">
        <f>IF($B489="","",IFERROR(INDEX(账户币种,MATCH($B489,账户名,0)),""))</f>
        <v/>
      </c>
      <c r="E489" s="47"/>
      <c r="F489" s="12" t="str">
        <f>IF($E489="","",IFERROR(INDEX(类别属性,MATCH($E489,类别表,0)),""))</f>
        <v/>
      </c>
      <c r="G489" s="48"/>
      <c r="H489" s="48"/>
      <c r="I489" s="49"/>
      <c r="J489" s="24" t="str">
        <f>IF(OR($A489="",$B489=""),"",IF($I489&lt;&gt;"",$I489,IF($D489=本位币,1,IFERROR(LOOKUP(2,1/((汇率月份&lt;=$A489)*(INDEX(记账汇率区,0,MATCH($D489,汇率币种头,0))&lt;&gt;"")),INDEX(记账汇率区,0,MATCH($D489,汇率币种头,0))),""))))</f>
        <v/>
      </c>
      <c r="K489" s="23" t="str">
        <f t="shared" si="14"/>
        <v/>
      </c>
      <c r="L489" s="23" t="str">
        <f t="shared" si="15"/>
        <v/>
      </c>
      <c r="M489" s="23" t="str">
        <f>IF($B489="","",ROUND(SUMIF(账户名,$B489,账户期初)+SUMIFS($K$6:K489,$B$6:B489,$B489),2))</f>
        <v/>
      </c>
      <c r="N489" s="23" t="str">
        <f>IF($B489="","",IFERROR(ROUND(INDEX(账户期初本位,MATCH($B489,账户名,0))+SUMIFS($L$6:L489,$B$6:B489,$B489),2),""))</f>
        <v/>
      </c>
      <c r="O489" s="46"/>
      <c r="P489" s="47"/>
      <c r="Q489" s="46"/>
      <c r="R489" s="46"/>
      <c r="S489" s="6" t="str">
        <f>IF($B489="","",IF(ISNA(MATCH($B489,账户名,0)),"※这个账户不在【参数设置】的账户档案里",IF($A489="","※没填日期，这一笔不会进任何月份的报表",IF(AND($G489&lt;&gt;"",$H489&lt;&gt;""),"※收入和支出不能同时填",IF(AND(N($G489)=0,N($H489)=0),"※收入和支出都没填",IF($E489="","※没填收支类别，分类报表会漏掉这一笔",IF(ISNA(MATCH($E489,类别表,0)),"※收支类别不在【参数设置】的清单里",IF($J489="","△"&amp;$D489&amp;" 还没填汇率，去【月度汇率】补上就自动算了",IF(YEAR($A489)&lt;&gt;管理年度,"△不是管理年度的单据，年报里看不到",IF(AND($F489="内部转账",$Q489=""),"△内部转账建议在「往来单位」写上对方账户",IF($M489&lt;0,"△这一笔之后该账户余额成负数了，核一下","")))))))))))</f>
        <v/>
      </c>
    </row>
    <row r="490" ht="16.5" spans="1:19">
      <c r="A490" s="45"/>
      <c r="B490" s="46"/>
      <c r="C490" s="12" t="str">
        <f>IF($B490="","",IFERROR(INDEX(账户银行,MATCH($B490,账户名,0)),""))</f>
        <v/>
      </c>
      <c r="D490" s="12" t="str">
        <f>IF($B490="","",IFERROR(INDEX(账户币种,MATCH($B490,账户名,0)),""))</f>
        <v/>
      </c>
      <c r="E490" s="47"/>
      <c r="F490" s="12" t="str">
        <f>IF($E490="","",IFERROR(INDEX(类别属性,MATCH($E490,类别表,0)),""))</f>
        <v/>
      </c>
      <c r="G490" s="48"/>
      <c r="H490" s="48"/>
      <c r="I490" s="49"/>
      <c r="J490" s="24" t="str">
        <f>IF(OR($A490="",$B490=""),"",IF($I490&lt;&gt;"",$I490,IF($D490=本位币,1,IFERROR(LOOKUP(2,1/((汇率月份&lt;=$A490)*(INDEX(记账汇率区,0,MATCH($D490,汇率币种头,0))&lt;&gt;"")),INDEX(记账汇率区,0,MATCH($D490,汇率币种头,0))),""))))</f>
        <v/>
      </c>
      <c r="K490" s="23" t="str">
        <f t="shared" si="14"/>
        <v/>
      </c>
      <c r="L490" s="23" t="str">
        <f t="shared" si="15"/>
        <v/>
      </c>
      <c r="M490" s="23" t="str">
        <f>IF($B490="","",ROUND(SUMIF(账户名,$B490,账户期初)+SUMIFS($K$6:K490,$B$6:B490,$B490),2))</f>
        <v/>
      </c>
      <c r="N490" s="23" t="str">
        <f>IF($B490="","",IFERROR(ROUND(INDEX(账户期初本位,MATCH($B490,账户名,0))+SUMIFS($L$6:L490,$B$6:B490,$B490),2),""))</f>
        <v/>
      </c>
      <c r="O490" s="46"/>
      <c r="P490" s="47"/>
      <c r="Q490" s="46"/>
      <c r="R490" s="46"/>
      <c r="S490" s="6" t="str">
        <f>IF($B490="","",IF(ISNA(MATCH($B490,账户名,0)),"※这个账户不在【参数设置】的账户档案里",IF($A490="","※没填日期，这一笔不会进任何月份的报表",IF(AND($G490&lt;&gt;"",$H490&lt;&gt;""),"※收入和支出不能同时填",IF(AND(N($G490)=0,N($H490)=0),"※收入和支出都没填",IF($E490="","※没填收支类别，分类报表会漏掉这一笔",IF(ISNA(MATCH($E490,类别表,0)),"※收支类别不在【参数设置】的清单里",IF($J490="","△"&amp;$D490&amp;" 还没填汇率，去【月度汇率】补上就自动算了",IF(YEAR($A490)&lt;&gt;管理年度,"△不是管理年度的单据，年报里看不到",IF(AND($F490="内部转账",$Q490=""),"△内部转账建议在「往来单位」写上对方账户",IF($M490&lt;0,"△这一笔之后该账户余额成负数了，核一下","")))))))))))</f>
        <v/>
      </c>
    </row>
    <row r="491" ht="16.5" spans="1:19">
      <c r="A491" s="45"/>
      <c r="B491" s="46"/>
      <c r="C491" s="12" t="str">
        <f>IF($B491="","",IFERROR(INDEX(账户银行,MATCH($B491,账户名,0)),""))</f>
        <v/>
      </c>
      <c r="D491" s="12" t="str">
        <f>IF($B491="","",IFERROR(INDEX(账户币种,MATCH($B491,账户名,0)),""))</f>
        <v/>
      </c>
      <c r="E491" s="47"/>
      <c r="F491" s="12" t="str">
        <f>IF($E491="","",IFERROR(INDEX(类别属性,MATCH($E491,类别表,0)),""))</f>
        <v/>
      </c>
      <c r="G491" s="48"/>
      <c r="H491" s="48"/>
      <c r="I491" s="49"/>
      <c r="J491" s="24" t="str">
        <f>IF(OR($A491="",$B491=""),"",IF($I491&lt;&gt;"",$I491,IF($D491=本位币,1,IFERROR(LOOKUP(2,1/((汇率月份&lt;=$A491)*(INDEX(记账汇率区,0,MATCH($D491,汇率币种头,0))&lt;&gt;"")),INDEX(记账汇率区,0,MATCH($D491,汇率币种头,0))),""))))</f>
        <v/>
      </c>
      <c r="K491" s="23" t="str">
        <f t="shared" si="14"/>
        <v/>
      </c>
      <c r="L491" s="23" t="str">
        <f t="shared" si="15"/>
        <v/>
      </c>
      <c r="M491" s="23" t="str">
        <f>IF($B491="","",ROUND(SUMIF(账户名,$B491,账户期初)+SUMIFS($K$6:K491,$B$6:B491,$B491),2))</f>
        <v/>
      </c>
      <c r="N491" s="23" t="str">
        <f>IF($B491="","",IFERROR(ROUND(INDEX(账户期初本位,MATCH($B491,账户名,0))+SUMIFS($L$6:L491,$B$6:B491,$B491),2),""))</f>
        <v/>
      </c>
      <c r="O491" s="46"/>
      <c r="P491" s="47"/>
      <c r="Q491" s="46"/>
      <c r="R491" s="46"/>
      <c r="S491" s="6" t="str">
        <f>IF($B491="","",IF(ISNA(MATCH($B491,账户名,0)),"※这个账户不在【参数设置】的账户档案里",IF($A491="","※没填日期，这一笔不会进任何月份的报表",IF(AND($G491&lt;&gt;"",$H491&lt;&gt;""),"※收入和支出不能同时填",IF(AND(N($G491)=0,N($H491)=0),"※收入和支出都没填",IF($E491="","※没填收支类别，分类报表会漏掉这一笔",IF(ISNA(MATCH($E491,类别表,0)),"※收支类别不在【参数设置】的清单里",IF($J491="","△"&amp;$D491&amp;" 还没填汇率，去【月度汇率】补上就自动算了",IF(YEAR($A491)&lt;&gt;管理年度,"△不是管理年度的单据，年报里看不到",IF(AND($F491="内部转账",$Q491=""),"△内部转账建议在「往来单位」写上对方账户",IF($M491&lt;0,"△这一笔之后该账户余额成负数了，核一下","")))))))))))</f>
        <v/>
      </c>
    </row>
    <row r="492" ht="16.5" spans="1:19">
      <c r="A492" s="45"/>
      <c r="B492" s="46"/>
      <c r="C492" s="12" t="str">
        <f>IF($B492="","",IFERROR(INDEX(账户银行,MATCH($B492,账户名,0)),""))</f>
        <v/>
      </c>
      <c r="D492" s="12" t="str">
        <f>IF($B492="","",IFERROR(INDEX(账户币种,MATCH($B492,账户名,0)),""))</f>
        <v/>
      </c>
      <c r="E492" s="47"/>
      <c r="F492" s="12" t="str">
        <f>IF($E492="","",IFERROR(INDEX(类别属性,MATCH($E492,类别表,0)),""))</f>
        <v/>
      </c>
      <c r="G492" s="48"/>
      <c r="H492" s="48"/>
      <c r="I492" s="49"/>
      <c r="J492" s="24" t="str">
        <f>IF(OR($A492="",$B492=""),"",IF($I492&lt;&gt;"",$I492,IF($D492=本位币,1,IFERROR(LOOKUP(2,1/((汇率月份&lt;=$A492)*(INDEX(记账汇率区,0,MATCH($D492,汇率币种头,0))&lt;&gt;"")),INDEX(记账汇率区,0,MATCH($D492,汇率币种头,0))),""))))</f>
        <v/>
      </c>
      <c r="K492" s="23" t="str">
        <f t="shared" si="14"/>
        <v/>
      </c>
      <c r="L492" s="23" t="str">
        <f t="shared" si="15"/>
        <v/>
      </c>
      <c r="M492" s="23" t="str">
        <f>IF($B492="","",ROUND(SUMIF(账户名,$B492,账户期初)+SUMIFS($K$6:K492,$B$6:B492,$B492),2))</f>
        <v/>
      </c>
      <c r="N492" s="23" t="str">
        <f>IF($B492="","",IFERROR(ROUND(INDEX(账户期初本位,MATCH($B492,账户名,0))+SUMIFS($L$6:L492,$B$6:B492,$B492),2),""))</f>
        <v/>
      </c>
      <c r="O492" s="46"/>
      <c r="P492" s="47"/>
      <c r="Q492" s="46"/>
      <c r="R492" s="46"/>
      <c r="S492" s="6" t="str">
        <f>IF($B492="","",IF(ISNA(MATCH($B492,账户名,0)),"※这个账户不在【参数设置】的账户档案里",IF($A492="","※没填日期，这一笔不会进任何月份的报表",IF(AND($G492&lt;&gt;"",$H492&lt;&gt;""),"※收入和支出不能同时填",IF(AND(N($G492)=0,N($H492)=0),"※收入和支出都没填",IF($E492="","※没填收支类别，分类报表会漏掉这一笔",IF(ISNA(MATCH($E492,类别表,0)),"※收支类别不在【参数设置】的清单里",IF($J492="","△"&amp;$D492&amp;" 还没填汇率，去【月度汇率】补上就自动算了",IF(YEAR($A492)&lt;&gt;管理年度,"△不是管理年度的单据，年报里看不到",IF(AND($F492="内部转账",$Q492=""),"△内部转账建议在「往来单位」写上对方账户",IF($M492&lt;0,"△这一笔之后该账户余额成负数了，核一下","")))))))))))</f>
        <v/>
      </c>
    </row>
    <row r="493" ht="16.5" spans="1:19">
      <c r="A493" s="45"/>
      <c r="B493" s="46"/>
      <c r="C493" s="12" t="str">
        <f>IF($B493="","",IFERROR(INDEX(账户银行,MATCH($B493,账户名,0)),""))</f>
        <v/>
      </c>
      <c r="D493" s="12" t="str">
        <f>IF($B493="","",IFERROR(INDEX(账户币种,MATCH($B493,账户名,0)),""))</f>
        <v/>
      </c>
      <c r="E493" s="47"/>
      <c r="F493" s="12" t="str">
        <f>IF($E493="","",IFERROR(INDEX(类别属性,MATCH($E493,类别表,0)),""))</f>
        <v/>
      </c>
      <c r="G493" s="48"/>
      <c r="H493" s="48"/>
      <c r="I493" s="49"/>
      <c r="J493" s="24" t="str">
        <f>IF(OR($A493="",$B493=""),"",IF($I493&lt;&gt;"",$I493,IF($D493=本位币,1,IFERROR(LOOKUP(2,1/((汇率月份&lt;=$A493)*(INDEX(记账汇率区,0,MATCH($D493,汇率币种头,0))&lt;&gt;"")),INDEX(记账汇率区,0,MATCH($D493,汇率币种头,0))),""))))</f>
        <v/>
      </c>
      <c r="K493" s="23" t="str">
        <f t="shared" si="14"/>
        <v/>
      </c>
      <c r="L493" s="23" t="str">
        <f t="shared" si="15"/>
        <v/>
      </c>
      <c r="M493" s="23" t="str">
        <f>IF($B493="","",ROUND(SUMIF(账户名,$B493,账户期初)+SUMIFS($K$6:K493,$B$6:B493,$B493),2))</f>
        <v/>
      </c>
      <c r="N493" s="23" t="str">
        <f>IF($B493="","",IFERROR(ROUND(INDEX(账户期初本位,MATCH($B493,账户名,0))+SUMIFS($L$6:L493,$B$6:B493,$B493),2),""))</f>
        <v/>
      </c>
      <c r="O493" s="46"/>
      <c r="P493" s="47"/>
      <c r="Q493" s="46"/>
      <c r="R493" s="46"/>
      <c r="S493" s="6" t="str">
        <f>IF($B493="","",IF(ISNA(MATCH($B493,账户名,0)),"※这个账户不在【参数设置】的账户档案里",IF($A493="","※没填日期，这一笔不会进任何月份的报表",IF(AND($G493&lt;&gt;"",$H493&lt;&gt;""),"※收入和支出不能同时填",IF(AND(N($G493)=0,N($H493)=0),"※收入和支出都没填",IF($E493="","※没填收支类别，分类报表会漏掉这一笔",IF(ISNA(MATCH($E493,类别表,0)),"※收支类别不在【参数设置】的清单里",IF($J493="","△"&amp;$D493&amp;" 还没填汇率，去【月度汇率】补上就自动算了",IF(YEAR($A493)&lt;&gt;管理年度,"△不是管理年度的单据，年报里看不到",IF(AND($F493="内部转账",$Q493=""),"△内部转账建议在「往来单位」写上对方账户",IF($M493&lt;0,"△这一笔之后该账户余额成负数了，核一下","")))))))))))</f>
        <v/>
      </c>
    </row>
    <row r="494" ht="16.5" spans="1:19">
      <c r="A494" s="45"/>
      <c r="B494" s="46"/>
      <c r="C494" s="12" t="str">
        <f>IF($B494="","",IFERROR(INDEX(账户银行,MATCH($B494,账户名,0)),""))</f>
        <v/>
      </c>
      <c r="D494" s="12" t="str">
        <f>IF($B494="","",IFERROR(INDEX(账户币种,MATCH($B494,账户名,0)),""))</f>
        <v/>
      </c>
      <c r="E494" s="47"/>
      <c r="F494" s="12" t="str">
        <f>IF($E494="","",IFERROR(INDEX(类别属性,MATCH($E494,类别表,0)),""))</f>
        <v/>
      </c>
      <c r="G494" s="48"/>
      <c r="H494" s="48"/>
      <c r="I494" s="49"/>
      <c r="J494" s="24" t="str">
        <f>IF(OR($A494="",$B494=""),"",IF($I494&lt;&gt;"",$I494,IF($D494=本位币,1,IFERROR(LOOKUP(2,1/((汇率月份&lt;=$A494)*(INDEX(记账汇率区,0,MATCH($D494,汇率币种头,0))&lt;&gt;"")),INDEX(记账汇率区,0,MATCH($D494,汇率币种头,0))),""))))</f>
        <v/>
      </c>
      <c r="K494" s="23" t="str">
        <f t="shared" si="14"/>
        <v/>
      </c>
      <c r="L494" s="23" t="str">
        <f t="shared" si="15"/>
        <v/>
      </c>
      <c r="M494" s="23" t="str">
        <f>IF($B494="","",ROUND(SUMIF(账户名,$B494,账户期初)+SUMIFS($K$6:K494,$B$6:B494,$B494),2))</f>
        <v/>
      </c>
      <c r="N494" s="23" t="str">
        <f>IF($B494="","",IFERROR(ROUND(INDEX(账户期初本位,MATCH($B494,账户名,0))+SUMIFS($L$6:L494,$B$6:B494,$B494),2),""))</f>
        <v/>
      </c>
      <c r="O494" s="46"/>
      <c r="P494" s="47"/>
      <c r="Q494" s="46"/>
      <c r="R494" s="46"/>
      <c r="S494" s="6" t="str">
        <f>IF($B494="","",IF(ISNA(MATCH($B494,账户名,0)),"※这个账户不在【参数设置】的账户档案里",IF($A494="","※没填日期，这一笔不会进任何月份的报表",IF(AND($G494&lt;&gt;"",$H494&lt;&gt;""),"※收入和支出不能同时填",IF(AND(N($G494)=0,N($H494)=0),"※收入和支出都没填",IF($E494="","※没填收支类别，分类报表会漏掉这一笔",IF(ISNA(MATCH($E494,类别表,0)),"※收支类别不在【参数设置】的清单里",IF($J494="","△"&amp;$D494&amp;" 还没填汇率，去【月度汇率】补上就自动算了",IF(YEAR($A494)&lt;&gt;管理年度,"△不是管理年度的单据，年报里看不到",IF(AND($F494="内部转账",$Q494=""),"△内部转账建议在「往来单位」写上对方账户",IF($M494&lt;0,"△这一笔之后该账户余额成负数了，核一下","")))))))))))</f>
        <v/>
      </c>
    </row>
    <row r="495" ht="16.5" spans="1:19">
      <c r="A495" s="45"/>
      <c r="B495" s="46"/>
      <c r="C495" s="12" t="str">
        <f>IF($B495="","",IFERROR(INDEX(账户银行,MATCH($B495,账户名,0)),""))</f>
        <v/>
      </c>
      <c r="D495" s="12" t="str">
        <f>IF($B495="","",IFERROR(INDEX(账户币种,MATCH($B495,账户名,0)),""))</f>
        <v/>
      </c>
      <c r="E495" s="47"/>
      <c r="F495" s="12" t="str">
        <f>IF($E495="","",IFERROR(INDEX(类别属性,MATCH($E495,类别表,0)),""))</f>
        <v/>
      </c>
      <c r="G495" s="48"/>
      <c r="H495" s="48"/>
      <c r="I495" s="49"/>
      <c r="J495" s="24" t="str">
        <f>IF(OR($A495="",$B495=""),"",IF($I495&lt;&gt;"",$I495,IF($D495=本位币,1,IFERROR(LOOKUP(2,1/((汇率月份&lt;=$A495)*(INDEX(记账汇率区,0,MATCH($D495,汇率币种头,0))&lt;&gt;"")),INDEX(记账汇率区,0,MATCH($D495,汇率币种头,0))),""))))</f>
        <v/>
      </c>
      <c r="K495" s="23" t="str">
        <f t="shared" si="14"/>
        <v/>
      </c>
      <c r="L495" s="23" t="str">
        <f t="shared" si="15"/>
        <v/>
      </c>
      <c r="M495" s="23" t="str">
        <f>IF($B495="","",ROUND(SUMIF(账户名,$B495,账户期初)+SUMIFS($K$6:K495,$B$6:B495,$B495),2))</f>
        <v/>
      </c>
      <c r="N495" s="23" t="str">
        <f>IF($B495="","",IFERROR(ROUND(INDEX(账户期初本位,MATCH($B495,账户名,0))+SUMIFS($L$6:L495,$B$6:B495,$B495),2),""))</f>
        <v/>
      </c>
      <c r="O495" s="46"/>
      <c r="P495" s="47"/>
      <c r="Q495" s="46"/>
      <c r="R495" s="46"/>
      <c r="S495" s="6" t="str">
        <f>IF($B495="","",IF(ISNA(MATCH($B495,账户名,0)),"※这个账户不在【参数设置】的账户档案里",IF($A495="","※没填日期，这一笔不会进任何月份的报表",IF(AND($G495&lt;&gt;"",$H495&lt;&gt;""),"※收入和支出不能同时填",IF(AND(N($G495)=0,N($H495)=0),"※收入和支出都没填",IF($E495="","※没填收支类别，分类报表会漏掉这一笔",IF(ISNA(MATCH($E495,类别表,0)),"※收支类别不在【参数设置】的清单里",IF($J495="","△"&amp;$D495&amp;" 还没填汇率，去【月度汇率】补上就自动算了",IF(YEAR($A495)&lt;&gt;管理年度,"△不是管理年度的单据，年报里看不到",IF(AND($F495="内部转账",$Q495=""),"△内部转账建议在「往来单位」写上对方账户",IF($M495&lt;0,"△这一笔之后该账户余额成负数了，核一下","")))))))))))</f>
        <v/>
      </c>
    </row>
    <row r="496" ht="16.5" spans="1:19">
      <c r="A496" s="45"/>
      <c r="B496" s="46"/>
      <c r="C496" s="12" t="str">
        <f>IF($B496="","",IFERROR(INDEX(账户银行,MATCH($B496,账户名,0)),""))</f>
        <v/>
      </c>
      <c r="D496" s="12" t="str">
        <f>IF($B496="","",IFERROR(INDEX(账户币种,MATCH($B496,账户名,0)),""))</f>
        <v/>
      </c>
      <c r="E496" s="47"/>
      <c r="F496" s="12" t="str">
        <f>IF($E496="","",IFERROR(INDEX(类别属性,MATCH($E496,类别表,0)),""))</f>
        <v/>
      </c>
      <c r="G496" s="48"/>
      <c r="H496" s="48"/>
      <c r="I496" s="49"/>
      <c r="J496" s="24" t="str">
        <f>IF(OR($A496="",$B496=""),"",IF($I496&lt;&gt;"",$I496,IF($D496=本位币,1,IFERROR(LOOKUP(2,1/((汇率月份&lt;=$A496)*(INDEX(记账汇率区,0,MATCH($D496,汇率币种头,0))&lt;&gt;"")),INDEX(记账汇率区,0,MATCH($D496,汇率币种头,0))),""))))</f>
        <v/>
      </c>
      <c r="K496" s="23" t="str">
        <f t="shared" si="14"/>
        <v/>
      </c>
      <c r="L496" s="23" t="str">
        <f t="shared" si="15"/>
        <v/>
      </c>
      <c r="M496" s="23" t="str">
        <f>IF($B496="","",ROUND(SUMIF(账户名,$B496,账户期初)+SUMIFS($K$6:K496,$B$6:B496,$B496),2))</f>
        <v/>
      </c>
      <c r="N496" s="23" t="str">
        <f>IF($B496="","",IFERROR(ROUND(INDEX(账户期初本位,MATCH($B496,账户名,0))+SUMIFS($L$6:L496,$B$6:B496,$B496),2),""))</f>
        <v/>
      </c>
      <c r="O496" s="46"/>
      <c r="P496" s="47"/>
      <c r="Q496" s="46"/>
      <c r="R496" s="46"/>
      <c r="S496" s="6" t="str">
        <f>IF($B496="","",IF(ISNA(MATCH($B496,账户名,0)),"※这个账户不在【参数设置】的账户档案里",IF($A496="","※没填日期，这一笔不会进任何月份的报表",IF(AND($G496&lt;&gt;"",$H496&lt;&gt;""),"※收入和支出不能同时填",IF(AND(N($G496)=0,N($H496)=0),"※收入和支出都没填",IF($E496="","※没填收支类别，分类报表会漏掉这一笔",IF(ISNA(MATCH($E496,类别表,0)),"※收支类别不在【参数设置】的清单里",IF($J496="","△"&amp;$D496&amp;" 还没填汇率，去【月度汇率】补上就自动算了",IF(YEAR($A496)&lt;&gt;管理年度,"△不是管理年度的单据，年报里看不到",IF(AND($F496="内部转账",$Q496=""),"△内部转账建议在「往来单位」写上对方账户",IF($M496&lt;0,"△这一笔之后该账户余额成负数了，核一下","")))))))))))</f>
        <v/>
      </c>
    </row>
    <row r="497" ht="16.5" spans="1:19">
      <c r="A497" s="45"/>
      <c r="B497" s="46"/>
      <c r="C497" s="12" t="str">
        <f>IF($B497="","",IFERROR(INDEX(账户银行,MATCH($B497,账户名,0)),""))</f>
        <v/>
      </c>
      <c r="D497" s="12" t="str">
        <f>IF($B497="","",IFERROR(INDEX(账户币种,MATCH($B497,账户名,0)),""))</f>
        <v/>
      </c>
      <c r="E497" s="47"/>
      <c r="F497" s="12" t="str">
        <f>IF($E497="","",IFERROR(INDEX(类别属性,MATCH($E497,类别表,0)),""))</f>
        <v/>
      </c>
      <c r="G497" s="48"/>
      <c r="H497" s="48"/>
      <c r="I497" s="49"/>
      <c r="J497" s="24" t="str">
        <f>IF(OR($A497="",$B497=""),"",IF($I497&lt;&gt;"",$I497,IF($D497=本位币,1,IFERROR(LOOKUP(2,1/((汇率月份&lt;=$A497)*(INDEX(记账汇率区,0,MATCH($D497,汇率币种头,0))&lt;&gt;"")),INDEX(记账汇率区,0,MATCH($D497,汇率币种头,0))),""))))</f>
        <v/>
      </c>
      <c r="K497" s="23" t="str">
        <f t="shared" si="14"/>
        <v/>
      </c>
      <c r="L497" s="23" t="str">
        <f t="shared" si="15"/>
        <v/>
      </c>
      <c r="M497" s="23" t="str">
        <f>IF($B497="","",ROUND(SUMIF(账户名,$B497,账户期初)+SUMIFS($K$6:K497,$B$6:B497,$B497),2))</f>
        <v/>
      </c>
      <c r="N497" s="23" t="str">
        <f>IF($B497="","",IFERROR(ROUND(INDEX(账户期初本位,MATCH($B497,账户名,0))+SUMIFS($L$6:L497,$B$6:B497,$B497),2),""))</f>
        <v/>
      </c>
      <c r="O497" s="46"/>
      <c r="P497" s="47"/>
      <c r="Q497" s="46"/>
      <c r="R497" s="46"/>
      <c r="S497" s="6" t="str">
        <f>IF($B497="","",IF(ISNA(MATCH($B497,账户名,0)),"※这个账户不在【参数设置】的账户档案里",IF($A497="","※没填日期，这一笔不会进任何月份的报表",IF(AND($G497&lt;&gt;"",$H497&lt;&gt;""),"※收入和支出不能同时填",IF(AND(N($G497)=0,N($H497)=0),"※收入和支出都没填",IF($E497="","※没填收支类别，分类报表会漏掉这一笔",IF(ISNA(MATCH($E497,类别表,0)),"※收支类别不在【参数设置】的清单里",IF($J497="","△"&amp;$D497&amp;" 还没填汇率，去【月度汇率】补上就自动算了",IF(YEAR($A497)&lt;&gt;管理年度,"△不是管理年度的单据，年报里看不到",IF(AND($F497="内部转账",$Q497=""),"△内部转账建议在「往来单位」写上对方账户",IF($M497&lt;0,"△这一笔之后该账户余额成负数了，核一下","")))))))))))</f>
        <v/>
      </c>
    </row>
    <row r="498" ht="16.5" spans="1:19">
      <c r="A498" s="45"/>
      <c r="B498" s="46"/>
      <c r="C498" s="12" t="str">
        <f>IF($B498="","",IFERROR(INDEX(账户银行,MATCH($B498,账户名,0)),""))</f>
        <v/>
      </c>
      <c r="D498" s="12" t="str">
        <f>IF($B498="","",IFERROR(INDEX(账户币种,MATCH($B498,账户名,0)),""))</f>
        <v/>
      </c>
      <c r="E498" s="47"/>
      <c r="F498" s="12" t="str">
        <f>IF($E498="","",IFERROR(INDEX(类别属性,MATCH($E498,类别表,0)),""))</f>
        <v/>
      </c>
      <c r="G498" s="48"/>
      <c r="H498" s="48"/>
      <c r="I498" s="49"/>
      <c r="J498" s="24" t="str">
        <f>IF(OR($A498="",$B498=""),"",IF($I498&lt;&gt;"",$I498,IF($D498=本位币,1,IFERROR(LOOKUP(2,1/((汇率月份&lt;=$A498)*(INDEX(记账汇率区,0,MATCH($D498,汇率币种头,0))&lt;&gt;"")),INDEX(记账汇率区,0,MATCH($D498,汇率币种头,0))),""))))</f>
        <v/>
      </c>
      <c r="K498" s="23" t="str">
        <f t="shared" si="14"/>
        <v/>
      </c>
      <c r="L498" s="23" t="str">
        <f t="shared" si="15"/>
        <v/>
      </c>
      <c r="M498" s="23" t="str">
        <f>IF($B498="","",ROUND(SUMIF(账户名,$B498,账户期初)+SUMIFS($K$6:K498,$B$6:B498,$B498),2))</f>
        <v/>
      </c>
      <c r="N498" s="23" t="str">
        <f>IF($B498="","",IFERROR(ROUND(INDEX(账户期初本位,MATCH($B498,账户名,0))+SUMIFS($L$6:L498,$B$6:B498,$B498),2),""))</f>
        <v/>
      </c>
      <c r="O498" s="46"/>
      <c r="P498" s="47"/>
      <c r="Q498" s="46"/>
      <c r="R498" s="46"/>
      <c r="S498" s="6" t="str">
        <f>IF($B498="","",IF(ISNA(MATCH($B498,账户名,0)),"※这个账户不在【参数设置】的账户档案里",IF($A498="","※没填日期，这一笔不会进任何月份的报表",IF(AND($G498&lt;&gt;"",$H498&lt;&gt;""),"※收入和支出不能同时填",IF(AND(N($G498)=0,N($H498)=0),"※收入和支出都没填",IF($E498="","※没填收支类别，分类报表会漏掉这一笔",IF(ISNA(MATCH($E498,类别表,0)),"※收支类别不在【参数设置】的清单里",IF($J498="","△"&amp;$D498&amp;" 还没填汇率，去【月度汇率】补上就自动算了",IF(YEAR($A498)&lt;&gt;管理年度,"△不是管理年度的单据，年报里看不到",IF(AND($F498="内部转账",$Q498=""),"△内部转账建议在「往来单位」写上对方账户",IF($M498&lt;0,"△这一笔之后该账户余额成负数了，核一下","")))))))))))</f>
        <v/>
      </c>
    </row>
    <row r="499" ht="16.5" spans="1:19">
      <c r="A499" s="45"/>
      <c r="B499" s="46"/>
      <c r="C499" s="12" t="str">
        <f>IF($B499="","",IFERROR(INDEX(账户银行,MATCH($B499,账户名,0)),""))</f>
        <v/>
      </c>
      <c r="D499" s="12" t="str">
        <f>IF($B499="","",IFERROR(INDEX(账户币种,MATCH($B499,账户名,0)),""))</f>
        <v/>
      </c>
      <c r="E499" s="47"/>
      <c r="F499" s="12" t="str">
        <f>IF($E499="","",IFERROR(INDEX(类别属性,MATCH($E499,类别表,0)),""))</f>
        <v/>
      </c>
      <c r="G499" s="48"/>
      <c r="H499" s="48"/>
      <c r="I499" s="49"/>
      <c r="J499" s="24" t="str">
        <f>IF(OR($A499="",$B499=""),"",IF($I499&lt;&gt;"",$I499,IF($D499=本位币,1,IFERROR(LOOKUP(2,1/((汇率月份&lt;=$A499)*(INDEX(记账汇率区,0,MATCH($D499,汇率币种头,0))&lt;&gt;"")),INDEX(记账汇率区,0,MATCH($D499,汇率币种头,0))),""))))</f>
        <v/>
      </c>
      <c r="K499" s="23" t="str">
        <f t="shared" si="14"/>
        <v/>
      </c>
      <c r="L499" s="23" t="str">
        <f t="shared" si="15"/>
        <v/>
      </c>
      <c r="M499" s="23" t="str">
        <f>IF($B499="","",ROUND(SUMIF(账户名,$B499,账户期初)+SUMIFS($K$6:K499,$B$6:B499,$B499),2))</f>
        <v/>
      </c>
      <c r="N499" s="23" t="str">
        <f>IF($B499="","",IFERROR(ROUND(INDEX(账户期初本位,MATCH($B499,账户名,0))+SUMIFS($L$6:L499,$B$6:B499,$B499),2),""))</f>
        <v/>
      </c>
      <c r="O499" s="46"/>
      <c r="P499" s="47"/>
      <c r="Q499" s="46"/>
      <c r="R499" s="46"/>
      <c r="S499" s="6" t="str">
        <f>IF($B499="","",IF(ISNA(MATCH($B499,账户名,0)),"※这个账户不在【参数设置】的账户档案里",IF($A499="","※没填日期，这一笔不会进任何月份的报表",IF(AND($G499&lt;&gt;"",$H499&lt;&gt;""),"※收入和支出不能同时填",IF(AND(N($G499)=0,N($H499)=0),"※收入和支出都没填",IF($E499="","※没填收支类别，分类报表会漏掉这一笔",IF(ISNA(MATCH($E499,类别表,0)),"※收支类别不在【参数设置】的清单里",IF($J499="","△"&amp;$D499&amp;" 还没填汇率，去【月度汇率】补上就自动算了",IF(YEAR($A499)&lt;&gt;管理年度,"△不是管理年度的单据，年报里看不到",IF(AND($F499="内部转账",$Q499=""),"△内部转账建议在「往来单位」写上对方账户",IF($M499&lt;0,"△这一笔之后该账户余额成负数了，核一下","")))))))))))</f>
        <v/>
      </c>
    </row>
    <row r="500" ht="16.5" spans="1:19">
      <c r="A500" s="45"/>
      <c r="B500" s="46"/>
      <c r="C500" s="12" t="str">
        <f>IF($B500="","",IFERROR(INDEX(账户银行,MATCH($B500,账户名,0)),""))</f>
        <v/>
      </c>
      <c r="D500" s="12" t="str">
        <f>IF($B500="","",IFERROR(INDEX(账户币种,MATCH($B500,账户名,0)),""))</f>
        <v/>
      </c>
      <c r="E500" s="47"/>
      <c r="F500" s="12" t="str">
        <f>IF($E500="","",IFERROR(INDEX(类别属性,MATCH($E500,类别表,0)),""))</f>
        <v/>
      </c>
      <c r="G500" s="48"/>
      <c r="H500" s="48"/>
      <c r="I500" s="49"/>
      <c r="J500" s="24" t="str">
        <f>IF(OR($A500="",$B500=""),"",IF($I500&lt;&gt;"",$I500,IF($D500=本位币,1,IFERROR(LOOKUP(2,1/((汇率月份&lt;=$A500)*(INDEX(记账汇率区,0,MATCH($D500,汇率币种头,0))&lt;&gt;"")),INDEX(记账汇率区,0,MATCH($D500,汇率币种头,0))),""))))</f>
        <v/>
      </c>
      <c r="K500" s="23" t="str">
        <f t="shared" si="14"/>
        <v/>
      </c>
      <c r="L500" s="23" t="str">
        <f t="shared" si="15"/>
        <v/>
      </c>
      <c r="M500" s="23" t="str">
        <f>IF($B500="","",ROUND(SUMIF(账户名,$B500,账户期初)+SUMIFS($K$6:K500,$B$6:B500,$B500),2))</f>
        <v/>
      </c>
      <c r="N500" s="23" t="str">
        <f>IF($B500="","",IFERROR(ROUND(INDEX(账户期初本位,MATCH($B500,账户名,0))+SUMIFS($L$6:L500,$B$6:B500,$B500),2),""))</f>
        <v/>
      </c>
      <c r="O500" s="46"/>
      <c r="P500" s="47"/>
      <c r="Q500" s="46"/>
      <c r="R500" s="46"/>
      <c r="S500" s="6" t="str">
        <f>IF($B500="","",IF(ISNA(MATCH($B500,账户名,0)),"※这个账户不在【参数设置】的账户档案里",IF($A500="","※没填日期，这一笔不会进任何月份的报表",IF(AND($G500&lt;&gt;"",$H500&lt;&gt;""),"※收入和支出不能同时填",IF(AND(N($G500)=0,N($H500)=0),"※收入和支出都没填",IF($E500="","※没填收支类别，分类报表会漏掉这一笔",IF(ISNA(MATCH($E500,类别表,0)),"※收支类别不在【参数设置】的清单里",IF($J500="","△"&amp;$D500&amp;" 还没填汇率，去【月度汇率】补上就自动算了",IF(YEAR($A500)&lt;&gt;管理年度,"△不是管理年度的单据，年报里看不到",IF(AND($F500="内部转账",$Q500=""),"△内部转账建议在「往来单位」写上对方账户",IF($M500&lt;0,"△这一笔之后该账户余额成负数了，核一下","")))))))))))</f>
        <v/>
      </c>
    </row>
    <row r="501" ht="16.5" spans="1:19">
      <c r="A501" s="45"/>
      <c r="B501" s="46"/>
      <c r="C501" s="12" t="str">
        <f>IF($B501="","",IFERROR(INDEX(账户银行,MATCH($B501,账户名,0)),""))</f>
        <v/>
      </c>
      <c r="D501" s="12" t="str">
        <f>IF($B501="","",IFERROR(INDEX(账户币种,MATCH($B501,账户名,0)),""))</f>
        <v/>
      </c>
      <c r="E501" s="47"/>
      <c r="F501" s="12" t="str">
        <f>IF($E501="","",IFERROR(INDEX(类别属性,MATCH($E501,类别表,0)),""))</f>
        <v/>
      </c>
      <c r="G501" s="48"/>
      <c r="H501" s="48"/>
      <c r="I501" s="49"/>
      <c r="J501" s="24" t="str">
        <f>IF(OR($A501="",$B501=""),"",IF($I501&lt;&gt;"",$I501,IF($D501=本位币,1,IFERROR(LOOKUP(2,1/((汇率月份&lt;=$A501)*(INDEX(记账汇率区,0,MATCH($D501,汇率币种头,0))&lt;&gt;"")),INDEX(记账汇率区,0,MATCH($D501,汇率币种头,0))),""))))</f>
        <v/>
      </c>
      <c r="K501" s="23" t="str">
        <f t="shared" si="14"/>
        <v/>
      </c>
      <c r="L501" s="23" t="str">
        <f t="shared" si="15"/>
        <v/>
      </c>
      <c r="M501" s="23" t="str">
        <f>IF($B501="","",ROUND(SUMIF(账户名,$B501,账户期初)+SUMIFS($K$6:K501,$B$6:B501,$B501),2))</f>
        <v/>
      </c>
      <c r="N501" s="23" t="str">
        <f>IF($B501="","",IFERROR(ROUND(INDEX(账户期初本位,MATCH($B501,账户名,0))+SUMIFS($L$6:L501,$B$6:B501,$B501),2),""))</f>
        <v/>
      </c>
      <c r="O501" s="46"/>
      <c r="P501" s="47"/>
      <c r="Q501" s="46"/>
      <c r="R501" s="46"/>
      <c r="S501" s="6" t="str">
        <f>IF($B501="","",IF(ISNA(MATCH($B501,账户名,0)),"※这个账户不在【参数设置】的账户档案里",IF($A501="","※没填日期，这一笔不会进任何月份的报表",IF(AND($G501&lt;&gt;"",$H501&lt;&gt;""),"※收入和支出不能同时填",IF(AND(N($G501)=0,N($H501)=0),"※收入和支出都没填",IF($E501="","※没填收支类别，分类报表会漏掉这一笔",IF(ISNA(MATCH($E501,类别表,0)),"※收支类别不在【参数设置】的清单里",IF($J501="","△"&amp;$D501&amp;" 还没填汇率，去【月度汇率】补上就自动算了",IF(YEAR($A501)&lt;&gt;管理年度,"△不是管理年度的单据，年报里看不到",IF(AND($F501="内部转账",$Q501=""),"△内部转账建议在「往来单位」写上对方账户",IF($M501&lt;0,"△这一笔之后该账户余额成负数了，核一下","")))))))))))</f>
        <v/>
      </c>
    </row>
    <row r="502" ht="16.5" spans="1:19">
      <c r="A502" s="45"/>
      <c r="B502" s="46"/>
      <c r="C502" s="12" t="str">
        <f>IF($B502="","",IFERROR(INDEX(账户银行,MATCH($B502,账户名,0)),""))</f>
        <v/>
      </c>
      <c r="D502" s="12" t="str">
        <f>IF($B502="","",IFERROR(INDEX(账户币种,MATCH($B502,账户名,0)),""))</f>
        <v/>
      </c>
      <c r="E502" s="47"/>
      <c r="F502" s="12" t="str">
        <f>IF($E502="","",IFERROR(INDEX(类别属性,MATCH($E502,类别表,0)),""))</f>
        <v/>
      </c>
      <c r="G502" s="48"/>
      <c r="H502" s="48"/>
      <c r="I502" s="49"/>
      <c r="J502" s="24" t="str">
        <f>IF(OR($A502="",$B502=""),"",IF($I502&lt;&gt;"",$I502,IF($D502=本位币,1,IFERROR(LOOKUP(2,1/((汇率月份&lt;=$A502)*(INDEX(记账汇率区,0,MATCH($D502,汇率币种头,0))&lt;&gt;"")),INDEX(记账汇率区,0,MATCH($D502,汇率币种头,0))),""))))</f>
        <v/>
      </c>
      <c r="K502" s="23" t="str">
        <f t="shared" si="14"/>
        <v/>
      </c>
      <c r="L502" s="23" t="str">
        <f t="shared" si="15"/>
        <v/>
      </c>
      <c r="M502" s="23" t="str">
        <f>IF($B502="","",ROUND(SUMIF(账户名,$B502,账户期初)+SUMIFS($K$6:K502,$B$6:B502,$B502),2))</f>
        <v/>
      </c>
      <c r="N502" s="23" t="str">
        <f>IF($B502="","",IFERROR(ROUND(INDEX(账户期初本位,MATCH($B502,账户名,0))+SUMIFS($L$6:L502,$B$6:B502,$B502),2),""))</f>
        <v/>
      </c>
      <c r="O502" s="46"/>
      <c r="P502" s="47"/>
      <c r="Q502" s="46"/>
      <c r="R502" s="46"/>
      <c r="S502" s="6" t="str">
        <f>IF($B502="","",IF(ISNA(MATCH($B502,账户名,0)),"※这个账户不在【参数设置】的账户档案里",IF($A502="","※没填日期，这一笔不会进任何月份的报表",IF(AND($G502&lt;&gt;"",$H502&lt;&gt;""),"※收入和支出不能同时填",IF(AND(N($G502)=0,N($H502)=0),"※收入和支出都没填",IF($E502="","※没填收支类别，分类报表会漏掉这一笔",IF(ISNA(MATCH($E502,类别表,0)),"※收支类别不在【参数设置】的清单里",IF($J502="","△"&amp;$D502&amp;" 还没填汇率，去【月度汇率】补上就自动算了",IF(YEAR($A502)&lt;&gt;管理年度,"△不是管理年度的单据，年报里看不到",IF(AND($F502="内部转账",$Q502=""),"△内部转账建议在「往来单位」写上对方账户",IF($M502&lt;0,"△这一笔之后该账户余额成负数了，核一下","")))))))))))</f>
        <v/>
      </c>
    </row>
    <row r="503" ht="16.5" spans="1:19">
      <c r="A503" s="45"/>
      <c r="B503" s="46"/>
      <c r="C503" s="12" t="str">
        <f>IF($B503="","",IFERROR(INDEX(账户银行,MATCH($B503,账户名,0)),""))</f>
        <v/>
      </c>
      <c r="D503" s="12" t="str">
        <f>IF($B503="","",IFERROR(INDEX(账户币种,MATCH($B503,账户名,0)),""))</f>
        <v/>
      </c>
      <c r="E503" s="47"/>
      <c r="F503" s="12" t="str">
        <f>IF($E503="","",IFERROR(INDEX(类别属性,MATCH($E503,类别表,0)),""))</f>
        <v/>
      </c>
      <c r="G503" s="48"/>
      <c r="H503" s="48"/>
      <c r="I503" s="49"/>
      <c r="J503" s="24" t="str">
        <f>IF(OR($A503="",$B503=""),"",IF($I503&lt;&gt;"",$I503,IF($D503=本位币,1,IFERROR(LOOKUP(2,1/((汇率月份&lt;=$A503)*(INDEX(记账汇率区,0,MATCH($D503,汇率币种头,0))&lt;&gt;"")),INDEX(记账汇率区,0,MATCH($D503,汇率币种头,0))),""))))</f>
        <v/>
      </c>
      <c r="K503" s="23" t="str">
        <f t="shared" si="14"/>
        <v/>
      </c>
      <c r="L503" s="23" t="str">
        <f t="shared" si="15"/>
        <v/>
      </c>
      <c r="M503" s="23" t="str">
        <f>IF($B503="","",ROUND(SUMIF(账户名,$B503,账户期初)+SUMIFS($K$6:K503,$B$6:B503,$B503),2))</f>
        <v/>
      </c>
      <c r="N503" s="23" t="str">
        <f>IF($B503="","",IFERROR(ROUND(INDEX(账户期初本位,MATCH($B503,账户名,0))+SUMIFS($L$6:L503,$B$6:B503,$B503),2),""))</f>
        <v/>
      </c>
      <c r="O503" s="46"/>
      <c r="P503" s="47"/>
      <c r="Q503" s="46"/>
      <c r="R503" s="46"/>
      <c r="S503" s="6" t="str">
        <f>IF($B503="","",IF(ISNA(MATCH($B503,账户名,0)),"※这个账户不在【参数设置】的账户档案里",IF($A503="","※没填日期，这一笔不会进任何月份的报表",IF(AND($G503&lt;&gt;"",$H503&lt;&gt;""),"※收入和支出不能同时填",IF(AND(N($G503)=0,N($H503)=0),"※收入和支出都没填",IF($E503="","※没填收支类别，分类报表会漏掉这一笔",IF(ISNA(MATCH($E503,类别表,0)),"※收支类别不在【参数设置】的清单里",IF($J503="","△"&amp;$D503&amp;" 还没填汇率，去【月度汇率】补上就自动算了",IF(YEAR($A503)&lt;&gt;管理年度,"△不是管理年度的单据，年报里看不到",IF(AND($F503="内部转账",$Q503=""),"△内部转账建议在「往来单位」写上对方账户",IF($M503&lt;0,"△这一笔之后该账户余额成负数了，核一下","")))))))))))</f>
        <v/>
      </c>
    </row>
    <row r="504" ht="16.5" spans="1:19">
      <c r="A504" s="45"/>
      <c r="B504" s="46"/>
      <c r="C504" s="12" t="str">
        <f>IF($B504="","",IFERROR(INDEX(账户银行,MATCH($B504,账户名,0)),""))</f>
        <v/>
      </c>
      <c r="D504" s="12" t="str">
        <f>IF($B504="","",IFERROR(INDEX(账户币种,MATCH($B504,账户名,0)),""))</f>
        <v/>
      </c>
      <c r="E504" s="47"/>
      <c r="F504" s="12" t="str">
        <f>IF($E504="","",IFERROR(INDEX(类别属性,MATCH($E504,类别表,0)),""))</f>
        <v/>
      </c>
      <c r="G504" s="48"/>
      <c r="H504" s="48"/>
      <c r="I504" s="49"/>
      <c r="J504" s="24" t="str">
        <f>IF(OR($A504="",$B504=""),"",IF($I504&lt;&gt;"",$I504,IF($D504=本位币,1,IFERROR(LOOKUP(2,1/((汇率月份&lt;=$A504)*(INDEX(记账汇率区,0,MATCH($D504,汇率币种头,0))&lt;&gt;"")),INDEX(记账汇率区,0,MATCH($D504,汇率币种头,0))),""))))</f>
        <v/>
      </c>
      <c r="K504" s="23" t="str">
        <f t="shared" si="14"/>
        <v/>
      </c>
      <c r="L504" s="23" t="str">
        <f t="shared" si="15"/>
        <v/>
      </c>
      <c r="M504" s="23" t="str">
        <f>IF($B504="","",ROUND(SUMIF(账户名,$B504,账户期初)+SUMIFS($K$6:K504,$B$6:B504,$B504),2))</f>
        <v/>
      </c>
      <c r="N504" s="23" t="str">
        <f>IF($B504="","",IFERROR(ROUND(INDEX(账户期初本位,MATCH($B504,账户名,0))+SUMIFS($L$6:L504,$B$6:B504,$B504),2),""))</f>
        <v/>
      </c>
      <c r="O504" s="46"/>
      <c r="P504" s="47"/>
      <c r="Q504" s="46"/>
      <c r="R504" s="46"/>
      <c r="S504" s="6" t="str">
        <f>IF($B504="","",IF(ISNA(MATCH($B504,账户名,0)),"※这个账户不在【参数设置】的账户档案里",IF($A504="","※没填日期，这一笔不会进任何月份的报表",IF(AND($G504&lt;&gt;"",$H504&lt;&gt;""),"※收入和支出不能同时填",IF(AND(N($G504)=0,N($H504)=0),"※收入和支出都没填",IF($E504="","※没填收支类别，分类报表会漏掉这一笔",IF(ISNA(MATCH($E504,类别表,0)),"※收支类别不在【参数设置】的清单里",IF($J504="","△"&amp;$D504&amp;" 还没填汇率，去【月度汇率】补上就自动算了",IF(YEAR($A504)&lt;&gt;管理年度,"△不是管理年度的单据，年报里看不到",IF(AND($F504="内部转账",$Q504=""),"△内部转账建议在「往来单位」写上对方账户",IF($M504&lt;0,"△这一笔之后该账户余额成负数了，核一下","")))))))))))</f>
        <v/>
      </c>
    </row>
    <row r="505" ht="16.5" spans="1:19">
      <c r="A505" s="45"/>
      <c r="B505" s="46"/>
      <c r="C505" s="12" t="str">
        <f>IF($B505="","",IFERROR(INDEX(账户银行,MATCH($B505,账户名,0)),""))</f>
        <v/>
      </c>
      <c r="D505" s="12" t="str">
        <f>IF($B505="","",IFERROR(INDEX(账户币种,MATCH($B505,账户名,0)),""))</f>
        <v/>
      </c>
      <c r="E505" s="47"/>
      <c r="F505" s="12" t="str">
        <f>IF($E505="","",IFERROR(INDEX(类别属性,MATCH($E505,类别表,0)),""))</f>
        <v/>
      </c>
      <c r="G505" s="48"/>
      <c r="H505" s="48"/>
      <c r="I505" s="49"/>
      <c r="J505" s="24" t="str">
        <f>IF(OR($A505="",$B505=""),"",IF($I505&lt;&gt;"",$I505,IF($D505=本位币,1,IFERROR(LOOKUP(2,1/((汇率月份&lt;=$A505)*(INDEX(记账汇率区,0,MATCH($D505,汇率币种头,0))&lt;&gt;"")),INDEX(记账汇率区,0,MATCH($D505,汇率币种头,0))),""))))</f>
        <v/>
      </c>
      <c r="K505" s="23" t="str">
        <f t="shared" si="14"/>
        <v/>
      </c>
      <c r="L505" s="23" t="str">
        <f t="shared" si="15"/>
        <v/>
      </c>
      <c r="M505" s="23" t="str">
        <f>IF($B505="","",ROUND(SUMIF(账户名,$B505,账户期初)+SUMIFS($K$6:K505,$B$6:B505,$B505),2))</f>
        <v/>
      </c>
      <c r="N505" s="23" t="str">
        <f>IF($B505="","",IFERROR(ROUND(INDEX(账户期初本位,MATCH($B505,账户名,0))+SUMIFS($L$6:L505,$B$6:B505,$B505),2),""))</f>
        <v/>
      </c>
      <c r="O505" s="46"/>
      <c r="P505" s="47"/>
      <c r="Q505" s="46"/>
      <c r="R505" s="46"/>
      <c r="S505" s="6" t="str">
        <f>IF($B505="","",IF(ISNA(MATCH($B505,账户名,0)),"※这个账户不在【参数设置】的账户档案里",IF($A505="","※没填日期，这一笔不会进任何月份的报表",IF(AND($G505&lt;&gt;"",$H505&lt;&gt;""),"※收入和支出不能同时填",IF(AND(N($G505)=0,N($H505)=0),"※收入和支出都没填",IF($E505="","※没填收支类别，分类报表会漏掉这一笔",IF(ISNA(MATCH($E505,类别表,0)),"※收支类别不在【参数设置】的清单里",IF($J505="","△"&amp;$D505&amp;" 还没填汇率，去【月度汇率】补上就自动算了",IF(YEAR($A505)&lt;&gt;管理年度,"△不是管理年度的单据，年报里看不到",IF(AND($F505="内部转账",$Q505=""),"△内部转账建议在「往来单位」写上对方账户",IF($M505&lt;0,"△这一笔之后该账户余额成负数了，核一下","")))))))))))</f>
        <v/>
      </c>
    </row>
    <row r="506" ht="16.5" spans="1:19">
      <c r="A506" s="45"/>
      <c r="B506" s="46"/>
      <c r="C506" s="12" t="str">
        <f>IF($B506="","",IFERROR(INDEX(账户银行,MATCH($B506,账户名,0)),""))</f>
        <v/>
      </c>
      <c r="D506" s="12" t="str">
        <f>IF($B506="","",IFERROR(INDEX(账户币种,MATCH($B506,账户名,0)),""))</f>
        <v/>
      </c>
      <c r="E506" s="47"/>
      <c r="F506" s="12" t="str">
        <f>IF($E506="","",IFERROR(INDEX(类别属性,MATCH($E506,类别表,0)),""))</f>
        <v/>
      </c>
      <c r="G506" s="48"/>
      <c r="H506" s="48"/>
      <c r="I506" s="49"/>
      <c r="J506" s="24" t="str">
        <f>IF(OR($A506="",$B506=""),"",IF($I506&lt;&gt;"",$I506,IF($D506=本位币,1,IFERROR(LOOKUP(2,1/((汇率月份&lt;=$A506)*(INDEX(记账汇率区,0,MATCH($D506,汇率币种头,0))&lt;&gt;"")),INDEX(记账汇率区,0,MATCH($D506,汇率币种头,0))),""))))</f>
        <v/>
      </c>
      <c r="K506" s="23" t="str">
        <f t="shared" si="14"/>
        <v/>
      </c>
      <c r="L506" s="23" t="str">
        <f t="shared" si="15"/>
        <v/>
      </c>
      <c r="M506" s="23" t="str">
        <f>IF($B506="","",ROUND(SUMIF(账户名,$B506,账户期初)+SUMIFS($K$6:K506,$B$6:B506,$B506),2))</f>
        <v/>
      </c>
      <c r="N506" s="23" t="str">
        <f>IF($B506="","",IFERROR(ROUND(INDEX(账户期初本位,MATCH($B506,账户名,0))+SUMIFS($L$6:L506,$B$6:B506,$B506),2),""))</f>
        <v/>
      </c>
      <c r="O506" s="46"/>
      <c r="P506" s="47"/>
      <c r="Q506" s="46"/>
      <c r="R506" s="46"/>
      <c r="S506" s="6" t="str">
        <f>IF($B506="","",IF(ISNA(MATCH($B506,账户名,0)),"※这个账户不在【参数设置】的账户档案里",IF($A506="","※没填日期，这一笔不会进任何月份的报表",IF(AND($G506&lt;&gt;"",$H506&lt;&gt;""),"※收入和支出不能同时填",IF(AND(N($G506)=0,N($H506)=0),"※收入和支出都没填",IF($E506="","※没填收支类别，分类报表会漏掉这一笔",IF(ISNA(MATCH($E506,类别表,0)),"※收支类别不在【参数设置】的清单里",IF($J506="","△"&amp;$D506&amp;" 还没填汇率，去【月度汇率】补上就自动算了",IF(YEAR($A506)&lt;&gt;管理年度,"△不是管理年度的单据，年报里看不到",IF(AND($F506="内部转账",$Q506=""),"△内部转账建议在「往来单位」写上对方账户",IF($M506&lt;0,"△这一笔之后该账户余额成负数了，核一下","")))))))))))</f>
        <v/>
      </c>
    </row>
    <row r="507" ht="16.5" spans="1:19">
      <c r="A507" s="45"/>
      <c r="B507" s="46"/>
      <c r="C507" s="12" t="str">
        <f>IF($B507="","",IFERROR(INDEX(账户银行,MATCH($B507,账户名,0)),""))</f>
        <v/>
      </c>
      <c r="D507" s="12" t="str">
        <f>IF($B507="","",IFERROR(INDEX(账户币种,MATCH($B507,账户名,0)),""))</f>
        <v/>
      </c>
      <c r="E507" s="47"/>
      <c r="F507" s="12" t="str">
        <f>IF($E507="","",IFERROR(INDEX(类别属性,MATCH($E507,类别表,0)),""))</f>
        <v/>
      </c>
      <c r="G507" s="48"/>
      <c r="H507" s="48"/>
      <c r="I507" s="49"/>
      <c r="J507" s="24" t="str">
        <f>IF(OR($A507="",$B507=""),"",IF($I507&lt;&gt;"",$I507,IF($D507=本位币,1,IFERROR(LOOKUP(2,1/((汇率月份&lt;=$A507)*(INDEX(记账汇率区,0,MATCH($D507,汇率币种头,0))&lt;&gt;"")),INDEX(记账汇率区,0,MATCH($D507,汇率币种头,0))),""))))</f>
        <v/>
      </c>
      <c r="K507" s="23" t="str">
        <f t="shared" si="14"/>
        <v/>
      </c>
      <c r="L507" s="23" t="str">
        <f t="shared" si="15"/>
        <v/>
      </c>
      <c r="M507" s="23" t="str">
        <f>IF($B507="","",ROUND(SUMIF(账户名,$B507,账户期初)+SUMIFS($K$6:K507,$B$6:B507,$B507),2))</f>
        <v/>
      </c>
      <c r="N507" s="23" t="str">
        <f>IF($B507="","",IFERROR(ROUND(INDEX(账户期初本位,MATCH($B507,账户名,0))+SUMIFS($L$6:L507,$B$6:B507,$B507),2),""))</f>
        <v/>
      </c>
      <c r="O507" s="46"/>
      <c r="P507" s="47"/>
      <c r="Q507" s="46"/>
      <c r="R507" s="46"/>
      <c r="S507" s="6" t="str">
        <f>IF($B507="","",IF(ISNA(MATCH($B507,账户名,0)),"※这个账户不在【参数设置】的账户档案里",IF($A507="","※没填日期，这一笔不会进任何月份的报表",IF(AND($G507&lt;&gt;"",$H507&lt;&gt;""),"※收入和支出不能同时填",IF(AND(N($G507)=0,N($H507)=0),"※收入和支出都没填",IF($E507="","※没填收支类别，分类报表会漏掉这一笔",IF(ISNA(MATCH($E507,类别表,0)),"※收支类别不在【参数设置】的清单里",IF($J507="","△"&amp;$D507&amp;" 还没填汇率，去【月度汇率】补上就自动算了",IF(YEAR($A507)&lt;&gt;管理年度,"△不是管理年度的单据，年报里看不到",IF(AND($F507="内部转账",$Q507=""),"△内部转账建议在「往来单位」写上对方账户",IF($M507&lt;0,"△这一笔之后该账户余额成负数了，核一下","")))))))))))</f>
        <v/>
      </c>
    </row>
    <row r="508" ht="16.5" spans="1:19">
      <c r="A508" s="45"/>
      <c r="B508" s="46"/>
      <c r="C508" s="12" t="str">
        <f>IF($B508="","",IFERROR(INDEX(账户银行,MATCH($B508,账户名,0)),""))</f>
        <v/>
      </c>
      <c r="D508" s="12" t="str">
        <f>IF($B508="","",IFERROR(INDEX(账户币种,MATCH($B508,账户名,0)),""))</f>
        <v/>
      </c>
      <c r="E508" s="47"/>
      <c r="F508" s="12" t="str">
        <f>IF($E508="","",IFERROR(INDEX(类别属性,MATCH($E508,类别表,0)),""))</f>
        <v/>
      </c>
      <c r="G508" s="48"/>
      <c r="H508" s="48"/>
      <c r="I508" s="49"/>
      <c r="J508" s="24" t="str">
        <f>IF(OR($A508="",$B508=""),"",IF($I508&lt;&gt;"",$I508,IF($D508=本位币,1,IFERROR(LOOKUP(2,1/((汇率月份&lt;=$A508)*(INDEX(记账汇率区,0,MATCH($D508,汇率币种头,0))&lt;&gt;"")),INDEX(记账汇率区,0,MATCH($D508,汇率币种头,0))),""))))</f>
        <v/>
      </c>
      <c r="K508" s="23" t="str">
        <f t="shared" si="14"/>
        <v/>
      </c>
      <c r="L508" s="23" t="str">
        <f t="shared" si="15"/>
        <v/>
      </c>
      <c r="M508" s="23" t="str">
        <f>IF($B508="","",ROUND(SUMIF(账户名,$B508,账户期初)+SUMIFS($K$6:K508,$B$6:B508,$B508),2))</f>
        <v/>
      </c>
      <c r="N508" s="23" t="str">
        <f>IF($B508="","",IFERROR(ROUND(INDEX(账户期初本位,MATCH($B508,账户名,0))+SUMIFS($L$6:L508,$B$6:B508,$B508),2),""))</f>
        <v/>
      </c>
      <c r="O508" s="46"/>
      <c r="P508" s="47"/>
      <c r="Q508" s="46"/>
      <c r="R508" s="46"/>
      <c r="S508" s="6" t="str">
        <f>IF($B508="","",IF(ISNA(MATCH($B508,账户名,0)),"※这个账户不在【参数设置】的账户档案里",IF($A508="","※没填日期，这一笔不会进任何月份的报表",IF(AND($G508&lt;&gt;"",$H508&lt;&gt;""),"※收入和支出不能同时填",IF(AND(N($G508)=0,N($H508)=0),"※收入和支出都没填",IF($E508="","※没填收支类别，分类报表会漏掉这一笔",IF(ISNA(MATCH($E508,类别表,0)),"※收支类别不在【参数设置】的清单里",IF($J508="","△"&amp;$D508&amp;" 还没填汇率，去【月度汇率】补上就自动算了",IF(YEAR($A508)&lt;&gt;管理年度,"△不是管理年度的单据，年报里看不到",IF(AND($F508="内部转账",$Q508=""),"△内部转账建议在「往来单位」写上对方账户",IF($M508&lt;0,"△这一笔之后该账户余额成负数了，核一下","")))))))))))</f>
        <v/>
      </c>
    </row>
    <row r="509" ht="16.5" spans="1:19">
      <c r="A509" s="45"/>
      <c r="B509" s="46"/>
      <c r="C509" s="12" t="str">
        <f>IF($B509="","",IFERROR(INDEX(账户银行,MATCH($B509,账户名,0)),""))</f>
        <v/>
      </c>
      <c r="D509" s="12" t="str">
        <f>IF($B509="","",IFERROR(INDEX(账户币种,MATCH($B509,账户名,0)),""))</f>
        <v/>
      </c>
      <c r="E509" s="47"/>
      <c r="F509" s="12" t="str">
        <f>IF($E509="","",IFERROR(INDEX(类别属性,MATCH($E509,类别表,0)),""))</f>
        <v/>
      </c>
      <c r="G509" s="48"/>
      <c r="H509" s="48"/>
      <c r="I509" s="49"/>
      <c r="J509" s="24" t="str">
        <f>IF(OR($A509="",$B509=""),"",IF($I509&lt;&gt;"",$I509,IF($D509=本位币,1,IFERROR(LOOKUP(2,1/((汇率月份&lt;=$A509)*(INDEX(记账汇率区,0,MATCH($D509,汇率币种头,0))&lt;&gt;"")),INDEX(记账汇率区,0,MATCH($D509,汇率币种头,0))),""))))</f>
        <v/>
      </c>
      <c r="K509" s="23" t="str">
        <f t="shared" si="14"/>
        <v/>
      </c>
      <c r="L509" s="23" t="str">
        <f t="shared" si="15"/>
        <v/>
      </c>
      <c r="M509" s="23" t="str">
        <f>IF($B509="","",ROUND(SUMIF(账户名,$B509,账户期初)+SUMIFS($K$6:K509,$B$6:B509,$B509),2))</f>
        <v/>
      </c>
      <c r="N509" s="23" t="str">
        <f>IF($B509="","",IFERROR(ROUND(INDEX(账户期初本位,MATCH($B509,账户名,0))+SUMIFS($L$6:L509,$B$6:B509,$B509),2),""))</f>
        <v/>
      </c>
      <c r="O509" s="46"/>
      <c r="P509" s="47"/>
      <c r="Q509" s="46"/>
      <c r="R509" s="46"/>
      <c r="S509" s="6" t="str">
        <f>IF($B509="","",IF(ISNA(MATCH($B509,账户名,0)),"※这个账户不在【参数设置】的账户档案里",IF($A509="","※没填日期，这一笔不会进任何月份的报表",IF(AND($G509&lt;&gt;"",$H509&lt;&gt;""),"※收入和支出不能同时填",IF(AND(N($G509)=0,N($H509)=0),"※收入和支出都没填",IF($E509="","※没填收支类别，分类报表会漏掉这一笔",IF(ISNA(MATCH($E509,类别表,0)),"※收支类别不在【参数设置】的清单里",IF($J509="","△"&amp;$D509&amp;" 还没填汇率，去【月度汇率】补上就自动算了",IF(YEAR($A509)&lt;&gt;管理年度,"△不是管理年度的单据，年报里看不到",IF(AND($F509="内部转账",$Q509=""),"△内部转账建议在「往来单位」写上对方账户",IF($M509&lt;0,"△这一笔之后该账户余额成负数了，核一下","")))))))))))</f>
        <v/>
      </c>
    </row>
    <row r="510" ht="16.5" spans="1:19">
      <c r="A510" s="45"/>
      <c r="B510" s="46"/>
      <c r="C510" s="12" t="str">
        <f>IF($B510="","",IFERROR(INDEX(账户银行,MATCH($B510,账户名,0)),""))</f>
        <v/>
      </c>
      <c r="D510" s="12" t="str">
        <f>IF($B510="","",IFERROR(INDEX(账户币种,MATCH($B510,账户名,0)),""))</f>
        <v/>
      </c>
      <c r="E510" s="47"/>
      <c r="F510" s="12" t="str">
        <f>IF($E510="","",IFERROR(INDEX(类别属性,MATCH($E510,类别表,0)),""))</f>
        <v/>
      </c>
      <c r="G510" s="48"/>
      <c r="H510" s="48"/>
      <c r="I510" s="49"/>
      <c r="J510" s="24" t="str">
        <f>IF(OR($A510="",$B510=""),"",IF($I510&lt;&gt;"",$I510,IF($D510=本位币,1,IFERROR(LOOKUP(2,1/((汇率月份&lt;=$A510)*(INDEX(记账汇率区,0,MATCH($D510,汇率币种头,0))&lt;&gt;"")),INDEX(记账汇率区,0,MATCH($D510,汇率币种头,0))),""))))</f>
        <v/>
      </c>
      <c r="K510" s="23" t="str">
        <f t="shared" si="14"/>
        <v/>
      </c>
      <c r="L510" s="23" t="str">
        <f t="shared" si="15"/>
        <v/>
      </c>
      <c r="M510" s="23" t="str">
        <f>IF($B510="","",ROUND(SUMIF(账户名,$B510,账户期初)+SUMIFS($K$6:K510,$B$6:B510,$B510),2))</f>
        <v/>
      </c>
      <c r="N510" s="23" t="str">
        <f>IF($B510="","",IFERROR(ROUND(INDEX(账户期初本位,MATCH($B510,账户名,0))+SUMIFS($L$6:L510,$B$6:B510,$B510),2),""))</f>
        <v/>
      </c>
      <c r="O510" s="46"/>
      <c r="P510" s="47"/>
      <c r="Q510" s="46"/>
      <c r="R510" s="46"/>
      <c r="S510" s="6" t="str">
        <f>IF($B510="","",IF(ISNA(MATCH($B510,账户名,0)),"※这个账户不在【参数设置】的账户档案里",IF($A510="","※没填日期，这一笔不会进任何月份的报表",IF(AND($G510&lt;&gt;"",$H510&lt;&gt;""),"※收入和支出不能同时填",IF(AND(N($G510)=0,N($H510)=0),"※收入和支出都没填",IF($E510="","※没填收支类别，分类报表会漏掉这一笔",IF(ISNA(MATCH($E510,类别表,0)),"※收支类别不在【参数设置】的清单里",IF($J510="","△"&amp;$D510&amp;" 还没填汇率，去【月度汇率】补上就自动算了",IF(YEAR($A510)&lt;&gt;管理年度,"△不是管理年度的单据，年报里看不到",IF(AND($F510="内部转账",$Q510=""),"△内部转账建议在「往来单位」写上对方账户",IF($M510&lt;0,"△这一笔之后该账户余额成负数了，核一下","")))))))))))</f>
        <v/>
      </c>
    </row>
    <row r="511" ht="16.5" spans="1:19">
      <c r="A511" s="45"/>
      <c r="B511" s="46"/>
      <c r="C511" s="12" t="str">
        <f>IF($B511="","",IFERROR(INDEX(账户银行,MATCH($B511,账户名,0)),""))</f>
        <v/>
      </c>
      <c r="D511" s="12" t="str">
        <f>IF($B511="","",IFERROR(INDEX(账户币种,MATCH($B511,账户名,0)),""))</f>
        <v/>
      </c>
      <c r="E511" s="47"/>
      <c r="F511" s="12" t="str">
        <f>IF($E511="","",IFERROR(INDEX(类别属性,MATCH($E511,类别表,0)),""))</f>
        <v/>
      </c>
      <c r="G511" s="48"/>
      <c r="H511" s="48"/>
      <c r="I511" s="49"/>
      <c r="J511" s="24" t="str">
        <f>IF(OR($A511="",$B511=""),"",IF($I511&lt;&gt;"",$I511,IF($D511=本位币,1,IFERROR(LOOKUP(2,1/((汇率月份&lt;=$A511)*(INDEX(记账汇率区,0,MATCH($D511,汇率币种头,0))&lt;&gt;"")),INDEX(记账汇率区,0,MATCH($D511,汇率币种头,0))),""))))</f>
        <v/>
      </c>
      <c r="K511" s="23" t="str">
        <f t="shared" si="14"/>
        <v/>
      </c>
      <c r="L511" s="23" t="str">
        <f t="shared" si="15"/>
        <v/>
      </c>
      <c r="M511" s="23" t="str">
        <f>IF($B511="","",ROUND(SUMIF(账户名,$B511,账户期初)+SUMIFS($K$6:K511,$B$6:B511,$B511),2))</f>
        <v/>
      </c>
      <c r="N511" s="23" t="str">
        <f>IF($B511="","",IFERROR(ROUND(INDEX(账户期初本位,MATCH($B511,账户名,0))+SUMIFS($L$6:L511,$B$6:B511,$B511),2),""))</f>
        <v/>
      </c>
      <c r="O511" s="46"/>
      <c r="P511" s="47"/>
      <c r="Q511" s="46"/>
      <c r="R511" s="46"/>
      <c r="S511" s="6" t="str">
        <f>IF($B511="","",IF(ISNA(MATCH($B511,账户名,0)),"※这个账户不在【参数设置】的账户档案里",IF($A511="","※没填日期，这一笔不会进任何月份的报表",IF(AND($G511&lt;&gt;"",$H511&lt;&gt;""),"※收入和支出不能同时填",IF(AND(N($G511)=0,N($H511)=0),"※收入和支出都没填",IF($E511="","※没填收支类别，分类报表会漏掉这一笔",IF(ISNA(MATCH($E511,类别表,0)),"※收支类别不在【参数设置】的清单里",IF($J511="","△"&amp;$D511&amp;" 还没填汇率，去【月度汇率】补上就自动算了",IF(YEAR($A511)&lt;&gt;管理年度,"△不是管理年度的单据，年报里看不到",IF(AND($F511="内部转账",$Q511=""),"△内部转账建议在「往来单位」写上对方账户",IF($M511&lt;0,"△这一笔之后该账户余额成负数了，核一下","")))))))))))</f>
        <v/>
      </c>
    </row>
    <row r="512" ht="16.5" spans="1:19">
      <c r="A512" s="45"/>
      <c r="B512" s="46"/>
      <c r="C512" s="12" t="str">
        <f>IF($B512="","",IFERROR(INDEX(账户银行,MATCH($B512,账户名,0)),""))</f>
        <v/>
      </c>
      <c r="D512" s="12" t="str">
        <f>IF($B512="","",IFERROR(INDEX(账户币种,MATCH($B512,账户名,0)),""))</f>
        <v/>
      </c>
      <c r="E512" s="47"/>
      <c r="F512" s="12" t="str">
        <f>IF($E512="","",IFERROR(INDEX(类别属性,MATCH($E512,类别表,0)),""))</f>
        <v/>
      </c>
      <c r="G512" s="48"/>
      <c r="H512" s="48"/>
      <c r="I512" s="49"/>
      <c r="J512" s="24" t="str">
        <f>IF(OR($A512="",$B512=""),"",IF($I512&lt;&gt;"",$I512,IF($D512=本位币,1,IFERROR(LOOKUP(2,1/((汇率月份&lt;=$A512)*(INDEX(记账汇率区,0,MATCH($D512,汇率币种头,0))&lt;&gt;"")),INDEX(记账汇率区,0,MATCH($D512,汇率币种头,0))),""))))</f>
        <v/>
      </c>
      <c r="K512" s="23" t="str">
        <f t="shared" si="14"/>
        <v/>
      </c>
      <c r="L512" s="23" t="str">
        <f t="shared" si="15"/>
        <v/>
      </c>
      <c r="M512" s="23" t="str">
        <f>IF($B512="","",ROUND(SUMIF(账户名,$B512,账户期初)+SUMIFS($K$6:K512,$B$6:B512,$B512),2))</f>
        <v/>
      </c>
      <c r="N512" s="23" t="str">
        <f>IF($B512="","",IFERROR(ROUND(INDEX(账户期初本位,MATCH($B512,账户名,0))+SUMIFS($L$6:L512,$B$6:B512,$B512),2),""))</f>
        <v/>
      </c>
      <c r="O512" s="46"/>
      <c r="P512" s="47"/>
      <c r="Q512" s="46"/>
      <c r="R512" s="46"/>
      <c r="S512" s="6" t="str">
        <f>IF($B512="","",IF(ISNA(MATCH($B512,账户名,0)),"※这个账户不在【参数设置】的账户档案里",IF($A512="","※没填日期，这一笔不会进任何月份的报表",IF(AND($G512&lt;&gt;"",$H512&lt;&gt;""),"※收入和支出不能同时填",IF(AND(N($G512)=0,N($H512)=0),"※收入和支出都没填",IF($E512="","※没填收支类别，分类报表会漏掉这一笔",IF(ISNA(MATCH($E512,类别表,0)),"※收支类别不在【参数设置】的清单里",IF($J512="","△"&amp;$D512&amp;" 还没填汇率，去【月度汇率】补上就自动算了",IF(YEAR($A512)&lt;&gt;管理年度,"△不是管理年度的单据，年报里看不到",IF(AND($F512="内部转账",$Q512=""),"△内部转账建议在「往来单位」写上对方账户",IF($M512&lt;0,"△这一笔之后该账户余额成负数了，核一下","")))))))))))</f>
        <v/>
      </c>
    </row>
    <row r="513" ht="16.5" spans="1:19">
      <c r="A513" s="45"/>
      <c r="B513" s="46"/>
      <c r="C513" s="12" t="str">
        <f>IF($B513="","",IFERROR(INDEX(账户银行,MATCH($B513,账户名,0)),""))</f>
        <v/>
      </c>
      <c r="D513" s="12" t="str">
        <f>IF($B513="","",IFERROR(INDEX(账户币种,MATCH($B513,账户名,0)),""))</f>
        <v/>
      </c>
      <c r="E513" s="47"/>
      <c r="F513" s="12" t="str">
        <f>IF($E513="","",IFERROR(INDEX(类别属性,MATCH($E513,类别表,0)),""))</f>
        <v/>
      </c>
      <c r="G513" s="48"/>
      <c r="H513" s="48"/>
      <c r="I513" s="49"/>
      <c r="J513" s="24" t="str">
        <f>IF(OR($A513="",$B513=""),"",IF($I513&lt;&gt;"",$I513,IF($D513=本位币,1,IFERROR(LOOKUP(2,1/((汇率月份&lt;=$A513)*(INDEX(记账汇率区,0,MATCH($D513,汇率币种头,0))&lt;&gt;"")),INDEX(记账汇率区,0,MATCH($D513,汇率币种头,0))),""))))</f>
        <v/>
      </c>
      <c r="K513" s="23" t="str">
        <f t="shared" si="14"/>
        <v/>
      </c>
      <c r="L513" s="23" t="str">
        <f t="shared" si="15"/>
        <v/>
      </c>
      <c r="M513" s="23" t="str">
        <f>IF($B513="","",ROUND(SUMIF(账户名,$B513,账户期初)+SUMIFS($K$6:K513,$B$6:B513,$B513),2))</f>
        <v/>
      </c>
      <c r="N513" s="23" t="str">
        <f>IF($B513="","",IFERROR(ROUND(INDEX(账户期初本位,MATCH($B513,账户名,0))+SUMIFS($L$6:L513,$B$6:B513,$B513),2),""))</f>
        <v/>
      </c>
      <c r="O513" s="46"/>
      <c r="P513" s="47"/>
      <c r="Q513" s="46"/>
      <c r="R513" s="46"/>
      <c r="S513" s="6" t="str">
        <f>IF($B513="","",IF(ISNA(MATCH($B513,账户名,0)),"※这个账户不在【参数设置】的账户档案里",IF($A513="","※没填日期，这一笔不会进任何月份的报表",IF(AND($G513&lt;&gt;"",$H513&lt;&gt;""),"※收入和支出不能同时填",IF(AND(N($G513)=0,N($H513)=0),"※收入和支出都没填",IF($E513="","※没填收支类别，分类报表会漏掉这一笔",IF(ISNA(MATCH($E513,类别表,0)),"※收支类别不在【参数设置】的清单里",IF($J513="","△"&amp;$D513&amp;" 还没填汇率，去【月度汇率】补上就自动算了",IF(YEAR($A513)&lt;&gt;管理年度,"△不是管理年度的单据，年报里看不到",IF(AND($F513="内部转账",$Q513=""),"△内部转账建议在「往来单位」写上对方账户",IF($M513&lt;0,"△这一笔之后该账户余额成负数了，核一下","")))))))))))</f>
        <v/>
      </c>
    </row>
    <row r="514" ht="16.5" spans="1:19">
      <c r="A514" s="45"/>
      <c r="B514" s="46"/>
      <c r="C514" s="12" t="str">
        <f>IF($B514="","",IFERROR(INDEX(账户银行,MATCH($B514,账户名,0)),""))</f>
        <v/>
      </c>
      <c r="D514" s="12" t="str">
        <f>IF($B514="","",IFERROR(INDEX(账户币种,MATCH($B514,账户名,0)),""))</f>
        <v/>
      </c>
      <c r="E514" s="47"/>
      <c r="F514" s="12" t="str">
        <f>IF($E514="","",IFERROR(INDEX(类别属性,MATCH($E514,类别表,0)),""))</f>
        <v/>
      </c>
      <c r="G514" s="48"/>
      <c r="H514" s="48"/>
      <c r="I514" s="49"/>
      <c r="J514" s="24" t="str">
        <f>IF(OR($A514="",$B514=""),"",IF($I514&lt;&gt;"",$I514,IF($D514=本位币,1,IFERROR(LOOKUP(2,1/((汇率月份&lt;=$A514)*(INDEX(记账汇率区,0,MATCH($D514,汇率币种头,0))&lt;&gt;"")),INDEX(记账汇率区,0,MATCH($D514,汇率币种头,0))),""))))</f>
        <v/>
      </c>
      <c r="K514" s="23" t="str">
        <f t="shared" si="14"/>
        <v/>
      </c>
      <c r="L514" s="23" t="str">
        <f t="shared" si="15"/>
        <v/>
      </c>
      <c r="M514" s="23" t="str">
        <f>IF($B514="","",ROUND(SUMIF(账户名,$B514,账户期初)+SUMIFS($K$6:K514,$B$6:B514,$B514),2))</f>
        <v/>
      </c>
      <c r="N514" s="23" t="str">
        <f>IF($B514="","",IFERROR(ROUND(INDEX(账户期初本位,MATCH($B514,账户名,0))+SUMIFS($L$6:L514,$B$6:B514,$B514),2),""))</f>
        <v/>
      </c>
      <c r="O514" s="46"/>
      <c r="P514" s="47"/>
      <c r="Q514" s="46"/>
      <c r="R514" s="46"/>
      <c r="S514" s="6" t="str">
        <f>IF($B514="","",IF(ISNA(MATCH($B514,账户名,0)),"※这个账户不在【参数设置】的账户档案里",IF($A514="","※没填日期，这一笔不会进任何月份的报表",IF(AND($G514&lt;&gt;"",$H514&lt;&gt;""),"※收入和支出不能同时填",IF(AND(N($G514)=0,N($H514)=0),"※收入和支出都没填",IF($E514="","※没填收支类别，分类报表会漏掉这一笔",IF(ISNA(MATCH($E514,类别表,0)),"※收支类别不在【参数设置】的清单里",IF($J514="","△"&amp;$D514&amp;" 还没填汇率，去【月度汇率】补上就自动算了",IF(YEAR($A514)&lt;&gt;管理年度,"△不是管理年度的单据，年报里看不到",IF(AND($F514="内部转账",$Q514=""),"△内部转账建议在「往来单位」写上对方账户",IF($M514&lt;0,"△这一笔之后该账户余额成负数了，核一下","")))))))))))</f>
        <v/>
      </c>
    </row>
    <row r="515" ht="16.5" spans="1:19">
      <c r="A515" s="45"/>
      <c r="B515" s="46"/>
      <c r="C515" s="12" t="str">
        <f>IF($B515="","",IFERROR(INDEX(账户银行,MATCH($B515,账户名,0)),""))</f>
        <v/>
      </c>
      <c r="D515" s="12" t="str">
        <f>IF($B515="","",IFERROR(INDEX(账户币种,MATCH($B515,账户名,0)),""))</f>
        <v/>
      </c>
      <c r="E515" s="47"/>
      <c r="F515" s="12" t="str">
        <f>IF($E515="","",IFERROR(INDEX(类别属性,MATCH($E515,类别表,0)),""))</f>
        <v/>
      </c>
      <c r="G515" s="48"/>
      <c r="H515" s="48"/>
      <c r="I515" s="49"/>
      <c r="J515" s="24" t="str">
        <f>IF(OR($A515="",$B515=""),"",IF($I515&lt;&gt;"",$I515,IF($D515=本位币,1,IFERROR(LOOKUP(2,1/((汇率月份&lt;=$A515)*(INDEX(记账汇率区,0,MATCH($D515,汇率币种头,0))&lt;&gt;"")),INDEX(记账汇率区,0,MATCH($D515,汇率币种头,0))),""))))</f>
        <v/>
      </c>
      <c r="K515" s="23" t="str">
        <f t="shared" si="14"/>
        <v/>
      </c>
      <c r="L515" s="23" t="str">
        <f t="shared" si="15"/>
        <v/>
      </c>
      <c r="M515" s="23" t="str">
        <f>IF($B515="","",ROUND(SUMIF(账户名,$B515,账户期初)+SUMIFS($K$6:K515,$B$6:B515,$B515),2))</f>
        <v/>
      </c>
      <c r="N515" s="23" t="str">
        <f>IF($B515="","",IFERROR(ROUND(INDEX(账户期初本位,MATCH($B515,账户名,0))+SUMIFS($L$6:L515,$B$6:B515,$B515),2),""))</f>
        <v/>
      </c>
      <c r="O515" s="46"/>
      <c r="P515" s="47"/>
      <c r="Q515" s="46"/>
      <c r="R515" s="46"/>
      <c r="S515" s="6" t="str">
        <f>IF($B515="","",IF(ISNA(MATCH($B515,账户名,0)),"※这个账户不在【参数设置】的账户档案里",IF($A515="","※没填日期，这一笔不会进任何月份的报表",IF(AND($G515&lt;&gt;"",$H515&lt;&gt;""),"※收入和支出不能同时填",IF(AND(N($G515)=0,N($H515)=0),"※收入和支出都没填",IF($E515="","※没填收支类别，分类报表会漏掉这一笔",IF(ISNA(MATCH($E515,类别表,0)),"※收支类别不在【参数设置】的清单里",IF($J515="","△"&amp;$D515&amp;" 还没填汇率，去【月度汇率】补上就自动算了",IF(YEAR($A515)&lt;&gt;管理年度,"△不是管理年度的单据，年报里看不到",IF(AND($F515="内部转账",$Q515=""),"△内部转账建议在「往来单位」写上对方账户",IF($M515&lt;0,"△这一笔之后该账户余额成负数了，核一下","")))))))))))</f>
        <v/>
      </c>
    </row>
    <row r="516" ht="16.5" spans="1:19">
      <c r="A516" s="45"/>
      <c r="B516" s="46"/>
      <c r="C516" s="12" t="str">
        <f>IF($B516="","",IFERROR(INDEX(账户银行,MATCH($B516,账户名,0)),""))</f>
        <v/>
      </c>
      <c r="D516" s="12" t="str">
        <f>IF($B516="","",IFERROR(INDEX(账户币种,MATCH($B516,账户名,0)),""))</f>
        <v/>
      </c>
      <c r="E516" s="47"/>
      <c r="F516" s="12" t="str">
        <f>IF($E516="","",IFERROR(INDEX(类别属性,MATCH($E516,类别表,0)),""))</f>
        <v/>
      </c>
      <c r="G516" s="48"/>
      <c r="H516" s="48"/>
      <c r="I516" s="49"/>
      <c r="J516" s="24" t="str">
        <f>IF(OR($A516="",$B516=""),"",IF($I516&lt;&gt;"",$I516,IF($D516=本位币,1,IFERROR(LOOKUP(2,1/((汇率月份&lt;=$A516)*(INDEX(记账汇率区,0,MATCH($D516,汇率币种头,0))&lt;&gt;"")),INDEX(记账汇率区,0,MATCH($D516,汇率币种头,0))),""))))</f>
        <v/>
      </c>
      <c r="K516" s="23" t="str">
        <f t="shared" si="14"/>
        <v/>
      </c>
      <c r="L516" s="23" t="str">
        <f t="shared" si="15"/>
        <v/>
      </c>
      <c r="M516" s="23" t="str">
        <f>IF($B516="","",ROUND(SUMIF(账户名,$B516,账户期初)+SUMIFS($K$6:K516,$B$6:B516,$B516),2))</f>
        <v/>
      </c>
      <c r="N516" s="23" t="str">
        <f>IF($B516="","",IFERROR(ROUND(INDEX(账户期初本位,MATCH($B516,账户名,0))+SUMIFS($L$6:L516,$B$6:B516,$B516),2),""))</f>
        <v/>
      </c>
      <c r="O516" s="46"/>
      <c r="P516" s="47"/>
      <c r="Q516" s="46"/>
      <c r="R516" s="46"/>
      <c r="S516" s="6" t="str">
        <f>IF($B516="","",IF(ISNA(MATCH($B516,账户名,0)),"※这个账户不在【参数设置】的账户档案里",IF($A516="","※没填日期，这一笔不会进任何月份的报表",IF(AND($G516&lt;&gt;"",$H516&lt;&gt;""),"※收入和支出不能同时填",IF(AND(N($G516)=0,N($H516)=0),"※收入和支出都没填",IF($E516="","※没填收支类别，分类报表会漏掉这一笔",IF(ISNA(MATCH($E516,类别表,0)),"※收支类别不在【参数设置】的清单里",IF($J516="","△"&amp;$D516&amp;" 还没填汇率，去【月度汇率】补上就自动算了",IF(YEAR($A516)&lt;&gt;管理年度,"△不是管理年度的单据，年报里看不到",IF(AND($F516="内部转账",$Q516=""),"△内部转账建议在「往来单位」写上对方账户",IF($M516&lt;0,"△这一笔之后该账户余额成负数了，核一下","")))))))))))</f>
        <v/>
      </c>
    </row>
    <row r="517" ht="16.5" spans="1:19">
      <c r="A517" s="45"/>
      <c r="B517" s="46"/>
      <c r="C517" s="12" t="str">
        <f>IF($B517="","",IFERROR(INDEX(账户银行,MATCH($B517,账户名,0)),""))</f>
        <v/>
      </c>
      <c r="D517" s="12" t="str">
        <f>IF($B517="","",IFERROR(INDEX(账户币种,MATCH($B517,账户名,0)),""))</f>
        <v/>
      </c>
      <c r="E517" s="47"/>
      <c r="F517" s="12" t="str">
        <f>IF($E517="","",IFERROR(INDEX(类别属性,MATCH($E517,类别表,0)),""))</f>
        <v/>
      </c>
      <c r="G517" s="48"/>
      <c r="H517" s="48"/>
      <c r="I517" s="49"/>
      <c r="J517" s="24" t="str">
        <f>IF(OR($A517="",$B517=""),"",IF($I517&lt;&gt;"",$I517,IF($D517=本位币,1,IFERROR(LOOKUP(2,1/((汇率月份&lt;=$A517)*(INDEX(记账汇率区,0,MATCH($D517,汇率币种头,0))&lt;&gt;"")),INDEX(记账汇率区,0,MATCH($D517,汇率币种头,0))),""))))</f>
        <v/>
      </c>
      <c r="K517" s="23" t="str">
        <f t="shared" si="14"/>
        <v/>
      </c>
      <c r="L517" s="23" t="str">
        <f t="shared" si="15"/>
        <v/>
      </c>
      <c r="M517" s="23" t="str">
        <f>IF($B517="","",ROUND(SUMIF(账户名,$B517,账户期初)+SUMIFS($K$6:K517,$B$6:B517,$B517),2))</f>
        <v/>
      </c>
      <c r="N517" s="23" t="str">
        <f>IF($B517="","",IFERROR(ROUND(INDEX(账户期初本位,MATCH($B517,账户名,0))+SUMIFS($L$6:L517,$B$6:B517,$B517),2),""))</f>
        <v/>
      </c>
      <c r="O517" s="46"/>
      <c r="P517" s="47"/>
      <c r="Q517" s="46"/>
      <c r="R517" s="46"/>
      <c r="S517" s="6" t="str">
        <f>IF($B517="","",IF(ISNA(MATCH($B517,账户名,0)),"※这个账户不在【参数设置】的账户档案里",IF($A517="","※没填日期，这一笔不会进任何月份的报表",IF(AND($G517&lt;&gt;"",$H517&lt;&gt;""),"※收入和支出不能同时填",IF(AND(N($G517)=0,N($H517)=0),"※收入和支出都没填",IF($E517="","※没填收支类别，分类报表会漏掉这一笔",IF(ISNA(MATCH($E517,类别表,0)),"※收支类别不在【参数设置】的清单里",IF($J517="","△"&amp;$D517&amp;" 还没填汇率，去【月度汇率】补上就自动算了",IF(YEAR($A517)&lt;&gt;管理年度,"△不是管理年度的单据，年报里看不到",IF(AND($F517="内部转账",$Q517=""),"△内部转账建议在「往来单位」写上对方账户",IF($M517&lt;0,"△这一笔之后该账户余额成负数了，核一下","")))))))))))</f>
        <v/>
      </c>
    </row>
    <row r="518" ht="16.5" spans="1:19">
      <c r="A518" s="45"/>
      <c r="B518" s="46"/>
      <c r="C518" s="12" t="str">
        <f>IF($B518="","",IFERROR(INDEX(账户银行,MATCH($B518,账户名,0)),""))</f>
        <v/>
      </c>
      <c r="D518" s="12" t="str">
        <f>IF($B518="","",IFERROR(INDEX(账户币种,MATCH($B518,账户名,0)),""))</f>
        <v/>
      </c>
      <c r="E518" s="47"/>
      <c r="F518" s="12" t="str">
        <f>IF($E518="","",IFERROR(INDEX(类别属性,MATCH($E518,类别表,0)),""))</f>
        <v/>
      </c>
      <c r="G518" s="48"/>
      <c r="H518" s="48"/>
      <c r="I518" s="49"/>
      <c r="J518" s="24" t="str">
        <f>IF(OR($A518="",$B518=""),"",IF($I518&lt;&gt;"",$I518,IF($D518=本位币,1,IFERROR(LOOKUP(2,1/((汇率月份&lt;=$A518)*(INDEX(记账汇率区,0,MATCH($D518,汇率币种头,0))&lt;&gt;"")),INDEX(记账汇率区,0,MATCH($D518,汇率币种头,0))),""))))</f>
        <v/>
      </c>
      <c r="K518" s="23" t="str">
        <f t="shared" ref="K518:K581" si="16">IF(AND($G518="",$H518=""),"",ROUND(N($G518)-N($H518),2))</f>
        <v/>
      </c>
      <c r="L518" s="23" t="str">
        <f t="shared" ref="L518:L581" si="17">IF(OR($K518="",$J518=""),"",ROUND($K518*$J518,2))</f>
        <v/>
      </c>
      <c r="M518" s="23" t="str">
        <f>IF($B518="","",ROUND(SUMIF(账户名,$B518,账户期初)+SUMIFS($K$6:K518,$B$6:B518,$B518),2))</f>
        <v/>
      </c>
      <c r="N518" s="23" t="str">
        <f>IF($B518="","",IFERROR(ROUND(INDEX(账户期初本位,MATCH($B518,账户名,0))+SUMIFS($L$6:L518,$B$6:B518,$B518),2),""))</f>
        <v/>
      </c>
      <c r="O518" s="46"/>
      <c r="P518" s="47"/>
      <c r="Q518" s="46"/>
      <c r="R518" s="46"/>
      <c r="S518" s="6" t="str">
        <f>IF($B518="","",IF(ISNA(MATCH($B518,账户名,0)),"※这个账户不在【参数设置】的账户档案里",IF($A518="","※没填日期，这一笔不会进任何月份的报表",IF(AND($G518&lt;&gt;"",$H518&lt;&gt;""),"※收入和支出不能同时填",IF(AND(N($G518)=0,N($H518)=0),"※收入和支出都没填",IF($E518="","※没填收支类别，分类报表会漏掉这一笔",IF(ISNA(MATCH($E518,类别表,0)),"※收支类别不在【参数设置】的清单里",IF($J518="","△"&amp;$D518&amp;" 还没填汇率，去【月度汇率】补上就自动算了",IF(YEAR($A518)&lt;&gt;管理年度,"△不是管理年度的单据，年报里看不到",IF(AND($F518="内部转账",$Q518=""),"△内部转账建议在「往来单位」写上对方账户",IF($M518&lt;0,"△这一笔之后该账户余额成负数了，核一下","")))))))))))</f>
        <v/>
      </c>
    </row>
    <row r="519" ht="16.5" spans="1:19">
      <c r="A519" s="45"/>
      <c r="B519" s="46"/>
      <c r="C519" s="12" t="str">
        <f>IF($B519="","",IFERROR(INDEX(账户银行,MATCH($B519,账户名,0)),""))</f>
        <v/>
      </c>
      <c r="D519" s="12" t="str">
        <f>IF($B519="","",IFERROR(INDEX(账户币种,MATCH($B519,账户名,0)),""))</f>
        <v/>
      </c>
      <c r="E519" s="47"/>
      <c r="F519" s="12" t="str">
        <f>IF($E519="","",IFERROR(INDEX(类别属性,MATCH($E519,类别表,0)),""))</f>
        <v/>
      </c>
      <c r="G519" s="48"/>
      <c r="H519" s="48"/>
      <c r="I519" s="49"/>
      <c r="J519" s="24" t="str">
        <f>IF(OR($A519="",$B519=""),"",IF($I519&lt;&gt;"",$I519,IF($D519=本位币,1,IFERROR(LOOKUP(2,1/((汇率月份&lt;=$A519)*(INDEX(记账汇率区,0,MATCH($D519,汇率币种头,0))&lt;&gt;"")),INDEX(记账汇率区,0,MATCH($D519,汇率币种头,0))),""))))</f>
        <v/>
      </c>
      <c r="K519" s="23" t="str">
        <f t="shared" si="16"/>
        <v/>
      </c>
      <c r="L519" s="23" t="str">
        <f t="shared" si="17"/>
        <v/>
      </c>
      <c r="M519" s="23" t="str">
        <f>IF($B519="","",ROUND(SUMIF(账户名,$B519,账户期初)+SUMIFS($K$6:K519,$B$6:B519,$B519),2))</f>
        <v/>
      </c>
      <c r="N519" s="23" t="str">
        <f>IF($B519="","",IFERROR(ROUND(INDEX(账户期初本位,MATCH($B519,账户名,0))+SUMIFS($L$6:L519,$B$6:B519,$B519),2),""))</f>
        <v/>
      </c>
      <c r="O519" s="46"/>
      <c r="P519" s="47"/>
      <c r="Q519" s="46"/>
      <c r="R519" s="46"/>
      <c r="S519" s="6" t="str">
        <f>IF($B519="","",IF(ISNA(MATCH($B519,账户名,0)),"※这个账户不在【参数设置】的账户档案里",IF($A519="","※没填日期，这一笔不会进任何月份的报表",IF(AND($G519&lt;&gt;"",$H519&lt;&gt;""),"※收入和支出不能同时填",IF(AND(N($G519)=0,N($H519)=0),"※收入和支出都没填",IF($E519="","※没填收支类别，分类报表会漏掉这一笔",IF(ISNA(MATCH($E519,类别表,0)),"※收支类别不在【参数设置】的清单里",IF($J519="","△"&amp;$D519&amp;" 还没填汇率，去【月度汇率】补上就自动算了",IF(YEAR($A519)&lt;&gt;管理年度,"△不是管理年度的单据，年报里看不到",IF(AND($F519="内部转账",$Q519=""),"△内部转账建议在「往来单位」写上对方账户",IF($M519&lt;0,"△这一笔之后该账户余额成负数了，核一下","")))))))))))</f>
        <v/>
      </c>
    </row>
    <row r="520" ht="16.5" spans="1:19">
      <c r="A520" s="45"/>
      <c r="B520" s="46"/>
      <c r="C520" s="12" t="str">
        <f>IF($B520="","",IFERROR(INDEX(账户银行,MATCH($B520,账户名,0)),""))</f>
        <v/>
      </c>
      <c r="D520" s="12" t="str">
        <f>IF($B520="","",IFERROR(INDEX(账户币种,MATCH($B520,账户名,0)),""))</f>
        <v/>
      </c>
      <c r="E520" s="47"/>
      <c r="F520" s="12" t="str">
        <f>IF($E520="","",IFERROR(INDEX(类别属性,MATCH($E520,类别表,0)),""))</f>
        <v/>
      </c>
      <c r="G520" s="48"/>
      <c r="H520" s="48"/>
      <c r="I520" s="49"/>
      <c r="J520" s="24" t="str">
        <f>IF(OR($A520="",$B520=""),"",IF($I520&lt;&gt;"",$I520,IF($D520=本位币,1,IFERROR(LOOKUP(2,1/((汇率月份&lt;=$A520)*(INDEX(记账汇率区,0,MATCH($D520,汇率币种头,0))&lt;&gt;"")),INDEX(记账汇率区,0,MATCH($D520,汇率币种头,0))),""))))</f>
        <v/>
      </c>
      <c r="K520" s="23" t="str">
        <f t="shared" si="16"/>
        <v/>
      </c>
      <c r="L520" s="23" t="str">
        <f t="shared" si="17"/>
        <v/>
      </c>
      <c r="M520" s="23" t="str">
        <f>IF($B520="","",ROUND(SUMIF(账户名,$B520,账户期初)+SUMIFS($K$6:K520,$B$6:B520,$B520),2))</f>
        <v/>
      </c>
      <c r="N520" s="23" t="str">
        <f>IF($B520="","",IFERROR(ROUND(INDEX(账户期初本位,MATCH($B520,账户名,0))+SUMIFS($L$6:L520,$B$6:B520,$B520),2),""))</f>
        <v/>
      </c>
      <c r="O520" s="46"/>
      <c r="P520" s="47"/>
      <c r="Q520" s="46"/>
      <c r="R520" s="46"/>
      <c r="S520" s="6" t="str">
        <f>IF($B520="","",IF(ISNA(MATCH($B520,账户名,0)),"※这个账户不在【参数设置】的账户档案里",IF($A520="","※没填日期，这一笔不会进任何月份的报表",IF(AND($G520&lt;&gt;"",$H520&lt;&gt;""),"※收入和支出不能同时填",IF(AND(N($G520)=0,N($H520)=0),"※收入和支出都没填",IF($E520="","※没填收支类别，分类报表会漏掉这一笔",IF(ISNA(MATCH($E520,类别表,0)),"※收支类别不在【参数设置】的清单里",IF($J520="","△"&amp;$D520&amp;" 还没填汇率，去【月度汇率】补上就自动算了",IF(YEAR($A520)&lt;&gt;管理年度,"△不是管理年度的单据，年报里看不到",IF(AND($F520="内部转账",$Q520=""),"△内部转账建议在「往来单位」写上对方账户",IF($M520&lt;0,"△这一笔之后该账户余额成负数了，核一下","")))))))))))</f>
        <v/>
      </c>
    </row>
    <row r="521" ht="16.5" spans="1:19">
      <c r="A521" s="45"/>
      <c r="B521" s="46"/>
      <c r="C521" s="12" t="str">
        <f>IF($B521="","",IFERROR(INDEX(账户银行,MATCH($B521,账户名,0)),""))</f>
        <v/>
      </c>
      <c r="D521" s="12" t="str">
        <f>IF($B521="","",IFERROR(INDEX(账户币种,MATCH($B521,账户名,0)),""))</f>
        <v/>
      </c>
      <c r="E521" s="47"/>
      <c r="F521" s="12" t="str">
        <f>IF($E521="","",IFERROR(INDEX(类别属性,MATCH($E521,类别表,0)),""))</f>
        <v/>
      </c>
      <c r="G521" s="48"/>
      <c r="H521" s="48"/>
      <c r="I521" s="49"/>
      <c r="J521" s="24" t="str">
        <f>IF(OR($A521="",$B521=""),"",IF($I521&lt;&gt;"",$I521,IF($D521=本位币,1,IFERROR(LOOKUP(2,1/((汇率月份&lt;=$A521)*(INDEX(记账汇率区,0,MATCH($D521,汇率币种头,0))&lt;&gt;"")),INDEX(记账汇率区,0,MATCH($D521,汇率币种头,0))),""))))</f>
        <v/>
      </c>
      <c r="K521" s="23" t="str">
        <f t="shared" si="16"/>
        <v/>
      </c>
      <c r="L521" s="23" t="str">
        <f t="shared" si="17"/>
        <v/>
      </c>
      <c r="M521" s="23" t="str">
        <f>IF($B521="","",ROUND(SUMIF(账户名,$B521,账户期初)+SUMIFS($K$6:K521,$B$6:B521,$B521),2))</f>
        <v/>
      </c>
      <c r="N521" s="23" t="str">
        <f>IF($B521="","",IFERROR(ROUND(INDEX(账户期初本位,MATCH($B521,账户名,0))+SUMIFS($L$6:L521,$B$6:B521,$B521),2),""))</f>
        <v/>
      </c>
      <c r="O521" s="46"/>
      <c r="P521" s="47"/>
      <c r="Q521" s="46"/>
      <c r="R521" s="46"/>
      <c r="S521" s="6" t="str">
        <f>IF($B521="","",IF(ISNA(MATCH($B521,账户名,0)),"※这个账户不在【参数设置】的账户档案里",IF($A521="","※没填日期，这一笔不会进任何月份的报表",IF(AND($G521&lt;&gt;"",$H521&lt;&gt;""),"※收入和支出不能同时填",IF(AND(N($G521)=0,N($H521)=0),"※收入和支出都没填",IF($E521="","※没填收支类别，分类报表会漏掉这一笔",IF(ISNA(MATCH($E521,类别表,0)),"※收支类别不在【参数设置】的清单里",IF($J521="","△"&amp;$D521&amp;" 还没填汇率，去【月度汇率】补上就自动算了",IF(YEAR($A521)&lt;&gt;管理年度,"△不是管理年度的单据，年报里看不到",IF(AND($F521="内部转账",$Q521=""),"△内部转账建议在「往来单位」写上对方账户",IF($M521&lt;0,"△这一笔之后该账户余额成负数了，核一下","")))))))))))</f>
        <v/>
      </c>
    </row>
    <row r="522" ht="16.5" spans="1:19">
      <c r="A522" s="45"/>
      <c r="B522" s="46"/>
      <c r="C522" s="12" t="str">
        <f>IF($B522="","",IFERROR(INDEX(账户银行,MATCH($B522,账户名,0)),""))</f>
        <v/>
      </c>
      <c r="D522" s="12" t="str">
        <f>IF($B522="","",IFERROR(INDEX(账户币种,MATCH($B522,账户名,0)),""))</f>
        <v/>
      </c>
      <c r="E522" s="47"/>
      <c r="F522" s="12" t="str">
        <f>IF($E522="","",IFERROR(INDEX(类别属性,MATCH($E522,类别表,0)),""))</f>
        <v/>
      </c>
      <c r="G522" s="48"/>
      <c r="H522" s="48"/>
      <c r="I522" s="49"/>
      <c r="J522" s="24" t="str">
        <f>IF(OR($A522="",$B522=""),"",IF($I522&lt;&gt;"",$I522,IF($D522=本位币,1,IFERROR(LOOKUP(2,1/((汇率月份&lt;=$A522)*(INDEX(记账汇率区,0,MATCH($D522,汇率币种头,0))&lt;&gt;"")),INDEX(记账汇率区,0,MATCH($D522,汇率币种头,0))),""))))</f>
        <v/>
      </c>
      <c r="K522" s="23" t="str">
        <f t="shared" si="16"/>
        <v/>
      </c>
      <c r="L522" s="23" t="str">
        <f t="shared" si="17"/>
        <v/>
      </c>
      <c r="M522" s="23" t="str">
        <f>IF($B522="","",ROUND(SUMIF(账户名,$B522,账户期初)+SUMIFS($K$6:K522,$B$6:B522,$B522),2))</f>
        <v/>
      </c>
      <c r="N522" s="23" t="str">
        <f>IF($B522="","",IFERROR(ROUND(INDEX(账户期初本位,MATCH($B522,账户名,0))+SUMIFS($L$6:L522,$B$6:B522,$B522),2),""))</f>
        <v/>
      </c>
      <c r="O522" s="46"/>
      <c r="P522" s="47"/>
      <c r="Q522" s="46"/>
      <c r="R522" s="46"/>
      <c r="S522" s="6" t="str">
        <f>IF($B522="","",IF(ISNA(MATCH($B522,账户名,0)),"※这个账户不在【参数设置】的账户档案里",IF($A522="","※没填日期，这一笔不会进任何月份的报表",IF(AND($G522&lt;&gt;"",$H522&lt;&gt;""),"※收入和支出不能同时填",IF(AND(N($G522)=0,N($H522)=0),"※收入和支出都没填",IF($E522="","※没填收支类别，分类报表会漏掉这一笔",IF(ISNA(MATCH($E522,类别表,0)),"※收支类别不在【参数设置】的清单里",IF($J522="","△"&amp;$D522&amp;" 还没填汇率，去【月度汇率】补上就自动算了",IF(YEAR($A522)&lt;&gt;管理年度,"△不是管理年度的单据，年报里看不到",IF(AND($F522="内部转账",$Q522=""),"△内部转账建议在「往来单位」写上对方账户",IF($M522&lt;0,"△这一笔之后该账户余额成负数了，核一下","")))))))))))</f>
        <v/>
      </c>
    </row>
    <row r="523" ht="16.5" spans="1:19">
      <c r="A523" s="45"/>
      <c r="B523" s="46"/>
      <c r="C523" s="12" t="str">
        <f>IF($B523="","",IFERROR(INDEX(账户银行,MATCH($B523,账户名,0)),""))</f>
        <v/>
      </c>
      <c r="D523" s="12" t="str">
        <f>IF($B523="","",IFERROR(INDEX(账户币种,MATCH($B523,账户名,0)),""))</f>
        <v/>
      </c>
      <c r="E523" s="47"/>
      <c r="F523" s="12" t="str">
        <f>IF($E523="","",IFERROR(INDEX(类别属性,MATCH($E523,类别表,0)),""))</f>
        <v/>
      </c>
      <c r="G523" s="48"/>
      <c r="H523" s="48"/>
      <c r="I523" s="49"/>
      <c r="J523" s="24" t="str">
        <f>IF(OR($A523="",$B523=""),"",IF($I523&lt;&gt;"",$I523,IF($D523=本位币,1,IFERROR(LOOKUP(2,1/((汇率月份&lt;=$A523)*(INDEX(记账汇率区,0,MATCH($D523,汇率币种头,0))&lt;&gt;"")),INDEX(记账汇率区,0,MATCH($D523,汇率币种头,0))),""))))</f>
        <v/>
      </c>
      <c r="K523" s="23" t="str">
        <f t="shared" si="16"/>
        <v/>
      </c>
      <c r="L523" s="23" t="str">
        <f t="shared" si="17"/>
        <v/>
      </c>
      <c r="M523" s="23" t="str">
        <f>IF($B523="","",ROUND(SUMIF(账户名,$B523,账户期初)+SUMIFS($K$6:K523,$B$6:B523,$B523),2))</f>
        <v/>
      </c>
      <c r="N523" s="23" t="str">
        <f>IF($B523="","",IFERROR(ROUND(INDEX(账户期初本位,MATCH($B523,账户名,0))+SUMIFS($L$6:L523,$B$6:B523,$B523),2),""))</f>
        <v/>
      </c>
      <c r="O523" s="46"/>
      <c r="P523" s="47"/>
      <c r="Q523" s="46"/>
      <c r="R523" s="46"/>
      <c r="S523" s="6" t="str">
        <f>IF($B523="","",IF(ISNA(MATCH($B523,账户名,0)),"※这个账户不在【参数设置】的账户档案里",IF($A523="","※没填日期，这一笔不会进任何月份的报表",IF(AND($G523&lt;&gt;"",$H523&lt;&gt;""),"※收入和支出不能同时填",IF(AND(N($G523)=0,N($H523)=0),"※收入和支出都没填",IF($E523="","※没填收支类别，分类报表会漏掉这一笔",IF(ISNA(MATCH($E523,类别表,0)),"※收支类别不在【参数设置】的清单里",IF($J523="","△"&amp;$D523&amp;" 还没填汇率，去【月度汇率】补上就自动算了",IF(YEAR($A523)&lt;&gt;管理年度,"△不是管理年度的单据，年报里看不到",IF(AND($F523="内部转账",$Q523=""),"△内部转账建议在「往来单位」写上对方账户",IF($M523&lt;0,"△这一笔之后该账户余额成负数了，核一下","")))))))))))</f>
        <v/>
      </c>
    </row>
    <row r="524" ht="16.5" spans="1:19">
      <c r="A524" s="45"/>
      <c r="B524" s="46"/>
      <c r="C524" s="12" t="str">
        <f>IF($B524="","",IFERROR(INDEX(账户银行,MATCH($B524,账户名,0)),""))</f>
        <v/>
      </c>
      <c r="D524" s="12" t="str">
        <f>IF($B524="","",IFERROR(INDEX(账户币种,MATCH($B524,账户名,0)),""))</f>
        <v/>
      </c>
      <c r="E524" s="47"/>
      <c r="F524" s="12" t="str">
        <f>IF($E524="","",IFERROR(INDEX(类别属性,MATCH($E524,类别表,0)),""))</f>
        <v/>
      </c>
      <c r="G524" s="48"/>
      <c r="H524" s="48"/>
      <c r="I524" s="49"/>
      <c r="J524" s="24" t="str">
        <f>IF(OR($A524="",$B524=""),"",IF($I524&lt;&gt;"",$I524,IF($D524=本位币,1,IFERROR(LOOKUP(2,1/((汇率月份&lt;=$A524)*(INDEX(记账汇率区,0,MATCH($D524,汇率币种头,0))&lt;&gt;"")),INDEX(记账汇率区,0,MATCH($D524,汇率币种头,0))),""))))</f>
        <v/>
      </c>
      <c r="K524" s="23" t="str">
        <f t="shared" si="16"/>
        <v/>
      </c>
      <c r="L524" s="23" t="str">
        <f t="shared" si="17"/>
        <v/>
      </c>
      <c r="M524" s="23" t="str">
        <f>IF($B524="","",ROUND(SUMIF(账户名,$B524,账户期初)+SUMIFS($K$6:K524,$B$6:B524,$B524),2))</f>
        <v/>
      </c>
      <c r="N524" s="23" t="str">
        <f>IF($B524="","",IFERROR(ROUND(INDEX(账户期初本位,MATCH($B524,账户名,0))+SUMIFS($L$6:L524,$B$6:B524,$B524),2),""))</f>
        <v/>
      </c>
      <c r="O524" s="46"/>
      <c r="P524" s="47"/>
      <c r="Q524" s="46"/>
      <c r="R524" s="46"/>
      <c r="S524" s="6" t="str">
        <f>IF($B524="","",IF(ISNA(MATCH($B524,账户名,0)),"※这个账户不在【参数设置】的账户档案里",IF($A524="","※没填日期，这一笔不会进任何月份的报表",IF(AND($G524&lt;&gt;"",$H524&lt;&gt;""),"※收入和支出不能同时填",IF(AND(N($G524)=0,N($H524)=0),"※收入和支出都没填",IF($E524="","※没填收支类别，分类报表会漏掉这一笔",IF(ISNA(MATCH($E524,类别表,0)),"※收支类别不在【参数设置】的清单里",IF($J524="","△"&amp;$D524&amp;" 还没填汇率，去【月度汇率】补上就自动算了",IF(YEAR($A524)&lt;&gt;管理年度,"△不是管理年度的单据，年报里看不到",IF(AND($F524="内部转账",$Q524=""),"△内部转账建议在「往来单位」写上对方账户",IF($M524&lt;0,"△这一笔之后该账户余额成负数了，核一下","")))))))))))</f>
        <v/>
      </c>
    </row>
    <row r="525" ht="16.5" spans="1:19">
      <c r="A525" s="45"/>
      <c r="B525" s="46"/>
      <c r="C525" s="12" t="str">
        <f>IF($B525="","",IFERROR(INDEX(账户银行,MATCH($B525,账户名,0)),""))</f>
        <v/>
      </c>
      <c r="D525" s="12" t="str">
        <f>IF($B525="","",IFERROR(INDEX(账户币种,MATCH($B525,账户名,0)),""))</f>
        <v/>
      </c>
      <c r="E525" s="47"/>
      <c r="F525" s="12" t="str">
        <f>IF($E525="","",IFERROR(INDEX(类别属性,MATCH($E525,类别表,0)),""))</f>
        <v/>
      </c>
      <c r="G525" s="48"/>
      <c r="H525" s="48"/>
      <c r="I525" s="49"/>
      <c r="J525" s="24" t="str">
        <f>IF(OR($A525="",$B525=""),"",IF($I525&lt;&gt;"",$I525,IF($D525=本位币,1,IFERROR(LOOKUP(2,1/((汇率月份&lt;=$A525)*(INDEX(记账汇率区,0,MATCH($D525,汇率币种头,0))&lt;&gt;"")),INDEX(记账汇率区,0,MATCH($D525,汇率币种头,0))),""))))</f>
        <v/>
      </c>
      <c r="K525" s="23" t="str">
        <f t="shared" si="16"/>
        <v/>
      </c>
      <c r="L525" s="23" t="str">
        <f t="shared" si="17"/>
        <v/>
      </c>
      <c r="M525" s="23" t="str">
        <f>IF($B525="","",ROUND(SUMIF(账户名,$B525,账户期初)+SUMIFS($K$6:K525,$B$6:B525,$B525),2))</f>
        <v/>
      </c>
      <c r="N525" s="23" t="str">
        <f>IF($B525="","",IFERROR(ROUND(INDEX(账户期初本位,MATCH($B525,账户名,0))+SUMIFS($L$6:L525,$B$6:B525,$B525),2),""))</f>
        <v/>
      </c>
      <c r="O525" s="46"/>
      <c r="P525" s="47"/>
      <c r="Q525" s="46"/>
      <c r="R525" s="46"/>
      <c r="S525" s="6" t="str">
        <f>IF($B525="","",IF(ISNA(MATCH($B525,账户名,0)),"※这个账户不在【参数设置】的账户档案里",IF($A525="","※没填日期，这一笔不会进任何月份的报表",IF(AND($G525&lt;&gt;"",$H525&lt;&gt;""),"※收入和支出不能同时填",IF(AND(N($G525)=0,N($H525)=0),"※收入和支出都没填",IF($E525="","※没填收支类别，分类报表会漏掉这一笔",IF(ISNA(MATCH($E525,类别表,0)),"※收支类别不在【参数设置】的清单里",IF($J525="","△"&amp;$D525&amp;" 还没填汇率，去【月度汇率】补上就自动算了",IF(YEAR($A525)&lt;&gt;管理年度,"△不是管理年度的单据，年报里看不到",IF(AND($F525="内部转账",$Q525=""),"△内部转账建议在「往来单位」写上对方账户",IF($M525&lt;0,"△这一笔之后该账户余额成负数了，核一下","")))))))))))</f>
        <v/>
      </c>
    </row>
    <row r="526" ht="16.5" spans="1:19">
      <c r="A526" s="45"/>
      <c r="B526" s="46"/>
      <c r="C526" s="12" t="str">
        <f>IF($B526="","",IFERROR(INDEX(账户银行,MATCH($B526,账户名,0)),""))</f>
        <v/>
      </c>
      <c r="D526" s="12" t="str">
        <f>IF($B526="","",IFERROR(INDEX(账户币种,MATCH($B526,账户名,0)),""))</f>
        <v/>
      </c>
      <c r="E526" s="47"/>
      <c r="F526" s="12" t="str">
        <f>IF($E526="","",IFERROR(INDEX(类别属性,MATCH($E526,类别表,0)),""))</f>
        <v/>
      </c>
      <c r="G526" s="48"/>
      <c r="H526" s="48"/>
      <c r="I526" s="49"/>
      <c r="J526" s="24" t="str">
        <f>IF(OR($A526="",$B526=""),"",IF($I526&lt;&gt;"",$I526,IF($D526=本位币,1,IFERROR(LOOKUP(2,1/((汇率月份&lt;=$A526)*(INDEX(记账汇率区,0,MATCH($D526,汇率币种头,0))&lt;&gt;"")),INDEX(记账汇率区,0,MATCH($D526,汇率币种头,0))),""))))</f>
        <v/>
      </c>
      <c r="K526" s="23" t="str">
        <f t="shared" si="16"/>
        <v/>
      </c>
      <c r="L526" s="23" t="str">
        <f t="shared" si="17"/>
        <v/>
      </c>
      <c r="M526" s="23" t="str">
        <f>IF($B526="","",ROUND(SUMIF(账户名,$B526,账户期初)+SUMIFS($K$6:K526,$B$6:B526,$B526),2))</f>
        <v/>
      </c>
      <c r="N526" s="23" t="str">
        <f>IF($B526="","",IFERROR(ROUND(INDEX(账户期初本位,MATCH($B526,账户名,0))+SUMIFS($L$6:L526,$B$6:B526,$B526),2),""))</f>
        <v/>
      </c>
      <c r="O526" s="46"/>
      <c r="P526" s="47"/>
      <c r="Q526" s="46"/>
      <c r="R526" s="46"/>
      <c r="S526" s="6" t="str">
        <f>IF($B526="","",IF(ISNA(MATCH($B526,账户名,0)),"※这个账户不在【参数设置】的账户档案里",IF($A526="","※没填日期，这一笔不会进任何月份的报表",IF(AND($G526&lt;&gt;"",$H526&lt;&gt;""),"※收入和支出不能同时填",IF(AND(N($G526)=0,N($H526)=0),"※收入和支出都没填",IF($E526="","※没填收支类别，分类报表会漏掉这一笔",IF(ISNA(MATCH($E526,类别表,0)),"※收支类别不在【参数设置】的清单里",IF($J526="","△"&amp;$D526&amp;" 还没填汇率，去【月度汇率】补上就自动算了",IF(YEAR($A526)&lt;&gt;管理年度,"△不是管理年度的单据，年报里看不到",IF(AND($F526="内部转账",$Q526=""),"△内部转账建议在「往来单位」写上对方账户",IF($M526&lt;0,"△这一笔之后该账户余额成负数了，核一下","")))))))))))</f>
        <v/>
      </c>
    </row>
    <row r="527" ht="16.5" spans="1:19">
      <c r="A527" s="45"/>
      <c r="B527" s="46"/>
      <c r="C527" s="12" t="str">
        <f>IF($B527="","",IFERROR(INDEX(账户银行,MATCH($B527,账户名,0)),""))</f>
        <v/>
      </c>
      <c r="D527" s="12" t="str">
        <f>IF($B527="","",IFERROR(INDEX(账户币种,MATCH($B527,账户名,0)),""))</f>
        <v/>
      </c>
      <c r="E527" s="47"/>
      <c r="F527" s="12" t="str">
        <f>IF($E527="","",IFERROR(INDEX(类别属性,MATCH($E527,类别表,0)),""))</f>
        <v/>
      </c>
      <c r="G527" s="48"/>
      <c r="H527" s="48"/>
      <c r="I527" s="49"/>
      <c r="J527" s="24" t="str">
        <f>IF(OR($A527="",$B527=""),"",IF($I527&lt;&gt;"",$I527,IF($D527=本位币,1,IFERROR(LOOKUP(2,1/((汇率月份&lt;=$A527)*(INDEX(记账汇率区,0,MATCH($D527,汇率币种头,0))&lt;&gt;"")),INDEX(记账汇率区,0,MATCH($D527,汇率币种头,0))),""))))</f>
        <v/>
      </c>
      <c r="K527" s="23" t="str">
        <f t="shared" si="16"/>
        <v/>
      </c>
      <c r="L527" s="23" t="str">
        <f t="shared" si="17"/>
        <v/>
      </c>
      <c r="M527" s="23" t="str">
        <f>IF($B527="","",ROUND(SUMIF(账户名,$B527,账户期初)+SUMIFS($K$6:K527,$B$6:B527,$B527),2))</f>
        <v/>
      </c>
      <c r="N527" s="23" t="str">
        <f>IF($B527="","",IFERROR(ROUND(INDEX(账户期初本位,MATCH($B527,账户名,0))+SUMIFS($L$6:L527,$B$6:B527,$B527),2),""))</f>
        <v/>
      </c>
      <c r="O527" s="46"/>
      <c r="P527" s="47"/>
      <c r="Q527" s="46"/>
      <c r="R527" s="46"/>
      <c r="S527" s="6" t="str">
        <f>IF($B527="","",IF(ISNA(MATCH($B527,账户名,0)),"※这个账户不在【参数设置】的账户档案里",IF($A527="","※没填日期，这一笔不会进任何月份的报表",IF(AND($G527&lt;&gt;"",$H527&lt;&gt;""),"※收入和支出不能同时填",IF(AND(N($G527)=0,N($H527)=0),"※收入和支出都没填",IF($E527="","※没填收支类别，分类报表会漏掉这一笔",IF(ISNA(MATCH($E527,类别表,0)),"※收支类别不在【参数设置】的清单里",IF($J527="","△"&amp;$D527&amp;" 还没填汇率，去【月度汇率】补上就自动算了",IF(YEAR($A527)&lt;&gt;管理年度,"△不是管理年度的单据，年报里看不到",IF(AND($F527="内部转账",$Q527=""),"△内部转账建议在「往来单位」写上对方账户",IF($M527&lt;0,"△这一笔之后该账户余额成负数了，核一下","")))))))))))</f>
        <v/>
      </c>
    </row>
    <row r="528" ht="16.5" spans="1:19">
      <c r="A528" s="45"/>
      <c r="B528" s="46"/>
      <c r="C528" s="12" t="str">
        <f>IF($B528="","",IFERROR(INDEX(账户银行,MATCH($B528,账户名,0)),""))</f>
        <v/>
      </c>
      <c r="D528" s="12" t="str">
        <f>IF($B528="","",IFERROR(INDEX(账户币种,MATCH($B528,账户名,0)),""))</f>
        <v/>
      </c>
      <c r="E528" s="47"/>
      <c r="F528" s="12" t="str">
        <f>IF($E528="","",IFERROR(INDEX(类别属性,MATCH($E528,类别表,0)),""))</f>
        <v/>
      </c>
      <c r="G528" s="48"/>
      <c r="H528" s="48"/>
      <c r="I528" s="49"/>
      <c r="J528" s="24" t="str">
        <f>IF(OR($A528="",$B528=""),"",IF($I528&lt;&gt;"",$I528,IF($D528=本位币,1,IFERROR(LOOKUP(2,1/((汇率月份&lt;=$A528)*(INDEX(记账汇率区,0,MATCH($D528,汇率币种头,0))&lt;&gt;"")),INDEX(记账汇率区,0,MATCH($D528,汇率币种头,0))),""))))</f>
        <v/>
      </c>
      <c r="K528" s="23" t="str">
        <f t="shared" si="16"/>
        <v/>
      </c>
      <c r="L528" s="23" t="str">
        <f t="shared" si="17"/>
        <v/>
      </c>
      <c r="M528" s="23" t="str">
        <f>IF($B528="","",ROUND(SUMIF(账户名,$B528,账户期初)+SUMIFS($K$6:K528,$B$6:B528,$B528),2))</f>
        <v/>
      </c>
      <c r="N528" s="23" t="str">
        <f>IF($B528="","",IFERROR(ROUND(INDEX(账户期初本位,MATCH($B528,账户名,0))+SUMIFS($L$6:L528,$B$6:B528,$B528),2),""))</f>
        <v/>
      </c>
      <c r="O528" s="46"/>
      <c r="P528" s="47"/>
      <c r="Q528" s="46"/>
      <c r="R528" s="46"/>
      <c r="S528" s="6" t="str">
        <f>IF($B528="","",IF(ISNA(MATCH($B528,账户名,0)),"※这个账户不在【参数设置】的账户档案里",IF($A528="","※没填日期，这一笔不会进任何月份的报表",IF(AND($G528&lt;&gt;"",$H528&lt;&gt;""),"※收入和支出不能同时填",IF(AND(N($G528)=0,N($H528)=0),"※收入和支出都没填",IF($E528="","※没填收支类别，分类报表会漏掉这一笔",IF(ISNA(MATCH($E528,类别表,0)),"※收支类别不在【参数设置】的清单里",IF($J528="","△"&amp;$D528&amp;" 还没填汇率，去【月度汇率】补上就自动算了",IF(YEAR($A528)&lt;&gt;管理年度,"△不是管理年度的单据，年报里看不到",IF(AND($F528="内部转账",$Q528=""),"△内部转账建议在「往来单位」写上对方账户",IF($M528&lt;0,"△这一笔之后该账户余额成负数了，核一下","")))))))))))</f>
        <v/>
      </c>
    </row>
    <row r="529" ht="16.5" spans="1:19">
      <c r="A529" s="45"/>
      <c r="B529" s="46"/>
      <c r="C529" s="12" t="str">
        <f>IF($B529="","",IFERROR(INDEX(账户银行,MATCH($B529,账户名,0)),""))</f>
        <v/>
      </c>
      <c r="D529" s="12" t="str">
        <f>IF($B529="","",IFERROR(INDEX(账户币种,MATCH($B529,账户名,0)),""))</f>
        <v/>
      </c>
      <c r="E529" s="47"/>
      <c r="F529" s="12" t="str">
        <f>IF($E529="","",IFERROR(INDEX(类别属性,MATCH($E529,类别表,0)),""))</f>
        <v/>
      </c>
      <c r="G529" s="48"/>
      <c r="H529" s="48"/>
      <c r="I529" s="49"/>
      <c r="J529" s="24" t="str">
        <f>IF(OR($A529="",$B529=""),"",IF($I529&lt;&gt;"",$I529,IF($D529=本位币,1,IFERROR(LOOKUP(2,1/((汇率月份&lt;=$A529)*(INDEX(记账汇率区,0,MATCH($D529,汇率币种头,0))&lt;&gt;"")),INDEX(记账汇率区,0,MATCH($D529,汇率币种头,0))),""))))</f>
        <v/>
      </c>
      <c r="K529" s="23" t="str">
        <f t="shared" si="16"/>
        <v/>
      </c>
      <c r="L529" s="23" t="str">
        <f t="shared" si="17"/>
        <v/>
      </c>
      <c r="M529" s="23" t="str">
        <f>IF($B529="","",ROUND(SUMIF(账户名,$B529,账户期初)+SUMIFS($K$6:K529,$B$6:B529,$B529),2))</f>
        <v/>
      </c>
      <c r="N529" s="23" t="str">
        <f>IF($B529="","",IFERROR(ROUND(INDEX(账户期初本位,MATCH($B529,账户名,0))+SUMIFS($L$6:L529,$B$6:B529,$B529),2),""))</f>
        <v/>
      </c>
      <c r="O529" s="46"/>
      <c r="P529" s="47"/>
      <c r="Q529" s="46"/>
      <c r="R529" s="46"/>
      <c r="S529" s="6" t="str">
        <f>IF($B529="","",IF(ISNA(MATCH($B529,账户名,0)),"※这个账户不在【参数设置】的账户档案里",IF($A529="","※没填日期，这一笔不会进任何月份的报表",IF(AND($G529&lt;&gt;"",$H529&lt;&gt;""),"※收入和支出不能同时填",IF(AND(N($G529)=0,N($H529)=0),"※收入和支出都没填",IF($E529="","※没填收支类别，分类报表会漏掉这一笔",IF(ISNA(MATCH($E529,类别表,0)),"※收支类别不在【参数设置】的清单里",IF($J529="","△"&amp;$D529&amp;" 还没填汇率，去【月度汇率】补上就自动算了",IF(YEAR($A529)&lt;&gt;管理年度,"△不是管理年度的单据，年报里看不到",IF(AND($F529="内部转账",$Q529=""),"△内部转账建议在「往来单位」写上对方账户",IF($M529&lt;0,"△这一笔之后该账户余额成负数了，核一下","")))))))))))</f>
        <v/>
      </c>
    </row>
    <row r="530" ht="16.5" spans="1:19">
      <c r="A530" s="45"/>
      <c r="B530" s="46"/>
      <c r="C530" s="12" t="str">
        <f>IF($B530="","",IFERROR(INDEX(账户银行,MATCH($B530,账户名,0)),""))</f>
        <v/>
      </c>
      <c r="D530" s="12" t="str">
        <f>IF($B530="","",IFERROR(INDEX(账户币种,MATCH($B530,账户名,0)),""))</f>
        <v/>
      </c>
      <c r="E530" s="47"/>
      <c r="F530" s="12" t="str">
        <f>IF($E530="","",IFERROR(INDEX(类别属性,MATCH($E530,类别表,0)),""))</f>
        <v/>
      </c>
      <c r="G530" s="48"/>
      <c r="H530" s="48"/>
      <c r="I530" s="49"/>
      <c r="J530" s="24" t="str">
        <f>IF(OR($A530="",$B530=""),"",IF($I530&lt;&gt;"",$I530,IF($D530=本位币,1,IFERROR(LOOKUP(2,1/((汇率月份&lt;=$A530)*(INDEX(记账汇率区,0,MATCH($D530,汇率币种头,0))&lt;&gt;"")),INDEX(记账汇率区,0,MATCH($D530,汇率币种头,0))),""))))</f>
        <v/>
      </c>
      <c r="K530" s="23" t="str">
        <f t="shared" si="16"/>
        <v/>
      </c>
      <c r="L530" s="23" t="str">
        <f t="shared" si="17"/>
        <v/>
      </c>
      <c r="M530" s="23" t="str">
        <f>IF($B530="","",ROUND(SUMIF(账户名,$B530,账户期初)+SUMIFS($K$6:K530,$B$6:B530,$B530),2))</f>
        <v/>
      </c>
      <c r="N530" s="23" t="str">
        <f>IF($B530="","",IFERROR(ROUND(INDEX(账户期初本位,MATCH($B530,账户名,0))+SUMIFS($L$6:L530,$B$6:B530,$B530),2),""))</f>
        <v/>
      </c>
      <c r="O530" s="46"/>
      <c r="P530" s="47"/>
      <c r="Q530" s="46"/>
      <c r="R530" s="46"/>
      <c r="S530" s="6" t="str">
        <f>IF($B530="","",IF(ISNA(MATCH($B530,账户名,0)),"※这个账户不在【参数设置】的账户档案里",IF($A530="","※没填日期，这一笔不会进任何月份的报表",IF(AND($G530&lt;&gt;"",$H530&lt;&gt;""),"※收入和支出不能同时填",IF(AND(N($G530)=0,N($H530)=0),"※收入和支出都没填",IF($E530="","※没填收支类别，分类报表会漏掉这一笔",IF(ISNA(MATCH($E530,类别表,0)),"※收支类别不在【参数设置】的清单里",IF($J530="","△"&amp;$D530&amp;" 还没填汇率，去【月度汇率】补上就自动算了",IF(YEAR($A530)&lt;&gt;管理年度,"△不是管理年度的单据，年报里看不到",IF(AND($F530="内部转账",$Q530=""),"△内部转账建议在「往来单位」写上对方账户",IF($M530&lt;0,"△这一笔之后该账户余额成负数了，核一下","")))))))))))</f>
        <v/>
      </c>
    </row>
    <row r="531" ht="16.5" spans="1:19">
      <c r="A531" s="45"/>
      <c r="B531" s="46"/>
      <c r="C531" s="12" t="str">
        <f>IF($B531="","",IFERROR(INDEX(账户银行,MATCH($B531,账户名,0)),""))</f>
        <v/>
      </c>
      <c r="D531" s="12" t="str">
        <f>IF($B531="","",IFERROR(INDEX(账户币种,MATCH($B531,账户名,0)),""))</f>
        <v/>
      </c>
      <c r="E531" s="47"/>
      <c r="F531" s="12" t="str">
        <f>IF($E531="","",IFERROR(INDEX(类别属性,MATCH($E531,类别表,0)),""))</f>
        <v/>
      </c>
      <c r="G531" s="48"/>
      <c r="H531" s="48"/>
      <c r="I531" s="49"/>
      <c r="J531" s="24" t="str">
        <f>IF(OR($A531="",$B531=""),"",IF($I531&lt;&gt;"",$I531,IF($D531=本位币,1,IFERROR(LOOKUP(2,1/((汇率月份&lt;=$A531)*(INDEX(记账汇率区,0,MATCH($D531,汇率币种头,0))&lt;&gt;"")),INDEX(记账汇率区,0,MATCH($D531,汇率币种头,0))),""))))</f>
        <v/>
      </c>
      <c r="K531" s="23" t="str">
        <f t="shared" si="16"/>
        <v/>
      </c>
      <c r="L531" s="23" t="str">
        <f t="shared" si="17"/>
        <v/>
      </c>
      <c r="M531" s="23" t="str">
        <f>IF($B531="","",ROUND(SUMIF(账户名,$B531,账户期初)+SUMIFS($K$6:K531,$B$6:B531,$B531),2))</f>
        <v/>
      </c>
      <c r="N531" s="23" t="str">
        <f>IF($B531="","",IFERROR(ROUND(INDEX(账户期初本位,MATCH($B531,账户名,0))+SUMIFS($L$6:L531,$B$6:B531,$B531),2),""))</f>
        <v/>
      </c>
      <c r="O531" s="46"/>
      <c r="P531" s="47"/>
      <c r="Q531" s="46"/>
      <c r="R531" s="46"/>
      <c r="S531" s="6" t="str">
        <f>IF($B531="","",IF(ISNA(MATCH($B531,账户名,0)),"※这个账户不在【参数设置】的账户档案里",IF($A531="","※没填日期，这一笔不会进任何月份的报表",IF(AND($G531&lt;&gt;"",$H531&lt;&gt;""),"※收入和支出不能同时填",IF(AND(N($G531)=0,N($H531)=0),"※收入和支出都没填",IF($E531="","※没填收支类别，分类报表会漏掉这一笔",IF(ISNA(MATCH($E531,类别表,0)),"※收支类别不在【参数设置】的清单里",IF($J531="","△"&amp;$D531&amp;" 还没填汇率，去【月度汇率】补上就自动算了",IF(YEAR($A531)&lt;&gt;管理年度,"△不是管理年度的单据，年报里看不到",IF(AND($F531="内部转账",$Q531=""),"△内部转账建议在「往来单位」写上对方账户",IF($M531&lt;0,"△这一笔之后该账户余额成负数了，核一下","")))))))))))</f>
        <v/>
      </c>
    </row>
    <row r="532" ht="16.5" spans="1:19">
      <c r="A532" s="45"/>
      <c r="B532" s="46"/>
      <c r="C532" s="12" t="str">
        <f>IF($B532="","",IFERROR(INDEX(账户银行,MATCH($B532,账户名,0)),""))</f>
        <v/>
      </c>
      <c r="D532" s="12" t="str">
        <f>IF($B532="","",IFERROR(INDEX(账户币种,MATCH($B532,账户名,0)),""))</f>
        <v/>
      </c>
      <c r="E532" s="47"/>
      <c r="F532" s="12" t="str">
        <f>IF($E532="","",IFERROR(INDEX(类别属性,MATCH($E532,类别表,0)),""))</f>
        <v/>
      </c>
      <c r="G532" s="48"/>
      <c r="H532" s="48"/>
      <c r="I532" s="49"/>
      <c r="J532" s="24" t="str">
        <f>IF(OR($A532="",$B532=""),"",IF($I532&lt;&gt;"",$I532,IF($D532=本位币,1,IFERROR(LOOKUP(2,1/((汇率月份&lt;=$A532)*(INDEX(记账汇率区,0,MATCH($D532,汇率币种头,0))&lt;&gt;"")),INDEX(记账汇率区,0,MATCH($D532,汇率币种头,0))),""))))</f>
        <v/>
      </c>
      <c r="K532" s="23" t="str">
        <f t="shared" si="16"/>
        <v/>
      </c>
      <c r="L532" s="23" t="str">
        <f t="shared" si="17"/>
        <v/>
      </c>
      <c r="M532" s="23" t="str">
        <f>IF($B532="","",ROUND(SUMIF(账户名,$B532,账户期初)+SUMIFS($K$6:K532,$B$6:B532,$B532),2))</f>
        <v/>
      </c>
      <c r="N532" s="23" t="str">
        <f>IF($B532="","",IFERROR(ROUND(INDEX(账户期初本位,MATCH($B532,账户名,0))+SUMIFS($L$6:L532,$B$6:B532,$B532),2),""))</f>
        <v/>
      </c>
      <c r="O532" s="46"/>
      <c r="P532" s="47"/>
      <c r="Q532" s="46"/>
      <c r="R532" s="46"/>
      <c r="S532" s="6" t="str">
        <f>IF($B532="","",IF(ISNA(MATCH($B532,账户名,0)),"※这个账户不在【参数设置】的账户档案里",IF($A532="","※没填日期，这一笔不会进任何月份的报表",IF(AND($G532&lt;&gt;"",$H532&lt;&gt;""),"※收入和支出不能同时填",IF(AND(N($G532)=0,N($H532)=0),"※收入和支出都没填",IF($E532="","※没填收支类别，分类报表会漏掉这一笔",IF(ISNA(MATCH($E532,类别表,0)),"※收支类别不在【参数设置】的清单里",IF($J532="","△"&amp;$D532&amp;" 还没填汇率，去【月度汇率】补上就自动算了",IF(YEAR($A532)&lt;&gt;管理年度,"△不是管理年度的单据，年报里看不到",IF(AND($F532="内部转账",$Q532=""),"△内部转账建议在「往来单位」写上对方账户",IF($M532&lt;0,"△这一笔之后该账户余额成负数了，核一下","")))))))))))</f>
        <v/>
      </c>
    </row>
    <row r="533" ht="16.5" spans="1:19">
      <c r="A533" s="45"/>
      <c r="B533" s="46"/>
      <c r="C533" s="12" t="str">
        <f>IF($B533="","",IFERROR(INDEX(账户银行,MATCH($B533,账户名,0)),""))</f>
        <v/>
      </c>
      <c r="D533" s="12" t="str">
        <f>IF($B533="","",IFERROR(INDEX(账户币种,MATCH($B533,账户名,0)),""))</f>
        <v/>
      </c>
      <c r="E533" s="47"/>
      <c r="F533" s="12" t="str">
        <f>IF($E533="","",IFERROR(INDEX(类别属性,MATCH($E533,类别表,0)),""))</f>
        <v/>
      </c>
      <c r="G533" s="48"/>
      <c r="H533" s="48"/>
      <c r="I533" s="49"/>
      <c r="J533" s="24" t="str">
        <f>IF(OR($A533="",$B533=""),"",IF($I533&lt;&gt;"",$I533,IF($D533=本位币,1,IFERROR(LOOKUP(2,1/((汇率月份&lt;=$A533)*(INDEX(记账汇率区,0,MATCH($D533,汇率币种头,0))&lt;&gt;"")),INDEX(记账汇率区,0,MATCH($D533,汇率币种头,0))),""))))</f>
        <v/>
      </c>
      <c r="K533" s="23" t="str">
        <f t="shared" si="16"/>
        <v/>
      </c>
      <c r="L533" s="23" t="str">
        <f t="shared" si="17"/>
        <v/>
      </c>
      <c r="M533" s="23" t="str">
        <f>IF($B533="","",ROUND(SUMIF(账户名,$B533,账户期初)+SUMIFS($K$6:K533,$B$6:B533,$B533),2))</f>
        <v/>
      </c>
      <c r="N533" s="23" t="str">
        <f>IF($B533="","",IFERROR(ROUND(INDEX(账户期初本位,MATCH($B533,账户名,0))+SUMIFS($L$6:L533,$B$6:B533,$B533),2),""))</f>
        <v/>
      </c>
      <c r="O533" s="46"/>
      <c r="P533" s="47"/>
      <c r="Q533" s="46"/>
      <c r="R533" s="46"/>
      <c r="S533" s="6" t="str">
        <f>IF($B533="","",IF(ISNA(MATCH($B533,账户名,0)),"※这个账户不在【参数设置】的账户档案里",IF($A533="","※没填日期，这一笔不会进任何月份的报表",IF(AND($G533&lt;&gt;"",$H533&lt;&gt;""),"※收入和支出不能同时填",IF(AND(N($G533)=0,N($H533)=0),"※收入和支出都没填",IF($E533="","※没填收支类别，分类报表会漏掉这一笔",IF(ISNA(MATCH($E533,类别表,0)),"※收支类别不在【参数设置】的清单里",IF($J533="","△"&amp;$D533&amp;" 还没填汇率，去【月度汇率】补上就自动算了",IF(YEAR($A533)&lt;&gt;管理年度,"△不是管理年度的单据，年报里看不到",IF(AND($F533="内部转账",$Q533=""),"△内部转账建议在「往来单位」写上对方账户",IF($M533&lt;0,"△这一笔之后该账户余额成负数了，核一下","")))))))))))</f>
        <v/>
      </c>
    </row>
    <row r="534" ht="16.5" spans="1:19">
      <c r="A534" s="45"/>
      <c r="B534" s="46"/>
      <c r="C534" s="12" t="str">
        <f>IF($B534="","",IFERROR(INDEX(账户银行,MATCH($B534,账户名,0)),""))</f>
        <v/>
      </c>
      <c r="D534" s="12" t="str">
        <f>IF($B534="","",IFERROR(INDEX(账户币种,MATCH($B534,账户名,0)),""))</f>
        <v/>
      </c>
      <c r="E534" s="47"/>
      <c r="F534" s="12" t="str">
        <f>IF($E534="","",IFERROR(INDEX(类别属性,MATCH($E534,类别表,0)),""))</f>
        <v/>
      </c>
      <c r="G534" s="48"/>
      <c r="H534" s="48"/>
      <c r="I534" s="49"/>
      <c r="J534" s="24" t="str">
        <f>IF(OR($A534="",$B534=""),"",IF($I534&lt;&gt;"",$I534,IF($D534=本位币,1,IFERROR(LOOKUP(2,1/((汇率月份&lt;=$A534)*(INDEX(记账汇率区,0,MATCH($D534,汇率币种头,0))&lt;&gt;"")),INDEX(记账汇率区,0,MATCH($D534,汇率币种头,0))),""))))</f>
        <v/>
      </c>
      <c r="K534" s="23" t="str">
        <f t="shared" si="16"/>
        <v/>
      </c>
      <c r="L534" s="23" t="str">
        <f t="shared" si="17"/>
        <v/>
      </c>
      <c r="M534" s="23" t="str">
        <f>IF($B534="","",ROUND(SUMIF(账户名,$B534,账户期初)+SUMIFS($K$6:K534,$B$6:B534,$B534),2))</f>
        <v/>
      </c>
      <c r="N534" s="23" t="str">
        <f>IF($B534="","",IFERROR(ROUND(INDEX(账户期初本位,MATCH($B534,账户名,0))+SUMIFS($L$6:L534,$B$6:B534,$B534),2),""))</f>
        <v/>
      </c>
      <c r="O534" s="46"/>
      <c r="P534" s="47"/>
      <c r="Q534" s="46"/>
      <c r="R534" s="46"/>
      <c r="S534" s="6" t="str">
        <f>IF($B534="","",IF(ISNA(MATCH($B534,账户名,0)),"※这个账户不在【参数设置】的账户档案里",IF($A534="","※没填日期，这一笔不会进任何月份的报表",IF(AND($G534&lt;&gt;"",$H534&lt;&gt;""),"※收入和支出不能同时填",IF(AND(N($G534)=0,N($H534)=0),"※收入和支出都没填",IF($E534="","※没填收支类别，分类报表会漏掉这一笔",IF(ISNA(MATCH($E534,类别表,0)),"※收支类别不在【参数设置】的清单里",IF($J534="","△"&amp;$D534&amp;" 还没填汇率，去【月度汇率】补上就自动算了",IF(YEAR($A534)&lt;&gt;管理年度,"△不是管理年度的单据，年报里看不到",IF(AND($F534="内部转账",$Q534=""),"△内部转账建议在「往来单位」写上对方账户",IF($M534&lt;0,"△这一笔之后该账户余额成负数了，核一下","")))))))))))</f>
        <v/>
      </c>
    </row>
    <row r="535" ht="16.5" spans="1:19">
      <c r="A535" s="45"/>
      <c r="B535" s="46"/>
      <c r="C535" s="12" t="str">
        <f>IF($B535="","",IFERROR(INDEX(账户银行,MATCH($B535,账户名,0)),""))</f>
        <v/>
      </c>
      <c r="D535" s="12" t="str">
        <f>IF($B535="","",IFERROR(INDEX(账户币种,MATCH($B535,账户名,0)),""))</f>
        <v/>
      </c>
      <c r="E535" s="47"/>
      <c r="F535" s="12" t="str">
        <f>IF($E535="","",IFERROR(INDEX(类别属性,MATCH($E535,类别表,0)),""))</f>
        <v/>
      </c>
      <c r="G535" s="48"/>
      <c r="H535" s="48"/>
      <c r="I535" s="49"/>
      <c r="J535" s="24" t="str">
        <f>IF(OR($A535="",$B535=""),"",IF($I535&lt;&gt;"",$I535,IF($D535=本位币,1,IFERROR(LOOKUP(2,1/((汇率月份&lt;=$A535)*(INDEX(记账汇率区,0,MATCH($D535,汇率币种头,0))&lt;&gt;"")),INDEX(记账汇率区,0,MATCH($D535,汇率币种头,0))),""))))</f>
        <v/>
      </c>
      <c r="K535" s="23" t="str">
        <f t="shared" si="16"/>
        <v/>
      </c>
      <c r="L535" s="23" t="str">
        <f t="shared" si="17"/>
        <v/>
      </c>
      <c r="M535" s="23" t="str">
        <f>IF($B535="","",ROUND(SUMIF(账户名,$B535,账户期初)+SUMIFS($K$6:K535,$B$6:B535,$B535),2))</f>
        <v/>
      </c>
      <c r="N535" s="23" t="str">
        <f>IF($B535="","",IFERROR(ROUND(INDEX(账户期初本位,MATCH($B535,账户名,0))+SUMIFS($L$6:L535,$B$6:B535,$B535),2),""))</f>
        <v/>
      </c>
      <c r="O535" s="46"/>
      <c r="P535" s="47"/>
      <c r="Q535" s="46"/>
      <c r="R535" s="46"/>
      <c r="S535" s="6" t="str">
        <f>IF($B535="","",IF(ISNA(MATCH($B535,账户名,0)),"※这个账户不在【参数设置】的账户档案里",IF($A535="","※没填日期，这一笔不会进任何月份的报表",IF(AND($G535&lt;&gt;"",$H535&lt;&gt;""),"※收入和支出不能同时填",IF(AND(N($G535)=0,N($H535)=0),"※收入和支出都没填",IF($E535="","※没填收支类别，分类报表会漏掉这一笔",IF(ISNA(MATCH($E535,类别表,0)),"※收支类别不在【参数设置】的清单里",IF($J535="","△"&amp;$D535&amp;" 还没填汇率，去【月度汇率】补上就自动算了",IF(YEAR($A535)&lt;&gt;管理年度,"△不是管理年度的单据，年报里看不到",IF(AND($F535="内部转账",$Q535=""),"△内部转账建议在「往来单位」写上对方账户",IF($M535&lt;0,"△这一笔之后该账户余额成负数了，核一下","")))))))))))</f>
        <v/>
      </c>
    </row>
    <row r="536" ht="16.5" spans="1:19">
      <c r="A536" s="45"/>
      <c r="B536" s="46"/>
      <c r="C536" s="12" t="str">
        <f>IF($B536="","",IFERROR(INDEX(账户银行,MATCH($B536,账户名,0)),""))</f>
        <v/>
      </c>
      <c r="D536" s="12" t="str">
        <f>IF($B536="","",IFERROR(INDEX(账户币种,MATCH($B536,账户名,0)),""))</f>
        <v/>
      </c>
      <c r="E536" s="47"/>
      <c r="F536" s="12" t="str">
        <f>IF($E536="","",IFERROR(INDEX(类别属性,MATCH($E536,类别表,0)),""))</f>
        <v/>
      </c>
      <c r="G536" s="48"/>
      <c r="H536" s="48"/>
      <c r="I536" s="49"/>
      <c r="J536" s="24" t="str">
        <f>IF(OR($A536="",$B536=""),"",IF($I536&lt;&gt;"",$I536,IF($D536=本位币,1,IFERROR(LOOKUP(2,1/((汇率月份&lt;=$A536)*(INDEX(记账汇率区,0,MATCH($D536,汇率币种头,0))&lt;&gt;"")),INDEX(记账汇率区,0,MATCH($D536,汇率币种头,0))),""))))</f>
        <v/>
      </c>
      <c r="K536" s="23" t="str">
        <f t="shared" si="16"/>
        <v/>
      </c>
      <c r="L536" s="23" t="str">
        <f t="shared" si="17"/>
        <v/>
      </c>
      <c r="M536" s="23" t="str">
        <f>IF($B536="","",ROUND(SUMIF(账户名,$B536,账户期初)+SUMIFS($K$6:K536,$B$6:B536,$B536),2))</f>
        <v/>
      </c>
      <c r="N536" s="23" t="str">
        <f>IF($B536="","",IFERROR(ROUND(INDEX(账户期初本位,MATCH($B536,账户名,0))+SUMIFS($L$6:L536,$B$6:B536,$B536),2),""))</f>
        <v/>
      </c>
      <c r="O536" s="46"/>
      <c r="P536" s="47"/>
      <c r="Q536" s="46"/>
      <c r="R536" s="46"/>
      <c r="S536" s="6" t="str">
        <f>IF($B536="","",IF(ISNA(MATCH($B536,账户名,0)),"※这个账户不在【参数设置】的账户档案里",IF($A536="","※没填日期，这一笔不会进任何月份的报表",IF(AND($G536&lt;&gt;"",$H536&lt;&gt;""),"※收入和支出不能同时填",IF(AND(N($G536)=0,N($H536)=0),"※收入和支出都没填",IF($E536="","※没填收支类别，分类报表会漏掉这一笔",IF(ISNA(MATCH($E536,类别表,0)),"※收支类别不在【参数设置】的清单里",IF($J536="","△"&amp;$D536&amp;" 还没填汇率，去【月度汇率】补上就自动算了",IF(YEAR($A536)&lt;&gt;管理年度,"△不是管理年度的单据，年报里看不到",IF(AND($F536="内部转账",$Q536=""),"△内部转账建议在「往来单位」写上对方账户",IF($M536&lt;0,"△这一笔之后该账户余额成负数了，核一下","")))))))))))</f>
        <v/>
      </c>
    </row>
    <row r="537" ht="16.5" spans="1:19">
      <c r="A537" s="45"/>
      <c r="B537" s="46"/>
      <c r="C537" s="12" t="str">
        <f>IF($B537="","",IFERROR(INDEX(账户银行,MATCH($B537,账户名,0)),""))</f>
        <v/>
      </c>
      <c r="D537" s="12" t="str">
        <f>IF($B537="","",IFERROR(INDEX(账户币种,MATCH($B537,账户名,0)),""))</f>
        <v/>
      </c>
      <c r="E537" s="47"/>
      <c r="F537" s="12" t="str">
        <f>IF($E537="","",IFERROR(INDEX(类别属性,MATCH($E537,类别表,0)),""))</f>
        <v/>
      </c>
      <c r="G537" s="48"/>
      <c r="H537" s="48"/>
      <c r="I537" s="49"/>
      <c r="J537" s="24" t="str">
        <f>IF(OR($A537="",$B537=""),"",IF($I537&lt;&gt;"",$I537,IF($D537=本位币,1,IFERROR(LOOKUP(2,1/((汇率月份&lt;=$A537)*(INDEX(记账汇率区,0,MATCH($D537,汇率币种头,0))&lt;&gt;"")),INDEX(记账汇率区,0,MATCH($D537,汇率币种头,0))),""))))</f>
        <v/>
      </c>
      <c r="K537" s="23" t="str">
        <f t="shared" si="16"/>
        <v/>
      </c>
      <c r="L537" s="23" t="str">
        <f t="shared" si="17"/>
        <v/>
      </c>
      <c r="M537" s="23" t="str">
        <f>IF($B537="","",ROUND(SUMIF(账户名,$B537,账户期初)+SUMIFS($K$6:K537,$B$6:B537,$B537),2))</f>
        <v/>
      </c>
      <c r="N537" s="23" t="str">
        <f>IF($B537="","",IFERROR(ROUND(INDEX(账户期初本位,MATCH($B537,账户名,0))+SUMIFS($L$6:L537,$B$6:B537,$B537),2),""))</f>
        <v/>
      </c>
      <c r="O537" s="46"/>
      <c r="P537" s="47"/>
      <c r="Q537" s="46"/>
      <c r="R537" s="46"/>
      <c r="S537" s="6" t="str">
        <f>IF($B537="","",IF(ISNA(MATCH($B537,账户名,0)),"※这个账户不在【参数设置】的账户档案里",IF($A537="","※没填日期，这一笔不会进任何月份的报表",IF(AND($G537&lt;&gt;"",$H537&lt;&gt;""),"※收入和支出不能同时填",IF(AND(N($G537)=0,N($H537)=0),"※收入和支出都没填",IF($E537="","※没填收支类别，分类报表会漏掉这一笔",IF(ISNA(MATCH($E537,类别表,0)),"※收支类别不在【参数设置】的清单里",IF($J537="","△"&amp;$D537&amp;" 还没填汇率，去【月度汇率】补上就自动算了",IF(YEAR($A537)&lt;&gt;管理年度,"△不是管理年度的单据，年报里看不到",IF(AND($F537="内部转账",$Q537=""),"△内部转账建议在「往来单位」写上对方账户",IF($M537&lt;0,"△这一笔之后该账户余额成负数了，核一下","")))))))))))</f>
        <v/>
      </c>
    </row>
    <row r="538" ht="16.5" spans="1:19">
      <c r="A538" s="45"/>
      <c r="B538" s="46"/>
      <c r="C538" s="12" t="str">
        <f>IF($B538="","",IFERROR(INDEX(账户银行,MATCH($B538,账户名,0)),""))</f>
        <v/>
      </c>
      <c r="D538" s="12" t="str">
        <f>IF($B538="","",IFERROR(INDEX(账户币种,MATCH($B538,账户名,0)),""))</f>
        <v/>
      </c>
      <c r="E538" s="47"/>
      <c r="F538" s="12" t="str">
        <f>IF($E538="","",IFERROR(INDEX(类别属性,MATCH($E538,类别表,0)),""))</f>
        <v/>
      </c>
      <c r="G538" s="48"/>
      <c r="H538" s="48"/>
      <c r="I538" s="49"/>
      <c r="J538" s="24" t="str">
        <f>IF(OR($A538="",$B538=""),"",IF($I538&lt;&gt;"",$I538,IF($D538=本位币,1,IFERROR(LOOKUP(2,1/((汇率月份&lt;=$A538)*(INDEX(记账汇率区,0,MATCH($D538,汇率币种头,0))&lt;&gt;"")),INDEX(记账汇率区,0,MATCH($D538,汇率币种头,0))),""))))</f>
        <v/>
      </c>
      <c r="K538" s="23" t="str">
        <f t="shared" si="16"/>
        <v/>
      </c>
      <c r="L538" s="23" t="str">
        <f t="shared" si="17"/>
        <v/>
      </c>
      <c r="M538" s="23" t="str">
        <f>IF($B538="","",ROUND(SUMIF(账户名,$B538,账户期初)+SUMIFS($K$6:K538,$B$6:B538,$B538),2))</f>
        <v/>
      </c>
      <c r="N538" s="23" t="str">
        <f>IF($B538="","",IFERROR(ROUND(INDEX(账户期初本位,MATCH($B538,账户名,0))+SUMIFS($L$6:L538,$B$6:B538,$B538),2),""))</f>
        <v/>
      </c>
      <c r="O538" s="46"/>
      <c r="P538" s="47"/>
      <c r="Q538" s="46"/>
      <c r="R538" s="46"/>
      <c r="S538" s="6" t="str">
        <f>IF($B538="","",IF(ISNA(MATCH($B538,账户名,0)),"※这个账户不在【参数设置】的账户档案里",IF($A538="","※没填日期，这一笔不会进任何月份的报表",IF(AND($G538&lt;&gt;"",$H538&lt;&gt;""),"※收入和支出不能同时填",IF(AND(N($G538)=0,N($H538)=0),"※收入和支出都没填",IF($E538="","※没填收支类别，分类报表会漏掉这一笔",IF(ISNA(MATCH($E538,类别表,0)),"※收支类别不在【参数设置】的清单里",IF($J538="","△"&amp;$D538&amp;" 还没填汇率，去【月度汇率】补上就自动算了",IF(YEAR($A538)&lt;&gt;管理年度,"△不是管理年度的单据，年报里看不到",IF(AND($F538="内部转账",$Q538=""),"△内部转账建议在「往来单位」写上对方账户",IF($M538&lt;0,"△这一笔之后该账户余额成负数了，核一下","")))))))))))</f>
        <v/>
      </c>
    </row>
    <row r="539" ht="16.5" spans="1:19">
      <c r="A539" s="45"/>
      <c r="B539" s="46"/>
      <c r="C539" s="12" t="str">
        <f>IF($B539="","",IFERROR(INDEX(账户银行,MATCH($B539,账户名,0)),""))</f>
        <v/>
      </c>
      <c r="D539" s="12" t="str">
        <f>IF($B539="","",IFERROR(INDEX(账户币种,MATCH($B539,账户名,0)),""))</f>
        <v/>
      </c>
      <c r="E539" s="47"/>
      <c r="F539" s="12" t="str">
        <f>IF($E539="","",IFERROR(INDEX(类别属性,MATCH($E539,类别表,0)),""))</f>
        <v/>
      </c>
      <c r="G539" s="48"/>
      <c r="H539" s="48"/>
      <c r="I539" s="49"/>
      <c r="J539" s="24" t="str">
        <f>IF(OR($A539="",$B539=""),"",IF($I539&lt;&gt;"",$I539,IF($D539=本位币,1,IFERROR(LOOKUP(2,1/((汇率月份&lt;=$A539)*(INDEX(记账汇率区,0,MATCH($D539,汇率币种头,0))&lt;&gt;"")),INDEX(记账汇率区,0,MATCH($D539,汇率币种头,0))),""))))</f>
        <v/>
      </c>
      <c r="K539" s="23" t="str">
        <f t="shared" si="16"/>
        <v/>
      </c>
      <c r="L539" s="23" t="str">
        <f t="shared" si="17"/>
        <v/>
      </c>
      <c r="M539" s="23" t="str">
        <f>IF($B539="","",ROUND(SUMIF(账户名,$B539,账户期初)+SUMIFS($K$6:K539,$B$6:B539,$B539),2))</f>
        <v/>
      </c>
      <c r="N539" s="23" t="str">
        <f>IF($B539="","",IFERROR(ROUND(INDEX(账户期初本位,MATCH($B539,账户名,0))+SUMIFS($L$6:L539,$B$6:B539,$B539),2),""))</f>
        <v/>
      </c>
      <c r="O539" s="46"/>
      <c r="P539" s="47"/>
      <c r="Q539" s="46"/>
      <c r="R539" s="46"/>
      <c r="S539" s="6" t="str">
        <f>IF($B539="","",IF(ISNA(MATCH($B539,账户名,0)),"※这个账户不在【参数设置】的账户档案里",IF($A539="","※没填日期，这一笔不会进任何月份的报表",IF(AND($G539&lt;&gt;"",$H539&lt;&gt;""),"※收入和支出不能同时填",IF(AND(N($G539)=0,N($H539)=0),"※收入和支出都没填",IF($E539="","※没填收支类别，分类报表会漏掉这一笔",IF(ISNA(MATCH($E539,类别表,0)),"※收支类别不在【参数设置】的清单里",IF($J539="","△"&amp;$D539&amp;" 还没填汇率，去【月度汇率】补上就自动算了",IF(YEAR($A539)&lt;&gt;管理年度,"△不是管理年度的单据，年报里看不到",IF(AND($F539="内部转账",$Q539=""),"△内部转账建议在「往来单位」写上对方账户",IF($M539&lt;0,"△这一笔之后该账户余额成负数了，核一下","")))))))))))</f>
        <v/>
      </c>
    </row>
    <row r="540" ht="16.5" spans="1:19">
      <c r="A540" s="45"/>
      <c r="B540" s="46"/>
      <c r="C540" s="12" t="str">
        <f>IF($B540="","",IFERROR(INDEX(账户银行,MATCH($B540,账户名,0)),""))</f>
        <v/>
      </c>
      <c r="D540" s="12" t="str">
        <f>IF($B540="","",IFERROR(INDEX(账户币种,MATCH($B540,账户名,0)),""))</f>
        <v/>
      </c>
      <c r="E540" s="47"/>
      <c r="F540" s="12" t="str">
        <f>IF($E540="","",IFERROR(INDEX(类别属性,MATCH($E540,类别表,0)),""))</f>
        <v/>
      </c>
      <c r="G540" s="48"/>
      <c r="H540" s="48"/>
      <c r="I540" s="49"/>
      <c r="J540" s="24" t="str">
        <f>IF(OR($A540="",$B540=""),"",IF($I540&lt;&gt;"",$I540,IF($D540=本位币,1,IFERROR(LOOKUP(2,1/((汇率月份&lt;=$A540)*(INDEX(记账汇率区,0,MATCH($D540,汇率币种头,0))&lt;&gt;"")),INDEX(记账汇率区,0,MATCH($D540,汇率币种头,0))),""))))</f>
        <v/>
      </c>
      <c r="K540" s="23" t="str">
        <f t="shared" si="16"/>
        <v/>
      </c>
      <c r="L540" s="23" t="str">
        <f t="shared" si="17"/>
        <v/>
      </c>
      <c r="M540" s="23" t="str">
        <f>IF($B540="","",ROUND(SUMIF(账户名,$B540,账户期初)+SUMIFS($K$6:K540,$B$6:B540,$B540),2))</f>
        <v/>
      </c>
      <c r="N540" s="23" t="str">
        <f>IF($B540="","",IFERROR(ROUND(INDEX(账户期初本位,MATCH($B540,账户名,0))+SUMIFS($L$6:L540,$B$6:B540,$B540),2),""))</f>
        <v/>
      </c>
      <c r="O540" s="46"/>
      <c r="P540" s="47"/>
      <c r="Q540" s="46"/>
      <c r="R540" s="46"/>
      <c r="S540" s="6" t="str">
        <f>IF($B540="","",IF(ISNA(MATCH($B540,账户名,0)),"※这个账户不在【参数设置】的账户档案里",IF($A540="","※没填日期，这一笔不会进任何月份的报表",IF(AND($G540&lt;&gt;"",$H540&lt;&gt;""),"※收入和支出不能同时填",IF(AND(N($G540)=0,N($H540)=0),"※收入和支出都没填",IF($E540="","※没填收支类别，分类报表会漏掉这一笔",IF(ISNA(MATCH($E540,类别表,0)),"※收支类别不在【参数设置】的清单里",IF($J540="","△"&amp;$D540&amp;" 还没填汇率，去【月度汇率】补上就自动算了",IF(YEAR($A540)&lt;&gt;管理年度,"△不是管理年度的单据，年报里看不到",IF(AND($F540="内部转账",$Q540=""),"△内部转账建议在「往来单位」写上对方账户",IF($M540&lt;0,"△这一笔之后该账户余额成负数了，核一下","")))))))))))</f>
        <v/>
      </c>
    </row>
    <row r="541" ht="16.5" spans="1:19">
      <c r="A541" s="45"/>
      <c r="B541" s="46"/>
      <c r="C541" s="12" t="str">
        <f>IF($B541="","",IFERROR(INDEX(账户银行,MATCH($B541,账户名,0)),""))</f>
        <v/>
      </c>
      <c r="D541" s="12" t="str">
        <f>IF($B541="","",IFERROR(INDEX(账户币种,MATCH($B541,账户名,0)),""))</f>
        <v/>
      </c>
      <c r="E541" s="47"/>
      <c r="F541" s="12" t="str">
        <f>IF($E541="","",IFERROR(INDEX(类别属性,MATCH($E541,类别表,0)),""))</f>
        <v/>
      </c>
      <c r="G541" s="48"/>
      <c r="H541" s="48"/>
      <c r="I541" s="49"/>
      <c r="J541" s="24" t="str">
        <f>IF(OR($A541="",$B541=""),"",IF($I541&lt;&gt;"",$I541,IF($D541=本位币,1,IFERROR(LOOKUP(2,1/((汇率月份&lt;=$A541)*(INDEX(记账汇率区,0,MATCH($D541,汇率币种头,0))&lt;&gt;"")),INDEX(记账汇率区,0,MATCH($D541,汇率币种头,0))),""))))</f>
        <v/>
      </c>
      <c r="K541" s="23" t="str">
        <f t="shared" si="16"/>
        <v/>
      </c>
      <c r="L541" s="23" t="str">
        <f t="shared" si="17"/>
        <v/>
      </c>
      <c r="M541" s="23" t="str">
        <f>IF($B541="","",ROUND(SUMIF(账户名,$B541,账户期初)+SUMIFS($K$6:K541,$B$6:B541,$B541),2))</f>
        <v/>
      </c>
      <c r="N541" s="23" t="str">
        <f>IF($B541="","",IFERROR(ROUND(INDEX(账户期初本位,MATCH($B541,账户名,0))+SUMIFS($L$6:L541,$B$6:B541,$B541),2),""))</f>
        <v/>
      </c>
      <c r="O541" s="46"/>
      <c r="P541" s="47"/>
      <c r="Q541" s="46"/>
      <c r="R541" s="46"/>
      <c r="S541" s="6" t="str">
        <f>IF($B541="","",IF(ISNA(MATCH($B541,账户名,0)),"※这个账户不在【参数设置】的账户档案里",IF($A541="","※没填日期，这一笔不会进任何月份的报表",IF(AND($G541&lt;&gt;"",$H541&lt;&gt;""),"※收入和支出不能同时填",IF(AND(N($G541)=0,N($H541)=0),"※收入和支出都没填",IF($E541="","※没填收支类别，分类报表会漏掉这一笔",IF(ISNA(MATCH($E541,类别表,0)),"※收支类别不在【参数设置】的清单里",IF($J541="","△"&amp;$D541&amp;" 还没填汇率，去【月度汇率】补上就自动算了",IF(YEAR($A541)&lt;&gt;管理年度,"△不是管理年度的单据，年报里看不到",IF(AND($F541="内部转账",$Q541=""),"△内部转账建议在「往来单位」写上对方账户",IF($M541&lt;0,"△这一笔之后该账户余额成负数了，核一下","")))))))))))</f>
        <v/>
      </c>
    </row>
    <row r="542" ht="16.5" spans="1:19">
      <c r="A542" s="45"/>
      <c r="B542" s="46"/>
      <c r="C542" s="12" t="str">
        <f>IF($B542="","",IFERROR(INDEX(账户银行,MATCH($B542,账户名,0)),""))</f>
        <v/>
      </c>
      <c r="D542" s="12" t="str">
        <f>IF($B542="","",IFERROR(INDEX(账户币种,MATCH($B542,账户名,0)),""))</f>
        <v/>
      </c>
      <c r="E542" s="47"/>
      <c r="F542" s="12" t="str">
        <f>IF($E542="","",IFERROR(INDEX(类别属性,MATCH($E542,类别表,0)),""))</f>
        <v/>
      </c>
      <c r="G542" s="48"/>
      <c r="H542" s="48"/>
      <c r="I542" s="49"/>
      <c r="J542" s="24" t="str">
        <f>IF(OR($A542="",$B542=""),"",IF($I542&lt;&gt;"",$I542,IF($D542=本位币,1,IFERROR(LOOKUP(2,1/((汇率月份&lt;=$A542)*(INDEX(记账汇率区,0,MATCH($D542,汇率币种头,0))&lt;&gt;"")),INDEX(记账汇率区,0,MATCH($D542,汇率币种头,0))),""))))</f>
        <v/>
      </c>
      <c r="K542" s="23" t="str">
        <f t="shared" si="16"/>
        <v/>
      </c>
      <c r="L542" s="23" t="str">
        <f t="shared" si="17"/>
        <v/>
      </c>
      <c r="M542" s="23" t="str">
        <f>IF($B542="","",ROUND(SUMIF(账户名,$B542,账户期初)+SUMIFS($K$6:K542,$B$6:B542,$B542),2))</f>
        <v/>
      </c>
      <c r="N542" s="23" t="str">
        <f>IF($B542="","",IFERROR(ROUND(INDEX(账户期初本位,MATCH($B542,账户名,0))+SUMIFS($L$6:L542,$B$6:B542,$B542),2),""))</f>
        <v/>
      </c>
      <c r="O542" s="46"/>
      <c r="P542" s="47"/>
      <c r="Q542" s="46"/>
      <c r="R542" s="46"/>
      <c r="S542" s="6" t="str">
        <f>IF($B542="","",IF(ISNA(MATCH($B542,账户名,0)),"※这个账户不在【参数设置】的账户档案里",IF($A542="","※没填日期，这一笔不会进任何月份的报表",IF(AND($G542&lt;&gt;"",$H542&lt;&gt;""),"※收入和支出不能同时填",IF(AND(N($G542)=0,N($H542)=0),"※收入和支出都没填",IF($E542="","※没填收支类别，分类报表会漏掉这一笔",IF(ISNA(MATCH($E542,类别表,0)),"※收支类别不在【参数设置】的清单里",IF($J542="","△"&amp;$D542&amp;" 还没填汇率，去【月度汇率】补上就自动算了",IF(YEAR($A542)&lt;&gt;管理年度,"△不是管理年度的单据，年报里看不到",IF(AND($F542="内部转账",$Q542=""),"△内部转账建议在「往来单位」写上对方账户",IF($M542&lt;0,"△这一笔之后该账户余额成负数了，核一下","")))))))))))</f>
        <v/>
      </c>
    </row>
    <row r="543" ht="16.5" spans="1:19">
      <c r="A543" s="45"/>
      <c r="B543" s="46"/>
      <c r="C543" s="12" t="str">
        <f>IF($B543="","",IFERROR(INDEX(账户银行,MATCH($B543,账户名,0)),""))</f>
        <v/>
      </c>
      <c r="D543" s="12" t="str">
        <f>IF($B543="","",IFERROR(INDEX(账户币种,MATCH($B543,账户名,0)),""))</f>
        <v/>
      </c>
      <c r="E543" s="47"/>
      <c r="F543" s="12" t="str">
        <f>IF($E543="","",IFERROR(INDEX(类别属性,MATCH($E543,类别表,0)),""))</f>
        <v/>
      </c>
      <c r="G543" s="48"/>
      <c r="H543" s="48"/>
      <c r="I543" s="49"/>
      <c r="J543" s="24" t="str">
        <f>IF(OR($A543="",$B543=""),"",IF($I543&lt;&gt;"",$I543,IF($D543=本位币,1,IFERROR(LOOKUP(2,1/((汇率月份&lt;=$A543)*(INDEX(记账汇率区,0,MATCH($D543,汇率币种头,0))&lt;&gt;"")),INDEX(记账汇率区,0,MATCH($D543,汇率币种头,0))),""))))</f>
        <v/>
      </c>
      <c r="K543" s="23" t="str">
        <f t="shared" si="16"/>
        <v/>
      </c>
      <c r="L543" s="23" t="str">
        <f t="shared" si="17"/>
        <v/>
      </c>
      <c r="M543" s="23" t="str">
        <f>IF($B543="","",ROUND(SUMIF(账户名,$B543,账户期初)+SUMIFS($K$6:K543,$B$6:B543,$B543),2))</f>
        <v/>
      </c>
      <c r="N543" s="23" t="str">
        <f>IF($B543="","",IFERROR(ROUND(INDEX(账户期初本位,MATCH($B543,账户名,0))+SUMIFS($L$6:L543,$B$6:B543,$B543),2),""))</f>
        <v/>
      </c>
      <c r="O543" s="46"/>
      <c r="P543" s="47"/>
      <c r="Q543" s="46"/>
      <c r="R543" s="46"/>
      <c r="S543" s="6" t="str">
        <f>IF($B543="","",IF(ISNA(MATCH($B543,账户名,0)),"※这个账户不在【参数设置】的账户档案里",IF($A543="","※没填日期，这一笔不会进任何月份的报表",IF(AND($G543&lt;&gt;"",$H543&lt;&gt;""),"※收入和支出不能同时填",IF(AND(N($G543)=0,N($H543)=0),"※收入和支出都没填",IF($E543="","※没填收支类别，分类报表会漏掉这一笔",IF(ISNA(MATCH($E543,类别表,0)),"※收支类别不在【参数设置】的清单里",IF($J543="","△"&amp;$D543&amp;" 还没填汇率，去【月度汇率】补上就自动算了",IF(YEAR($A543)&lt;&gt;管理年度,"△不是管理年度的单据，年报里看不到",IF(AND($F543="内部转账",$Q543=""),"△内部转账建议在「往来单位」写上对方账户",IF($M543&lt;0,"△这一笔之后该账户余额成负数了，核一下","")))))))))))</f>
        <v/>
      </c>
    </row>
    <row r="544" ht="16.5" spans="1:19">
      <c r="A544" s="45"/>
      <c r="B544" s="46"/>
      <c r="C544" s="12" t="str">
        <f>IF($B544="","",IFERROR(INDEX(账户银行,MATCH($B544,账户名,0)),""))</f>
        <v/>
      </c>
      <c r="D544" s="12" t="str">
        <f>IF($B544="","",IFERROR(INDEX(账户币种,MATCH($B544,账户名,0)),""))</f>
        <v/>
      </c>
      <c r="E544" s="47"/>
      <c r="F544" s="12" t="str">
        <f>IF($E544="","",IFERROR(INDEX(类别属性,MATCH($E544,类别表,0)),""))</f>
        <v/>
      </c>
      <c r="G544" s="48"/>
      <c r="H544" s="48"/>
      <c r="I544" s="49"/>
      <c r="J544" s="24" t="str">
        <f>IF(OR($A544="",$B544=""),"",IF($I544&lt;&gt;"",$I544,IF($D544=本位币,1,IFERROR(LOOKUP(2,1/((汇率月份&lt;=$A544)*(INDEX(记账汇率区,0,MATCH($D544,汇率币种头,0))&lt;&gt;"")),INDEX(记账汇率区,0,MATCH($D544,汇率币种头,0))),""))))</f>
        <v/>
      </c>
      <c r="K544" s="23" t="str">
        <f t="shared" si="16"/>
        <v/>
      </c>
      <c r="L544" s="23" t="str">
        <f t="shared" si="17"/>
        <v/>
      </c>
      <c r="M544" s="23" t="str">
        <f>IF($B544="","",ROUND(SUMIF(账户名,$B544,账户期初)+SUMIFS($K$6:K544,$B$6:B544,$B544),2))</f>
        <v/>
      </c>
      <c r="N544" s="23" t="str">
        <f>IF($B544="","",IFERROR(ROUND(INDEX(账户期初本位,MATCH($B544,账户名,0))+SUMIFS($L$6:L544,$B$6:B544,$B544),2),""))</f>
        <v/>
      </c>
      <c r="O544" s="46"/>
      <c r="P544" s="47"/>
      <c r="Q544" s="46"/>
      <c r="R544" s="46"/>
      <c r="S544" s="6" t="str">
        <f>IF($B544="","",IF(ISNA(MATCH($B544,账户名,0)),"※这个账户不在【参数设置】的账户档案里",IF($A544="","※没填日期，这一笔不会进任何月份的报表",IF(AND($G544&lt;&gt;"",$H544&lt;&gt;""),"※收入和支出不能同时填",IF(AND(N($G544)=0,N($H544)=0),"※收入和支出都没填",IF($E544="","※没填收支类别，分类报表会漏掉这一笔",IF(ISNA(MATCH($E544,类别表,0)),"※收支类别不在【参数设置】的清单里",IF($J544="","△"&amp;$D544&amp;" 还没填汇率，去【月度汇率】补上就自动算了",IF(YEAR($A544)&lt;&gt;管理年度,"△不是管理年度的单据，年报里看不到",IF(AND($F544="内部转账",$Q544=""),"△内部转账建议在「往来单位」写上对方账户",IF($M544&lt;0,"△这一笔之后该账户余额成负数了，核一下","")))))))))))</f>
        <v/>
      </c>
    </row>
    <row r="545" ht="16.5" spans="1:19">
      <c r="A545" s="45"/>
      <c r="B545" s="46"/>
      <c r="C545" s="12" t="str">
        <f>IF($B545="","",IFERROR(INDEX(账户银行,MATCH($B545,账户名,0)),""))</f>
        <v/>
      </c>
      <c r="D545" s="12" t="str">
        <f>IF($B545="","",IFERROR(INDEX(账户币种,MATCH($B545,账户名,0)),""))</f>
        <v/>
      </c>
      <c r="E545" s="47"/>
      <c r="F545" s="12" t="str">
        <f>IF($E545="","",IFERROR(INDEX(类别属性,MATCH($E545,类别表,0)),""))</f>
        <v/>
      </c>
      <c r="G545" s="48"/>
      <c r="H545" s="48"/>
      <c r="I545" s="49"/>
      <c r="J545" s="24" t="str">
        <f>IF(OR($A545="",$B545=""),"",IF($I545&lt;&gt;"",$I545,IF($D545=本位币,1,IFERROR(LOOKUP(2,1/((汇率月份&lt;=$A545)*(INDEX(记账汇率区,0,MATCH($D545,汇率币种头,0))&lt;&gt;"")),INDEX(记账汇率区,0,MATCH($D545,汇率币种头,0))),""))))</f>
        <v/>
      </c>
      <c r="K545" s="23" t="str">
        <f t="shared" si="16"/>
        <v/>
      </c>
      <c r="L545" s="23" t="str">
        <f t="shared" si="17"/>
        <v/>
      </c>
      <c r="M545" s="23" t="str">
        <f>IF($B545="","",ROUND(SUMIF(账户名,$B545,账户期初)+SUMIFS($K$6:K545,$B$6:B545,$B545),2))</f>
        <v/>
      </c>
      <c r="N545" s="23" t="str">
        <f>IF($B545="","",IFERROR(ROUND(INDEX(账户期初本位,MATCH($B545,账户名,0))+SUMIFS($L$6:L545,$B$6:B545,$B545),2),""))</f>
        <v/>
      </c>
      <c r="O545" s="46"/>
      <c r="P545" s="47"/>
      <c r="Q545" s="46"/>
      <c r="R545" s="46"/>
      <c r="S545" s="6" t="str">
        <f>IF($B545="","",IF(ISNA(MATCH($B545,账户名,0)),"※这个账户不在【参数设置】的账户档案里",IF($A545="","※没填日期，这一笔不会进任何月份的报表",IF(AND($G545&lt;&gt;"",$H545&lt;&gt;""),"※收入和支出不能同时填",IF(AND(N($G545)=0,N($H545)=0),"※收入和支出都没填",IF($E545="","※没填收支类别，分类报表会漏掉这一笔",IF(ISNA(MATCH($E545,类别表,0)),"※收支类别不在【参数设置】的清单里",IF($J545="","△"&amp;$D545&amp;" 还没填汇率，去【月度汇率】补上就自动算了",IF(YEAR($A545)&lt;&gt;管理年度,"△不是管理年度的单据，年报里看不到",IF(AND($F545="内部转账",$Q545=""),"△内部转账建议在「往来单位」写上对方账户",IF($M545&lt;0,"△这一笔之后该账户余额成负数了，核一下","")))))))))))</f>
        <v/>
      </c>
    </row>
    <row r="546" ht="16.5" spans="1:19">
      <c r="A546" s="45"/>
      <c r="B546" s="46"/>
      <c r="C546" s="12" t="str">
        <f>IF($B546="","",IFERROR(INDEX(账户银行,MATCH($B546,账户名,0)),""))</f>
        <v/>
      </c>
      <c r="D546" s="12" t="str">
        <f>IF($B546="","",IFERROR(INDEX(账户币种,MATCH($B546,账户名,0)),""))</f>
        <v/>
      </c>
      <c r="E546" s="47"/>
      <c r="F546" s="12" t="str">
        <f>IF($E546="","",IFERROR(INDEX(类别属性,MATCH($E546,类别表,0)),""))</f>
        <v/>
      </c>
      <c r="G546" s="48"/>
      <c r="H546" s="48"/>
      <c r="I546" s="49"/>
      <c r="J546" s="24" t="str">
        <f>IF(OR($A546="",$B546=""),"",IF($I546&lt;&gt;"",$I546,IF($D546=本位币,1,IFERROR(LOOKUP(2,1/((汇率月份&lt;=$A546)*(INDEX(记账汇率区,0,MATCH($D546,汇率币种头,0))&lt;&gt;"")),INDEX(记账汇率区,0,MATCH($D546,汇率币种头,0))),""))))</f>
        <v/>
      </c>
      <c r="K546" s="23" t="str">
        <f t="shared" si="16"/>
        <v/>
      </c>
      <c r="L546" s="23" t="str">
        <f t="shared" si="17"/>
        <v/>
      </c>
      <c r="M546" s="23" t="str">
        <f>IF($B546="","",ROUND(SUMIF(账户名,$B546,账户期初)+SUMIFS($K$6:K546,$B$6:B546,$B546),2))</f>
        <v/>
      </c>
      <c r="N546" s="23" t="str">
        <f>IF($B546="","",IFERROR(ROUND(INDEX(账户期初本位,MATCH($B546,账户名,0))+SUMIFS($L$6:L546,$B$6:B546,$B546),2),""))</f>
        <v/>
      </c>
      <c r="O546" s="46"/>
      <c r="P546" s="47"/>
      <c r="Q546" s="46"/>
      <c r="R546" s="46"/>
      <c r="S546" s="6" t="str">
        <f>IF($B546="","",IF(ISNA(MATCH($B546,账户名,0)),"※这个账户不在【参数设置】的账户档案里",IF($A546="","※没填日期，这一笔不会进任何月份的报表",IF(AND($G546&lt;&gt;"",$H546&lt;&gt;""),"※收入和支出不能同时填",IF(AND(N($G546)=0,N($H546)=0),"※收入和支出都没填",IF($E546="","※没填收支类别，分类报表会漏掉这一笔",IF(ISNA(MATCH($E546,类别表,0)),"※收支类别不在【参数设置】的清单里",IF($J546="","△"&amp;$D546&amp;" 还没填汇率，去【月度汇率】补上就自动算了",IF(YEAR($A546)&lt;&gt;管理年度,"△不是管理年度的单据，年报里看不到",IF(AND($F546="内部转账",$Q546=""),"△内部转账建议在「往来单位」写上对方账户",IF($M546&lt;0,"△这一笔之后该账户余额成负数了，核一下","")))))))))))</f>
        <v/>
      </c>
    </row>
    <row r="547" ht="16.5" spans="1:19">
      <c r="A547" s="45"/>
      <c r="B547" s="46"/>
      <c r="C547" s="12" t="str">
        <f>IF($B547="","",IFERROR(INDEX(账户银行,MATCH($B547,账户名,0)),""))</f>
        <v/>
      </c>
      <c r="D547" s="12" t="str">
        <f>IF($B547="","",IFERROR(INDEX(账户币种,MATCH($B547,账户名,0)),""))</f>
        <v/>
      </c>
      <c r="E547" s="47"/>
      <c r="F547" s="12" t="str">
        <f>IF($E547="","",IFERROR(INDEX(类别属性,MATCH($E547,类别表,0)),""))</f>
        <v/>
      </c>
      <c r="G547" s="48"/>
      <c r="H547" s="48"/>
      <c r="I547" s="49"/>
      <c r="J547" s="24" t="str">
        <f>IF(OR($A547="",$B547=""),"",IF($I547&lt;&gt;"",$I547,IF($D547=本位币,1,IFERROR(LOOKUP(2,1/((汇率月份&lt;=$A547)*(INDEX(记账汇率区,0,MATCH($D547,汇率币种头,0))&lt;&gt;"")),INDEX(记账汇率区,0,MATCH($D547,汇率币种头,0))),""))))</f>
        <v/>
      </c>
      <c r="K547" s="23" t="str">
        <f t="shared" si="16"/>
        <v/>
      </c>
      <c r="L547" s="23" t="str">
        <f t="shared" si="17"/>
        <v/>
      </c>
      <c r="M547" s="23" t="str">
        <f>IF($B547="","",ROUND(SUMIF(账户名,$B547,账户期初)+SUMIFS($K$6:K547,$B$6:B547,$B547),2))</f>
        <v/>
      </c>
      <c r="N547" s="23" t="str">
        <f>IF($B547="","",IFERROR(ROUND(INDEX(账户期初本位,MATCH($B547,账户名,0))+SUMIFS($L$6:L547,$B$6:B547,$B547),2),""))</f>
        <v/>
      </c>
      <c r="O547" s="46"/>
      <c r="P547" s="47"/>
      <c r="Q547" s="46"/>
      <c r="R547" s="46"/>
      <c r="S547" s="6" t="str">
        <f>IF($B547="","",IF(ISNA(MATCH($B547,账户名,0)),"※这个账户不在【参数设置】的账户档案里",IF($A547="","※没填日期，这一笔不会进任何月份的报表",IF(AND($G547&lt;&gt;"",$H547&lt;&gt;""),"※收入和支出不能同时填",IF(AND(N($G547)=0,N($H547)=0),"※收入和支出都没填",IF($E547="","※没填收支类别，分类报表会漏掉这一笔",IF(ISNA(MATCH($E547,类别表,0)),"※收支类别不在【参数设置】的清单里",IF($J547="","△"&amp;$D547&amp;" 还没填汇率，去【月度汇率】补上就自动算了",IF(YEAR($A547)&lt;&gt;管理年度,"△不是管理年度的单据，年报里看不到",IF(AND($F547="内部转账",$Q547=""),"△内部转账建议在「往来单位」写上对方账户",IF($M547&lt;0,"△这一笔之后该账户余额成负数了，核一下","")))))))))))</f>
        <v/>
      </c>
    </row>
    <row r="548" ht="16.5" spans="1:19">
      <c r="A548" s="45"/>
      <c r="B548" s="46"/>
      <c r="C548" s="12" t="str">
        <f>IF($B548="","",IFERROR(INDEX(账户银行,MATCH($B548,账户名,0)),""))</f>
        <v/>
      </c>
      <c r="D548" s="12" t="str">
        <f>IF($B548="","",IFERROR(INDEX(账户币种,MATCH($B548,账户名,0)),""))</f>
        <v/>
      </c>
      <c r="E548" s="47"/>
      <c r="F548" s="12" t="str">
        <f>IF($E548="","",IFERROR(INDEX(类别属性,MATCH($E548,类别表,0)),""))</f>
        <v/>
      </c>
      <c r="G548" s="48"/>
      <c r="H548" s="48"/>
      <c r="I548" s="49"/>
      <c r="J548" s="24" t="str">
        <f>IF(OR($A548="",$B548=""),"",IF($I548&lt;&gt;"",$I548,IF($D548=本位币,1,IFERROR(LOOKUP(2,1/((汇率月份&lt;=$A548)*(INDEX(记账汇率区,0,MATCH($D548,汇率币种头,0))&lt;&gt;"")),INDEX(记账汇率区,0,MATCH($D548,汇率币种头,0))),""))))</f>
        <v/>
      </c>
      <c r="K548" s="23" t="str">
        <f t="shared" si="16"/>
        <v/>
      </c>
      <c r="L548" s="23" t="str">
        <f t="shared" si="17"/>
        <v/>
      </c>
      <c r="M548" s="23" t="str">
        <f>IF($B548="","",ROUND(SUMIF(账户名,$B548,账户期初)+SUMIFS($K$6:K548,$B$6:B548,$B548),2))</f>
        <v/>
      </c>
      <c r="N548" s="23" t="str">
        <f>IF($B548="","",IFERROR(ROUND(INDEX(账户期初本位,MATCH($B548,账户名,0))+SUMIFS($L$6:L548,$B$6:B548,$B548),2),""))</f>
        <v/>
      </c>
      <c r="O548" s="46"/>
      <c r="P548" s="47"/>
      <c r="Q548" s="46"/>
      <c r="R548" s="46"/>
      <c r="S548" s="6" t="str">
        <f>IF($B548="","",IF(ISNA(MATCH($B548,账户名,0)),"※这个账户不在【参数设置】的账户档案里",IF($A548="","※没填日期，这一笔不会进任何月份的报表",IF(AND($G548&lt;&gt;"",$H548&lt;&gt;""),"※收入和支出不能同时填",IF(AND(N($G548)=0,N($H548)=0),"※收入和支出都没填",IF($E548="","※没填收支类别，分类报表会漏掉这一笔",IF(ISNA(MATCH($E548,类别表,0)),"※收支类别不在【参数设置】的清单里",IF($J548="","△"&amp;$D548&amp;" 还没填汇率，去【月度汇率】补上就自动算了",IF(YEAR($A548)&lt;&gt;管理年度,"△不是管理年度的单据，年报里看不到",IF(AND($F548="内部转账",$Q548=""),"△内部转账建议在「往来单位」写上对方账户",IF($M548&lt;0,"△这一笔之后该账户余额成负数了，核一下","")))))))))))</f>
        <v/>
      </c>
    </row>
    <row r="549" ht="16.5" spans="1:19">
      <c r="A549" s="45"/>
      <c r="B549" s="46"/>
      <c r="C549" s="12" t="str">
        <f>IF($B549="","",IFERROR(INDEX(账户银行,MATCH($B549,账户名,0)),""))</f>
        <v/>
      </c>
      <c r="D549" s="12" t="str">
        <f>IF($B549="","",IFERROR(INDEX(账户币种,MATCH($B549,账户名,0)),""))</f>
        <v/>
      </c>
      <c r="E549" s="47"/>
      <c r="F549" s="12" t="str">
        <f>IF($E549="","",IFERROR(INDEX(类别属性,MATCH($E549,类别表,0)),""))</f>
        <v/>
      </c>
      <c r="G549" s="48"/>
      <c r="H549" s="48"/>
      <c r="I549" s="49"/>
      <c r="J549" s="24" t="str">
        <f>IF(OR($A549="",$B549=""),"",IF($I549&lt;&gt;"",$I549,IF($D549=本位币,1,IFERROR(LOOKUP(2,1/((汇率月份&lt;=$A549)*(INDEX(记账汇率区,0,MATCH($D549,汇率币种头,0))&lt;&gt;"")),INDEX(记账汇率区,0,MATCH($D549,汇率币种头,0))),""))))</f>
        <v/>
      </c>
      <c r="K549" s="23" t="str">
        <f t="shared" si="16"/>
        <v/>
      </c>
      <c r="L549" s="23" t="str">
        <f t="shared" si="17"/>
        <v/>
      </c>
      <c r="M549" s="23" t="str">
        <f>IF($B549="","",ROUND(SUMIF(账户名,$B549,账户期初)+SUMIFS($K$6:K549,$B$6:B549,$B549),2))</f>
        <v/>
      </c>
      <c r="N549" s="23" t="str">
        <f>IF($B549="","",IFERROR(ROUND(INDEX(账户期初本位,MATCH($B549,账户名,0))+SUMIFS($L$6:L549,$B$6:B549,$B549),2),""))</f>
        <v/>
      </c>
      <c r="O549" s="46"/>
      <c r="P549" s="47"/>
      <c r="Q549" s="46"/>
      <c r="R549" s="46"/>
      <c r="S549" s="6" t="str">
        <f>IF($B549="","",IF(ISNA(MATCH($B549,账户名,0)),"※这个账户不在【参数设置】的账户档案里",IF($A549="","※没填日期，这一笔不会进任何月份的报表",IF(AND($G549&lt;&gt;"",$H549&lt;&gt;""),"※收入和支出不能同时填",IF(AND(N($G549)=0,N($H549)=0),"※收入和支出都没填",IF($E549="","※没填收支类别，分类报表会漏掉这一笔",IF(ISNA(MATCH($E549,类别表,0)),"※收支类别不在【参数设置】的清单里",IF($J549="","△"&amp;$D549&amp;" 还没填汇率，去【月度汇率】补上就自动算了",IF(YEAR($A549)&lt;&gt;管理年度,"△不是管理年度的单据，年报里看不到",IF(AND($F549="内部转账",$Q549=""),"△内部转账建议在「往来单位」写上对方账户",IF($M549&lt;0,"△这一笔之后该账户余额成负数了，核一下","")))))))))))</f>
        <v/>
      </c>
    </row>
    <row r="550" ht="16.5" spans="1:19">
      <c r="A550" s="45"/>
      <c r="B550" s="46"/>
      <c r="C550" s="12" t="str">
        <f>IF($B550="","",IFERROR(INDEX(账户银行,MATCH($B550,账户名,0)),""))</f>
        <v/>
      </c>
      <c r="D550" s="12" t="str">
        <f>IF($B550="","",IFERROR(INDEX(账户币种,MATCH($B550,账户名,0)),""))</f>
        <v/>
      </c>
      <c r="E550" s="47"/>
      <c r="F550" s="12" t="str">
        <f>IF($E550="","",IFERROR(INDEX(类别属性,MATCH($E550,类别表,0)),""))</f>
        <v/>
      </c>
      <c r="G550" s="48"/>
      <c r="H550" s="48"/>
      <c r="I550" s="49"/>
      <c r="J550" s="24" t="str">
        <f>IF(OR($A550="",$B550=""),"",IF($I550&lt;&gt;"",$I550,IF($D550=本位币,1,IFERROR(LOOKUP(2,1/((汇率月份&lt;=$A550)*(INDEX(记账汇率区,0,MATCH($D550,汇率币种头,0))&lt;&gt;"")),INDEX(记账汇率区,0,MATCH($D550,汇率币种头,0))),""))))</f>
        <v/>
      </c>
      <c r="K550" s="23" t="str">
        <f t="shared" si="16"/>
        <v/>
      </c>
      <c r="L550" s="23" t="str">
        <f t="shared" si="17"/>
        <v/>
      </c>
      <c r="M550" s="23" t="str">
        <f>IF($B550="","",ROUND(SUMIF(账户名,$B550,账户期初)+SUMIFS($K$6:K550,$B$6:B550,$B550),2))</f>
        <v/>
      </c>
      <c r="N550" s="23" t="str">
        <f>IF($B550="","",IFERROR(ROUND(INDEX(账户期初本位,MATCH($B550,账户名,0))+SUMIFS($L$6:L550,$B$6:B550,$B550),2),""))</f>
        <v/>
      </c>
      <c r="O550" s="46"/>
      <c r="P550" s="47"/>
      <c r="Q550" s="46"/>
      <c r="R550" s="46"/>
      <c r="S550" s="6" t="str">
        <f>IF($B550="","",IF(ISNA(MATCH($B550,账户名,0)),"※这个账户不在【参数设置】的账户档案里",IF($A550="","※没填日期，这一笔不会进任何月份的报表",IF(AND($G550&lt;&gt;"",$H550&lt;&gt;""),"※收入和支出不能同时填",IF(AND(N($G550)=0,N($H550)=0),"※收入和支出都没填",IF($E550="","※没填收支类别，分类报表会漏掉这一笔",IF(ISNA(MATCH($E550,类别表,0)),"※收支类别不在【参数设置】的清单里",IF($J550="","△"&amp;$D550&amp;" 还没填汇率，去【月度汇率】补上就自动算了",IF(YEAR($A550)&lt;&gt;管理年度,"△不是管理年度的单据，年报里看不到",IF(AND($F550="内部转账",$Q550=""),"△内部转账建议在「往来单位」写上对方账户",IF($M550&lt;0,"△这一笔之后该账户余额成负数了，核一下","")))))))))))</f>
        <v/>
      </c>
    </row>
    <row r="551" ht="16.5" spans="1:19">
      <c r="A551" s="45"/>
      <c r="B551" s="46"/>
      <c r="C551" s="12" t="str">
        <f>IF($B551="","",IFERROR(INDEX(账户银行,MATCH($B551,账户名,0)),""))</f>
        <v/>
      </c>
      <c r="D551" s="12" t="str">
        <f>IF($B551="","",IFERROR(INDEX(账户币种,MATCH($B551,账户名,0)),""))</f>
        <v/>
      </c>
      <c r="E551" s="47"/>
      <c r="F551" s="12" t="str">
        <f>IF($E551="","",IFERROR(INDEX(类别属性,MATCH($E551,类别表,0)),""))</f>
        <v/>
      </c>
      <c r="G551" s="48"/>
      <c r="H551" s="48"/>
      <c r="I551" s="49"/>
      <c r="J551" s="24" t="str">
        <f>IF(OR($A551="",$B551=""),"",IF($I551&lt;&gt;"",$I551,IF($D551=本位币,1,IFERROR(LOOKUP(2,1/((汇率月份&lt;=$A551)*(INDEX(记账汇率区,0,MATCH($D551,汇率币种头,0))&lt;&gt;"")),INDEX(记账汇率区,0,MATCH($D551,汇率币种头,0))),""))))</f>
        <v/>
      </c>
      <c r="K551" s="23" t="str">
        <f t="shared" si="16"/>
        <v/>
      </c>
      <c r="L551" s="23" t="str">
        <f t="shared" si="17"/>
        <v/>
      </c>
      <c r="M551" s="23" t="str">
        <f>IF($B551="","",ROUND(SUMIF(账户名,$B551,账户期初)+SUMIFS($K$6:K551,$B$6:B551,$B551),2))</f>
        <v/>
      </c>
      <c r="N551" s="23" t="str">
        <f>IF($B551="","",IFERROR(ROUND(INDEX(账户期初本位,MATCH($B551,账户名,0))+SUMIFS($L$6:L551,$B$6:B551,$B551),2),""))</f>
        <v/>
      </c>
      <c r="O551" s="46"/>
      <c r="P551" s="47"/>
      <c r="Q551" s="46"/>
      <c r="R551" s="46"/>
      <c r="S551" s="6" t="str">
        <f>IF($B551="","",IF(ISNA(MATCH($B551,账户名,0)),"※这个账户不在【参数设置】的账户档案里",IF($A551="","※没填日期，这一笔不会进任何月份的报表",IF(AND($G551&lt;&gt;"",$H551&lt;&gt;""),"※收入和支出不能同时填",IF(AND(N($G551)=0,N($H551)=0),"※收入和支出都没填",IF($E551="","※没填收支类别，分类报表会漏掉这一笔",IF(ISNA(MATCH($E551,类别表,0)),"※收支类别不在【参数设置】的清单里",IF($J551="","△"&amp;$D551&amp;" 还没填汇率，去【月度汇率】补上就自动算了",IF(YEAR($A551)&lt;&gt;管理年度,"△不是管理年度的单据，年报里看不到",IF(AND($F551="内部转账",$Q551=""),"△内部转账建议在「往来单位」写上对方账户",IF($M551&lt;0,"△这一笔之后该账户余额成负数了，核一下","")))))))))))</f>
        <v/>
      </c>
    </row>
    <row r="552" ht="16.5" spans="1:19">
      <c r="A552" s="45"/>
      <c r="B552" s="46"/>
      <c r="C552" s="12" t="str">
        <f>IF($B552="","",IFERROR(INDEX(账户银行,MATCH($B552,账户名,0)),""))</f>
        <v/>
      </c>
      <c r="D552" s="12" t="str">
        <f>IF($B552="","",IFERROR(INDEX(账户币种,MATCH($B552,账户名,0)),""))</f>
        <v/>
      </c>
      <c r="E552" s="47"/>
      <c r="F552" s="12" t="str">
        <f>IF($E552="","",IFERROR(INDEX(类别属性,MATCH($E552,类别表,0)),""))</f>
        <v/>
      </c>
      <c r="G552" s="48"/>
      <c r="H552" s="48"/>
      <c r="I552" s="49"/>
      <c r="J552" s="24" t="str">
        <f>IF(OR($A552="",$B552=""),"",IF($I552&lt;&gt;"",$I552,IF($D552=本位币,1,IFERROR(LOOKUP(2,1/((汇率月份&lt;=$A552)*(INDEX(记账汇率区,0,MATCH($D552,汇率币种头,0))&lt;&gt;"")),INDEX(记账汇率区,0,MATCH($D552,汇率币种头,0))),""))))</f>
        <v/>
      </c>
      <c r="K552" s="23" t="str">
        <f t="shared" si="16"/>
        <v/>
      </c>
      <c r="L552" s="23" t="str">
        <f t="shared" si="17"/>
        <v/>
      </c>
      <c r="M552" s="23" t="str">
        <f>IF($B552="","",ROUND(SUMIF(账户名,$B552,账户期初)+SUMIFS($K$6:K552,$B$6:B552,$B552),2))</f>
        <v/>
      </c>
      <c r="N552" s="23" t="str">
        <f>IF($B552="","",IFERROR(ROUND(INDEX(账户期初本位,MATCH($B552,账户名,0))+SUMIFS($L$6:L552,$B$6:B552,$B552),2),""))</f>
        <v/>
      </c>
      <c r="O552" s="46"/>
      <c r="P552" s="47"/>
      <c r="Q552" s="46"/>
      <c r="R552" s="46"/>
      <c r="S552" s="6" t="str">
        <f>IF($B552="","",IF(ISNA(MATCH($B552,账户名,0)),"※这个账户不在【参数设置】的账户档案里",IF($A552="","※没填日期，这一笔不会进任何月份的报表",IF(AND($G552&lt;&gt;"",$H552&lt;&gt;""),"※收入和支出不能同时填",IF(AND(N($G552)=0,N($H552)=0),"※收入和支出都没填",IF($E552="","※没填收支类别，分类报表会漏掉这一笔",IF(ISNA(MATCH($E552,类别表,0)),"※收支类别不在【参数设置】的清单里",IF($J552="","△"&amp;$D552&amp;" 还没填汇率，去【月度汇率】补上就自动算了",IF(YEAR($A552)&lt;&gt;管理年度,"△不是管理年度的单据，年报里看不到",IF(AND($F552="内部转账",$Q552=""),"△内部转账建议在「往来单位」写上对方账户",IF($M552&lt;0,"△这一笔之后该账户余额成负数了，核一下","")))))))))))</f>
        <v/>
      </c>
    </row>
    <row r="553" ht="16.5" spans="1:19">
      <c r="A553" s="45"/>
      <c r="B553" s="46"/>
      <c r="C553" s="12" t="str">
        <f>IF($B553="","",IFERROR(INDEX(账户银行,MATCH($B553,账户名,0)),""))</f>
        <v/>
      </c>
      <c r="D553" s="12" t="str">
        <f>IF($B553="","",IFERROR(INDEX(账户币种,MATCH($B553,账户名,0)),""))</f>
        <v/>
      </c>
      <c r="E553" s="47"/>
      <c r="F553" s="12" t="str">
        <f>IF($E553="","",IFERROR(INDEX(类别属性,MATCH($E553,类别表,0)),""))</f>
        <v/>
      </c>
      <c r="G553" s="48"/>
      <c r="H553" s="48"/>
      <c r="I553" s="49"/>
      <c r="J553" s="24" t="str">
        <f>IF(OR($A553="",$B553=""),"",IF($I553&lt;&gt;"",$I553,IF($D553=本位币,1,IFERROR(LOOKUP(2,1/((汇率月份&lt;=$A553)*(INDEX(记账汇率区,0,MATCH($D553,汇率币种头,0))&lt;&gt;"")),INDEX(记账汇率区,0,MATCH($D553,汇率币种头,0))),""))))</f>
        <v/>
      </c>
      <c r="K553" s="23" t="str">
        <f t="shared" si="16"/>
        <v/>
      </c>
      <c r="L553" s="23" t="str">
        <f t="shared" si="17"/>
        <v/>
      </c>
      <c r="M553" s="23" t="str">
        <f>IF($B553="","",ROUND(SUMIF(账户名,$B553,账户期初)+SUMIFS($K$6:K553,$B$6:B553,$B553),2))</f>
        <v/>
      </c>
      <c r="N553" s="23" t="str">
        <f>IF($B553="","",IFERROR(ROUND(INDEX(账户期初本位,MATCH($B553,账户名,0))+SUMIFS($L$6:L553,$B$6:B553,$B553),2),""))</f>
        <v/>
      </c>
      <c r="O553" s="46"/>
      <c r="P553" s="47"/>
      <c r="Q553" s="46"/>
      <c r="R553" s="46"/>
      <c r="S553" s="6" t="str">
        <f>IF($B553="","",IF(ISNA(MATCH($B553,账户名,0)),"※这个账户不在【参数设置】的账户档案里",IF($A553="","※没填日期，这一笔不会进任何月份的报表",IF(AND($G553&lt;&gt;"",$H553&lt;&gt;""),"※收入和支出不能同时填",IF(AND(N($G553)=0,N($H553)=0),"※收入和支出都没填",IF($E553="","※没填收支类别，分类报表会漏掉这一笔",IF(ISNA(MATCH($E553,类别表,0)),"※收支类别不在【参数设置】的清单里",IF($J553="","△"&amp;$D553&amp;" 还没填汇率，去【月度汇率】补上就自动算了",IF(YEAR($A553)&lt;&gt;管理年度,"△不是管理年度的单据，年报里看不到",IF(AND($F553="内部转账",$Q553=""),"△内部转账建议在「往来单位」写上对方账户",IF($M553&lt;0,"△这一笔之后该账户余额成负数了，核一下","")))))))))))</f>
        <v/>
      </c>
    </row>
    <row r="554" ht="16.5" spans="1:19">
      <c r="A554" s="45"/>
      <c r="B554" s="46"/>
      <c r="C554" s="12" t="str">
        <f>IF($B554="","",IFERROR(INDEX(账户银行,MATCH($B554,账户名,0)),""))</f>
        <v/>
      </c>
      <c r="D554" s="12" t="str">
        <f>IF($B554="","",IFERROR(INDEX(账户币种,MATCH($B554,账户名,0)),""))</f>
        <v/>
      </c>
      <c r="E554" s="47"/>
      <c r="F554" s="12" t="str">
        <f>IF($E554="","",IFERROR(INDEX(类别属性,MATCH($E554,类别表,0)),""))</f>
        <v/>
      </c>
      <c r="G554" s="48"/>
      <c r="H554" s="48"/>
      <c r="I554" s="49"/>
      <c r="J554" s="24" t="str">
        <f>IF(OR($A554="",$B554=""),"",IF($I554&lt;&gt;"",$I554,IF($D554=本位币,1,IFERROR(LOOKUP(2,1/((汇率月份&lt;=$A554)*(INDEX(记账汇率区,0,MATCH($D554,汇率币种头,0))&lt;&gt;"")),INDEX(记账汇率区,0,MATCH($D554,汇率币种头,0))),""))))</f>
        <v/>
      </c>
      <c r="K554" s="23" t="str">
        <f t="shared" si="16"/>
        <v/>
      </c>
      <c r="L554" s="23" t="str">
        <f t="shared" si="17"/>
        <v/>
      </c>
      <c r="M554" s="23" t="str">
        <f>IF($B554="","",ROUND(SUMIF(账户名,$B554,账户期初)+SUMIFS($K$6:K554,$B$6:B554,$B554),2))</f>
        <v/>
      </c>
      <c r="N554" s="23" t="str">
        <f>IF($B554="","",IFERROR(ROUND(INDEX(账户期初本位,MATCH($B554,账户名,0))+SUMIFS($L$6:L554,$B$6:B554,$B554),2),""))</f>
        <v/>
      </c>
      <c r="O554" s="46"/>
      <c r="P554" s="47"/>
      <c r="Q554" s="46"/>
      <c r="R554" s="46"/>
      <c r="S554" s="6" t="str">
        <f>IF($B554="","",IF(ISNA(MATCH($B554,账户名,0)),"※这个账户不在【参数设置】的账户档案里",IF($A554="","※没填日期，这一笔不会进任何月份的报表",IF(AND($G554&lt;&gt;"",$H554&lt;&gt;""),"※收入和支出不能同时填",IF(AND(N($G554)=0,N($H554)=0),"※收入和支出都没填",IF($E554="","※没填收支类别，分类报表会漏掉这一笔",IF(ISNA(MATCH($E554,类别表,0)),"※收支类别不在【参数设置】的清单里",IF($J554="","△"&amp;$D554&amp;" 还没填汇率，去【月度汇率】补上就自动算了",IF(YEAR($A554)&lt;&gt;管理年度,"△不是管理年度的单据，年报里看不到",IF(AND($F554="内部转账",$Q554=""),"△内部转账建议在「往来单位」写上对方账户",IF($M554&lt;0,"△这一笔之后该账户余额成负数了，核一下","")))))))))))</f>
        <v/>
      </c>
    </row>
    <row r="555" ht="16.5" spans="1:19">
      <c r="A555" s="45"/>
      <c r="B555" s="46"/>
      <c r="C555" s="12" t="str">
        <f>IF($B555="","",IFERROR(INDEX(账户银行,MATCH($B555,账户名,0)),""))</f>
        <v/>
      </c>
      <c r="D555" s="12" t="str">
        <f>IF($B555="","",IFERROR(INDEX(账户币种,MATCH($B555,账户名,0)),""))</f>
        <v/>
      </c>
      <c r="E555" s="47"/>
      <c r="F555" s="12" t="str">
        <f>IF($E555="","",IFERROR(INDEX(类别属性,MATCH($E555,类别表,0)),""))</f>
        <v/>
      </c>
      <c r="G555" s="48"/>
      <c r="H555" s="48"/>
      <c r="I555" s="49"/>
      <c r="J555" s="24" t="str">
        <f>IF(OR($A555="",$B555=""),"",IF($I555&lt;&gt;"",$I555,IF($D555=本位币,1,IFERROR(LOOKUP(2,1/((汇率月份&lt;=$A555)*(INDEX(记账汇率区,0,MATCH($D555,汇率币种头,0))&lt;&gt;"")),INDEX(记账汇率区,0,MATCH($D555,汇率币种头,0))),""))))</f>
        <v/>
      </c>
      <c r="K555" s="23" t="str">
        <f t="shared" si="16"/>
        <v/>
      </c>
      <c r="L555" s="23" t="str">
        <f t="shared" si="17"/>
        <v/>
      </c>
      <c r="M555" s="23" t="str">
        <f>IF($B555="","",ROUND(SUMIF(账户名,$B555,账户期初)+SUMIFS($K$6:K555,$B$6:B555,$B555),2))</f>
        <v/>
      </c>
      <c r="N555" s="23" t="str">
        <f>IF($B555="","",IFERROR(ROUND(INDEX(账户期初本位,MATCH($B555,账户名,0))+SUMIFS($L$6:L555,$B$6:B555,$B555),2),""))</f>
        <v/>
      </c>
      <c r="O555" s="46"/>
      <c r="P555" s="47"/>
      <c r="Q555" s="46"/>
      <c r="R555" s="46"/>
      <c r="S555" s="6" t="str">
        <f>IF($B555="","",IF(ISNA(MATCH($B555,账户名,0)),"※这个账户不在【参数设置】的账户档案里",IF($A555="","※没填日期，这一笔不会进任何月份的报表",IF(AND($G555&lt;&gt;"",$H555&lt;&gt;""),"※收入和支出不能同时填",IF(AND(N($G555)=0,N($H555)=0),"※收入和支出都没填",IF($E555="","※没填收支类别，分类报表会漏掉这一笔",IF(ISNA(MATCH($E555,类别表,0)),"※收支类别不在【参数设置】的清单里",IF($J555="","△"&amp;$D555&amp;" 还没填汇率，去【月度汇率】补上就自动算了",IF(YEAR($A555)&lt;&gt;管理年度,"△不是管理年度的单据，年报里看不到",IF(AND($F555="内部转账",$Q555=""),"△内部转账建议在「往来单位」写上对方账户",IF($M555&lt;0,"△这一笔之后该账户余额成负数了，核一下","")))))))))))</f>
        <v/>
      </c>
    </row>
    <row r="556" ht="16.5" spans="1:19">
      <c r="A556" s="45"/>
      <c r="B556" s="46"/>
      <c r="C556" s="12" t="str">
        <f>IF($B556="","",IFERROR(INDEX(账户银行,MATCH($B556,账户名,0)),""))</f>
        <v/>
      </c>
      <c r="D556" s="12" t="str">
        <f>IF($B556="","",IFERROR(INDEX(账户币种,MATCH($B556,账户名,0)),""))</f>
        <v/>
      </c>
      <c r="E556" s="47"/>
      <c r="F556" s="12" t="str">
        <f>IF($E556="","",IFERROR(INDEX(类别属性,MATCH($E556,类别表,0)),""))</f>
        <v/>
      </c>
      <c r="G556" s="48"/>
      <c r="H556" s="48"/>
      <c r="I556" s="49"/>
      <c r="J556" s="24" t="str">
        <f>IF(OR($A556="",$B556=""),"",IF($I556&lt;&gt;"",$I556,IF($D556=本位币,1,IFERROR(LOOKUP(2,1/((汇率月份&lt;=$A556)*(INDEX(记账汇率区,0,MATCH($D556,汇率币种头,0))&lt;&gt;"")),INDEX(记账汇率区,0,MATCH($D556,汇率币种头,0))),""))))</f>
        <v/>
      </c>
      <c r="K556" s="23" t="str">
        <f t="shared" si="16"/>
        <v/>
      </c>
      <c r="L556" s="23" t="str">
        <f t="shared" si="17"/>
        <v/>
      </c>
      <c r="M556" s="23" t="str">
        <f>IF($B556="","",ROUND(SUMIF(账户名,$B556,账户期初)+SUMIFS($K$6:K556,$B$6:B556,$B556),2))</f>
        <v/>
      </c>
      <c r="N556" s="23" t="str">
        <f>IF($B556="","",IFERROR(ROUND(INDEX(账户期初本位,MATCH($B556,账户名,0))+SUMIFS($L$6:L556,$B$6:B556,$B556),2),""))</f>
        <v/>
      </c>
      <c r="O556" s="46"/>
      <c r="P556" s="47"/>
      <c r="Q556" s="46"/>
      <c r="R556" s="46"/>
      <c r="S556" s="6" t="str">
        <f>IF($B556="","",IF(ISNA(MATCH($B556,账户名,0)),"※这个账户不在【参数设置】的账户档案里",IF($A556="","※没填日期，这一笔不会进任何月份的报表",IF(AND($G556&lt;&gt;"",$H556&lt;&gt;""),"※收入和支出不能同时填",IF(AND(N($G556)=0,N($H556)=0),"※收入和支出都没填",IF($E556="","※没填收支类别，分类报表会漏掉这一笔",IF(ISNA(MATCH($E556,类别表,0)),"※收支类别不在【参数设置】的清单里",IF($J556="","△"&amp;$D556&amp;" 还没填汇率，去【月度汇率】补上就自动算了",IF(YEAR($A556)&lt;&gt;管理年度,"△不是管理年度的单据，年报里看不到",IF(AND($F556="内部转账",$Q556=""),"△内部转账建议在「往来单位」写上对方账户",IF($M556&lt;0,"△这一笔之后该账户余额成负数了，核一下","")))))))))))</f>
        <v/>
      </c>
    </row>
    <row r="557" ht="16.5" spans="1:19">
      <c r="A557" s="45"/>
      <c r="B557" s="46"/>
      <c r="C557" s="12" t="str">
        <f>IF($B557="","",IFERROR(INDEX(账户银行,MATCH($B557,账户名,0)),""))</f>
        <v/>
      </c>
      <c r="D557" s="12" t="str">
        <f>IF($B557="","",IFERROR(INDEX(账户币种,MATCH($B557,账户名,0)),""))</f>
        <v/>
      </c>
      <c r="E557" s="47"/>
      <c r="F557" s="12" t="str">
        <f>IF($E557="","",IFERROR(INDEX(类别属性,MATCH($E557,类别表,0)),""))</f>
        <v/>
      </c>
      <c r="G557" s="48"/>
      <c r="H557" s="48"/>
      <c r="I557" s="49"/>
      <c r="J557" s="24" t="str">
        <f>IF(OR($A557="",$B557=""),"",IF($I557&lt;&gt;"",$I557,IF($D557=本位币,1,IFERROR(LOOKUP(2,1/((汇率月份&lt;=$A557)*(INDEX(记账汇率区,0,MATCH($D557,汇率币种头,0))&lt;&gt;"")),INDEX(记账汇率区,0,MATCH($D557,汇率币种头,0))),""))))</f>
        <v/>
      </c>
      <c r="K557" s="23" t="str">
        <f t="shared" si="16"/>
        <v/>
      </c>
      <c r="L557" s="23" t="str">
        <f t="shared" si="17"/>
        <v/>
      </c>
      <c r="M557" s="23" t="str">
        <f>IF($B557="","",ROUND(SUMIF(账户名,$B557,账户期初)+SUMIFS($K$6:K557,$B$6:B557,$B557),2))</f>
        <v/>
      </c>
      <c r="N557" s="23" t="str">
        <f>IF($B557="","",IFERROR(ROUND(INDEX(账户期初本位,MATCH($B557,账户名,0))+SUMIFS($L$6:L557,$B$6:B557,$B557),2),""))</f>
        <v/>
      </c>
      <c r="O557" s="46"/>
      <c r="P557" s="47"/>
      <c r="Q557" s="46"/>
      <c r="R557" s="46"/>
      <c r="S557" s="6" t="str">
        <f>IF($B557="","",IF(ISNA(MATCH($B557,账户名,0)),"※这个账户不在【参数设置】的账户档案里",IF($A557="","※没填日期，这一笔不会进任何月份的报表",IF(AND($G557&lt;&gt;"",$H557&lt;&gt;""),"※收入和支出不能同时填",IF(AND(N($G557)=0,N($H557)=0),"※收入和支出都没填",IF($E557="","※没填收支类别，分类报表会漏掉这一笔",IF(ISNA(MATCH($E557,类别表,0)),"※收支类别不在【参数设置】的清单里",IF($J557="","△"&amp;$D557&amp;" 还没填汇率，去【月度汇率】补上就自动算了",IF(YEAR($A557)&lt;&gt;管理年度,"△不是管理年度的单据，年报里看不到",IF(AND($F557="内部转账",$Q557=""),"△内部转账建议在「往来单位」写上对方账户",IF($M557&lt;0,"△这一笔之后该账户余额成负数了，核一下","")))))))))))</f>
        <v/>
      </c>
    </row>
    <row r="558" ht="16.5" spans="1:19">
      <c r="A558" s="45"/>
      <c r="B558" s="46"/>
      <c r="C558" s="12" t="str">
        <f>IF($B558="","",IFERROR(INDEX(账户银行,MATCH($B558,账户名,0)),""))</f>
        <v/>
      </c>
      <c r="D558" s="12" t="str">
        <f>IF($B558="","",IFERROR(INDEX(账户币种,MATCH($B558,账户名,0)),""))</f>
        <v/>
      </c>
      <c r="E558" s="47"/>
      <c r="F558" s="12" t="str">
        <f>IF($E558="","",IFERROR(INDEX(类别属性,MATCH($E558,类别表,0)),""))</f>
        <v/>
      </c>
      <c r="G558" s="48"/>
      <c r="H558" s="48"/>
      <c r="I558" s="49"/>
      <c r="J558" s="24" t="str">
        <f>IF(OR($A558="",$B558=""),"",IF($I558&lt;&gt;"",$I558,IF($D558=本位币,1,IFERROR(LOOKUP(2,1/((汇率月份&lt;=$A558)*(INDEX(记账汇率区,0,MATCH($D558,汇率币种头,0))&lt;&gt;"")),INDEX(记账汇率区,0,MATCH($D558,汇率币种头,0))),""))))</f>
        <v/>
      </c>
      <c r="K558" s="23" t="str">
        <f t="shared" si="16"/>
        <v/>
      </c>
      <c r="L558" s="23" t="str">
        <f t="shared" si="17"/>
        <v/>
      </c>
      <c r="M558" s="23" t="str">
        <f>IF($B558="","",ROUND(SUMIF(账户名,$B558,账户期初)+SUMIFS($K$6:K558,$B$6:B558,$B558),2))</f>
        <v/>
      </c>
      <c r="N558" s="23" t="str">
        <f>IF($B558="","",IFERROR(ROUND(INDEX(账户期初本位,MATCH($B558,账户名,0))+SUMIFS($L$6:L558,$B$6:B558,$B558),2),""))</f>
        <v/>
      </c>
      <c r="O558" s="46"/>
      <c r="P558" s="47"/>
      <c r="Q558" s="46"/>
      <c r="R558" s="46"/>
      <c r="S558" s="6" t="str">
        <f>IF($B558="","",IF(ISNA(MATCH($B558,账户名,0)),"※这个账户不在【参数设置】的账户档案里",IF($A558="","※没填日期，这一笔不会进任何月份的报表",IF(AND($G558&lt;&gt;"",$H558&lt;&gt;""),"※收入和支出不能同时填",IF(AND(N($G558)=0,N($H558)=0),"※收入和支出都没填",IF($E558="","※没填收支类别，分类报表会漏掉这一笔",IF(ISNA(MATCH($E558,类别表,0)),"※收支类别不在【参数设置】的清单里",IF($J558="","△"&amp;$D558&amp;" 还没填汇率，去【月度汇率】补上就自动算了",IF(YEAR($A558)&lt;&gt;管理年度,"△不是管理年度的单据，年报里看不到",IF(AND($F558="内部转账",$Q558=""),"△内部转账建议在「往来单位」写上对方账户",IF($M558&lt;0,"△这一笔之后该账户余额成负数了，核一下","")))))))))))</f>
        <v/>
      </c>
    </row>
    <row r="559" ht="16.5" spans="1:19">
      <c r="A559" s="45"/>
      <c r="B559" s="46"/>
      <c r="C559" s="12" t="str">
        <f>IF($B559="","",IFERROR(INDEX(账户银行,MATCH($B559,账户名,0)),""))</f>
        <v/>
      </c>
      <c r="D559" s="12" t="str">
        <f>IF($B559="","",IFERROR(INDEX(账户币种,MATCH($B559,账户名,0)),""))</f>
        <v/>
      </c>
      <c r="E559" s="47"/>
      <c r="F559" s="12" t="str">
        <f>IF($E559="","",IFERROR(INDEX(类别属性,MATCH($E559,类别表,0)),""))</f>
        <v/>
      </c>
      <c r="G559" s="48"/>
      <c r="H559" s="48"/>
      <c r="I559" s="49"/>
      <c r="J559" s="24" t="str">
        <f>IF(OR($A559="",$B559=""),"",IF($I559&lt;&gt;"",$I559,IF($D559=本位币,1,IFERROR(LOOKUP(2,1/((汇率月份&lt;=$A559)*(INDEX(记账汇率区,0,MATCH($D559,汇率币种头,0))&lt;&gt;"")),INDEX(记账汇率区,0,MATCH($D559,汇率币种头,0))),""))))</f>
        <v/>
      </c>
      <c r="K559" s="23" t="str">
        <f t="shared" si="16"/>
        <v/>
      </c>
      <c r="L559" s="23" t="str">
        <f t="shared" si="17"/>
        <v/>
      </c>
      <c r="M559" s="23" t="str">
        <f>IF($B559="","",ROUND(SUMIF(账户名,$B559,账户期初)+SUMIFS($K$6:K559,$B$6:B559,$B559),2))</f>
        <v/>
      </c>
      <c r="N559" s="23" t="str">
        <f>IF($B559="","",IFERROR(ROUND(INDEX(账户期初本位,MATCH($B559,账户名,0))+SUMIFS($L$6:L559,$B$6:B559,$B559),2),""))</f>
        <v/>
      </c>
      <c r="O559" s="46"/>
      <c r="P559" s="47"/>
      <c r="Q559" s="46"/>
      <c r="R559" s="46"/>
      <c r="S559" s="6" t="str">
        <f>IF($B559="","",IF(ISNA(MATCH($B559,账户名,0)),"※这个账户不在【参数设置】的账户档案里",IF($A559="","※没填日期，这一笔不会进任何月份的报表",IF(AND($G559&lt;&gt;"",$H559&lt;&gt;""),"※收入和支出不能同时填",IF(AND(N($G559)=0,N($H559)=0),"※收入和支出都没填",IF($E559="","※没填收支类别，分类报表会漏掉这一笔",IF(ISNA(MATCH($E559,类别表,0)),"※收支类别不在【参数设置】的清单里",IF($J559="","△"&amp;$D559&amp;" 还没填汇率，去【月度汇率】补上就自动算了",IF(YEAR($A559)&lt;&gt;管理年度,"△不是管理年度的单据，年报里看不到",IF(AND($F559="内部转账",$Q559=""),"△内部转账建议在「往来单位」写上对方账户",IF($M559&lt;0,"△这一笔之后该账户余额成负数了，核一下","")))))))))))</f>
        <v/>
      </c>
    </row>
    <row r="560" ht="16.5" spans="1:19">
      <c r="A560" s="45"/>
      <c r="B560" s="46"/>
      <c r="C560" s="12" t="str">
        <f>IF($B560="","",IFERROR(INDEX(账户银行,MATCH($B560,账户名,0)),""))</f>
        <v/>
      </c>
      <c r="D560" s="12" t="str">
        <f>IF($B560="","",IFERROR(INDEX(账户币种,MATCH($B560,账户名,0)),""))</f>
        <v/>
      </c>
      <c r="E560" s="47"/>
      <c r="F560" s="12" t="str">
        <f>IF($E560="","",IFERROR(INDEX(类别属性,MATCH($E560,类别表,0)),""))</f>
        <v/>
      </c>
      <c r="G560" s="48"/>
      <c r="H560" s="48"/>
      <c r="I560" s="49"/>
      <c r="J560" s="24" t="str">
        <f>IF(OR($A560="",$B560=""),"",IF($I560&lt;&gt;"",$I560,IF($D560=本位币,1,IFERROR(LOOKUP(2,1/((汇率月份&lt;=$A560)*(INDEX(记账汇率区,0,MATCH($D560,汇率币种头,0))&lt;&gt;"")),INDEX(记账汇率区,0,MATCH($D560,汇率币种头,0))),""))))</f>
        <v/>
      </c>
      <c r="K560" s="23" t="str">
        <f t="shared" si="16"/>
        <v/>
      </c>
      <c r="L560" s="23" t="str">
        <f t="shared" si="17"/>
        <v/>
      </c>
      <c r="M560" s="23" t="str">
        <f>IF($B560="","",ROUND(SUMIF(账户名,$B560,账户期初)+SUMIFS($K$6:K560,$B$6:B560,$B560),2))</f>
        <v/>
      </c>
      <c r="N560" s="23" t="str">
        <f>IF($B560="","",IFERROR(ROUND(INDEX(账户期初本位,MATCH($B560,账户名,0))+SUMIFS($L$6:L560,$B$6:B560,$B560),2),""))</f>
        <v/>
      </c>
      <c r="O560" s="46"/>
      <c r="P560" s="47"/>
      <c r="Q560" s="46"/>
      <c r="R560" s="46"/>
      <c r="S560" s="6" t="str">
        <f>IF($B560="","",IF(ISNA(MATCH($B560,账户名,0)),"※这个账户不在【参数设置】的账户档案里",IF($A560="","※没填日期，这一笔不会进任何月份的报表",IF(AND($G560&lt;&gt;"",$H560&lt;&gt;""),"※收入和支出不能同时填",IF(AND(N($G560)=0,N($H560)=0),"※收入和支出都没填",IF($E560="","※没填收支类别，分类报表会漏掉这一笔",IF(ISNA(MATCH($E560,类别表,0)),"※收支类别不在【参数设置】的清单里",IF($J560="","△"&amp;$D560&amp;" 还没填汇率，去【月度汇率】补上就自动算了",IF(YEAR($A560)&lt;&gt;管理年度,"△不是管理年度的单据，年报里看不到",IF(AND($F560="内部转账",$Q560=""),"△内部转账建议在「往来单位」写上对方账户",IF($M560&lt;0,"△这一笔之后该账户余额成负数了，核一下","")))))))))))</f>
        <v/>
      </c>
    </row>
    <row r="561" ht="16.5" spans="1:19">
      <c r="A561" s="45"/>
      <c r="B561" s="46"/>
      <c r="C561" s="12" t="str">
        <f>IF($B561="","",IFERROR(INDEX(账户银行,MATCH($B561,账户名,0)),""))</f>
        <v/>
      </c>
      <c r="D561" s="12" t="str">
        <f>IF($B561="","",IFERROR(INDEX(账户币种,MATCH($B561,账户名,0)),""))</f>
        <v/>
      </c>
      <c r="E561" s="47"/>
      <c r="F561" s="12" t="str">
        <f>IF($E561="","",IFERROR(INDEX(类别属性,MATCH($E561,类别表,0)),""))</f>
        <v/>
      </c>
      <c r="G561" s="48"/>
      <c r="H561" s="48"/>
      <c r="I561" s="49"/>
      <c r="J561" s="24" t="str">
        <f>IF(OR($A561="",$B561=""),"",IF($I561&lt;&gt;"",$I561,IF($D561=本位币,1,IFERROR(LOOKUP(2,1/((汇率月份&lt;=$A561)*(INDEX(记账汇率区,0,MATCH($D561,汇率币种头,0))&lt;&gt;"")),INDEX(记账汇率区,0,MATCH($D561,汇率币种头,0))),""))))</f>
        <v/>
      </c>
      <c r="K561" s="23" t="str">
        <f t="shared" si="16"/>
        <v/>
      </c>
      <c r="L561" s="23" t="str">
        <f t="shared" si="17"/>
        <v/>
      </c>
      <c r="M561" s="23" t="str">
        <f>IF($B561="","",ROUND(SUMIF(账户名,$B561,账户期初)+SUMIFS($K$6:K561,$B$6:B561,$B561),2))</f>
        <v/>
      </c>
      <c r="N561" s="23" t="str">
        <f>IF($B561="","",IFERROR(ROUND(INDEX(账户期初本位,MATCH($B561,账户名,0))+SUMIFS($L$6:L561,$B$6:B561,$B561),2),""))</f>
        <v/>
      </c>
      <c r="O561" s="46"/>
      <c r="P561" s="47"/>
      <c r="Q561" s="46"/>
      <c r="R561" s="46"/>
      <c r="S561" s="6" t="str">
        <f>IF($B561="","",IF(ISNA(MATCH($B561,账户名,0)),"※这个账户不在【参数设置】的账户档案里",IF($A561="","※没填日期，这一笔不会进任何月份的报表",IF(AND($G561&lt;&gt;"",$H561&lt;&gt;""),"※收入和支出不能同时填",IF(AND(N($G561)=0,N($H561)=0),"※收入和支出都没填",IF($E561="","※没填收支类别，分类报表会漏掉这一笔",IF(ISNA(MATCH($E561,类别表,0)),"※收支类别不在【参数设置】的清单里",IF($J561="","△"&amp;$D561&amp;" 还没填汇率，去【月度汇率】补上就自动算了",IF(YEAR($A561)&lt;&gt;管理年度,"△不是管理年度的单据，年报里看不到",IF(AND($F561="内部转账",$Q561=""),"△内部转账建议在「往来单位」写上对方账户",IF($M561&lt;0,"△这一笔之后该账户余额成负数了，核一下","")))))))))))</f>
        <v/>
      </c>
    </row>
    <row r="562" ht="16.5" spans="1:19">
      <c r="A562" s="45"/>
      <c r="B562" s="46"/>
      <c r="C562" s="12" t="str">
        <f>IF($B562="","",IFERROR(INDEX(账户银行,MATCH($B562,账户名,0)),""))</f>
        <v/>
      </c>
      <c r="D562" s="12" t="str">
        <f>IF($B562="","",IFERROR(INDEX(账户币种,MATCH($B562,账户名,0)),""))</f>
        <v/>
      </c>
      <c r="E562" s="47"/>
      <c r="F562" s="12" t="str">
        <f>IF($E562="","",IFERROR(INDEX(类别属性,MATCH($E562,类别表,0)),""))</f>
        <v/>
      </c>
      <c r="G562" s="48"/>
      <c r="H562" s="48"/>
      <c r="I562" s="49"/>
      <c r="J562" s="24" t="str">
        <f>IF(OR($A562="",$B562=""),"",IF($I562&lt;&gt;"",$I562,IF($D562=本位币,1,IFERROR(LOOKUP(2,1/((汇率月份&lt;=$A562)*(INDEX(记账汇率区,0,MATCH($D562,汇率币种头,0))&lt;&gt;"")),INDEX(记账汇率区,0,MATCH($D562,汇率币种头,0))),""))))</f>
        <v/>
      </c>
      <c r="K562" s="23" t="str">
        <f t="shared" si="16"/>
        <v/>
      </c>
      <c r="L562" s="23" t="str">
        <f t="shared" si="17"/>
        <v/>
      </c>
      <c r="M562" s="23" t="str">
        <f>IF($B562="","",ROUND(SUMIF(账户名,$B562,账户期初)+SUMIFS($K$6:K562,$B$6:B562,$B562),2))</f>
        <v/>
      </c>
      <c r="N562" s="23" t="str">
        <f>IF($B562="","",IFERROR(ROUND(INDEX(账户期初本位,MATCH($B562,账户名,0))+SUMIFS($L$6:L562,$B$6:B562,$B562),2),""))</f>
        <v/>
      </c>
      <c r="O562" s="46"/>
      <c r="P562" s="47"/>
      <c r="Q562" s="46"/>
      <c r="R562" s="46"/>
      <c r="S562" s="6" t="str">
        <f>IF($B562="","",IF(ISNA(MATCH($B562,账户名,0)),"※这个账户不在【参数设置】的账户档案里",IF($A562="","※没填日期，这一笔不会进任何月份的报表",IF(AND($G562&lt;&gt;"",$H562&lt;&gt;""),"※收入和支出不能同时填",IF(AND(N($G562)=0,N($H562)=0),"※收入和支出都没填",IF($E562="","※没填收支类别，分类报表会漏掉这一笔",IF(ISNA(MATCH($E562,类别表,0)),"※收支类别不在【参数设置】的清单里",IF($J562="","△"&amp;$D562&amp;" 还没填汇率，去【月度汇率】补上就自动算了",IF(YEAR($A562)&lt;&gt;管理年度,"△不是管理年度的单据，年报里看不到",IF(AND($F562="内部转账",$Q562=""),"△内部转账建议在「往来单位」写上对方账户",IF($M562&lt;0,"△这一笔之后该账户余额成负数了，核一下","")))))))))))</f>
        <v/>
      </c>
    </row>
    <row r="563" ht="16.5" spans="1:19">
      <c r="A563" s="45"/>
      <c r="B563" s="46"/>
      <c r="C563" s="12" t="str">
        <f>IF($B563="","",IFERROR(INDEX(账户银行,MATCH($B563,账户名,0)),""))</f>
        <v/>
      </c>
      <c r="D563" s="12" t="str">
        <f>IF($B563="","",IFERROR(INDEX(账户币种,MATCH($B563,账户名,0)),""))</f>
        <v/>
      </c>
      <c r="E563" s="47"/>
      <c r="F563" s="12" t="str">
        <f>IF($E563="","",IFERROR(INDEX(类别属性,MATCH($E563,类别表,0)),""))</f>
        <v/>
      </c>
      <c r="G563" s="48"/>
      <c r="H563" s="48"/>
      <c r="I563" s="49"/>
      <c r="J563" s="24" t="str">
        <f>IF(OR($A563="",$B563=""),"",IF($I563&lt;&gt;"",$I563,IF($D563=本位币,1,IFERROR(LOOKUP(2,1/((汇率月份&lt;=$A563)*(INDEX(记账汇率区,0,MATCH($D563,汇率币种头,0))&lt;&gt;"")),INDEX(记账汇率区,0,MATCH($D563,汇率币种头,0))),""))))</f>
        <v/>
      </c>
      <c r="K563" s="23" t="str">
        <f t="shared" si="16"/>
        <v/>
      </c>
      <c r="L563" s="23" t="str">
        <f t="shared" si="17"/>
        <v/>
      </c>
      <c r="M563" s="23" t="str">
        <f>IF($B563="","",ROUND(SUMIF(账户名,$B563,账户期初)+SUMIFS($K$6:K563,$B$6:B563,$B563),2))</f>
        <v/>
      </c>
      <c r="N563" s="23" t="str">
        <f>IF($B563="","",IFERROR(ROUND(INDEX(账户期初本位,MATCH($B563,账户名,0))+SUMIFS($L$6:L563,$B$6:B563,$B563),2),""))</f>
        <v/>
      </c>
      <c r="O563" s="46"/>
      <c r="P563" s="47"/>
      <c r="Q563" s="46"/>
      <c r="R563" s="46"/>
      <c r="S563" s="6" t="str">
        <f>IF($B563="","",IF(ISNA(MATCH($B563,账户名,0)),"※这个账户不在【参数设置】的账户档案里",IF($A563="","※没填日期，这一笔不会进任何月份的报表",IF(AND($G563&lt;&gt;"",$H563&lt;&gt;""),"※收入和支出不能同时填",IF(AND(N($G563)=0,N($H563)=0),"※收入和支出都没填",IF($E563="","※没填收支类别，分类报表会漏掉这一笔",IF(ISNA(MATCH($E563,类别表,0)),"※收支类别不在【参数设置】的清单里",IF($J563="","△"&amp;$D563&amp;" 还没填汇率，去【月度汇率】补上就自动算了",IF(YEAR($A563)&lt;&gt;管理年度,"△不是管理年度的单据，年报里看不到",IF(AND($F563="内部转账",$Q563=""),"△内部转账建议在「往来单位」写上对方账户",IF($M563&lt;0,"△这一笔之后该账户余额成负数了，核一下","")))))))))))</f>
        <v/>
      </c>
    </row>
    <row r="564" ht="16.5" spans="1:19">
      <c r="A564" s="45"/>
      <c r="B564" s="46"/>
      <c r="C564" s="12" t="str">
        <f>IF($B564="","",IFERROR(INDEX(账户银行,MATCH($B564,账户名,0)),""))</f>
        <v/>
      </c>
      <c r="D564" s="12" t="str">
        <f>IF($B564="","",IFERROR(INDEX(账户币种,MATCH($B564,账户名,0)),""))</f>
        <v/>
      </c>
      <c r="E564" s="47"/>
      <c r="F564" s="12" t="str">
        <f>IF($E564="","",IFERROR(INDEX(类别属性,MATCH($E564,类别表,0)),""))</f>
        <v/>
      </c>
      <c r="G564" s="48"/>
      <c r="H564" s="48"/>
      <c r="I564" s="49"/>
      <c r="J564" s="24" t="str">
        <f>IF(OR($A564="",$B564=""),"",IF($I564&lt;&gt;"",$I564,IF($D564=本位币,1,IFERROR(LOOKUP(2,1/((汇率月份&lt;=$A564)*(INDEX(记账汇率区,0,MATCH($D564,汇率币种头,0))&lt;&gt;"")),INDEX(记账汇率区,0,MATCH($D564,汇率币种头,0))),""))))</f>
        <v/>
      </c>
      <c r="K564" s="23" t="str">
        <f t="shared" si="16"/>
        <v/>
      </c>
      <c r="L564" s="23" t="str">
        <f t="shared" si="17"/>
        <v/>
      </c>
      <c r="M564" s="23" t="str">
        <f>IF($B564="","",ROUND(SUMIF(账户名,$B564,账户期初)+SUMIFS($K$6:K564,$B$6:B564,$B564),2))</f>
        <v/>
      </c>
      <c r="N564" s="23" t="str">
        <f>IF($B564="","",IFERROR(ROUND(INDEX(账户期初本位,MATCH($B564,账户名,0))+SUMIFS($L$6:L564,$B$6:B564,$B564),2),""))</f>
        <v/>
      </c>
      <c r="O564" s="46"/>
      <c r="P564" s="47"/>
      <c r="Q564" s="46"/>
      <c r="R564" s="46"/>
      <c r="S564" s="6" t="str">
        <f>IF($B564="","",IF(ISNA(MATCH($B564,账户名,0)),"※这个账户不在【参数设置】的账户档案里",IF($A564="","※没填日期，这一笔不会进任何月份的报表",IF(AND($G564&lt;&gt;"",$H564&lt;&gt;""),"※收入和支出不能同时填",IF(AND(N($G564)=0,N($H564)=0),"※收入和支出都没填",IF($E564="","※没填收支类别，分类报表会漏掉这一笔",IF(ISNA(MATCH($E564,类别表,0)),"※收支类别不在【参数设置】的清单里",IF($J564="","△"&amp;$D564&amp;" 还没填汇率，去【月度汇率】补上就自动算了",IF(YEAR($A564)&lt;&gt;管理年度,"△不是管理年度的单据，年报里看不到",IF(AND($F564="内部转账",$Q564=""),"△内部转账建议在「往来单位」写上对方账户",IF($M564&lt;0,"△这一笔之后该账户余额成负数了，核一下","")))))))))))</f>
        <v/>
      </c>
    </row>
    <row r="565" ht="16.5" spans="1:19">
      <c r="A565" s="45"/>
      <c r="B565" s="46"/>
      <c r="C565" s="12" t="str">
        <f>IF($B565="","",IFERROR(INDEX(账户银行,MATCH($B565,账户名,0)),""))</f>
        <v/>
      </c>
      <c r="D565" s="12" t="str">
        <f>IF($B565="","",IFERROR(INDEX(账户币种,MATCH($B565,账户名,0)),""))</f>
        <v/>
      </c>
      <c r="E565" s="47"/>
      <c r="F565" s="12" t="str">
        <f>IF($E565="","",IFERROR(INDEX(类别属性,MATCH($E565,类别表,0)),""))</f>
        <v/>
      </c>
      <c r="G565" s="48"/>
      <c r="H565" s="48"/>
      <c r="I565" s="49"/>
      <c r="J565" s="24" t="str">
        <f>IF(OR($A565="",$B565=""),"",IF($I565&lt;&gt;"",$I565,IF($D565=本位币,1,IFERROR(LOOKUP(2,1/((汇率月份&lt;=$A565)*(INDEX(记账汇率区,0,MATCH($D565,汇率币种头,0))&lt;&gt;"")),INDEX(记账汇率区,0,MATCH($D565,汇率币种头,0))),""))))</f>
        <v/>
      </c>
      <c r="K565" s="23" t="str">
        <f t="shared" si="16"/>
        <v/>
      </c>
      <c r="L565" s="23" t="str">
        <f t="shared" si="17"/>
        <v/>
      </c>
      <c r="M565" s="23" t="str">
        <f>IF($B565="","",ROUND(SUMIF(账户名,$B565,账户期初)+SUMIFS($K$6:K565,$B$6:B565,$B565),2))</f>
        <v/>
      </c>
      <c r="N565" s="23" t="str">
        <f>IF($B565="","",IFERROR(ROUND(INDEX(账户期初本位,MATCH($B565,账户名,0))+SUMIFS($L$6:L565,$B$6:B565,$B565),2),""))</f>
        <v/>
      </c>
      <c r="O565" s="46"/>
      <c r="P565" s="47"/>
      <c r="Q565" s="46"/>
      <c r="R565" s="46"/>
      <c r="S565" s="6" t="str">
        <f>IF($B565="","",IF(ISNA(MATCH($B565,账户名,0)),"※这个账户不在【参数设置】的账户档案里",IF($A565="","※没填日期，这一笔不会进任何月份的报表",IF(AND($G565&lt;&gt;"",$H565&lt;&gt;""),"※收入和支出不能同时填",IF(AND(N($G565)=0,N($H565)=0),"※收入和支出都没填",IF($E565="","※没填收支类别，分类报表会漏掉这一笔",IF(ISNA(MATCH($E565,类别表,0)),"※收支类别不在【参数设置】的清单里",IF($J565="","△"&amp;$D565&amp;" 还没填汇率，去【月度汇率】补上就自动算了",IF(YEAR($A565)&lt;&gt;管理年度,"△不是管理年度的单据，年报里看不到",IF(AND($F565="内部转账",$Q565=""),"△内部转账建议在「往来单位」写上对方账户",IF($M565&lt;0,"△这一笔之后该账户余额成负数了，核一下","")))))))))))</f>
        <v/>
      </c>
    </row>
    <row r="566" ht="16.5" spans="1:19">
      <c r="A566" s="45"/>
      <c r="B566" s="46"/>
      <c r="C566" s="12" t="str">
        <f>IF($B566="","",IFERROR(INDEX(账户银行,MATCH($B566,账户名,0)),""))</f>
        <v/>
      </c>
      <c r="D566" s="12" t="str">
        <f>IF($B566="","",IFERROR(INDEX(账户币种,MATCH($B566,账户名,0)),""))</f>
        <v/>
      </c>
      <c r="E566" s="47"/>
      <c r="F566" s="12" t="str">
        <f>IF($E566="","",IFERROR(INDEX(类别属性,MATCH($E566,类别表,0)),""))</f>
        <v/>
      </c>
      <c r="G566" s="48"/>
      <c r="H566" s="48"/>
      <c r="I566" s="49"/>
      <c r="J566" s="24" t="str">
        <f>IF(OR($A566="",$B566=""),"",IF($I566&lt;&gt;"",$I566,IF($D566=本位币,1,IFERROR(LOOKUP(2,1/((汇率月份&lt;=$A566)*(INDEX(记账汇率区,0,MATCH($D566,汇率币种头,0))&lt;&gt;"")),INDEX(记账汇率区,0,MATCH($D566,汇率币种头,0))),""))))</f>
        <v/>
      </c>
      <c r="K566" s="23" t="str">
        <f t="shared" si="16"/>
        <v/>
      </c>
      <c r="L566" s="23" t="str">
        <f t="shared" si="17"/>
        <v/>
      </c>
      <c r="M566" s="23" t="str">
        <f>IF($B566="","",ROUND(SUMIF(账户名,$B566,账户期初)+SUMIFS($K$6:K566,$B$6:B566,$B566),2))</f>
        <v/>
      </c>
      <c r="N566" s="23" t="str">
        <f>IF($B566="","",IFERROR(ROUND(INDEX(账户期初本位,MATCH($B566,账户名,0))+SUMIFS($L$6:L566,$B$6:B566,$B566),2),""))</f>
        <v/>
      </c>
      <c r="O566" s="46"/>
      <c r="P566" s="47"/>
      <c r="Q566" s="46"/>
      <c r="R566" s="46"/>
      <c r="S566" s="6" t="str">
        <f>IF($B566="","",IF(ISNA(MATCH($B566,账户名,0)),"※这个账户不在【参数设置】的账户档案里",IF($A566="","※没填日期，这一笔不会进任何月份的报表",IF(AND($G566&lt;&gt;"",$H566&lt;&gt;""),"※收入和支出不能同时填",IF(AND(N($G566)=0,N($H566)=0),"※收入和支出都没填",IF($E566="","※没填收支类别，分类报表会漏掉这一笔",IF(ISNA(MATCH($E566,类别表,0)),"※收支类别不在【参数设置】的清单里",IF($J566="","△"&amp;$D566&amp;" 还没填汇率，去【月度汇率】补上就自动算了",IF(YEAR($A566)&lt;&gt;管理年度,"△不是管理年度的单据，年报里看不到",IF(AND($F566="内部转账",$Q566=""),"△内部转账建议在「往来单位」写上对方账户",IF($M566&lt;0,"△这一笔之后该账户余额成负数了，核一下","")))))))))))</f>
        <v/>
      </c>
    </row>
    <row r="567" ht="16.5" spans="1:19">
      <c r="A567" s="45"/>
      <c r="B567" s="46"/>
      <c r="C567" s="12" t="str">
        <f>IF($B567="","",IFERROR(INDEX(账户银行,MATCH($B567,账户名,0)),""))</f>
        <v/>
      </c>
      <c r="D567" s="12" t="str">
        <f>IF($B567="","",IFERROR(INDEX(账户币种,MATCH($B567,账户名,0)),""))</f>
        <v/>
      </c>
      <c r="E567" s="47"/>
      <c r="F567" s="12" t="str">
        <f>IF($E567="","",IFERROR(INDEX(类别属性,MATCH($E567,类别表,0)),""))</f>
        <v/>
      </c>
      <c r="G567" s="48"/>
      <c r="H567" s="48"/>
      <c r="I567" s="49"/>
      <c r="J567" s="24" t="str">
        <f>IF(OR($A567="",$B567=""),"",IF($I567&lt;&gt;"",$I567,IF($D567=本位币,1,IFERROR(LOOKUP(2,1/((汇率月份&lt;=$A567)*(INDEX(记账汇率区,0,MATCH($D567,汇率币种头,0))&lt;&gt;"")),INDEX(记账汇率区,0,MATCH($D567,汇率币种头,0))),""))))</f>
        <v/>
      </c>
      <c r="K567" s="23" t="str">
        <f t="shared" si="16"/>
        <v/>
      </c>
      <c r="L567" s="23" t="str">
        <f t="shared" si="17"/>
        <v/>
      </c>
      <c r="M567" s="23" t="str">
        <f>IF($B567="","",ROUND(SUMIF(账户名,$B567,账户期初)+SUMIFS($K$6:K567,$B$6:B567,$B567),2))</f>
        <v/>
      </c>
      <c r="N567" s="23" t="str">
        <f>IF($B567="","",IFERROR(ROUND(INDEX(账户期初本位,MATCH($B567,账户名,0))+SUMIFS($L$6:L567,$B$6:B567,$B567),2),""))</f>
        <v/>
      </c>
      <c r="O567" s="46"/>
      <c r="P567" s="47"/>
      <c r="Q567" s="46"/>
      <c r="R567" s="46"/>
      <c r="S567" s="6" t="str">
        <f>IF($B567="","",IF(ISNA(MATCH($B567,账户名,0)),"※这个账户不在【参数设置】的账户档案里",IF($A567="","※没填日期，这一笔不会进任何月份的报表",IF(AND($G567&lt;&gt;"",$H567&lt;&gt;""),"※收入和支出不能同时填",IF(AND(N($G567)=0,N($H567)=0),"※收入和支出都没填",IF($E567="","※没填收支类别，分类报表会漏掉这一笔",IF(ISNA(MATCH($E567,类别表,0)),"※收支类别不在【参数设置】的清单里",IF($J567="","△"&amp;$D567&amp;" 还没填汇率，去【月度汇率】补上就自动算了",IF(YEAR($A567)&lt;&gt;管理年度,"△不是管理年度的单据，年报里看不到",IF(AND($F567="内部转账",$Q567=""),"△内部转账建议在「往来单位」写上对方账户",IF($M567&lt;0,"△这一笔之后该账户余额成负数了，核一下","")))))))))))</f>
        <v/>
      </c>
    </row>
    <row r="568" ht="16.5" spans="1:19">
      <c r="A568" s="45"/>
      <c r="B568" s="46"/>
      <c r="C568" s="12" t="str">
        <f>IF($B568="","",IFERROR(INDEX(账户银行,MATCH($B568,账户名,0)),""))</f>
        <v/>
      </c>
      <c r="D568" s="12" t="str">
        <f>IF($B568="","",IFERROR(INDEX(账户币种,MATCH($B568,账户名,0)),""))</f>
        <v/>
      </c>
      <c r="E568" s="47"/>
      <c r="F568" s="12" t="str">
        <f>IF($E568="","",IFERROR(INDEX(类别属性,MATCH($E568,类别表,0)),""))</f>
        <v/>
      </c>
      <c r="G568" s="48"/>
      <c r="H568" s="48"/>
      <c r="I568" s="49"/>
      <c r="J568" s="24" t="str">
        <f>IF(OR($A568="",$B568=""),"",IF($I568&lt;&gt;"",$I568,IF($D568=本位币,1,IFERROR(LOOKUP(2,1/((汇率月份&lt;=$A568)*(INDEX(记账汇率区,0,MATCH($D568,汇率币种头,0))&lt;&gt;"")),INDEX(记账汇率区,0,MATCH($D568,汇率币种头,0))),""))))</f>
        <v/>
      </c>
      <c r="K568" s="23" t="str">
        <f t="shared" si="16"/>
        <v/>
      </c>
      <c r="L568" s="23" t="str">
        <f t="shared" si="17"/>
        <v/>
      </c>
      <c r="M568" s="23" t="str">
        <f>IF($B568="","",ROUND(SUMIF(账户名,$B568,账户期初)+SUMIFS($K$6:K568,$B$6:B568,$B568),2))</f>
        <v/>
      </c>
      <c r="N568" s="23" t="str">
        <f>IF($B568="","",IFERROR(ROUND(INDEX(账户期初本位,MATCH($B568,账户名,0))+SUMIFS($L$6:L568,$B$6:B568,$B568),2),""))</f>
        <v/>
      </c>
      <c r="O568" s="46"/>
      <c r="P568" s="47"/>
      <c r="Q568" s="46"/>
      <c r="R568" s="46"/>
      <c r="S568" s="6" t="str">
        <f>IF($B568="","",IF(ISNA(MATCH($B568,账户名,0)),"※这个账户不在【参数设置】的账户档案里",IF($A568="","※没填日期，这一笔不会进任何月份的报表",IF(AND($G568&lt;&gt;"",$H568&lt;&gt;""),"※收入和支出不能同时填",IF(AND(N($G568)=0,N($H568)=0),"※收入和支出都没填",IF($E568="","※没填收支类别，分类报表会漏掉这一笔",IF(ISNA(MATCH($E568,类别表,0)),"※收支类别不在【参数设置】的清单里",IF($J568="","△"&amp;$D568&amp;" 还没填汇率，去【月度汇率】补上就自动算了",IF(YEAR($A568)&lt;&gt;管理年度,"△不是管理年度的单据，年报里看不到",IF(AND($F568="内部转账",$Q568=""),"△内部转账建议在「往来单位」写上对方账户",IF($M568&lt;0,"△这一笔之后该账户余额成负数了，核一下","")))))))))))</f>
        <v/>
      </c>
    </row>
    <row r="569" ht="16.5" spans="1:19">
      <c r="A569" s="45"/>
      <c r="B569" s="46"/>
      <c r="C569" s="12" t="str">
        <f>IF($B569="","",IFERROR(INDEX(账户银行,MATCH($B569,账户名,0)),""))</f>
        <v/>
      </c>
      <c r="D569" s="12" t="str">
        <f>IF($B569="","",IFERROR(INDEX(账户币种,MATCH($B569,账户名,0)),""))</f>
        <v/>
      </c>
      <c r="E569" s="47"/>
      <c r="F569" s="12" t="str">
        <f>IF($E569="","",IFERROR(INDEX(类别属性,MATCH($E569,类别表,0)),""))</f>
        <v/>
      </c>
      <c r="G569" s="48"/>
      <c r="H569" s="48"/>
      <c r="I569" s="49"/>
      <c r="J569" s="24" t="str">
        <f>IF(OR($A569="",$B569=""),"",IF($I569&lt;&gt;"",$I569,IF($D569=本位币,1,IFERROR(LOOKUP(2,1/((汇率月份&lt;=$A569)*(INDEX(记账汇率区,0,MATCH($D569,汇率币种头,0))&lt;&gt;"")),INDEX(记账汇率区,0,MATCH($D569,汇率币种头,0))),""))))</f>
        <v/>
      </c>
      <c r="K569" s="23" t="str">
        <f t="shared" si="16"/>
        <v/>
      </c>
      <c r="L569" s="23" t="str">
        <f t="shared" si="17"/>
        <v/>
      </c>
      <c r="M569" s="23" t="str">
        <f>IF($B569="","",ROUND(SUMIF(账户名,$B569,账户期初)+SUMIFS($K$6:K569,$B$6:B569,$B569),2))</f>
        <v/>
      </c>
      <c r="N569" s="23" t="str">
        <f>IF($B569="","",IFERROR(ROUND(INDEX(账户期初本位,MATCH($B569,账户名,0))+SUMIFS($L$6:L569,$B$6:B569,$B569),2),""))</f>
        <v/>
      </c>
      <c r="O569" s="46"/>
      <c r="P569" s="47"/>
      <c r="Q569" s="46"/>
      <c r="R569" s="46"/>
      <c r="S569" s="6" t="str">
        <f>IF($B569="","",IF(ISNA(MATCH($B569,账户名,0)),"※这个账户不在【参数设置】的账户档案里",IF($A569="","※没填日期，这一笔不会进任何月份的报表",IF(AND($G569&lt;&gt;"",$H569&lt;&gt;""),"※收入和支出不能同时填",IF(AND(N($G569)=0,N($H569)=0),"※收入和支出都没填",IF($E569="","※没填收支类别，分类报表会漏掉这一笔",IF(ISNA(MATCH($E569,类别表,0)),"※收支类别不在【参数设置】的清单里",IF($J569="","△"&amp;$D569&amp;" 还没填汇率，去【月度汇率】补上就自动算了",IF(YEAR($A569)&lt;&gt;管理年度,"△不是管理年度的单据，年报里看不到",IF(AND($F569="内部转账",$Q569=""),"△内部转账建议在「往来单位」写上对方账户",IF($M569&lt;0,"△这一笔之后该账户余额成负数了，核一下","")))))))))))</f>
        <v/>
      </c>
    </row>
    <row r="570" ht="16.5" spans="1:19">
      <c r="A570" s="45"/>
      <c r="B570" s="46"/>
      <c r="C570" s="12" t="str">
        <f>IF($B570="","",IFERROR(INDEX(账户银行,MATCH($B570,账户名,0)),""))</f>
        <v/>
      </c>
      <c r="D570" s="12" t="str">
        <f>IF($B570="","",IFERROR(INDEX(账户币种,MATCH($B570,账户名,0)),""))</f>
        <v/>
      </c>
      <c r="E570" s="47"/>
      <c r="F570" s="12" t="str">
        <f>IF($E570="","",IFERROR(INDEX(类别属性,MATCH($E570,类别表,0)),""))</f>
        <v/>
      </c>
      <c r="G570" s="48"/>
      <c r="H570" s="48"/>
      <c r="I570" s="49"/>
      <c r="J570" s="24" t="str">
        <f>IF(OR($A570="",$B570=""),"",IF($I570&lt;&gt;"",$I570,IF($D570=本位币,1,IFERROR(LOOKUP(2,1/((汇率月份&lt;=$A570)*(INDEX(记账汇率区,0,MATCH($D570,汇率币种头,0))&lt;&gt;"")),INDEX(记账汇率区,0,MATCH($D570,汇率币种头,0))),""))))</f>
        <v/>
      </c>
      <c r="K570" s="23" t="str">
        <f t="shared" si="16"/>
        <v/>
      </c>
      <c r="L570" s="23" t="str">
        <f t="shared" si="17"/>
        <v/>
      </c>
      <c r="M570" s="23" t="str">
        <f>IF($B570="","",ROUND(SUMIF(账户名,$B570,账户期初)+SUMIFS($K$6:K570,$B$6:B570,$B570),2))</f>
        <v/>
      </c>
      <c r="N570" s="23" t="str">
        <f>IF($B570="","",IFERROR(ROUND(INDEX(账户期初本位,MATCH($B570,账户名,0))+SUMIFS($L$6:L570,$B$6:B570,$B570),2),""))</f>
        <v/>
      </c>
      <c r="O570" s="46"/>
      <c r="P570" s="47"/>
      <c r="Q570" s="46"/>
      <c r="R570" s="46"/>
      <c r="S570" s="6" t="str">
        <f>IF($B570="","",IF(ISNA(MATCH($B570,账户名,0)),"※这个账户不在【参数设置】的账户档案里",IF($A570="","※没填日期，这一笔不会进任何月份的报表",IF(AND($G570&lt;&gt;"",$H570&lt;&gt;""),"※收入和支出不能同时填",IF(AND(N($G570)=0,N($H570)=0),"※收入和支出都没填",IF($E570="","※没填收支类别，分类报表会漏掉这一笔",IF(ISNA(MATCH($E570,类别表,0)),"※收支类别不在【参数设置】的清单里",IF($J570="","△"&amp;$D570&amp;" 还没填汇率，去【月度汇率】补上就自动算了",IF(YEAR($A570)&lt;&gt;管理年度,"△不是管理年度的单据，年报里看不到",IF(AND($F570="内部转账",$Q570=""),"△内部转账建议在「往来单位」写上对方账户",IF($M570&lt;0,"△这一笔之后该账户余额成负数了，核一下","")))))))))))</f>
        <v/>
      </c>
    </row>
    <row r="571" ht="16.5" spans="1:19">
      <c r="A571" s="45"/>
      <c r="B571" s="46"/>
      <c r="C571" s="12" t="str">
        <f>IF($B571="","",IFERROR(INDEX(账户银行,MATCH($B571,账户名,0)),""))</f>
        <v/>
      </c>
      <c r="D571" s="12" t="str">
        <f>IF($B571="","",IFERROR(INDEX(账户币种,MATCH($B571,账户名,0)),""))</f>
        <v/>
      </c>
      <c r="E571" s="47"/>
      <c r="F571" s="12" t="str">
        <f>IF($E571="","",IFERROR(INDEX(类别属性,MATCH($E571,类别表,0)),""))</f>
        <v/>
      </c>
      <c r="G571" s="48"/>
      <c r="H571" s="48"/>
      <c r="I571" s="49"/>
      <c r="J571" s="24" t="str">
        <f>IF(OR($A571="",$B571=""),"",IF($I571&lt;&gt;"",$I571,IF($D571=本位币,1,IFERROR(LOOKUP(2,1/((汇率月份&lt;=$A571)*(INDEX(记账汇率区,0,MATCH($D571,汇率币种头,0))&lt;&gt;"")),INDEX(记账汇率区,0,MATCH($D571,汇率币种头,0))),""))))</f>
        <v/>
      </c>
      <c r="K571" s="23" t="str">
        <f t="shared" si="16"/>
        <v/>
      </c>
      <c r="L571" s="23" t="str">
        <f t="shared" si="17"/>
        <v/>
      </c>
      <c r="M571" s="23" t="str">
        <f>IF($B571="","",ROUND(SUMIF(账户名,$B571,账户期初)+SUMIFS($K$6:K571,$B$6:B571,$B571),2))</f>
        <v/>
      </c>
      <c r="N571" s="23" t="str">
        <f>IF($B571="","",IFERROR(ROUND(INDEX(账户期初本位,MATCH($B571,账户名,0))+SUMIFS($L$6:L571,$B$6:B571,$B571),2),""))</f>
        <v/>
      </c>
      <c r="O571" s="46"/>
      <c r="P571" s="47"/>
      <c r="Q571" s="46"/>
      <c r="R571" s="46"/>
      <c r="S571" s="6" t="str">
        <f>IF($B571="","",IF(ISNA(MATCH($B571,账户名,0)),"※这个账户不在【参数设置】的账户档案里",IF($A571="","※没填日期，这一笔不会进任何月份的报表",IF(AND($G571&lt;&gt;"",$H571&lt;&gt;""),"※收入和支出不能同时填",IF(AND(N($G571)=0,N($H571)=0),"※收入和支出都没填",IF($E571="","※没填收支类别，分类报表会漏掉这一笔",IF(ISNA(MATCH($E571,类别表,0)),"※收支类别不在【参数设置】的清单里",IF($J571="","△"&amp;$D571&amp;" 还没填汇率，去【月度汇率】补上就自动算了",IF(YEAR($A571)&lt;&gt;管理年度,"△不是管理年度的单据，年报里看不到",IF(AND($F571="内部转账",$Q571=""),"△内部转账建议在「往来单位」写上对方账户",IF($M571&lt;0,"△这一笔之后该账户余额成负数了，核一下","")))))))))))</f>
        <v/>
      </c>
    </row>
    <row r="572" ht="16.5" spans="1:19">
      <c r="A572" s="45"/>
      <c r="B572" s="46"/>
      <c r="C572" s="12" t="str">
        <f>IF($B572="","",IFERROR(INDEX(账户银行,MATCH($B572,账户名,0)),""))</f>
        <v/>
      </c>
      <c r="D572" s="12" t="str">
        <f>IF($B572="","",IFERROR(INDEX(账户币种,MATCH($B572,账户名,0)),""))</f>
        <v/>
      </c>
      <c r="E572" s="47"/>
      <c r="F572" s="12" t="str">
        <f>IF($E572="","",IFERROR(INDEX(类别属性,MATCH($E572,类别表,0)),""))</f>
        <v/>
      </c>
      <c r="G572" s="48"/>
      <c r="H572" s="48"/>
      <c r="I572" s="49"/>
      <c r="J572" s="24" t="str">
        <f>IF(OR($A572="",$B572=""),"",IF($I572&lt;&gt;"",$I572,IF($D572=本位币,1,IFERROR(LOOKUP(2,1/((汇率月份&lt;=$A572)*(INDEX(记账汇率区,0,MATCH($D572,汇率币种头,0))&lt;&gt;"")),INDEX(记账汇率区,0,MATCH($D572,汇率币种头,0))),""))))</f>
        <v/>
      </c>
      <c r="K572" s="23" t="str">
        <f t="shared" si="16"/>
        <v/>
      </c>
      <c r="L572" s="23" t="str">
        <f t="shared" si="17"/>
        <v/>
      </c>
      <c r="M572" s="23" t="str">
        <f>IF($B572="","",ROUND(SUMIF(账户名,$B572,账户期初)+SUMIFS($K$6:K572,$B$6:B572,$B572),2))</f>
        <v/>
      </c>
      <c r="N572" s="23" t="str">
        <f>IF($B572="","",IFERROR(ROUND(INDEX(账户期初本位,MATCH($B572,账户名,0))+SUMIFS($L$6:L572,$B$6:B572,$B572),2),""))</f>
        <v/>
      </c>
      <c r="O572" s="46"/>
      <c r="P572" s="47"/>
      <c r="Q572" s="46"/>
      <c r="R572" s="46"/>
      <c r="S572" s="6" t="str">
        <f>IF($B572="","",IF(ISNA(MATCH($B572,账户名,0)),"※这个账户不在【参数设置】的账户档案里",IF($A572="","※没填日期，这一笔不会进任何月份的报表",IF(AND($G572&lt;&gt;"",$H572&lt;&gt;""),"※收入和支出不能同时填",IF(AND(N($G572)=0,N($H572)=0),"※收入和支出都没填",IF($E572="","※没填收支类别，分类报表会漏掉这一笔",IF(ISNA(MATCH($E572,类别表,0)),"※收支类别不在【参数设置】的清单里",IF($J572="","△"&amp;$D572&amp;" 还没填汇率，去【月度汇率】补上就自动算了",IF(YEAR($A572)&lt;&gt;管理年度,"△不是管理年度的单据，年报里看不到",IF(AND($F572="内部转账",$Q572=""),"△内部转账建议在「往来单位」写上对方账户",IF($M572&lt;0,"△这一笔之后该账户余额成负数了，核一下","")))))))))))</f>
        <v/>
      </c>
    </row>
    <row r="573" ht="16.5" spans="1:19">
      <c r="A573" s="45"/>
      <c r="B573" s="46"/>
      <c r="C573" s="12" t="str">
        <f>IF($B573="","",IFERROR(INDEX(账户银行,MATCH($B573,账户名,0)),""))</f>
        <v/>
      </c>
      <c r="D573" s="12" t="str">
        <f>IF($B573="","",IFERROR(INDEX(账户币种,MATCH($B573,账户名,0)),""))</f>
        <v/>
      </c>
      <c r="E573" s="47"/>
      <c r="F573" s="12" t="str">
        <f>IF($E573="","",IFERROR(INDEX(类别属性,MATCH($E573,类别表,0)),""))</f>
        <v/>
      </c>
      <c r="G573" s="48"/>
      <c r="H573" s="48"/>
      <c r="I573" s="49"/>
      <c r="J573" s="24" t="str">
        <f>IF(OR($A573="",$B573=""),"",IF($I573&lt;&gt;"",$I573,IF($D573=本位币,1,IFERROR(LOOKUP(2,1/((汇率月份&lt;=$A573)*(INDEX(记账汇率区,0,MATCH($D573,汇率币种头,0))&lt;&gt;"")),INDEX(记账汇率区,0,MATCH($D573,汇率币种头,0))),""))))</f>
        <v/>
      </c>
      <c r="K573" s="23" t="str">
        <f t="shared" si="16"/>
        <v/>
      </c>
      <c r="L573" s="23" t="str">
        <f t="shared" si="17"/>
        <v/>
      </c>
      <c r="M573" s="23" t="str">
        <f>IF($B573="","",ROUND(SUMIF(账户名,$B573,账户期初)+SUMIFS($K$6:K573,$B$6:B573,$B573),2))</f>
        <v/>
      </c>
      <c r="N573" s="23" t="str">
        <f>IF($B573="","",IFERROR(ROUND(INDEX(账户期初本位,MATCH($B573,账户名,0))+SUMIFS($L$6:L573,$B$6:B573,$B573),2),""))</f>
        <v/>
      </c>
      <c r="O573" s="46"/>
      <c r="P573" s="47"/>
      <c r="Q573" s="46"/>
      <c r="R573" s="46"/>
      <c r="S573" s="6" t="str">
        <f>IF($B573="","",IF(ISNA(MATCH($B573,账户名,0)),"※这个账户不在【参数设置】的账户档案里",IF($A573="","※没填日期，这一笔不会进任何月份的报表",IF(AND($G573&lt;&gt;"",$H573&lt;&gt;""),"※收入和支出不能同时填",IF(AND(N($G573)=0,N($H573)=0),"※收入和支出都没填",IF($E573="","※没填收支类别，分类报表会漏掉这一笔",IF(ISNA(MATCH($E573,类别表,0)),"※收支类别不在【参数设置】的清单里",IF($J573="","△"&amp;$D573&amp;" 还没填汇率，去【月度汇率】补上就自动算了",IF(YEAR($A573)&lt;&gt;管理年度,"△不是管理年度的单据，年报里看不到",IF(AND($F573="内部转账",$Q573=""),"△内部转账建议在「往来单位」写上对方账户",IF($M573&lt;0,"△这一笔之后该账户余额成负数了，核一下","")))))))))))</f>
        <v/>
      </c>
    </row>
    <row r="574" ht="16.5" spans="1:19">
      <c r="A574" s="45"/>
      <c r="B574" s="46"/>
      <c r="C574" s="12" t="str">
        <f>IF($B574="","",IFERROR(INDEX(账户银行,MATCH($B574,账户名,0)),""))</f>
        <v/>
      </c>
      <c r="D574" s="12" t="str">
        <f>IF($B574="","",IFERROR(INDEX(账户币种,MATCH($B574,账户名,0)),""))</f>
        <v/>
      </c>
      <c r="E574" s="47"/>
      <c r="F574" s="12" t="str">
        <f>IF($E574="","",IFERROR(INDEX(类别属性,MATCH($E574,类别表,0)),""))</f>
        <v/>
      </c>
      <c r="G574" s="48"/>
      <c r="H574" s="48"/>
      <c r="I574" s="49"/>
      <c r="J574" s="24" t="str">
        <f>IF(OR($A574="",$B574=""),"",IF($I574&lt;&gt;"",$I574,IF($D574=本位币,1,IFERROR(LOOKUP(2,1/((汇率月份&lt;=$A574)*(INDEX(记账汇率区,0,MATCH($D574,汇率币种头,0))&lt;&gt;"")),INDEX(记账汇率区,0,MATCH($D574,汇率币种头,0))),""))))</f>
        <v/>
      </c>
      <c r="K574" s="23" t="str">
        <f t="shared" si="16"/>
        <v/>
      </c>
      <c r="L574" s="23" t="str">
        <f t="shared" si="17"/>
        <v/>
      </c>
      <c r="M574" s="23" t="str">
        <f>IF($B574="","",ROUND(SUMIF(账户名,$B574,账户期初)+SUMIFS($K$6:K574,$B$6:B574,$B574),2))</f>
        <v/>
      </c>
      <c r="N574" s="23" t="str">
        <f>IF($B574="","",IFERROR(ROUND(INDEX(账户期初本位,MATCH($B574,账户名,0))+SUMIFS($L$6:L574,$B$6:B574,$B574),2),""))</f>
        <v/>
      </c>
      <c r="O574" s="46"/>
      <c r="P574" s="47"/>
      <c r="Q574" s="46"/>
      <c r="R574" s="46"/>
      <c r="S574" s="6" t="str">
        <f>IF($B574="","",IF(ISNA(MATCH($B574,账户名,0)),"※这个账户不在【参数设置】的账户档案里",IF($A574="","※没填日期，这一笔不会进任何月份的报表",IF(AND($G574&lt;&gt;"",$H574&lt;&gt;""),"※收入和支出不能同时填",IF(AND(N($G574)=0,N($H574)=0),"※收入和支出都没填",IF($E574="","※没填收支类别，分类报表会漏掉这一笔",IF(ISNA(MATCH($E574,类别表,0)),"※收支类别不在【参数设置】的清单里",IF($J574="","△"&amp;$D574&amp;" 还没填汇率，去【月度汇率】补上就自动算了",IF(YEAR($A574)&lt;&gt;管理年度,"△不是管理年度的单据，年报里看不到",IF(AND($F574="内部转账",$Q574=""),"△内部转账建议在「往来单位」写上对方账户",IF($M574&lt;0,"△这一笔之后该账户余额成负数了，核一下","")))))))))))</f>
        <v/>
      </c>
    </row>
    <row r="575" ht="16.5" spans="1:19">
      <c r="A575" s="45"/>
      <c r="B575" s="46"/>
      <c r="C575" s="12" t="str">
        <f>IF($B575="","",IFERROR(INDEX(账户银行,MATCH($B575,账户名,0)),""))</f>
        <v/>
      </c>
      <c r="D575" s="12" t="str">
        <f>IF($B575="","",IFERROR(INDEX(账户币种,MATCH($B575,账户名,0)),""))</f>
        <v/>
      </c>
      <c r="E575" s="47"/>
      <c r="F575" s="12" t="str">
        <f>IF($E575="","",IFERROR(INDEX(类别属性,MATCH($E575,类别表,0)),""))</f>
        <v/>
      </c>
      <c r="G575" s="48"/>
      <c r="H575" s="48"/>
      <c r="I575" s="49"/>
      <c r="J575" s="24" t="str">
        <f>IF(OR($A575="",$B575=""),"",IF($I575&lt;&gt;"",$I575,IF($D575=本位币,1,IFERROR(LOOKUP(2,1/((汇率月份&lt;=$A575)*(INDEX(记账汇率区,0,MATCH($D575,汇率币种头,0))&lt;&gt;"")),INDEX(记账汇率区,0,MATCH($D575,汇率币种头,0))),""))))</f>
        <v/>
      </c>
      <c r="K575" s="23" t="str">
        <f t="shared" si="16"/>
        <v/>
      </c>
      <c r="L575" s="23" t="str">
        <f t="shared" si="17"/>
        <v/>
      </c>
      <c r="M575" s="23" t="str">
        <f>IF($B575="","",ROUND(SUMIF(账户名,$B575,账户期初)+SUMIFS($K$6:K575,$B$6:B575,$B575),2))</f>
        <v/>
      </c>
      <c r="N575" s="23" t="str">
        <f>IF($B575="","",IFERROR(ROUND(INDEX(账户期初本位,MATCH($B575,账户名,0))+SUMIFS($L$6:L575,$B$6:B575,$B575),2),""))</f>
        <v/>
      </c>
      <c r="O575" s="46"/>
      <c r="P575" s="47"/>
      <c r="Q575" s="46"/>
      <c r="R575" s="46"/>
      <c r="S575" s="6" t="str">
        <f>IF($B575="","",IF(ISNA(MATCH($B575,账户名,0)),"※这个账户不在【参数设置】的账户档案里",IF($A575="","※没填日期，这一笔不会进任何月份的报表",IF(AND($G575&lt;&gt;"",$H575&lt;&gt;""),"※收入和支出不能同时填",IF(AND(N($G575)=0,N($H575)=0),"※收入和支出都没填",IF($E575="","※没填收支类别，分类报表会漏掉这一笔",IF(ISNA(MATCH($E575,类别表,0)),"※收支类别不在【参数设置】的清单里",IF($J575="","△"&amp;$D575&amp;" 还没填汇率，去【月度汇率】补上就自动算了",IF(YEAR($A575)&lt;&gt;管理年度,"△不是管理年度的单据，年报里看不到",IF(AND($F575="内部转账",$Q575=""),"△内部转账建议在「往来单位」写上对方账户",IF($M575&lt;0,"△这一笔之后该账户余额成负数了，核一下","")))))))))))</f>
        <v/>
      </c>
    </row>
    <row r="576" ht="16.5" spans="1:19">
      <c r="A576" s="45"/>
      <c r="B576" s="46"/>
      <c r="C576" s="12" t="str">
        <f>IF($B576="","",IFERROR(INDEX(账户银行,MATCH($B576,账户名,0)),""))</f>
        <v/>
      </c>
      <c r="D576" s="12" t="str">
        <f>IF($B576="","",IFERROR(INDEX(账户币种,MATCH($B576,账户名,0)),""))</f>
        <v/>
      </c>
      <c r="E576" s="47"/>
      <c r="F576" s="12" t="str">
        <f>IF($E576="","",IFERROR(INDEX(类别属性,MATCH($E576,类别表,0)),""))</f>
        <v/>
      </c>
      <c r="G576" s="48"/>
      <c r="H576" s="48"/>
      <c r="I576" s="49"/>
      <c r="J576" s="24" t="str">
        <f>IF(OR($A576="",$B576=""),"",IF($I576&lt;&gt;"",$I576,IF($D576=本位币,1,IFERROR(LOOKUP(2,1/((汇率月份&lt;=$A576)*(INDEX(记账汇率区,0,MATCH($D576,汇率币种头,0))&lt;&gt;"")),INDEX(记账汇率区,0,MATCH($D576,汇率币种头,0))),""))))</f>
        <v/>
      </c>
      <c r="K576" s="23" t="str">
        <f t="shared" si="16"/>
        <v/>
      </c>
      <c r="L576" s="23" t="str">
        <f t="shared" si="17"/>
        <v/>
      </c>
      <c r="M576" s="23" t="str">
        <f>IF($B576="","",ROUND(SUMIF(账户名,$B576,账户期初)+SUMIFS($K$6:K576,$B$6:B576,$B576),2))</f>
        <v/>
      </c>
      <c r="N576" s="23" t="str">
        <f>IF($B576="","",IFERROR(ROUND(INDEX(账户期初本位,MATCH($B576,账户名,0))+SUMIFS($L$6:L576,$B$6:B576,$B576),2),""))</f>
        <v/>
      </c>
      <c r="O576" s="46"/>
      <c r="P576" s="47"/>
      <c r="Q576" s="46"/>
      <c r="R576" s="46"/>
      <c r="S576" s="6" t="str">
        <f>IF($B576="","",IF(ISNA(MATCH($B576,账户名,0)),"※这个账户不在【参数设置】的账户档案里",IF($A576="","※没填日期，这一笔不会进任何月份的报表",IF(AND($G576&lt;&gt;"",$H576&lt;&gt;""),"※收入和支出不能同时填",IF(AND(N($G576)=0,N($H576)=0),"※收入和支出都没填",IF($E576="","※没填收支类别，分类报表会漏掉这一笔",IF(ISNA(MATCH($E576,类别表,0)),"※收支类别不在【参数设置】的清单里",IF($J576="","△"&amp;$D576&amp;" 还没填汇率，去【月度汇率】补上就自动算了",IF(YEAR($A576)&lt;&gt;管理年度,"△不是管理年度的单据，年报里看不到",IF(AND($F576="内部转账",$Q576=""),"△内部转账建议在「往来单位」写上对方账户",IF($M576&lt;0,"△这一笔之后该账户余额成负数了，核一下","")))))))))))</f>
        <v/>
      </c>
    </row>
    <row r="577" ht="16.5" spans="1:19">
      <c r="A577" s="45"/>
      <c r="B577" s="46"/>
      <c r="C577" s="12" t="str">
        <f>IF($B577="","",IFERROR(INDEX(账户银行,MATCH($B577,账户名,0)),""))</f>
        <v/>
      </c>
      <c r="D577" s="12" t="str">
        <f>IF($B577="","",IFERROR(INDEX(账户币种,MATCH($B577,账户名,0)),""))</f>
        <v/>
      </c>
      <c r="E577" s="47"/>
      <c r="F577" s="12" t="str">
        <f>IF($E577="","",IFERROR(INDEX(类别属性,MATCH($E577,类别表,0)),""))</f>
        <v/>
      </c>
      <c r="G577" s="48"/>
      <c r="H577" s="48"/>
      <c r="I577" s="49"/>
      <c r="J577" s="24" t="str">
        <f>IF(OR($A577="",$B577=""),"",IF($I577&lt;&gt;"",$I577,IF($D577=本位币,1,IFERROR(LOOKUP(2,1/((汇率月份&lt;=$A577)*(INDEX(记账汇率区,0,MATCH($D577,汇率币种头,0))&lt;&gt;"")),INDEX(记账汇率区,0,MATCH($D577,汇率币种头,0))),""))))</f>
        <v/>
      </c>
      <c r="K577" s="23" t="str">
        <f t="shared" si="16"/>
        <v/>
      </c>
      <c r="L577" s="23" t="str">
        <f t="shared" si="17"/>
        <v/>
      </c>
      <c r="M577" s="23" t="str">
        <f>IF($B577="","",ROUND(SUMIF(账户名,$B577,账户期初)+SUMIFS($K$6:K577,$B$6:B577,$B577),2))</f>
        <v/>
      </c>
      <c r="N577" s="23" t="str">
        <f>IF($B577="","",IFERROR(ROUND(INDEX(账户期初本位,MATCH($B577,账户名,0))+SUMIFS($L$6:L577,$B$6:B577,$B577),2),""))</f>
        <v/>
      </c>
      <c r="O577" s="46"/>
      <c r="P577" s="47"/>
      <c r="Q577" s="46"/>
      <c r="R577" s="46"/>
      <c r="S577" s="6" t="str">
        <f>IF($B577="","",IF(ISNA(MATCH($B577,账户名,0)),"※这个账户不在【参数设置】的账户档案里",IF($A577="","※没填日期，这一笔不会进任何月份的报表",IF(AND($G577&lt;&gt;"",$H577&lt;&gt;""),"※收入和支出不能同时填",IF(AND(N($G577)=0,N($H577)=0),"※收入和支出都没填",IF($E577="","※没填收支类别，分类报表会漏掉这一笔",IF(ISNA(MATCH($E577,类别表,0)),"※收支类别不在【参数设置】的清单里",IF($J577="","△"&amp;$D577&amp;" 还没填汇率，去【月度汇率】补上就自动算了",IF(YEAR($A577)&lt;&gt;管理年度,"△不是管理年度的单据，年报里看不到",IF(AND($F577="内部转账",$Q577=""),"△内部转账建议在「往来单位」写上对方账户",IF($M577&lt;0,"△这一笔之后该账户余额成负数了，核一下","")))))))))))</f>
        <v/>
      </c>
    </row>
    <row r="578" ht="16.5" spans="1:19">
      <c r="A578" s="45"/>
      <c r="B578" s="46"/>
      <c r="C578" s="12" t="str">
        <f>IF($B578="","",IFERROR(INDEX(账户银行,MATCH($B578,账户名,0)),""))</f>
        <v/>
      </c>
      <c r="D578" s="12" t="str">
        <f>IF($B578="","",IFERROR(INDEX(账户币种,MATCH($B578,账户名,0)),""))</f>
        <v/>
      </c>
      <c r="E578" s="47"/>
      <c r="F578" s="12" t="str">
        <f>IF($E578="","",IFERROR(INDEX(类别属性,MATCH($E578,类别表,0)),""))</f>
        <v/>
      </c>
      <c r="G578" s="48"/>
      <c r="H578" s="48"/>
      <c r="I578" s="49"/>
      <c r="J578" s="24" t="str">
        <f>IF(OR($A578="",$B578=""),"",IF($I578&lt;&gt;"",$I578,IF($D578=本位币,1,IFERROR(LOOKUP(2,1/((汇率月份&lt;=$A578)*(INDEX(记账汇率区,0,MATCH($D578,汇率币种头,0))&lt;&gt;"")),INDEX(记账汇率区,0,MATCH($D578,汇率币种头,0))),""))))</f>
        <v/>
      </c>
      <c r="K578" s="23" t="str">
        <f t="shared" si="16"/>
        <v/>
      </c>
      <c r="L578" s="23" t="str">
        <f t="shared" si="17"/>
        <v/>
      </c>
      <c r="M578" s="23" t="str">
        <f>IF($B578="","",ROUND(SUMIF(账户名,$B578,账户期初)+SUMIFS($K$6:K578,$B$6:B578,$B578),2))</f>
        <v/>
      </c>
      <c r="N578" s="23" t="str">
        <f>IF($B578="","",IFERROR(ROUND(INDEX(账户期初本位,MATCH($B578,账户名,0))+SUMIFS($L$6:L578,$B$6:B578,$B578),2),""))</f>
        <v/>
      </c>
      <c r="O578" s="46"/>
      <c r="P578" s="47"/>
      <c r="Q578" s="46"/>
      <c r="R578" s="46"/>
      <c r="S578" s="6" t="str">
        <f>IF($B578="","",IF(ISNA(MATCH($B578,账户名,0)),"※这个账户不在【参数设置】的账户档案里",IF($A578="","※没填日期，这一笔不会进任何月份的报表",IF(AND($G578&lt;&gt;"",$H578&lt;&gt;""),"※收入和支出不能同时填",IF(AND(N($G578)=0,N($H578)=0),"※收入和支出都没填",IF($E578="","※没填收支类别，分类报表会漏掉这一笔",IF(ISNA(MATCH($E578,类别表,0)),"※收支类别不在【参数设置】的清单里",IF($J578="","△"&amp;$D578&amp;" 还没填汇率，去【月度汇率】补上就自动算了",IF(YEAR($A578)&lt;&gt;管理年度,"△不是管理年度的单据，年报里看不到",IF(AND($F578="内部转账",$Q578=""),"△内部转账建议在「往来单位」写上对方账户",IF($M578&lt;0,"△这一笔之后该账户余额成负数了，核一下","")))))))))))</f>
        <v/>
      </c>
    </row>
    <row r="579" ht="16.5" spans="1:19">
      <c r="A579" s="45"/>
      <c r="B579" s="46"/>
      <c r="C579" s="12" t="str">
        <f>IF($B579="","",IFERROR(INDEX(账户银行,MATCH($B579,账户名,0)),""))</f>
        <v/>
      </c>
      <c r="D579" s="12" t="str">
        <f>IF($B579="","",IFERROR(INDEX(账户币种,MATCH($B579,账户名,0)),""))</f>
        <v/>
      </c>
      <c r="E579" s="47"/>
      <c r="F579" s="12" t="str">
        <f>IF($E579="","",IFERROR(INDEX(类别属性,MATCH($E579,类别表,0)),""))</f>
        <v/>
      </c>
      <c r="G579" s="48"/>
      <c r="H579" s="48"/>
      <c r="I579" s="49"/>
      <c r="J579" s="24" t="str">
        <f>IF(OR($A579="",$B579=""),"",IF($I579&lt;&gt;"",$I579,IF($D579=本位币,1,IFERROR(LOOKUP(2,1/((汇率月份&lt;=$A579)*(INDEX(记账汇率区,0,MATCH($D579,汇率币种头,0))&lt;&gt;"")),INDEX(记账汇率区,0,MATCH($D579,汇率币种头,0))),""))))</f>
        <v/>
      </c>
      <c r="K579" s="23" t="str">
        <f t="shared" si="16"/>
        <v/>
      </c>
      <c r="L579" s="23" t="str">
        <f t="shared" si="17"/>
        <v/>
      </c>
      <c r="M579" s="23" t="str">
        <f>IF($B579="","",ROUND(SUMIF(账户名,$B579,账户期初)+SUMIFS($K$6:K579,$B$6:B579,$B579),2))</f>
        <v/>
      </c>
      <c r="N579" s="23" t="str">
        <f>IF($B579="","",IFERROR(ROUND(INDEX(账户期初本位,MATCH($B579,账户名,0))+SUMIFS($L$6:L579,$B$6:B579,$B579),2),""))</f>
        <v/>
      </c>
      <c r="O579" s="46"/>
      <c r="P579" s="47"/>
      <c r="Q579" s="46"/>
      <c r="R579" s="46"/>
      <c r="S579" s="6" t="str">
        <f>IF($B579="","",IF(ISNA(MATCH($B579,账户名,0)),"※这个账户不在【参数设置】的账户档案里",IF($A579="","※没填日期，这一笔不会进任何月份的报表",IF(AND($G579&lt;&gt;"",$H579&lt;&gt;""),"※收入和支出不能同时填",IF(AND(N($G579)=0,N($H579)=0),"※收入和支出都没填",IF($E579="","※没填收支类别，分类报表会漏掉这一笔",IF(ISNA(MATCH($E579,类别表,0)),"※收支类别不在【参数设置】的清单里",IF($J579="","△"&amp;$D579&amp;" 还没填汇率，去【月度汇率】补上就自动算了",IF(YEAR($A579)&lt;&gt;管理年度,"△不是管理年度的单据，年报里看不到",IF(AND($F579="内部转账",$Q579=""),"△内部转账建议在「往来单位」写上对方账户",IF($M579&lt;0,"△这一笔之后该账户余额成负数了，核一下","")))))))))))</f>
        <v/>
      </c>
    </row>
    <row r="580" ht="16.5" spans="1:19">
      <c r="A580" s="45"/>
      <c r="B580" s="46"/>
      <c r="C580" s="12" t="str">
        <f>IF($B580="","",IFERROR(INDEX(账户银行,MATCH($B580,账户名,0)),""))</f>
        <v/>
      </c>
      <c r="D580" s="12" t="str">
        <f>IF($B580="","",IFERROR(INDEX(账户币种,MATCH($B580,账户名,0)),""))</f>
        <v/>
      </c>
      <c r="E580" s="47"/>
      <c r="F580" s="12" t="str">
        <f>IF($E580="","",IFERROR(INDEX(类别属性,MATCH($E580,类别表,0)),""))</f>
        <v/>
      </c>
      <c r="G580" s="48"/>
      <c r="H580" s="48"/>
      <c r="I580" s="49"/>
      <c r="J580" s="24" t="str">
        <f>IF(OR($A580="",$B580=""),"",IF($I580&lt;&gt;"",$I580,IF($D580=本位币,1,IFERROR(LOOKUP(2,1/((汇率月份&lt;=$A580)*(INDEX(记账汇率区,0,MATCH($D580,汇率币种头,0))&lt;&gt;"")),INDEX(记账汇率区,0,MATCH($D580,汇率币种头,0))),""))))</f>
        <v/>
      </c>
      <c r="K580" s="23" t="str">
        <f t="shared" si="16"/>
        <v/>
      </c>
      <c r="L580" s="23" t="str">
        <f t="shared" si="17"/>
        <v/>
      </c>
      <c r="M580" s="23" t="str">
        <f>IF($B580="","",ROUND(SUMIF(账户名,$B580,账户期初)+SUMIFS($K$6:K580,$B$6:B580,$B580),2))</f>
        <v/>
      </c>
      <c r="N580" s="23" t="str">
        <f>IF($B580="","",IFERROR(ROUND(INDEX(账户期初本位,MATCH($B580,账户名,0))+SUMIFS($L$6:L580,$B$6:B580,$B580),2),""))</f>
        <v/>
      </c>
      <c r="O580" s="46"/>
      <c r="P580" s="47"/>
      <c r="Q580" s="46"/>
      <c r="R580" s="46"/>
      <c r="S580" s="6" t="str">
        <f>IF($B580="","",IF(ISNA(MATCH($B580,账户名,0)),"※这个账户不在【参数设置】的账户档案里",IF($A580="","※没填日期，这一笔不会进任何月份的报表",IF(AND($G580&lt;&gt;"",$H580&lt;&gt;""),"※收入和支出不能同时填",IF(AND(N($G580)=0,N($H580)=0),"※收入和支出都没填",IF($E580="","※没填收支类别，分类报表会漏掉这一笔",IF(ISNA(MATCH($E580,类别表,0)),"※收支类别不在【参数设置】的清单里",IF($J580="","△"&amp;$D580&amp;" 还没填汇率，去【月度汇率】补上就自动算了",IF(YEAR($A580)&lt;&gt;管理年度,"△不是管理年度的单据，年报里看不到",IF(AND($F580="内部转账",$Q580=""),"△内部转账建议在「往来单位」写上对方账户",IF($M580&lt;0,"△这一笔之后该账户余额成负数了，核一下","")))))))))))</f>
        <v/>
      </c>
    </row>
    <row r="581" ht="16.5" spans="1:19">
      <c r="A581" s="45"/>
      <c r="B581" s="46"/>
      <c r="C581" s="12" t="str">
        <f>IF($B581="","",IFERROR(INDEX(账户银行,MATCH($B581,账户名,0)),""))</f>
        <v/>
      </c>
      <c r="D581" s="12" t="str">
        <f>IF($B581="","",IFERROR(INDEX(账户币种,MATCH($B581,账户名,0)),""))</f>
        <v/>
      </c>
      <c r="E581" s="47"/>
      <c r="F581" s="12" t="str">
        <f>IF($E581="","",IFERROR(INDEX(类别属性,MATCH($E581,类别表,0)),""))</f>
        <v/>
      </c>
      <c r="G581" s="48"/>
      <c r="H581" s="48"/>
      <c r="I581" s="49"/>
      <c r="J581" s="24" t="str">
        <f>IF(OR($A581="",$B581=""),"",IF($I581&lt;&gt;"",$I581,IF($D581=本位币,1,IFERROR(LOOKUP(2,1/((汇率月份&lt;=$A581)*(INDEX(记账汇率区,0,MATCH($D581,汇率币种头,0))&lt;&gt;"")),INDEX(记账汇率区,0,MATCH($D581,汇率币种头,0))),""))))</f>
        <v/>
      </c>
      <c r="K581" s="23" t="str">
        <f t="shared" si="16"/>
        <v/>
      </c>
      <c r="L581" s="23" t="str">
        <f t="shared" si="17"/>
        <v/>
      </c>
      <c r="M581" s="23" t="str">
        <f>IF($B581="","",ROUND(SUMIF(账户名,$B581,账户期初)+SUMIFS($K$6:K581,$B$6:B581,$B581),2))</f>
        <v/>
      </c>
      <c r="N581" s="23" t="str">
        <f>IF($B581="","",IFERROR(ROUND(INDEX(账户期初本位,MATCH($B581,账户名,0))+SUMIFS($L$6:L581,$B$6:B581,$B581),2),""))</f>
        <v/>
      </c>
      <c r="O581" s="46"/>
      <c r="P581" s="47"/>
      <c r="Q581" s="46"/>
      <c r="R581" s="46"/>
      <c r="S581" s="6" t="str">
        <f>IF($B581="","",IF(ISNA(MATCH($B581,账户名,0)),"※这个账户不在【参数设置】的账户档案里",IF($A581="","※没填日期，这一笔不会进任何月份的报表",IF(AND($G581&lt;&gt;"",$H581&lt;&gt;""),"※收入和支出不能同时填",IF(AND(N($G581)=0,N($H581)=0),"※收入和支出都没填",IF($E581="","※没填收支类别，分类报表会漏掉这一笔",IF(ISNA(MATCH($E581,类别表,0)),"※收支类别不在【参数设置】的清单里",IF($J581="","△"&amp;$D581&amp;" 还没填汇率，去【月度汇率】补上就自动算了",IF(YEAR($A581)&lt;&gt;管理年度,"△不是管理年度的单据，年报里看不到",IF(AND($F581="内部转账",$Q581=""),"△内部转账建议在「往来单位」写上对方账户",IF($M581&lt;0,"△这一笔之后该账户余额成负数了，核一下","")))))))))))</f>
        <v/>
      </c>
    </row>
    <row r="582" ht="16.5" spans="1:19">
      <c r="A582" s="45"/>
      <c r="B582" s="46"/>
      <c r="C582" s="12" t="str">
        <f>IF($B582="","",IFERROR(INDEX(账户银行,MATCH($B582,账户名,0)),""))</f>
        <v/>
      </c>
      <c r="D582" s="12" t="str">
        <f>IF($B582="","",IFERROR(INDEX(账户币种,MATCH($B582,账户名,0)),""))</f>
        <v/>
      </c>
      <c r="E582" s="47"/>
      <c r="F582" s="12" t="str">
        <f>IF($E582="","",IFERROR(INDEX(类别属性,MATCH($E582,类别表,0)),""))</f>
        <v/>
      </c>
      <c r="G582" s="48"/>
      <c r="H582" s="48"/>
      <c r="I582" s="49"/>
      <c r="J582" s="24" t="str">
        <f>IF(OR($A582="",$B582=""),"",IF($I582&lt;&gt;"",$I582,IF($D582=本位币,1,IFERROR(LOOKUP(2,1/((汇率月份&lt;=$A582)*(INDEX(记账汇率区,0,MATCH($D582,汇率币种头,0))&lt;&gt;"")),INDEX(记账汇率区,0,MATCH($D582,汇率币种头,0))),""))))</f>
        <v/>
      </c>
      <c r="K582" s="23" t="str">
        <f t="shared" ref="K582:K645" si="18">IF(AND($G582="",$H582=""),"",ROUND(N($G582)-N($H582),2))</f>
        <v/>
      </c>
      <c r="L582" s="23" t="str">
        <f t="shared" ref="L582:L645" si="19">IF(OR($K582="",$J582=""),"",ROUND($K582*$J582,2))</f>
        <v/>
      </c>
      <c r="M582" s="23" t="str">
        <f>IF($B582="","",ROUND(SUMIF(账户名,$B582,账户期初)+SUMIFS($K$6:K582,$B$6:B582,$B582),2))</f>
        <v/>
      </c>
      <c r="N582" s="23" t="str">
        <f>IF($B582="","",IFERROR(ROUND(INDEX(账户期初本位,MATCH($B582,账户名,0))+SUMIFS($L$6:L582,$B$6:B582,$B582),2),""))</f>
        <v/>
      </c>
      <c r="O582" s="46"/>
      <c r="P582" s="47"/>
      <c r="Q582" s="46"/>
      <c r="R582" s="46"/>
      <c r="S582" s="6" t="str">
        <f>IF($B582="","",IF(ISNA(MATCH($B582,账户名,0)),"※这个账户不在【参数设置】的账户档案里",IF($A582="","※没填日期，这一笔不会进任何月份的报表",IF(AND($G582&lt;&gt;"",$H582&lt;&gt;""),"※收入和支出不能同时填",IF(AND(N($G582)=0,N($H582)=0),"※收入和支出都没填",IF($E582="","※没填收支类别，分类报表会漏掉这一笔",IF(ISNA(MATCH($E582,类别表,0)),"※收支类别不在【参数设置】的清单里",IF($J582="","△"&amp;$D582&amp;" 还没填汇率，去【月度汇率】补上就自动算了",IF(YEAR($A582)&lt;&gt;管理年度,"△不是管理年度的单据，年报里看不到",IF(AND($F582="内部转账",$Q582=""),"△内部转账建议在「往来单位」写上对方账户",IF($M582&lt;0,"△这一笔之后该账户余额成负数了，核一下","")))))))))))</f>
        <v/>
      </c>
    </row>
    <row r="583" ht="16.5" spans="1:19">
      <c r="A583" s="45"/>
      <c r="B583" s="46"/>
      <c r="C583" s="12" t="str">
        <f>IF($B583="","",IFERROR(INDEX(账户银行,MATCH($B583,账户名,0)),""))</f>
        <v/>
      </c>
      <c r="D583" s="12" t="str">
        <f>IF($B583="","",IFERROR(INDEX(账户币种,MATCH($B583,账户名,0)),""))</f>
        <v/>
      </c>
      <c r="E583" s="47"/>
      <c r="F583" s="12" t="str">
        <f>IF($E583="","",IFERROR(INDEX(类别属性,MATCH($E583,类别表,0)),""))</f>
        <v/>
      </c>
      <c r="G583" s="48"/>
      <c r="H583" s="48"/>
      <c r="I583" s="49"/>
      <c r="J583" s="24" t="str">
        <f>IF(OR($A583="",$B583=""),"",IF($I583&lt;&gt;"",$I583,IF($D583=本位币,1,IFERROR(LOOKUP(2,1/((汇率月份&lt;=$A583)*(INDEX(记账汇率区,0,MATCH($D583,汇率币种头,0))&lt;&gt;"")),INDEX(记账汇率区,0,MATCH($D583,汇率币种头,0))),""))))</f>
        <v/>
      </c>
      <c r="K583" s="23" t="str">
        <f t="shared" si="18"/>
        <v/>
      </c>
      <c r="L583" s="23" t="str">
        <f t="shared" si="19"/>
        <v/>
      </c>
      <c r="M583" s="23" t="str">
        <f>IF($B583="","",ROUND(SUMIF(账户名,$B583,账户期初)+SUMIFS($K$6:K583,$B$6:B583,$B583),2))</f>
        <v/>
      </c>
      <c r="N583" s="23" t="str">
        <f>IF($B583="","",IFERROR(ROUND(INDEX(账户期初本位,MATCH($B583,账户名,0))+SUMIFS($L$6:L583,$B$6:B583,$B583),2),""))</f>
        <v/>
      </c>
      <c r="O583" s="46"/>
      <c r="P583" s="47"/>
      <c r="Q583" s="46"/>
      <c r="R583" s="46"/>
      <c r="S583" s="6" t="str">
        <f>IF($B583="","",IF(ISNA(MATCH($B583,账户名,0)),"※这个账户不在【参数设置】的账户档案里",IF($A583="","※没填日期，这一笔不会进任何月份的报表",IF(AND($G583&lt;&gt;"",$H583&lt;&gt;""),"※收入和支出不能同时填",IF(AND(N($G583)=0,N($H583)=0),"※收入和支出都没填",IF($E583="","※没填收支类别，分类报表会漏掉这一笔",IF(ISNA(MATCH($E583,类别表,0)),"※收支类别不在【参数设置】的清单里",IF($J583="","△"&amp;$D583&amp;" 还没填汇率，去【月度汇率】补上就自动算了",IF(YEAR($A583)&lt;&gt;管理年度,"△不是管理年度的单据，年报里看不到",IF(AND($F583="内部转账",$Q583=""),"△内部转账建议在「往来单位」写上对方账户",IF($M583&lt;0,"△这一笔之后该账户余额成负数了，核一下","")))))))))))</f>
        <v/>
      </c>
    </row>
    <row r="584" ht="16.5" spans="1:19">
      <c r="A584" s="45"/>
      <c r="B584" s="46"/>
      <c r="C584" s="12" t="str">
        <f>IF($B584="","",IFERROR(INDEX(账户银行,MATCH($B584,账户名,0)),""))</f>
        <v/>
      </c>
      <c r="D584" s="12" t="str">
        <f>IF($B584="","",IFERROR(INDEX(账户币种,MATCH($B584,账户名,0)),""))</f>
        <v/>
      </c>
      <c r="E584" s="47"/>
      <c r="F584" s="12" t="str">
        <f>IF($E584="","",IFERROR(INDEX(类别属性,MATCH($E584,类别表,0)),""))</f>
        <v/>
      </c>
      <c r="G584" s="48"/>
      <c r="H584" s="48"/>
      <c r="I584" s="49"/>
      <c r="J584" s="24" t="str">
        <f>IF(OR($A584="",$B584=""),"",IF($I584&lt;&gt;"",$I584,IF($D584=本位币,1,IFERROR(LOOKUP(2,1/((汇率月份&lt;=$A584)*(INDEX(记账汇率区,0,MATCH($D584,汇率币种头,0))&lt;&gt;"")),INDEX(记账汇率区,0,MATCH($D584,汇率币种头,0))),""))))</f>
        <v/>
      </c>
      <c r="K584" s="23" t="str">
        <f t="shared" si="18"/>
        <v/>
      </c>
      <c r="L584" s="23" t="str">
        <f t="shared" si="19"/>
        <v/>
      </c>
      <c r="M584" s="23" t="str">
        <f>IF($B584="","",ROUND(SUMIF(账户名,$B584,账户期初)+SUMIFS($K$6:K584,$B$6:B584,$B584),2))</f>
        <v/>
      </c>
      <c r="N584" s="23" t="str">
        <f>IF($B584="","",IFERROR(ROUND(INDEX(账户期初本位,MATCH($B584,账户名,0))+SUMIFS($L$6:L584,$B$6:B584,$B584),2),""))</f>
        <v/>
      </c>
      <c r="O584" s="46"/>
      <c r="P584" s="47"/>
      <c r="Q584" s="46"/>
      <c r="R584" s="46"/>
      <c r="S584" s="6" t="str">
        <f>IF($B584="","",IF(ISNA(MATCH($B584,账户名,0)),"※这个账户不在【参数设置】的账户档案里",IF($A584="","※没填日期，这一笔不会进任何月份的报表",IF(AND($G584&lt;&gt;"",$H584&lt;&gt;""),"※收入和支出不能同时填",IF(AND(N($G584)=0,N($H584)=0),"※收入和支出都没填",IF($E584="","※没填收支类别，分类报表会漏掉这一笔",IF(ISNA(MATCH($E584,类别表,0)),"※收支类别不在【参数设置】的清单里",IF($J584="","△"&amp;$D584&amp;" 还没填汇率，去【月度汇率】补上就自动算了",IF(YEAR($A584)&lt;&gt;管理年度,"△不是管理年度的单据，年报里看不到",IF(AND($F584="内部转账",$Q584=""),"△内部转账建议在「往来单位」写上对方账户",IF($M584&lt;0,"△这一笔之后该账户余额成负数了，核一下","")))))))))))</f>
        <v/>
      </c>
    </row>
    <row r="585" ht="16.5" spans="1:19">
      <c r="A585" s="45"/>
      <c r="B585" s="46"/>
      <c r="C585" s="12" t="str">
        <f>IF($B585="","",IFERROR(INDEX(账户银行,MATCH($B585,账户名,0)),""))</f>
        <v/>
      </c>
      <c r="D585" s="12" t="str">
        <f>IF($B585="","",IFERROR(INDEX(账户币种,MATCH($B585,账户名,0)),""))</f>
        <v/>
      </c>
      <c r="E585" s="47"/>
      <c r="F585" s="12" t="str">
        <f>IF($E585="","",IFERROR(INDEX(类别属性,MATCH($E585,类别表,0)),""))</f>
        <v/>
      </c>
      <c r="G585" s="48"/>
      <c r="H585" s="48"/>
      <c r="I585" s="49"/>
      <c r="J585" s="24" t="str">
        <f>IF(OR($A585="",$B585=""),"",IF($I585&lt;&gt;"",$I585,IF($D585=本位币,1,IFERROR(LOOKUP(2,1/((汇率月份&lt;=$A585)*(INDEX(记账汇率区,0,MATCH($D585,汇率币种头,0))&lt;&gt;"")),INDEX(记账汇率区,0,MATCH($D585,汇率币种头,0))),""))))</f>
        <v/>
      </c>
      <c r="K585" s="23" t="str">
        <f t="shared" si="18"/>
        <v/>
      </c>
      <c r="L585" s="23" t="str">
        <f t="shared" si="19"/>
        <v/>
      </c>
      <c r="M585" s="23" t="str">
        <f>IF($B585="","",ROUND(SUMIF(账户名,$B585,账户期初)+SUMIFS($K$6:K585,$B$6:B585,$B585),2))</f>
        <v/>
      </c>
      <c r="N585" s="23" t="str">
        <f>IF($B585="","",IFERROR(ROUND(INDEX(账户期初本位,MATCH($B585,账户名,0))+SUMIFS($L$6:L585,$B$6:B585,$B585),2),""))</f>
        <v/>
      </c>
      <c r="O585" s="46"/>
      <c r="P585" s="47"/>
      <c r="Q585" s="46"/>
      <c r="R585" s="46"/>
      <c r="S585" s="6" t="str">
        <f>IF($B585="","",IF(ISNA(MATCH($B585,账户名,0)),"※这个账户不在【参数设置】的账户档案里",IF($A585="","※没填日期，这一笔不会进任何月份的报表",IF(AND($G585&lt;&gt;"",$H585&lt;&gt;""),"※收入和支出不能同时填",IF(AND(N($G585)=0,N($H585)=0),"※收入和支出都没填",IF($E585="","※没填收支类别，分类报表会漏掉这一笔",IF(ISNA(MATCH($E585,类别表,0)),"※收支类别不在【参数设置】的清单里",IF($J585="","△"&amp;$D585&amp;" 还没填汇率，去【月度汇率】补上就自动算了",IF(YEAR($A585)&lt;&gt;管理年度,"△不是管理年度的单据，年报里看不到",IF(AND($F585="内部转账",$Q585=""),"△内部转账建议在「往来单位」写上对方账户",IF($M585&lt;0,"△这一笔之后该账户余额成负数了，核一下","")))))))))))</f>
        <v/>
      </c>
    </row>
    <row r="586" ht="16.5" spans="1:19">
      <c r="A586" s="45"/>
      <c r="B586" s="46"/>
      <c r="C586" s="12" t="str">
        <f>IF($B586="","",IFERROR(INDEX(账户银行,MATCH($B586,账户名,0)),""))</f>
        <v/>
      </c>
      <c r="D586" s="12" t="str">
        <f>IF($B586="","",IFERROR(INDEX(账户币种,MATCH($B586,账户名,0)),""))</f>
        <v/>
      </c>
      <c r="E586" s="47"/>
      <c r="F586" s="12" t="str">
        <f>IF($E586="","",IFERROR(INDEX(类别属性,MATCH($E586,类别表,0)),""))</f>
        <v/>
      </c>
      <c r="G586" s="48"/>
      <c r="H586" s="48"/>
      <c r="I586" s="49"/>
      <c r="J586" s="24" t="str">
        <f>IF(OR($A586="",$B586=""),"",IF($I586&lt;&gt;"",$I586,IF($D586=本位币,1,IFERROR(LOOKUP(2,1/((汇率月份&lt;=$A586)*(INDEX(记账汇率区,0,MATCH($D586,汇率币种头,0))&lt;&gt;"")),INDEX(记账汇率区,0,MATCH($D586,汇率币种头,0))),""))))</f>
        <v/>
      </c>
      <c r="K586" s="23" t="str">
        <f t="shared" si="18"/>
        <v/>
      </c>
      <c r="L586" s="23" t="str">
        <f t="shared" si="19"/>
        <v/>
      </c>
      <c r="M586" s="23" t="str">
        <f>IF($B586="","",ROUND(SUMIF(账户名,$B586,账户期初)+SUMIFS($K$6:K586,$B$6:B586,$B586),2))</f>
        <v/>
      </c>
      <c r="N586" s="23" t="str">
        <f>IF($B586="","",IFERROR(ROUND(INDEX(账户期初本位,MATCH($B586,账户名,0))+SUMIFS($L$6:L586,$B$6:B586,$B586),2),""))</f>
        <v/>
      </c>
      <c r="O586" s="46"/>
      <c r="P586" s="47"/>
      <c r="Q586" s="46"/>
      <c r="R586" s="46"/>
      <c r="S586" s="6" t="str">
        <f>IF($B586="","",IF(ISNA(MATCH($B586,账户名,0)),"※这个账户不在【参数设置】的账户档案里",IF($A586="","※没填日期，这一笔不会进任何月份的报表",IF(AND($G586&lt;&gt;"",$H586&lt;&gt;""),"※收入和支出不能同时填",IF(AND(N($G586)=0,N($H586)=0),"※收入和支出都没填",IF($E586="","※没填收支类别，分类报表会漏掉这一笔",IF(ISNA(MATCH($E586,类别表,0)),"※收支类别不在【参数设置】的清单里",IF($J586="","△"&amp;$D586&amp;" 还没填汇率，去【月度汇率】补上就自动算了",IF(YEAR($A586)&lt;&gt;管理年度,"△不是管理年度的单据，年报里看不到",IF(AND($F586="内部转账",$Q586=""),"△内部转账建议在「往来单位」写上对方账户",IF($M586&lt;0,"△这一笔之后该账户余额成负数了，核一下","")))))))))))</f>
        <v/>
      </c>
    </row>
    <row r="587" ht="16.5" spans="1:19">
      <c r="A587" s="45"/>
      <c r="B587" s="46"/>
      <c r="C587" s="12" t="str">
        <f>IF($B587="","",IFERROR(INDEX(账户银行,MATCH($B587,账户名,0)),""))</f>
        <v/>
      </c>
      <c r="D587" s="12" t="str">
        <f>IF($B587="","",IFERROR(INDEX(账户币种,MATCH($B587,账户名,0)),""))</f>
        <v/>
      </c>
      <c r="E587" s="47"/>
      <c r="F587" s="12" t="str">
        <f>IF($E587="","",IFERROR(INDEX(类别属性,MATCH($E587,类别表,0)),""))</f>
        <v/>
      </c>
      <c r="G587" s="48"/>
      <c r="H587" s="48"/>
      <c r="I587" s="49"/>
      <c r="J587" s="24" t="str">
        <f>IF(OR($A587="",$B587=""),"",IF($I587&lt;&gt;"",$I587,IF($D587=本位币,1,IFERROR(LOOKUP(2,1/((汇率月份&lt;=$A587)*(INDEX(记账汇率区,0,MATCH($D587,汇率币种头,0))&lt;&gt;"")),INDEX(记账汇率区,0,MATCH($D587,汇率币种头,0))),""))))</f>
        <v/>
      </c>
      <c r="K587" s="23" t="str">
        <f t="shared" si="18"/>
        <v/>
      </c>
      <c r="L587" s="23" t="str">
        <f t="shared" si="19"/>
        <v/>
      </c>
      <c r="M587" s="23" t="str">
        <f>IF($B587="","",ROUND(SUMIF(账户名,$B587,账户期初)+SUMIFS($K$6:K587,$B$6:B587,$B587),2))</f>
        <v/>
      </c>
      <c r="N587" s="23" t="str">
        <f>IF($B587="","",IFERROR(ROUND(INDEX(账户期初本位,MATCH($B587,账户名,0))+SUMIFS($L$6:L587,$B$6:B587,$B587),2),""))</f>
        <v/>
      </c>
      <c r="O587" s="46"/>
      <c r="P587" s="47"/>
      <c r="Q587" s="46"/>
      <c r="R587" s="46"/>
      <c r="S587" s="6" t="str">
        <f>IF($B587="","",IF(ISNA(MATCH($B587,账户名,0)),"※这个账户不在【参数设置】的账户档案里",IF($A587="","※没填日期，这一笔不会进任何月份的报表",IF(AND($G587&lt;&gt;"",$H587&lt;&gt;""),"※收入和支出不能同时填",IF(AND(N($G587)=0,N($H587)=0),"※收入和支出都没填",IF($E587="","※没填收支类别，分类报表会漏掉这一笔",IF(ISNA(MATCH($E587,类别表,0)),"※收支类别不在【参数设置】的清单里",IF($J587="","△"&amp;$D587&amp;" 还没填汇率，去【月度汇率】补上就自动算了",IF(YEAR($A587)&lt;&gt;管理年度,"△不是管理年度的单据，年报里看不到",IF(AND($F587="内部转账",$Q587=""),"△内部转账建议在「往来单位」写上对方账户",IF($M587&lt;0,"△这一笔之后该账户余额成负数了，核一下","")))))))))))</f>
        <v/>
      </c>
    </row>
    <row r="588" ht="16.5" spans="1:19">
      <c r="A588" s="45"/>
      <c r="B588" s="46"/>
      <c r="C588" s="12" t="str">
        <f>IF($B588="","",IFERROR(INDEX(账户银行,MATCH($B588,账户名,0)),""))</f>
        <v/>
      </c>
      <c r="D588" s="12" t="str">
        <f>IF($B588="","",IFERROR(INDEX(账户币种,MATCH($B588,账户名,0)),""))</f>
        <v/>
      </c>
      <c r="E588" s="47"/>
      <c r="F588" s="12" t="str">
        <f>IF($E588="","",IFERROR(INDEX(类别属性,MATCH($E588,类别表,0)),""))</f>
        <v/>
      </c>
      <c r="G588" s="48"/>
      <c r="H588" s="48"/>
      <c r="I588" s="49"/>
      <c r="J588" s="24" t="str">
        <f>IF(OR($A588="",$B588=""),"",IF($I588&lt;&gt;"",$I588,IF($D588=本位币,1,IFERROR(LOOKUP(2,1/((汇率月份&lt;=$A588)*(INDEX(记账汇率区,0,MATCH($D588,汇率币种头,0))&lt;&gt;"")),INDEX(记账汇率区,0,MATCH($D588,汇率币种头,0))),""))))</f>
        <v/>
      </c>
      <c r="K588" s="23" t="str">
        <f t="shared" si="18"/>
        <v/>
      </c>
      <c r="L588" s="23" t="str">
        <f t="shared" si="19"/>
        <v/>
      </c>
      <c r="M588" s="23" t="str">
        <f>IF($B588="","",ROUND(SUMIF(账户名,$B588,账户期初)+SUMIFS($K$6:K588,$B$6:B588,$B588),2))</f>
        <v/>
      </c>
      <c r="N588" s="23" t="str">
        <f>IF($B588="","",IFERROR(ROUND(INDEX(账户期初本位,MATCH($B588,账户名,0))+SUMIFS($L$6:L588,$B$6:B588,$B588),2),""))</f>
        <v/>
      </c>
      <c r="O588" s="46"/>
      <c r="P588" s="47"/>
      <c r="Q588" s="46"/>
      <c r="R588" s="46"/>
      <c r="S588" s="6" t="str">
        <f>IF($B588="","",IF(ISNA(MATCH($B588,账户名,0)),"※这个账户不在【参数设置】的账户档案里",IF($A588="","※没填日期，这一笔不会进任何月份的报表",IF(AND($G588&lt;&gt;"",$H588&lt;&gt;""),"※收入和支出不能同时填",IF(AND(N($G588)=0,N($H588)=0),"※收入和支出都没填",IF($E588="","※没填收支类别，分类报表会漏掉这一笔",IF(ISNA(MATCH($E588,类别表,0)),"※收支类别不在【参数设置】的清单里",IF($J588="","△"&amp;$D588&amp;" 还没填汇率，去【月度汇率】补上就自动算了",IF(YEAR($A588)&lt;&gt;管理年度,"△不是管理年度的单据，年报里看不到",IF(AND($F588="内部转账",$Q588=""),"△内部转账建议在「往来单位」写上对方账户",IF($M588&lt;0,"△这一笔之后该账户余额成负数了，核一下","")))))))))))</f>
        <v/>
      </c>
    </row>
    <row r="589" ht="16.5" spans="1:19">
      <c r="A589" s="45"/>
      <c r="B589" s="46"/>
      <c r="C589" s="12" t="str">
        <f>IF($B589="","",IFERROR(INDEX(账户银行,MATCH($B589,账户名,0)),""))</f>
        <v/>
      </c>
      <c r="D589" s="12" t="str">
        <f>IF($B589="","",IFERROR(INDEX(账户币种,MATCH($B589,账户名,0)),""))</f>
        <v/>
      </c>
      <c r="E589" s="47"/>
      <c r="F589" s="12" t="str">
        <f>IF($E589="","",IFERROR(INDEX(类别属性,MATCH($E589,类别表,0)),""))</f>
        <v/>
      </c>
      <c r="G589" s="48"/>
      <c r="H589" s="48"/>
      <c r="I589" s="49"/>
      <c r="J589" s="24" t="str">
        <f>IF(OR($A589="",$B589=""),"",IF($I589&lt;&gt;"",$I589,IF($D589=本位币,1,IFERROR(LOOKUP(2,1/((汇率月份&lt;=$A589)*(INDEX(记账汇率区,0,MATCH($D589,汇率币种头,0))&lt;&gt;"")),INDEX(记账汇率区,0,MATCH($D589,汇率币种头,0))),""))))</f>
        <v/>
      </c>
      <c r="K589" s="23" t="str">
        <f t="shared" si="18"/>
        <v/>
      </c>
      <c r="L589" s="23" t="str">
        <f t="shared" si="19"/>
        <v/>
      </c>
      <c r="M589" s="23" t="str">
        <f>IF($B589="","",ROUND(SUMIF(账户名,$B589,账户期初)+SUMIFS($K$6:K589,$B$6:B589,$B589),2))</f>
        <v/>
      </c>
      <c r="N589" s="23" t="str">
        <f>IF($B589="","",IFERROR(ROUND(INDEX(账户期初本位,MATCH($B589,账户名,0))+SUMIFS($L$6:L589,$B$6:B589,$B589),2),""))</f>
        <v/>
      </c>
      <c r="O589" s="46"/>
      <c r="P589" s="47"/>
      <c r="Q589" s="46"/>
      <c r="R589" s="46"/>
      <c r="S589" s="6" t="str">
        <f>IF($B589="","",IF(ISNA(MATCH($B589,账户名,0)),"※这个账户不在【参数设置】的账户档案里",IF($A589="","※没填日期，这一笔不会进任何月份的报表",IF(AND($G589&lt;&gt;"",$H589&lt;&gt;""),"※收入和支出不能同时填",IF(AND(N($G589)=0,N($H589)=0),"※收入和支出都没填",IF($E589="","※没填收支类别，分类报表会漏掉这一笔",IF(ISNA(MATCH($E589,类别表,0)),"※收支类别不在【参数设置】的清单里",IF($J589="","△"&amp;$D589&amp;" 还没填汇率，去【月度汇率】补上就自动算了",IF(YEAR($A589)&lt;&gt;管理年度,"△不是管理年度的单据，年报里看不到",IF(AND($F589="内部转账",$Q589=""),"△内部转账建议在「往来单位」写上对方账户",IF($M589&lt;0,"△这一笔之后该账户余额成负数了，核一下","")))))))))))</f>
        <v/>
      </c>
    </row>
    <row r="590" ht="16.5" spans="1:19">
      <c r="A590" s="45"/>
      <c r="B590" s="46"/>
      <c r="C590" s="12" t="str">
        <f>IF($B590="","",IFERROR(INDEX(账户银行,MATCH($B590,账户名,0)),""))</f>
        <v/>
      </c>
      <c r="D590" s="12" t="str">
        <f>IF($B590="","",IFERROR(INDEX(账户币种,MATCH($B590,账户名,0)),""))</f>
        <v/>
      </c>
      <c r="E590" s="47"/>
      <c r="F590" s="12" t="str">
        <f>IF($E590="","",IFERROR(INDEX(类别属性,MATCH($E590,类别表,0)),""))</f>
        <v/>
      </c>
      <c r="G590" s="48"/>
      <c r="H590" s="48"/>
      <c r="I590" s="49"/>
      <c r="J590" s="24" t="str">
        <f>IF(OR($A590="",$B590=""),"",IF($I590&lt;&gt;"",$I590,IF($D590=本位币,1,IFERROR(LOOKUP(2,1/((汇率月份&lt;=$A590)*(INDEX(记账汇率区,0,MATCH($D590,汇率币种头,0))&lt;&gt;"")),INDEX(记账汇率区,0,MATCH($D590,汇率币种头,0))),""))))</f>
        <v/>
      </c>
      <c r="K590" s="23" t="str">
        <f t="shared" si="18"/>
        <v/>
      </c>
      <c r="L590" s="23" t="str">
        <f t="shared" si="19"/>
        <v/>
      </c>
      <c r="M590" s="23" t="str">
        <f>IF($B590="","",ROUND(SUMIF(账户名,$B590,账户期初)+SUMIFS($K$6:K590,$B$6:B590,$B590),2))</f>
        <v/>
      </c>
      <c r="N590" s="23" t="str">
        <f>IF($B590="","",IFERROR(ROUND(INDEX(账户期初本位,MATCH($B590,账户名,0))+SUMIFS($L$6:L590,$B$6:B590,$B590),2),""))</f>
        <v/>
      </c>
      <c r="O590" s="46"/>
      <c r="P590" s="47"/>
      <c r="Q590" s="46"/>
      <c r="R590" s="46"/>
      <c r="S590" s="6" t="str">
        <f>IF($B590="","",IF(ISNA(MATCH($B590,账户名,0)),"※这个账户不在【参数设置】的账户档案里",IF($A590="","※没填日期，这一笔不会进任何月份的报表",IF(AND($G590&lt;&gt;"",$H590&lt;&gt;""),"※收入和支出不能同时填",IF(AND(N($G590)=0,N($H590)=0),"※收入和支出都没填",IF($E590="","※没填收支类别，分类报表会漏掉这一笔",IF(ISNA(MATCH($E590,类别表,0)),"※收支类别不在【参数设置】的清单里",IF($J590="","△"&amp;$D590&amp;" 还没填汇率，去【月度汇率】补上就自动算了",IF(YEAR($A590)&lt;&gt;管理年度,"△不是管理年度的单据，年报里看不到",IF(AND($F590="内部转账",$Q590=""),"△内部转账建议在「往来单位」写上对方账户",IF($M590&lt;0,"△这一笔之后该账户余额成负数了，核一下","")))))))))))</f>
        <v/>
      </c>
    </row>
    <row r="591" ht="16.5" spans="1:19">
      <c r="A591" s="45"/>
      <c r="B591" s="46"/>
      <c r="C591" s="12" t="str">
        <f>IF($B591="","",IFERROR(INDEX(账户银行,MATCH($B591,账户名,0)),""))</f>
        <v/>
      </c>
      <c r="D591" s="12" t="str">
        <f>IF($B591="","",IFERROR(INDEX(账户币种,MATCH($B591,账户名,0)),""))</f>
        <v/>
      </c>
      <c r="E591" s="47"/>
      <c r="F591" s="12" t="str">
        <f>IF($E591="","",IFERROR(INDEX(类别属性,MATCH($E591,类别表,0)),""))</f>
        <v/>
      </c>
      <c r="G591" s="48"/>
      <c r="H591" s="48"/>
      <c r="I591" s="49"/>
      <c r="J591" s="24" t="str">
        <f>IF(OR($A591="",$B591=""),"",IF($I591&lt;&gt;"",$I591,IF($D591=本位币,1,IFERROR(LOOKUP(2,1/((汇率月份&lt;=$A591)*(INDEX(记账汇率区,0,MATCH($D591,汇率币种头,0))&lt;&gt;"")),INDEX(记账汇率区,0,MATCH($D591,汇率币种头,0))),""))))</f>
        <v/>
      </c>
      <c r="K591" s="23" t="str">
        <f t="shared" si="18"/>
        <v/>
      </c>
      <c r="L591" s="23" t="str">
        <f t="shared" si="19"/>
        <v/>
      </c>
      <c r="M591" s="23" t="str">
        <f>IF($B591="","",ROUND(SUMIF(账户名,$B591,账户期初)+SUMIFS($K$6:K591,$B$6:B591,$B591),2))</f>
        <v/>
      </c>
      <c r="N591" s="23" t="str">
        <f>IF($B591="","",IFERROR(ROUND(INDEX(账户期初本位,MATCH($B591,账户名,0))+SUMIFS($L$6:L591,$B$6:B591,$B591),2),""))</f>
        <v/>
      </c>
      <c r="O591" s="46"/>
      <c r="P591" s="47"/>
      <c r="Q591" s="46"/>
      <c r="R591" s="46"/>
      <c r="S591" s="6" t="str">
        <f>IF($B591="","",IF(ISNA(MATCH($B591,账户名,0)),"※这个账户不在【参数设置】的账户档案里",IF($A591="","※没填日期，这一笔不会进任何月份的报表",IF(AND($G591&lt;&gt;"",$H591&lt;&gt;""),"※收入和支出不能同时填",IF(AND(N($G591)=0,N($H591)=0),"※收入和支出都没填",IF($E591="","※没填收支类别，分类报表会漏掉这一笔",IF(ISNA(MATCH($E591,类别表,0)),"※收支类别不在【参数设置】的清单里",IF($J591="","△"&amp;$D591&amp;" 还没填汇率，去【月度汇率】补上就自动算了",IF(YEAR($A591)&lt;&gt;管理年度,"△不是管理年度的单据，年报里看不到",IF(AND($F591="内部转账",$Q591=""),"△内部转账建议在「往来单位」写上对方账户",IF($M591&lt;0,"△这一笔之后该账户余额成负数了，核一下","")))))))))))</f>
        <v/>
      </c>
    </row>
    <row r="592" ht="16.5" spans="1:19">
      <c r="A592" s="45"/>
      <c r="B592" s="46"/>
      <c r="C592" s="12" t="str">
        <f>IF($B592="","",IFERROR(INDEX(账户银行,MATCH($B592,账户名,0)),""))</f>
        <v/>
      </c>
      <c r="D592" s="12" t="str">
        <f>IF($B592="","",IFERROR(INDEX(账户币种,MATCH($B592,账户名,0)),""))</f>
        <v/>
      </c>
      <c r="E592" s="47"/>
      <c r="F592" s="12" t="str">
        <f>IF($E592="","",IFERROR(INDEX(类别属性,MATCH($E592,类别表,0)),""))</f>
        <v/>
      </c>
      <c r="G592" s="48"/>
      <c r="H592" s="48"/>
      <c r="I592" s="49"/>
      <c r="J592" s="24" t="str">
        <f>IF(OR($A592="",$B592=""),"",IF($I592&lt;&gt;"",$I592,IF($D592=本位币,1,IFERROR(LOOKUP(2,1/((汇率月份&lt;=$A592)*(INDEX(记账汇率区,0,MATCH($D592,汇率币种头,0))&lt;&gt;"")),INDEX(记账汇率区,0,MATCH($D592,汇率币种头,0))),""))))</f>
        <v/>
      </c>
      <c r="K592" s="23" t="str">
        <f t="shared" si="18"/>
        <v/>
      </c>
      <c r="L592" s="23" t="str">
        <f t="shared" si="19"/>
        <v/>
      </c>
      <c r="M592" s="23" t="str">
        <f>IF($B592="","",ROUND(SUMIF(账户名,$B592,账户期初)+SUMIFS($K$6:K592,$B$6:B592,$B592),2))</f>
        <v/>
      </c>
      <c r="N592" s="23" t="str">
        <f>IF($B592="","",IFERROR(ROUND(INDEX(账户期初本位,MATCH($B592,账户名,0))+SUMIFS($L$6:L592,$B$6:B592,$B592),2),""))</f>
        <v/>
      </c>
      <c r="O592" s="46"/>
      <c r="P592" s="47"/>
      <c r="Q592" s="46"/>
      <c r="R592" s="46"/>
      <c r="S592" s="6" t="str">
        <f>IF($B592="","",IF(ISNA(MATCH($B592,账户名,0)),"※这个账户不在【参数设置】的账户档案里",IF($A592="","※没填日期，这一笔不会进任何月份的报表",IF(AND($G592&lt;&gt;"",$H592&lt;&gt;""),"※收入和支出不能同时填",IF(AND(N($G592)=0,N($H592)=0),"※收入和支出都没填",IF($E592="","※没填收支类别，分类报表会漏掉这一笔",IF(ISNA(MATCH($E592,类别表,0)),"※收支类别不在【参数设置】的清单里",IF($J592="","△"&amp;$D592&amp;" 还没填汇率，去【月度汇率】补上就自动算了",IF(YEAR($A592)&lt;&gt;管理年度,"△不是管理年度的单据，年报里看不到",IF(AND($F592="内部转账",$Q592=""),"△内部转账建议在「往来单位」写上对方账户",IF($M592&lt;0,"△这一笔之后该账户余额成负数了，核一下","")))))))))))</f>
        <v/>
      </c>
    </row>
    <row r="593" ht="16.5" spans="1:19">
      <c r="A593" s="45"/>
      <c r="B593" s="46"/>
      <c r="C593" s="12" t="str">
        <f>IF($B593="","",IFERROR(INDEX(账户银行,MATCH($B593,账户名,0)),""))</f>
        <v/>
      </c>
      <c r="D593" s="12" t="str">
        <f>IF($B593="","",IFERROR(INDEX(账户币种,MATCH($B593,账户名,0)),""))</f>
        <v/>
      </c>
      <c r="E593" s="47"/>
      <c r="F593" s="12" t="str">
        <f>IF($E593="","",IFERROR(INDEX(类别属性,MATCH($E593,类别表,0)),""))</f>
        <v/>
      </c>
      <c r="G593" s="48"/>
      <c r="H593" s="48"/>
      <c r="I593" s="49"/>
      <c r="J593" s="24" t="str">
        <f>IF(OR($A593="",$B593=""),"",IF($I593&lt;&gt;"",$I593,IF($D593=本位币,1,IFERROR(LOOKUP(2,1/((汇率月份&lt;=$A593)*(INDEX(记账汇率区,0,MATCH($D593,汇率币种头,0))&lt;&gt;"")),INDEX(记账汇率区,0,MATCH($D593,汇率币种头,0))),""))))</f>
        <v/>
      </c>
      <c r="K593" s="23" t="str">
        <f t="shared" si="18"/>
        <v/>
      </c>
      <c r="L593" s="23" t="str">
        <f t="shared" si="19"/>
        <v/>
      </c>
      <c r="M593" s="23" t="str">
        <f>IF($B593="","",ROUND(SUMIF(账户名,$B593,账户期初)+SUMIFS($K$6:K593,$B$6:B593,$B593),2))</f>
        <v/>
      </c>
      <c r="N593" s="23" t="str">
        <f>IF($B593="","",IFERROR(ROUND(INDEX(账户期初本位,MATCH($B593,账户名,0))+SUMIFS($L$6:L593,$B$6:B593,$B593),2),""))</f>
        <v/>
      </c>
      <c r="O593" s="46"/>
      <c r="P593" s="47"/>
      <c r="Q593" s="46"/>
      <c r="R593" s="46"/>
      <c r="S593" s="6" t="str">
        <f>IF($B593="","",IF(ISNA(MATCH($B593,账户名,0)),"※这个账户不在【参数设置】的账户档案里",IF($A593="","※没填日期，这一笔不会进任何月份的报表",IF(AND($G593&lt;&gt;"",$H593&lt;&gt;""),"※收入和支出不能同时填",IF(AND(N($G593)=0,N($H593)=0),"※收入和支出都没填",IF($E593="","※没填收支类别，分类报表会漏掉这一笔",IF(ISNA(MATCH($E593,类别表,0)),"※收支类别不在【参数设置】的清单里",IF($J593="","△"&amp;$D593&amp;" 还没填汇率，去【月度汇率】补上就自动算了",IF(YEAR($A593)&lt;&gt;管理年度,"△不是管理年度的单据，年报里看不到",IF(AND($F593="内部转账",$Q593=""),"△内部转账建议在「往来单位」写上对方账户",IF($M593&lt;0,"△这一笔之后该账户余额成负数了，核一下","")))))))))))</f>
        <v/>
      </c>
    </row>
    <row r="594" ht="16.5" spans="1:19">
      <c r="A594" s="45"/>
      <c r="B594" s="46"/>
      <c r="C594" s="12" t="str">
        <f>IF($B594="","",IFERROR(INDEX(账户银行,MATCH($B594,账户名,0)),""))</f>
        <v/>
      </c>
      <c r="D594" s="12" t="str">
        <f>IF($B594="","",IFERROR(INDEX(账户币种,MATCH($B594,账户名,0)),""))</f>
        <v/>
      </c>
      <c r="E594" s="47"/>
      <c r="F594" s="12" t="str">
        <f>IF($E594="","",IFERROR(INDEX(类别属性,MATCH($E594,类别表,0)),""))</f>
        <v/>
      </c>
      <c r="G594" s="48"/>
      <c r="H594" s="48"/>
      <c r="I594" s="49"/>
      <c r="J594" s="24" t="str">
        <f>IF(OR($A594="",$B594=""),"",IF($I594&lt;&gt;"",$I594,IF($D594=本位币,1,IFERROR(LOOKUP(2,1/((汇率月份&lt;=$A594)*(INDEX(记账汇率区,0,MATCH($D594,汇率币种头,0))&lt;&gt;"")),INDEX(记账汇率区,0,MATCH($D594,汇率币种头,0))),""))))</f>
        <v/>
      </c>
      <c r="K594" s="23" t="str">
        <f t="shared" si="18"/>
        <v/>
      </c>
      <c r="L594" s="23" t="str">
        <f t="shared" si="19"/>
        <v/>
      </c>
      <c r="M594" s="23" t="str">
        <f>IF($B594="","",ROUND(SUMIF(账户名,$B594,账户期初)+SUMIFS($K$6:K594,$B$6:B594,$B594),2))</f>
        <v/>
      </c>
      <c r="N594" s="23" t="str">
        <f>IF($B594="","",IFERROR(ROUND(INDEX(账户期初本位,MATCH($B594,账户名,0))+SUMIFS($L$6:L594,$B$6:B594,$B594),2),""))</f>
        <v/>
      </c>
      <c r="O594" s="46"/>
      <c r="P594" s="47"/>
      <c r="Q594" s="46"/>
      <c r="R594" s="46"/>
      <c r="S594" s="6" t="str">
        <f>IF($B594="","",IF(ISNA(MATCH($B594,账户名,0)),"※这个账户不在【参数设置】的账户档案里",IF($A594="","※没填日期，这一笔不会进任何月份的报表",IF(AND($G594&lt;&gt;"",$H594&lt;&gt;""),"※收入和支出不能同时填",IF(AND(N($G594)=0,N($H594)=0),"※收入和支出都没填",IF($E594="","※没填收支类别，分类报表会漏掉这一笔",IF(ISNA(MATCH($E594,类别表,0)),"※收支类别不在【参数设置】的清单里",IF($J594="","△"&amp;$D594&amp;" 还没填汇率，去【月度汇率】补上就自动算了",IF(YEAR($A594)&lt;&gt;管理年度,"△不是管理年度的单据，年报里看不到",IF(AND($F594="内部转账",$Q594=""),"△内部转账建议在「往来单位」写上对方账户",IF($M594&lt;0,"△这一笔之后该账户余额成负数了，核一下","")))))))))))</f>
        <v/>
      </c>
    </row>
    <row r="595" ht="16.5" spans="1:19">
      <c r="A595" s="45"/>
      <c r="B595" s="46"/>
      <c r="C595" s="12" t="str">
        <f>IF($B595="","",IFERROR(INDEX(账户银行,MATCH($B595,账户名,0)),""))</f>
        <v/>
      </c>
      <c r="D595" s="12" t="str">
        <f>IF($B595="","",IFERROR(INDEX(账户币种,MATCH($B595,账户名,0)),""))</f>
        <v/>
      </c>
      <c r="E595" s="47"/>
      <c r="F595" s="12" t="str">
        <f>IF($E595="","",IFERROR(INDEX(类别属性,MATCH($E595,类别表,0)),""))</f>
        <v/>
      </c>
      <c r="G595" s="48"/>
      <c r="H595" s="48"/>
      <c r="I595" s="49"/>
      <c r="J595" s="24" t="str">
        <f>IF(OR($A595="",$B595=""),"",IF($I595&lt;&gt;"",$I595,IF($D595=本位币,1,IFERROR(LOOKUP(2,1/((汇率月份&lt;=$A595)*(INDEX(记账汇率区,0,MATCH($D595,汇率币种头,0))&lt;&gt;"")),INDEX(记账汇率区,0,MATCH($D595,汇率币种头,0))),""))))</f>
        <v/>
      </c>
      <c r="K595" s="23" t="str">
        <f t="shared" si="18"/>
        <v/>
      </c>
      <c r="L595" s="23" t="str">
        <f t="shared" si="19"/>
        <v/>
      </c>
      <c r="M595" s="23" t="str">
        <f>IF($B595="","",ROUND(SUMIF(账户名,$B595,账户期初)+SUMIFS($K$6:K595,$B$6:B595,$B595),2))</f>
        <v/>
      </c>
      <c r="N595" s="23" t="str">
        <f>IF($B595="","",IFERROR(ROUND(INDEX(账户期初本位,MATCH($B595,账户名,0))+SUMIFS($L$6:L595,$B$6:B595,$B595),2),""))</f>
        <v/>
      </c>
      <c r="O595" s="46"/>
      <c r="P595" s="47"/>
      <c r="Q595" s="46"/>
      <c r="R595" s="46"/>
      <c r="S595" s="6" t="str">
        <f>IF($B595="","",IF(ISNA(MATCH($B595,账户名,0)),"※这个账户不在【参数设置】的账户档案里",IF($A595="","※没填日期，这一笔不会进任何月份的报表",IF(AND($G595&lt;&gt;"",$H595&lt;&gt;""),"※收入和支出不能同时填",IF(AND(N($G595)=0,N($H595)=0),"※收入和支出都没填",IF($E595="","※没填收支类别，分类报表会漏掉这一笔",IF(ISNA(MATCH($E595,类别表,0)),"※收支类别不在【参数设置】的清单里",IF($J595="","△"&amp;$D595&amp;" 还没填汇率，去【月度汇率】补上就自动算了",IF(YEAR($A595)&lt;&gt;管理年度,"△不是管理年度的单据，年报里看不到",IF(AND($F595="内部转账",$Q595=""),"△内部转账建议在「往来单位」写上对方账户",IF($M595&lt;0,"△这一笔之后该账户余额成负数了，核一下","")))))))))))</f>
        <v/>
      </c>
    </row>
    <row r="596" ht="16.5" spans="1:19">
      <c r="A596" s="45"/>
      <c r="B596" s="46"/>
      <c r="C596" s="12" t="str">
        <f>IF($B596="","",IFERROR(INDEX(账户银行,MATCH($B596,账户名,0)),""))</f>
        <v/>
      </c>
      <c r="D596" s="12" t="str">
        <f>IF($B596="","",IFERROR(INDEX(账户币种,MATCH($B596,账户名,0)),""))</f>
        <v/>
      </c>
      <c r="E596" s="47"/>
      <c r="F596" s="12" t="str">
        <f>IF($E596="","",IFERROR(INDEX(类别属性,MATCH($E596,类别表,0)),""))</f>
        <v/>
      </c>
      <c r="G596" s="48"/>
      <c r="H596" s="48"/>
      <c r="I596" s="49"/>
      <c r="J596" s="24" t="str">
        <f>IF(OR($A596="",$B596=""),"",IF($I596&lt;&gt;"",$I596,IF($D596=本位币,1,IFERROR(LOOKUP(2,1/((汇率月份&lt;=$A596)*(INDEX(记账汇率区,0,MATCH($D596,汇率币种头,0))&lt;&gt;"")),INDEX(记账汇率区,0,MATCH($D596,汇率币种头,0))),""))))</f>
        <v/>
      </c>
      <c r="K596" s="23" t="str">
        <f t="shared" si="18"/>
        <v/>
      </c>
      <c r="L596" s="23" t="str">
        <f t="shared" si="19"/>
        <v/>
      </c>
      <c r="M596" s="23" t="str">
        <f>IF($B596="","",ROUND(SUMIF(账户名,$B596,账户期初)+SUMIFS($K$6:K596,$B$6:B596,$B596),2))</f>
        <v/>
      </c>
      <c r="N596" s="23" t="str">
        <f>IF($B596="","",IFERROR(ROUND(INDEX(账户期初本位,MATCH($B596,账户名,0))+SUMIFS($L$6:L596,$B$6:B596,$B596),2),""))</f>
        <v/>
      </c>
      <c r="O596" s="46"/>
      <c r="P596" s="47"/>
      <c r="Q596" s="46"/>
      <c r="R596" s="46"/>
      <c r="S596" s="6" t="str">
        <f>IF($B596="","",IF(ISNA(MATCH($B596,账户名,0)),"※这个账户不在【参数设置】的账户档案里",IF($A596="","※没填日期，这一笔不会进任何月份的报表",IF(AND($G596&lt;&gt;"",$H596&lt;&gt;""),"※收入和支出不能同时填",IF(AND(N($G596)=0,N($H596)=0),"※收入和支出都没填",IF($E596="","※没填收支类别，分类报表会漏掉这一笔",IF(ISNA(MATCH($E596,类别表,0)),"※收支类别不在【参数设置】的清单里",IF($J596="","△"&amp;$D596&amp;" 还没填汇率，去【月度汇率】补上就自动算了",IF(YEAR($A596)&lt;&gt;管理年度,"△不是管理年度的单据，年报里看不到",IF(AND($F596="内部转账",$Q596=""),"△内部转账建议在「往来单位」写上对方账户",IF($M596&lt;0,"△这一笔之后该账户余额成负数了，核一下","")))))))))))</f>
        <v/>
      </c>
    </row>
    <row r="597" ht="16.5" spans="1:19">
      <c r="A597" s="45"/>
      <c r="B597" s="46"/>
      <c r="C597" s="12" t="str">
        <f>IF($B597="","",IFERROR(INDEX(账户银行,MATCH($B597,账户名,0)),""))</f>
        <v/>
      </c>
      <c r="D597" s="12" t="str">
        <f>IF($B597="","",IFERROR(INDEX(账户币种,MATCH($B597,账户名,0)),""))</f>
        <v/>
      </c>
      <c r="E597" s="47"/>
      <c r="F597" s="12" t="str">
        <f>IF($E597="","",IFERROR(INDEX(类别属性,MATCH($E597,类别表,0)),""))</f>
        <v/>
      </c>
      <c r="G597" s="48"/>
      <c r="H597" s="48"/>
      <c r="I597" s="49"/>
      <c r="J597" s="24" t="str">
        <f>IF(OR($A597="",$B597=""),"",IF($I597&lt;&gt;"",$I597,IF($D597=本位币,1,IFERROR(LOOKUP(2,1/((汇率月份&lt;=$A597)*(INDEX(记账汇率区,0,MATCH($D597,汇率币种头,0))&lt;&gt;"")),INDEX(记账汇率区,0,MATCH($D597,汇率币种头,0))),""))))</f>
        <v/>
      </c>
      <c r="K597" s="23" t="str">
        <f t="shared" si="18"/>
        <v/>
      </c>
      <c r="L597" s="23" t="str">
        <f t="shared" si="19"/>
        <v/>
      </c>
      <c r="M597" s="23" t="str">
        <f>IF($B597="","",ROUND(SUMIF(账户名,$B597,账户期初)+SUMIFS($K$6:K597,$B$6:B597,$B597),2))</f>
        <v/>
      </c>
      <c r="N597" s="23" t="str">
        <f>IF($B597="","",IFERROR(ROUND(INDEX(账户期初本位,MATCH($B597,账户名,0))+SUMIFS($L$6:L597,$B$6:B597,$B597),2),""))</f>
        <v/>
      </c>
      <c r="O597" s="46"/>
      <c r="P597" s="47"/>
      <c r="Q597" s="46"/>
      <c r="R597" s="46"/>
      <c r="S597" s="6" t="str">
        <f>IF($B597="","",IF(ISNA(MATCH($B597,账户名,0)),"※这个账户不在【参数设置】的账户档案里",IF($A597="","※没填日期，这一笔不会进任何月份的报表",IF(AND($G597&lt;&gt;"",$H597&lt;&gt;""),"※收入和支出不能同时填",IF(AND(N($G597)=0,N($H597)=0),"※收入和支出都没填",IF($E597="","※没填收支类别，分类报表会漏掉这一笔",IF(ISNA(MATCH($E597,类别表,0)),"※收支类别不在【参数设置】的清单里",IF($J597="","△"&amp;$D597&amp;" 还没填汇率，去【月度汇率】补上就自动算了",IF(YEAR($A597)&lt;&gt;管理年度,"△不是管理年度的单据，年报里看不到",IF(AND($F597="内部转账",$Q597=""),"△内部转账建议在「往来单位」写上对方账户",IF($M597&lt;0,"△这一笔之后该账户余额成负数了，核一下","")))))))))))</f>
        <v/>
      </c>
    </row>
    <row r="598" ht="16.5" spans="1:19">
      <c r="A598" s="45"/>
      <c r="B598" s="46"/>
      <c r="C598" s="12" t="str">
        <f>IF($B598="","",IFERROR(INDEX(账户银行,MATCH($B598,账户名,0)),""))</f>
        <v/>
      </c>
      <c r="D598" s="12" t="str">
        <f>IF($B598="","",IFERROR(INDEX(账户币种,MATCH($B598,账户名,0)),""))</f>
        <v/>
      </c>
      <c r="E598" s="47"/>
      <c r="F598" s="12" t="str">
        <f>IF($E598="","",IFERROR(INDEX(类别属性,MATCH($E598,类别表,0)),""))</f>
        <v/>
      </c>
      <c r="G598" s="48"/>
      <c r="H598" s="48"/>
      <c r="I598" s="49"/>
      <c r="J598" s="24" t="str">
        <f>IF(OR($A598="",$B598=""),"",IF($I598&lt;&gt;"",$I598,IF($D598=本位币,1,IFERROR(LOOKUP(2,1/((汇率月份&lt;=$A598)*(INDEX(记账汇率区,0,MATCH($D598,汇率币种头,0))&lt;&gt;"")),INDEX(记账汇率区,0,MATCH($D598,汇率币种头,0))),""))))</f>
        <v/>
      </c>
      <c r="K598" s="23" t="str">
        <f t="shared" si="18"/>
        <v/>
      </c>
      <c r="L598" s="23" t="str">
        <f t="shared" si="19"/>
        <v/>
      </c>
      <c r="M598" s="23" t="str">
        <f>IF($B598="","",ROUND(SUMIF(账户名,$B598,账户期初)+SUMIFS($K$6:K598,$B$6:B598,$B598),2))</f>
        <v/>
      </c>
      <c r="N598" s="23" t="str">
        <f>IF($B598="","",IFERROR(ROUND(INDEX(账户期初本位,MATCH($B598,账户名,0))+SUMIFS($L$6:L598,$B$6:B598,$B598),2),""))</f>
        <v/>
      </c>
      <c r="O598" s="46"/>
      <c r="P598" s="47"/>
      <c r="Q598" s="46"/>
      <c r="R598" s="46"/>
      <c r="S598" s="6" t="str">
        <f>IF($B598="","",IF(ISNA(MATCH($B598,账户名,0)),"※这个账户不在【参数设置】的账户档案里",IF($A598="","※没填日期，这一笔不会进任何月份的报表",IF(AND($G598&lt;&gt;"",$H598&lt;&gt;""),"※收入和支出不能同时填",IF(AND(N($G598)=0,N($H598)=0),"※收入和支出都没填",IF($E598="","※没填收支类别，分类报表会漏掉这一笔",IF(ISNA(MATCH($E598,类别表,0)),"※收支类别不在【参数设置】的清单里",IF($J598="","△"&amp;$D598&amp;" 还没填汇率，去【月度汇率】补上就自动算了",IF(YEAR($A598)&lt;&gt;管理年度,"△不是管理年度的单据，年报里看不到",IF(AND($F598="内部转账",$Q598=""),"△内部转账建议在「往来单位」写上对方账户",IF($M598&lt;0,"△这一笔之后该账户余额成负数了，核一下","")))))))))))</f>
        <v/>
      </c>
    </row>
    <row r="599" ht="16.5" spans="1:19">
      <c r="A599" s="45"/>
      <c r="B599" s="46"/>
      <c r="C599" s="12" t="str">
        <f>IF($B599="","",IFERROR(INDEX(账户银行,MATCH($B599,账户名,0)),""))</f>
        <v/>
      </c>
      <c r="D599" s="12" t="str">
        <f>IF($B599="","",IFERROR(INDEX(账户币种,MATCH($B599,账户名,0)),""))</f>
        <v/>
      </c>
      <c r="E599" s="47"/>
      <c r="F599" s="12" t="str">
        <f>IF($E599="","",IFERROR(INDEX(类别属性,MATCH($E599,类别表,0)),""))</f>
        <v/>
      </c>
      <c r="G599" s="48"/>
      <c r="H599" s="48"/>
      <c r="I599" s="49"/>
      <c r="J599" s="24" t="str">
        <f>IF(OR($A599="",$B599=""),"",IF($I599&lt;&gt;"",$I599,IF($D599=本位币,1,IFERROR(LOOKUP(2,1/((汇率月份&lt;=$A599)*(INDEX(记账汇率区,0,MATCH($D599,汇率币种头,0))&lt;&gt;"")),INDEX(记账汇率区,0,MATCH($D599,汇率币种头,0))),""))))</f>
        <v/>
      </c>
      <c r="K599" s="23" t="str">
        <f t="shared" si="18"/>
        <v/>
      </c>
      <c r="L599" s="23" t="str">
        <f t="shared" si="19"/>
        <v/>
      </c>
      <c r="M599" s="23" t="str">
        <f>IF($B599="","",ROUND(SUMIF(账户名,$B599,账户期初)+SUMIFS($K$6:K599,$B$6:B599,$B599),2))</f>
        <v/>
      </c>
      <c r="N599" s="23" t="str">
        <f>IF($B599="","",IFERROR(ROUND(INDEX(账户期初本位,MATCH($B599,账户名,0))+SUMIFS($L$6:L599,$B$6:B599,$B599),2),""))</f>
        <v/>
      </c>
      <c r="O599" s="46"/>
      <c r="P599" s="47"/>
      <c r="Q599" s="46"/>
      <c r="R599" s="46"/>
      <c r="S599" s="6" t="str">
        <f>IF($B599="","",IF(ISNA(MATCH($B599,账户名,0)),"※这个账户不在【参数设置】的账户档案里",IF($A599="","※没填日期，这一笔不会进任何月份的报表",IF(AND($G599&lt;&gt;"",$H599&lt;&gt;""),"※收入和支出不能同时填",IF(AND(N($G599)=0,N($H599)=0),"※收入和支出都没填",IF($E599="","※没填收支类别，分类报表会漏掉这一笔",IF(ISNA(MATCH($E599,类别表,0)),"※收支类别不在【参数设置】的清单里",IF($J599="","△"&amp;$D599&amp;" 还没填汇率，去【月度汇率】补上就自动算了",IF(YEAR($A599)&lt;&gt;管理年度,"△不是管理年度的单据，年报里看不到",IF(AND($F599="内部转账",$Q599=""),"△内部转账建议在「往来单位」写上对方账户",IF($M599&lt;0,"△这一笔之后该账户余额成负数了，核一下","")))))))))))</f>
        <v/>
      </c>
    </row>
    <row r="600" ht="16.5" spans="1:19">
      <c r="A600" s="45"/>
      <c r="B600" s="46"/>
      <c r="C600" s="12" t="str">
        <f>IF($B600="","",IFERROR(INDEX(账户银行,MATCH($B600,账户名,0)),""))</f>
        <v/>
      </c>
      <c r="D600" s="12" t="str">
        <f>IF($B600="","",IFERROR(INDEX(账户币种,MATCH($B600,账户名,0)),""))</f>
        <v/>
      </c>
      <c r="E600" s="47"/>
      <c r="F600" s="12" t="str">
        <f>IF($E600="","",IFERROR(INDEX(类别属性,MATCH($E600,类别表,0)),""))</f>
        <v/>
      </c>
      <c r="G600" s="48"/>
      <c r="H600" s="48"/>
      <c r="I600" s="49"/>
      <c r="J600" s="24" t="str">
        <f>IF(OR($A600="",$B600=""),"",IF($I600&lt;&gt;"",$I600,IF($D600=本位币,1,IFERROR(LOOKUP(2,1/((汇率月份&lt;=$A600)*(INDEX(记账汇率区,0,MATCH($D600,汇率币种头,0))&lt;&gt;"")),INDEX(记账汇率区,0,MATCH($D600,汇率币种头,0))),""))))</f>
        <v/>
      </c>
      <c r="K600" s="23" t="str">
        <f t="shared" si="18"/>
        <v/>
      </c>
      <c r="L600" s="23" t="str">
        <f t="shared" si="19"/>
        <v/>
      </c>
      <c r="M600" s="23" t="str">
        <f>IF($B600="","",ROUND(SUMIF(账户名,$B600,账户期初)+SUMIFS($K$6:K600,$B$6:B600,$B600),2))</f>
        <v/>
      </c>
      <c r="N600" s="23" t="str">
        <f>IF($B600="","",IFERROR(ROUND(INDEX(账户期初本位,MATCH($B600,账户名,0))+SUMIFS($L$6:L600,$B$6:B600,$B600),2),""))</f>
        <v/>
      </c>
      <c r="O600" s="46"/>
      <c r="P600" s="47"/>
      <c r="Q600" s="46"/>
      <c r="R600" s="46"/>
      <c r="S600" s="6" t="str">
        <f>IF($B600="","",IF(ISNA(MATCH($B600,账户名,0)),"※这个账户不在【参数设置】的账户档案里",IF($A600="","※没填日期，这一笔不会进任何月份的报表",IF(AND($G600&lt;&gt;"",$H600&lt;&gt;""),"※收入和支出不能同时填",IF(AND(N($G600)=0,N($H600)=0),"※收入和支出都没填",IF($E600="","※没填收支类别，分类报表会漏掉这一笔",IF(ISNA(MATCH($E600,类别表,0)),"※收支类别不在【参数设置】的清单里",IF($J600="","△"&amp;$D600&amp;" 还没填汇率，去【月度汇率】补上就自动算了",IF(YEAR($A600)&lt;&gt;管理年度,"△不是管理年度的单据，年报里看不到",IF(AND($F600="内部转账",$Q600=""),"△内部转账建议在「往来单位」写上对方账户",IF($M600&lt;0,"△这一笔之后该账户余额成负数了，核一下","")))))))))))</f>
        <v/>
      </c>
    </row>
    <row r="601" ht="16.5" spans="1:19">
      <c r="A601" s="45"/>
      <c r="B601" s="46"/>
      <c r="C601" s="12" t="str">
        <f>IF($B601="","",IFERROR(INDEX(账户银行,MATCH($B601,账户名,0)),""))</f>
        <v/>
      </c>
      <c r="D601" s="12" t="str">
        <f>IF($B601="","",IFERROR(INDEX(账户币种,MATCH($B601,账户名,0)),""))</f>
        <v/>
      </c>
      <c r="E601" s="47"/>
      <c r="F601" s="12" t="str">
        <f>IF($E601="","",IFERROR(INDEX(类别属性,MATCH($E601,类别表,0)),""))</f>
        <v/>
      </c>
      <c r="G601" s="48"/>
      <c r="H601" s="48"/>
      <c r="I601" s="49"/>
      <c r="J601" s="24" t="str">
        <f>IF(OR($A601="",$B601=""),"",IF($I601&lt;&gt;"",$I601,IF($D601=本位币,1,IFERROR(LOOKUP(2,1/((汇率月份&lt;=$A601)*(INDEX(记账汇率区,0,MATCH($D601,汇率币种头,0))&lt;&gt;"")),INDEX(记账汇率区,0,MATCH($D601,汇率币种头,0))),""))))</f>
        <v/>
      </c>
      <c r="K601" s="23" t="str">
        <f t="shared" si="18"/>
        <v/>
      </c>
      <c r="L601" s="23" t="str">
        <f t="shared" si="19"/>
        <v/>
      </c>
      <c r="M601" s="23" t="str">
        <f>IF($B601="","",ROUND(SUMIF(账户名,$B601,账户期初)+SUMIFS($K$6:K601,$B$6:B601,$B601),2))</f>
        <v/>
      </c>
      <c r="N601" s="23" t="str">
        <f>IF($B601="","",IFERROR(ROUND(INDEX(账户期初本位,MATCH($B601,账户名,0))+SUMIFS($L$6:L601,$B$6:B601,$B601),2),""))</f>
        <v/>
      </c>
      <c r="O601" s="46"/>
      <c r="P601" s="47"/>
      <c r="Q601" s="46"/>
      <c r="R601" s="46"/>
      <c r="S601" s="6" t="str">
        <f>IF($B601="","",IF(ISNA(MATCH($B601,账户名,0)),"※这个账户不在【参数设置】的账户档案里",IF($A601="","※没填日期，这一笔不会进任何月份的报表",IF(AND($G601&lt;&gt;"",$H601&lt;&gt;""),"※收入和支出不能同时填",IF(AND(N($G601)=0,N($H601)=0),"※收入和支出都没填",IF($E601="","※没填收支类别，分类报表会漏掉这一笔",IF(ISNA(MATCH($E601,类别表,0)),"※收支类别不在【参数设置】的清单里",IF($J601="","△"&amp;$D601&amp;" 还没填汇率，去【月度汇率】补上就自动算了",IF(YEAR($A601)&lt;&gt;管理年度,"△不是管理年度的单据，年报里看不到",IF(AND($F601="内部转账",$Q601=""),"△内部转账建议在「往来单位」写上对方账户",IF($M601&lt;0,"△这一笔之后该账户余额成负数了，核一下","")))))))))))</f>
        <v/>
      </c>
    </row>
    <row r="602" ht="16.5" spans="1:19">
      <c r="A602" s="45"/>
      <c r="B602" s="46"/>
      <c r="C602" s="12" t="str">
        <f>IF($B602="","",IFERROR(INDEX(账户银行,MATCH($B602,账户名,0)),""))</f>
        <v/>
      </c>
      <c r="D602" s="12" t="str">
        <f>IF($B602="","",IFERROR(INDEX(账户币种,MATCH($B602,账户名,0)),""))</f>
        <v/>
      </c>
      <c r="E602" s="47"/>
      <c r="F602" s="12" t="str">
        <f>IF($E602="","",IFERROR(INDEX(类别属性,MATCH($E602,类别表,0)),""))</f>
        <v/>
      </c>
      <c r="G602" s="48"/>
      <c r="H602" s="48"/>
      <c r="I602" s="49"/>
      <c r="J602" s="24" t="str">
        <f>IF(OR($A602="",$B602=""),"",IF($I602&lt;&gt;"",$I602,IF($D602=本位币,1,IFERROR(LOOKUP(2,1/((汇率月份&lt;=$A602)*(INDEX(记账汇率区,0,MATCH($D602,汇率币种头,0))&lt;&gt;"")),INDEX(记账汇率区,0,MATCH($D602,汇率币种头,0))),""))))</f>
        <v/>
      </c>
      <c r="K602" s="23" t="str">
        <f t="shared" si="18"/>
        <v/>
      </c>
      <c r="L602" s="23" t="str">
        <f t="shared" si="19"/>
        <v/>
      </c>
      <c r="M602" s="23" t="str">
        <f>IF($B602="","",ROUND(SUMIF(账户名,$B602,账户期初)+SUMIFS($K$6:K602,$B$6:B602,$B602),2))</f>
        <v/>
      </c>
      <c r="N602" s="23" t="str">
        <f>IF($B602="","",IFERROR(ROUND(INDEX(账户期初本位,MATCH($B602,账户名,0))+SUMIFS($L$6:L602,$B$6:B602,$B602),2),""))</f>
        <v/>
      </c>
      <c r="O602" s="46"/>
      <c r="P602" s="47"/>
      <c r="Q602" s="46"/>
      <c r="R602" s="46"/>
      <c r="S602" s="6" t="str">
        <f>IF($B602="","",IF(ISNA(MATCH($B602,账户名,0)),"※这个账户不在【参数设置】的账户档案里",IF($A602="","※没填日期，这一笔不会进任何月份的报表",IF(AND($G602&lt;&gt;"",$H602&lt;&gt;""),"※收入和支出不能同时填",IF(AND(N($G602)=0,N($H602)=0),"※收入和支出都没填",IF($E602="","※没填收支类别，分类报表会漏掉这一笔",IF(ISNA(MATCH($E602,类别表,0)),"※收支类别不在【参数设置】的清单里",IF($J602="","△"&amp;$D602&amp;" 还没填汇率，去【月度汇率】补上就自动算了",IF(YEAR($A602)&lt;&gt;管理年度,"△不是管理年度的单据，年报里看不到",IF(AND($F602="内部转账",$Q602=""),"△内部转账建议在「往来单位」写上对方账户",IF($M602&lt;0,"△这一笔之后该账户余额成负数了，核一下","")))))))))))</f>
        <v/>
      </c>
    </row>
    <row r="603" ht="16.5" spans="1:19">
      <c r="A603" s="45"/>
      <c r="B603" s="46"/>
      <c r="C603" s="12" t="str">
        <f>IF($B603="","",IFERROR(INDEX(账户银行,MATCH($B603,账户名,0)),""))</f>
        <v/>
      </c>
      <c r="D603" s="12" t="str">
        <f>IF($B603="","",IFERROR(INDEX(账户币种,MATCH($B603,账户名,0)),""))</f>
        <v/>
      </c>
      <c r="E603" s="47"/>
      <c r="F603" s="12" t="str">
        <f>IF($E603="","",IFERROR(INDEX(类别属性,MATCH($E603,类别表,0)),""))</f>
        <v/>
      </c>
      <c r="G603" s="48"/>
      <c r="H603" s="48"/>
      <c r="I603" s="49"/>
      <c r="J603" s="24" t="str">
        <f>IF(OR($A603="",$B603=""),"",IF($I603&lt;&gt;"",$I603,IF($D603=本位币,1,IFERROR(LOOKUP(2,1/((汇率月份&lt;=$A603)*(INDEX(记账汇率区,0,MATCH($D603,汇率币种头,0))&lt;&gt;"")),INDEX(记账汇率区,0,MATCH($D603,汇率币种头,0))),""))))</f>
        <v/>
      </c>
      <c r="K603" s="23" t="str">
        <f t="shared" si="18"/>
        <v/>
      </c>
      <c r="L603" s="23" t="str">
        <f t="shared" si="19"/>
        <v/>
      </c>
      <c r="M603" s="23" t="str">
        <f>IF($B603="","",ROUND(SUMIF(账户名,$B603,账户期初)+SUMIFS($K$6:K603,$B$6:B603,$B603),2))</f>
        <v/>
      </c>
      <c r="N603" s="23" t="str">
        <f>IF($B603="","",IFERROR(ROUND(INDEX(账户期初本位,MATCH($B603,账户名,0))+SUMIFS($L$6:L603,$B$6:B603,$B603),2),""))</f>
        <v/>
      </c>
      <c r="O603" s="46"/>
      <c r="P603" s="47"/>
      <c r="Q603" s="46"/>
      <c r="R603" s="46"/>
      <c r="S603" s="6" t="str">
        <f>IF($B603="","",IF(ISNA(MATCH($B603,账户名,0)),"※这个账户不在【参数设置】的账户档案里",IF($A603="","※没填日期，这一笔不会进任何月份的报表",IF(AND($G603&lt;&gt;"",$H603&lt;&gt;""),"※收入和支出不能同时填",IF(AND(N($G603)=0,N($H603)=0),"※收入和支出都没填",IF($E603="","※没填收支类别，分类报表会漏掉这一笔",IF(ISNA(MATCH($E603,类别表,0)),"※收支类别不在【参数设置】的清单里",IF($J603="","△"&amp;$D603&amp;" 还没填汇率，去【月度汇率】补上就自动算了",IF(YEAR($A603)&lt;&gt;管理年度,"△不是管理年度的单据，年报里看不到",IF(AND($F603="内部转账",$Q603=""),"△内部转账建议在「往来单位」写上对方账户",IF($M603&lt;0,"△这一笔之后该账户余额成负数了，核一下","")))))))))))</f>
        <v/>
      </c>
    </row>
    <row r="604" ht="16.5" spans="1:19">
      <c r="A604" s="45"/>
      <c r="B604" s="46"/>
      <c r="C604" s="12" t="str">
        <f>IF($B604="","",IFERROR(INDEX(账户银行,MATCH($B604,账户名,0)),""))</f>
        <v/>
      </c>
      <c r="D604" s="12" t="str">
        <f>IF($B604="","",IFERROR(INDEX(账户币种,MATCH($B604,账户名,0)),""))</f>
        <v/>
      </c>
      <c r="E604" s="47"/>
      <c r="F604" s="12" t="str">
        <f>IF($E604="","",IFERROR(INDEX(类别属性,MATCH($E604,类别表,0)),""))</f>
        <v/>
      </c>
      <c r="G604" s="48"/>
      <c r="H604" s="48"/>
      <c r="I604" s="49"/>
      <c r="J604" s="24" t="str">
        <f>IF(OR($A604="",$B604=""),"",IF($I604&lt;&gt;"",$I604,IF($D604=本位币,1,IFERROR(LOOKUP(2,1/((汇率月份&lt;=$A604)*(INDEX(记账汇率区,0,MATCH($D604,汇率币种头,0))&lt;&gt;"")),INDEX(记账汇率区,0,MATCH($D604,汇率币种头,0))),""))))</f>
        <v/>
      </c>
      <c r="K604" s="23" t="str">
        <f t="shared" si="18"/>
        <v/>
      </c>
      <c r="L604" s="23" t="str">
        <f t="shared" si="19"/>
        <v/>
      </c>
      <c r="M604" s="23" t="str">
        <f>IF($B604="","",ROUND(SUMIF(账户名,$B604,账户期初)+SUMIFS($K$6:K604,$B$6:B604,$B604),2))</f>
        <v/>
      </c>
      <c r="N604" s="23" t="str">
        <f>IF($B604="","",IFERROR(ROUND(INDEX(账户期初本位,MATCH($B604,账户名,0))+SUMIFS($L$6:L604,$B$6:B604,$B604),2),""))</f>
        <v/>
      </c>
      <c r="O604" s="46"/>
      <c r="P604" s="47"/>
      <c r="Q604" s="46"/>
      <c r="R604" s="46"/>
      <c r="S604" s="6" t="str">
        <f>IF($B604="","",IF(ISNA(MATCH($B604,账户名,0)),"※这个账户不在【参数设置】的账户档案里",IF($A604="","※没填日期，这一笔不会进任何月份的报表",IF(AND($G604&lt;&gt;"",$H604&lt;&gt;""),"※收入和支出不能同时填",IF(AND(N($G604)=0,N($H604)=0),"※收入和支出都没填",IF($E604="","※没填收支类别，分类报表会漏掉这一笔",IF(ISNA(MATCH($E604,类别表,0)),"※收支类别不在【参数设置】的清单里",IF($J604="","△"&amp;$D604&amp;" 还没填汇率，去【月度汇率】补上就自动算了",IF(YEAR($A604)&lt;&gt;管理年度,"△不是管理年度的单据，年报里看不到",IF(AND($F604="内部转账",$Q604=""),"△内部转账建议在「往来单位」写上对方账户",IF($M604&lt;0,"△这一笔之后该账户余额成负数了，核一下","")))))))))))</f>
        <v/>
      </c>
    </row>
    <row r="605" ht="16.5" spans="1:19">
      <c r="A605" s="45"/>
      <c r="B605" s="46"/>
      <c r="C605" s="12" t="str">
        <f>IF($B605="","",IFERROR(INDEX(账户银行,MATCH($B605,账户名,0)),""))</f>
        <v/>
      </c>
      <c r="D605" s="12" t="str">
        <f>IF($B605="","",IFERROR(INDEX(账户币种,MATCH($B605,账户名,0)),""))</f>
        <v/>
      </c>
      <c r="E605" s="47"/>
      <c r="F605" s="12" t="str">
        <f>IF($E605="","",IFERROR(INDEX(类别属性,MATCH($E605,类别表,0)),""))</f>
        <v/>
      </c>
      <c r="G605" s="48"/>
      <c r="H605" s="48"/>
      <c r="I605" s="49"/>
      <c r="J605" s="24" t="str">
        <f>IF(OR($A605="",$B605=""),"",IF($I605&lt;&gt;"",$I605,IF($D605=本位币,1,IFERROR(LOOKUP(2,1/((汇率月份&lt;=$A605)*(INDEX(记账汇率区,0,MATCH($D605,汇率币种头,0))&lt;&gt;"")),INDEX(记账汇率区,0,MATCH($D605,汇率币种头,0))),""))))</f>
        <v/>
      </c>
      <c r="K605" s="23" t="str">
        <f t="shared" si="18"/>
        <v/>
      </c>
      <c r="L605" s="23" t="str">
        <f t="shared" si="19"/>
        <v/>
      </c>
      <c r="M605" s="23" t="str">
        <f>IF($B605="","",ROUND(SUMIF(账户名,$B605,账户期初)+SUMIFS($K$6:K605,$B$6:B605,$B605),2))</f>
        <v/>
      </c>
      <c r="N605" s="23" t="str">
        <f>IF($B605="","",IFERROR(ROUND(INDEX(账户期初本位,MATCH($B605,账户名,0))+SUMIFS($L$6:L605,$B$6:B605,$B605),2),""))</f>
        <v/>
      </c>
      <c r="O605" s="46"/>
      <c r="P605" s="47"/>
      <c r="Q605" s="46"/>
      <c r="R605" s="46"/>
      <c r="S605" s="6" t="str">
        <f>IF($B605="","",IF(ISNA(MATCH($B605,账户名,0)),"※这个账户不在【参数设置】的账户档案里",IF($A605="","※没填日期，这一笔不会进任何月份的报表",IF(AND($G605&lt;&gt;"",$H605&lt;&gt;""),"※收入和支出不能同时填",IF(AND(N($G605)=0,N($H605)=0),"※收入和支出都没填",IF($E605="","※没填收支类别，分类报表会漏掉这一笔",IF(ISNA(MATCH($E605,类别表,0)),"※收支类别不在【参数设置】的清单里",IF($J605="","△"&amp;$D605&amp;" 还没填汇率，去【月度汇率】补上就自动算了",IF(YEAR($A605)&lt;&gt;管理年度,"△不是管理年度的单据，年报里看不到",IF(AND($F605="内部转账",$Q605=""),"△内部转账建议在「往来单位」写上对方账户",IF($M605&lt;0,"△这一笔之后该账户余额成负数了，核一下","")))))))))))</f>
        <v/>
      </c>
    </row>
    <row r="606" ht="16.5" spans="1:19">
      <c r="A606" s="45"/>
      <c r="B606" s="46"/>
      <c r="C606" s="12" t="str">
        <f>IF($B606="","",IFERROR(INDEX(账户银行,MATCH($B606,账户名,0)),""))</f>
        <v/>
      </c>
      <c r="D606" s="12" t="str">
        <f>IF($B606="","",IFERROR(INDEX(账户币种,MATCH($B606,账户名,0)),""))</f>
        <v/>
      </c>
      <c r="E606" s="47"/>
      <c r="F606" s="12" t="str">
        <f>IF($E606="","",IFERROR(INDEX(类别属性,MATCH($E606,类别表,0)),""))</f>
        <v/>
      </c>
      <c r="G606" s="48"/>
      <c r="H606" s="48"/>
      <c r="I606" s="49"/>
      <c r="J606" s="24" t="str">
        <f>IF(OR($A606="",$B606=""),"",IF($I606&lt;&gt;"",$I606,IF($D606=本位币,1,IFERROR(LOOKUP(2,1/((汇率月份&lt;=$A606)*(INDEX(记账汇率区,0,MATCH($D606,汇率币种头,0))&lt;&gt;"")),INDEX(记账汇率区,0,MATCH($D606,汇率币种头,0))),""))))</f>
        <v/>
      </c>
      <c r="K606" s="23" t="str">
        <f t="shared" si="18"/>
        <v/>
      </c>
      <c r="L606" s="23" t="str">
        <f t="shared" si="19"/>
        <v/>
      </c>
      <c r="M606" s="23" t="str">
        <f>IF($B606="","",ROUND(SUMIF(账户名,$B606,账户期初)+SUMIFS($K$6:K606,$B$6:B606,$B606),2))</f>
        <v/>
      </c>
      <c r="N606" s="23" t="str">
        <f>IF($B606="","",IFERROR(ROUND(INDEX(账户期初本位,MATCH($B606,账户名,0))+SUMIFS($L$6:L606,$B$6:B606,$B606),2),""))</f>
        <v/>
      </c>
      <c r="O606" s="46"/>
      <c r="P606" s="47"/>
      <c r="Q606" s="46"/>
      <c r="R606" s="46"/>
      <c r="S606" s="6" t="str">
        <f>IF($B606="","",IF(ISNA(MATCH($B606,账户名,0)),"※这个账户不在【参数设置】的账户档案里",IF($A606="","※没填日期，这一笔不会进任何月份的报表",IF(AND($G606&lt;&gt;"",$H606&lt;&gt;""),"※收入和支出不能同时填",IF(AND(N($G606)=0,N($H606)=0),"※收入和支出都没填",IF($E606="","※没填收支类别，分类报表会漏掉这一笔",IF(ISNA(MATCH($E606,类别表,0)),"※收支类别不在【参数设置】的清单里",IF($J606="","△"&amp;$D606&amp;" 还没填汇率，去【月度汇率】补上就自动算了",IF(YEAR($A606)&lt;&gt;管理年度,"△不是管理年度的单据，年报里看不到",IF(AND($F606="内部转账",$Q606=""),"△内部转账建议在「往来单位」写上对方账户",IF($M606&lt;0,"△这一笔之后该账户余额成负数了，核一下","")))))))))))</f>
        <v/>
      </c>
    </row>
    <row r="607" ht="16.5" spans="1:19">
      <c r="A607" s="45"/>
      <c r="B607" s="46"/>
      <c r="C607" s="12" t="str">
        <f>IF($B607="","",IFERROR(INDEX(账户银行,MATCH($B607,账户名,0)),""))</f>
        <v/>
      </c>
      <c r="D607" s="12" t="str">
        <f>IF($B607="","",IFERROR(INDEX(账户币种,MATCH($B607,账户名,0)),""))</f>
        <v/>
      </c>
      <c r="E607" s="47"/>
      <c r="F607" s="12" t="str">
        <f>IF($E607="","",IFERROR(INDEX(类别属性,MATCH($E607,类别表,0)),""))</f>
        <v/>
      </c>
      <c r="G607" s="48"/>
      <c r="H607" s="48"/>
      <c r="I607" s="49"/>
      <c r="J607" s="24" t="str">
        <f>IF(OR($A607="",$B607=""),"",IF($I607&lt;&gt;"",$I607,IF($D607=本位币,1,IFERROR(LOOKUP(2,1/((汇率月份&lt;=$A607)*(INDEX(记账汇率区,0,MATCH($D607,汇率币种头,0))&lt;&gt;"")),INDEX(记账汇率区,0,MATCH($D607,汇率币种头,0))),""))))</f>
        <v/>
      </c>
      <c r="K607" s="23" t="str">
        <f t="shared" si="18"/>
        <v/>
      </c>
      <c r="L607" s="23" t="str">
        <f t="shared" si="19"/>
        <v/>
      </c>
      <c r="M607" s="23" t="str">
        <f>IF($B607="","",ROUND(SUMIF(账户名,$B607,账户期初)+SUMIFS($K$6:K607,$B$6:B607,$B607),2))</f>
        <v/>
      </c>
      <c r="N607" s="23" t="str">
        <f>IF($B607="","",IFERROR(ROUND(INDEX(账户期初本位,MATCH($B607,账户名,0))+SUMIFS($L$6:L607,$B$6:B607,$B607),2),""))</f>
        <v/>
      </c>
      <c r="O607" s="46"/>
      <c r="P607" s="47"/>
      <c r="Q607" s="46"/>
      <c r="R607" s="46"/>
      <c r="S607" s="6" t="str">
        <f>IF($B607="","",IF(ISNA(MATCH($B607,账户名,0)),"※这个账户不在【参数设置】的账户档案里",IF($A607="","※没填日期，这一笔不会进任何月份的报表",IF(AND($G607&lt;&gt;"",$H607&lt;&gt;""),"※收入和支出不能同时填",IF(AND(N($G607)=0,N($H607)=0),"※收入和支出都没填",IF($E607="","※没填收支类别，分类报表会漏掉这一笔",IF(ISNA(MATCH($E607,类别表,0)),"※收支类别不在【参数设置】的清单里",IF($J607="","△"&amp;$D607&amp;" 还没填汇率，去【月度汇率】补上就自动算了",IF(YEAR($A607)&lt;&gt;管理年度,"△不是管理年度的单据，年报里看不到",IF(AND($F607="内部转账",$Q607=""),"△内部转账建议在「往来单位」写上对方账户",IF($M607&lt;0,"△这一笔之后该账户余额成负数了，核一下","")))))))))))</f>
        <v/>
      </c>
    </row>
    <row r="608" ht="16.5" spans="1:19">
      <c r="A608" s="45"/>
      <c r="B608" s="46"/>
      <c r="C608" s="12" t="str">
        <f>IF($B608="","",IFERROR(INDEX(账户银行,MATCH($B608,账户名,0)),""))</f>
        <v/>
      </c>
      <c r="D608" s="12" t="str">
        <f>IF($B608="","",IFERROR(INDEX(账户币种,MATCH($B608,账户名,0)),""))</f>
        <v/>
      </c>
      <c r="E608" s="47"/>
      <c r="F608" s="12" t="str">
        <f>IF($E608="","",IFERROR(INDEX(类别属性,MATCH($E608,类别表,0)),""))</f>
        <v/>
      </c>
      <c r="G608" s="48"/>
      <c r="H608" s="48"/>
      <c r="I608" s="49"/>
      <c r="J608" s="24" t="str">
        <f>IF(OR($A608="",$B608=""),"",IF($I608&lt;&gt;"",$I608,IF($D608=本位币,1,IFERROR(LOOKUP(2,1/((汇率月份&lt;=$A608)*(INDEX(记账汇率区,0,MATCH($D608,汇率币种头,0))&lt;&gt;"")),INDEX(记账汇率区,0,MATCH($D608,汇率币种头,0))),""))))</f>
        <v/>
      </c>
      <c r="K608" s="23" t="str">
        <f t="shared" si="18"/>
        <v/>
      </c>
      <c r="L608" s="23" t="str">
        <f t="shared" si="19"/>
        <v/>
      </c>
      <c r="M608" s="23" t="str">
        <f>IF($B608="","",ROUND(SUMIF(账户名,$B608,账户期初)+SUMIFS($K$6:K608,$B$6:B608,$B608),2))</f>
        <v/>
      </c>
      <c r="N608" s="23" t="str">
        <f>IF($B608="","",IFERROR(ROUND(INDEX(账户期初本位,MATCH($B608,账户名,0))+SUMIFS($L$6:L608,$B$6:B608,$B608),2),""))</f>
        <v/>
      </c>
      <c r="O608" s="46"/>
      <c r="P608" s="47"/>
      <c r="Q608" s="46"/>
      <c r="R608" s="46"/>
      <c r="S608" s="6" t="str">
        <f>IF($B608="","",IF(ISNA(MATCH($B608,账户名,0)),"※这个账户不在【参数设置】的账户档案里",IF($A608="","※没填日期，这一笔不会进任何月份的报表",IF(AND($G608&lt;&gt;"",$H608&lt;&gt;""),"※收入和支出不能同时填",IF(AND(N($G608)=0,N($H608)=0),"※收入和支出都没填",IF($E608="","※没填收支类别，分类报表会漏掉这一笔",IF(ISNA(MATCH($E608,类别表,0)),"※收支类别不在【参数设置】的清单里",IF($J608="","△"&amp;$D608&amp;" 还没填汇率，去【月度汇率】补上就自动算了",IF(YEAR($A608)&lt;&gt;管理年度,"△不是管理年度的单据，年报里看不到",IF(AND($F608="内部转账",$Q608=""),"△内部转账建议在「往来单位」写上对方账户",IF($M608&lt;0,"△这一笔之后该账户余额成负数了，核一下","")))))))))))</f>
        <v/>
      </c>
    </row>
    <row r="609" ht="16.5" spans="1:19">
      <c r="A609" s="45"/>
      <c r="B609" s="46"/>
      <c r="C609" s="12" t="str">
        <f>IF($B609="","",IFERROR(INDEX(账户银行,MATCH($B609,账户名,0)),""))</f>
        <v/>
      </c>
      <c r="D609" s="12" t="str">
        <f>IF($B609="","",IFERROR(INDEX(账户币种,MATCH($B609,账户名,0)),""))</f>
        <v/>
      </c>
      <c r="E609" s="47"/>
      <c r="F609" s="12" t="str">
        <f>IF($E609="","",IFERROR(INDEX(类别属性,MATCH($E609,类别表,0)),""))</f>
        <v/>
      </c>
      <c r="G609" s="48"/>
      <c r="H609" s="48"/>
      <c r="I609" s="49"/>
      <c r="J609" s="24" t="str">
        <f>IF(OR($A609="",$B609=""),"",IF($I609&lt;&gt;"",$I609,IF($D609=本位币,1,IFERROR(LOOKUP(2,1/((汇率月份&lt;=$A609)*(INDEX(记账汇率区,0,MATCH($D609,汇率币种头,0))&lt;&gt;"")),INDEX(记账汇率区,0,MATCH($D609,汇率币种头,0))),""))))</f>
        <v/>
      </c>
      <c r="K609" s="23" t="str">
        <f t="shared" si="18"/>
        <v/>
      </c>
      <c r="L609" s="23" t="str">
        <f t="shared" si="19"/>
        <v/>
      </c>
      <c r="M609" s="23" t="str">
        <f>IF($B609="","",ROUND(SUMIF(账户名,$B609,账户期初)+SUMIFS($K$6:K609,$B$6:B609,$B609),2))</f>
        <v/>
      </c>
      <c r="N609" s="23" t="str">
        <f>IF($B609="","",IFERROR(ROUND(INDEX(账户期初本位,MATCH($B609,账户名,0))+SUMIFS($L$6:L609,$B$6:B609,$B609),2),""))</f>
        <v/>
      </c>
      <c r="O609" s="46"/>
      <c r="P609" s="47"/>
      <c r="Q609" s="46"/>
      <c r="R609" s="46"/>
      <c r="S609" s="6" t="str">
        <f>IF($B609="","",IF(ISNA(MATCH($B609,账户名,0)),"※这个账户不在【参数设置】的账户档案里",IF($A609="","※没填日期，这一笔不会进任何月份的报表",IF(AND($G609&lt;&gt;"",$H609&lt;&gt;""),"※收入和支出不能同时填",IF(AND(N($G609)=0,N($H609)=0),"※收入和支出都没填",IF($E609="","※没填收支类别，分类报表会漏掉这一笔",IF(ISNA(MATCH($E609,类别表,0)),"※收支类别不在【参数设置】的清单里",IF($J609="","△"&amp;$D609&amp;" 还没填汇率，去【月度汇率】补上就自动算了",IF(YEAR($A609)&lt;&gt;管理年度,"△不是管理年度的单据，年报里看不到",IF(AND($F609="内部转账",$Q609=""),"△内部转账建议在「往来单位」写上对方账户",IF($M609&lt;0,"△这一笔之后该账户余额成负数了，核一下","")))))))))))</f>
        <v/>
      </c>
    </row>
    <row r="610" ht="16.5" spans="1:19">
      <c r="A610" s="45"/>
      <c r="B610" s="46"/>
      <c r="C610" s="12" t="str">
        <f>IF($B610="","",IFERROR(INDEX(账户银行,MATCH($B610,账户名,0)),""))</f>
        <v/>
      </c>
      <c r="D610" s="12" t="str">
        <f>IF($B610="","",IFERROR(INDEX(账户币种,MATCH($B610,账户名,0)),""))</f>
        <v/>
      </c>
      <c r="E610" s="47"/>
      <c r="F610" s="12" t="str">
        <f>IF($E610="","",IFERROR(INDEX(类别属性,MATCH($E610,类别表,0)),""))</f>
        <v/>
      </c>
      <c r="G610" s="48"/>
      <c r="H610" s="48"/>
      <c r="I610" s="49"/>
      <c r="J610" s="24" t="str">
        <f>IF(OR($A610="",$B610=""),"",IF($I610&lt;&gt;"",$I610,IF($D610=本位币,1,IFERROR(LOOKUP(2,1/((汇率月份&lt;=$A610)*(INDEX(记账汇率区,0,MATCH($D610,汇率币种头,0))&lt;&gt;"")),INDEX(记账汇率区,0,MATCH($D610,汇率币种头,0))),""))))</f>
        <v/>
      </c>
      <c r="K610" s="23" t="str">
        <f t="shared" si="18"/>
        <v/>
      </c>
      <c r="L610" s="23" t="str">
        <f t="shared" si="19"/>
        <v/>
      </c>
      <c r="M610" s="23" t="str">
        <f>IF($B610="","",ROUND(SUMIF(账户名,$B610,账户期初)+SUMIFS($K$6:K610,$B$6:B610,$B610),2))</f>
        <v/>
      </c>
      <c r="N610" s="23" t="str">
        <f>IF($B610="","",IFERROR(ROUND(INDEX(账户期初本位,MATCH($B610,账户名,0))+SUMIFS($L$6:L610,$B$6:B610,$B610),2),""))</f>
        <v/>
      </c>
      <c r="O610" s="46"/>
      <c r="P610" s="47"/>
      <c r="Q610" s="46"/>
      <c r="R610" s="46"/>
      <c r="S610" s="6" t="str">
        <f>IF($B610="","",IF(ISNA(MATCH($B610,账户名,0)),"※这个账户不在【参数设置】的账户档案里",IF($A610="","※没填日期，这一笔不会进任何月份的报表",IF(AND($G610&lt;&gt;"",$H610&lt;&gt;""),"※收入和支出不能同时填",IF(AND(N($G610)=0,N($H610)=0),"※收入和支出都没填",IF($E610="","※没填收支类别，分类报表会漏掉这一笔",IF(ISNA(MATCH($E610,类别表,0)),"※收支类别不在【参数设置】的清单里",IF($J610="","△"&amp;$D610&amp;" 还没填汇率，去【月度汇率】补上就自动算了",IF(YEAR($A610)&lt;&gt;管理年度,"△不是管理年度的单据，年报里看不到",IF(AND($F610="内部转账",$Q610=""),"△内部转账建议在「往来单位」写上对方账户",IF($M610&lt;0,"△这一笔之后该账户余额成负数了，核一下","")))))))))))</f>
        <v/>
      </c>
    </row>
    <row r="611" ht="16.5" spans="1:19">
      <c r="A611" s="45"/>
      <c r="B611" s="46"/>
      <c r="C611" s="12" t="str">
        <f>IF($B611="","",IFERROR(INDEX(账户银行,MATCH($B611,账户名,0)),""))</f>
        <v/>
      </c>
      <c r="D611" s="12" t="str">
        <f>IF($B611="","",IFERROR(INDEX(账户币种,MATCH($B611,账户名,0)),""))</f>
        <v/>
      </c>
      <c r="E611" s="47"/>
      <c r="F611" s="12" t="str">
        <f>IF($E611="","",IFERROR(INDEX(类别属性,MATCH($E611,类别表,0)),""))</f>
        <v/>
      </c>
      <c r="G611" s="48"/>
      <c r="H611" s="48"/>
      <c r="I611" s="49"/>
      <c r="J611" s="24" t="str">
        <f>IF(OR($A611="",$B611=""),"",IF($I611&lt;&gt;"",$I611,IF($D611=本位币,1,IFERROR(LOOKUP(2,1/((汇率月份&lt;=$A611)*(INDEX(记账汇率区,0,MATCH($D611,汇率币种头,0))&lt;&gt;"")),INDEX(记账汇率区,0,MATCH($D611,汇率币种头,0))),""))))</f>
        <v/>
      </c>
      <c r="K611" s="23" t="str">
        <f t="shared" si="18"/>
        <v/>
      </c>
      <c r="L611" s="23" t="str">
        <f t="shared" si="19"/>
        <v/>
      </c>
      <c r="M611" s="23" t="str">
        <f>IF($B611="","",ROUND(SUMIF(账户名,$B611,账户期初)+SUMIFS($K$6:K611,$B$6:B611,$B611),2))</f>
        <v/>
      </c>
      <c r="N611" s="23" t="str">
        <f>IF($B611="","",IFERROR(ROUND(INDEX(账户期初本位,MATCH($B611,账户名,0))+SUMIFS($L$6:L611,$B$6:B611,$B611),2),""))</f>
        <v/>
      </c>
      <c r="O611" s="46"/>
      <c r="P611" s="47"/>
      <c r="Q611" s="46"/>
      <c r="R611" s="46"/>
      <c r="S611" s="6" t="str">
        <f>IF($B611="","",IF(ISNA(MATCH($B611,账户名,0)),"※这个账户不在【参数设置】的账户档案里",IF($A611="","※没填日期，这一笔不会进任何月份的报表",IF(AND($G611&lt;&gt;"",$H611&lt;&gt;""),"※收入和支出不能同时填",IF(AND(N($G611)=0,N($H611)=0),"※收入和支出都没填",IF($E611="","※没填收支类别，分类报表会漏掉这一笔",IF(ISNA(MATCH($E611,类别表,0)),"※收支类别不在【参数设置】的清单里",IF($J611="","△"&amp;$D611&amp;" 还没填汇率，去【月度汇率】补上就自动算了",IF(YEAR($A611)&lt;&gt;管理年度,"△不是管理年度的单据，年报里看不到",IF(AND($F611="内部转账",$Q611=""),"△内部转账建议在「往来单位」写上对方账户",IF($M611&lt;0,"△这一笔之后该账户余额成负数了，核一下","")))))))))))</f>
        <v/>
      </c>
    </row>
    <row r="612" ht="16.5" spans="1:19">
      <c r="A612" s="45"/>
      <c r="B612" s="46"/>
      <c r="C612" s="12" t="str">
        <f>IF($B612="","",IFERROR(INDEX(账户银行,MATCH($B612,账户名,0)),""))</f>
        <v/>
      </c>
      <c r="D612" s="12" t="str">
        <f>IF($B612="","",IFERROR(INDEX(账户币种,MATCH($B612,账户名,0)),""))</f>
        <v/>
      </c>
      <c r="E612" s="47"/>
      <c r="F612" s="12" t="str">
        <f>IF($E612="","",IFERROR(INDEX(类别属性,MATCH($E612,类别表,0)),""))</f>
        <v/>
      </c>
      <c r="G612" s="48"/>
      <c r="H612" s="48"/>
      <c r="I612" s="49"/>
      <c r="J612" s="24" t="str">
        <f>IF(OR($A612="",$B612=""),"",IF($I612&lt;&gt;"",$I612,IF($D612=本位币,1,IFERROR(LOOKUP(2,1/((汇率月份&lt;=$A612)*(INDEX(记账汇率区,0,MATCH($D612,汇率币种头,0))&lt;&gt;"")),INDEX(记账汇率区,0,MATCH($D612,汇率币种头,0))),""))))</f>
        <v/>
      </c>
      <c r="K612" s="23" t="str">
        <f t="shared" si="18"/>
        <v/>
      </c>
      <c r="L612" s="23" t="str">
        <f t="shared" si="19"/>
        <v/>
      </c>
      <c r="M612" s="23" t="str">
        <f>IF($B612="","",ROUND(SUMIF(账户名,$B612,账户期初)+SUMIFS($K$6:K612,$B$6:B612,$B612),2))</f>
        <v/>
      </c>
      <c r="N612" s="23" t="str">
        <f>IF($B612="","",IFERROR(ROUND(INDEX(账户期初本位,MATCH($B612,账户名,0))+SUMIFS($L$6:L612,$B$6:B612,$B612),2),""))</f>
        <v/>
      </c>
      <c r="O612" s="46"/>
      <c r="P612" s="47"/>
      <c r="Q612" s="46"/>
      <c r="R612" s="46"/>
      <c r="S612" s="6" t="str">
        <f>IF($B612="","",IF(ISNA(MATCH($B612,账户名,0)),"※这个账户不在【参数设置】的账户档案里",IF($A612="","※没填日期，这一笔不会进任何月份的报表",IF(AND($G612&lt;&gt;"",$H612&lt;&gt;""),"※收入和支出不能同时填",IF(AND(N($G612)=0,N($H612)=0),"※收入和支出都没填",IF($E612="","※没填收支类别，分类报表会漏掉这一笔",IF(ISNA(MATCH($E612,类别表,0)),"※收支类别不在【参数设置】的清单里",IF($J612="","△"&amp;$D612&amp;" 还没填汇率，去【月度汇率】补上就自动算了",IF(YEAR($A612)&lt;&gt;管理年度,"△不是管理年度的单据，年报里看不到",IF(AND($F612="内部转账",$Q612=""),"△内部转账建议在「往来单位」写上对方账户",IF($M612&lt;0,"△这一笔之后该账户余额成负数了，核一下","")))))))))))</f>
        <v/>
      </c>
    </row>
    <row r="613" ht="16.5" spans="1:19">
      <c r="A613" s="45"/>
      <c r="B613" s="46"/>
      <c r="C613" s="12" t="str">
        <f>IF($B613="","",IFERROR(INDEX(账户银行,MATCH($B613,账户名,0)),""))</f>
        <v/>
      </c>
      <c r="D613" s="12" t="str">
        <f>IF($B613="","",IFERROR(INDEX(账户币种,MATCH($B613,账户名,0)),""))</f>
        <v/>
      </c>
      <c r="E613" s="47"/>
      <c r="F613" s="12" t="str">
        <f>IF($E613="","",IFERROR(INDEX(类别属性,MATCH($E613,类别表,0)),""))</f>
        <v/>
      </c>
      <c r="G613" s="48"/>
      <c r="H613" s="48"/>
      <c r="I613" s="49"/>
      <c r="J613" s="24" t="str">
        <f>IF(OR($A613="",$B613=""),"",IF($I613&lt;&gt;"",$I613,IF($D613=本位币,1,IFERROR(LOOKUP(2,1/((汇率月份&lt;=$A613)*(INDEX(记账汇率区,0,MATCH($D613,汇率币种头,0))&lt;&gt;"")),INDEX(记账汇率区,0,MATCH($D613,汇率币种头,0))),""))))</f>
        <v/>
      </c>
      <c r="K613" s="23" t="str">
        <f t="shared" si="18"/>
        <v/>
      </c>
      <c r="L613" s="23" t="str">
        <f t="shared" si="19"/>
        <v/>
      </c>
      <c r="M613" s="23" t="str">
        <f>IF($B613="","",ROUND(SUMIF(账户名,$B613,账户期初)+SUMIFS($K$6:K613,$B$6:B613,$B613),2))</f>
        <v/>
      </c>
      <c r="N613" s="23" t="str">
        <f>IF($B613="","",IFERROR(ROUND(INDEX(账户期初本位,MATCH($B613,账户名,0))+SUMIFS($L$6:L613,$B$6:B613,$B613),2),""))</f>
        <v/>
      </c>
      <c r="O613" s="46"/>
      <c r="P613" s="47"/>
      <c r="Q613" s="46"/>
      <c r="R613" s="46"/>
      <c r="S613" s="6" t="str">
        <f>IF($B613="","",IF(ISNA(MATCH($B613,账户名,0)),"※这个账户不在【参数设置】的账户档案里",IF($A613="","※没填日期，这一笔不会进任何月份的报表",IF(AND($G613&lt;&gt;"",$H613&lt;&gt;""),"※收入和支出不能同时填",IF(AND(N($G613)=0,N($H613)=0),"※收入和支出都没填",IF($E613="","※没填收支类别，分类报表会漏掉这一笔",IF(ISNA(MATCH($E613,类别表,0)),"※收支类别不在【参数设置】的清单里",IF($J613="","△"&amp;$D613&amp;" 还没填汇率，去【月度汇率】补上就自动算了",IF(YEAR($A613)&lt;&gt;管理年度,"△不是管理年度的单据，年报里看不到",IF(AND($F613="内部转账",$Q613=""),"△内部转账建议在「往来单位」写上对方账户",IF($M613&lt;0,"△这一笔之后该账户余额成负数了，核一下","")))))))))))</f>
        <v/>
      </c>
    </row>
    <row r="614" ht="16.5" spans="1:19">
      <c r="A614" s="45"/>
      <c r="B614" s="46"/>
      <c r="C614" s="12" t="str">
        <f>IF($B614="","",IFERROR(INDEX(账户银行,MATCH($B614,账户名,0)),""))</f>
        <v/>
      </c>
      <c r="D614" s="12" t="str">
        <f>IF($B614="","",IFERROR(INDEX(账户币种,MATCH($B614,账户名,0)),""))</f>
        <v/>
      </c>
      <c r="E614" s="47"/>
      <c r="F614" s="12" t="str">
        <f>IF($E614="","",IFERROR(INDEX(类别属性,MATCH($E614,类别表,0)),""))</f>
        <v/>
      </c>
      <c r="G614" s="48"/>
      <c r="H614" s="48"/>
      <c r="I614" s="49"/>
      <c r="J614" s="24" t="str">
        <f>IF(OR($A614="",$B614=""),"",IF($I614&lt;&gt;"",$I614,IF($D614=本位币,1,IFERROR(LOOKUP(2,1/((汇率月份&lt;=$A614)*(INDEX(记账汇率区,0,MATCH($D614,汇率币种头,0))&lt;&gt;"")),INDEX(记账汇率区,0,MATCH($D614,汇率币种头,0))),""))))</f>
        <v/>
      </c>
      <c r="K614" s="23" t="str">
        <f t="shared" si="18"/>
        <v/>
      </c>
      <c r="L614" s="23" t="str">
        <f t="shared" si="19"/>
        <v/>
      </c>
      <c r="M614" s="23" t="str">
        <f>IF($B614="","",ROUND(SUMIF(账户名,$B614,账户期初)+SUMIFS($K$6:K614,$B$6:B614,$B614),2))</f>
        <v/>
      </c>
      <c r="N614" s="23" t="str">
        <f>IF($B614="","",IFERROR(ROUND(INDEX(账户期初本位,MATCH($B614,账户名,0))+SUMIFS($L$6:L614,$B$6:B614,$B614),2),""))</f>
        <v/>
      </c>
      <c r="O614" s="46"/>
      <c r="P614" s="47"/>
      <c r="Q614" s="46"/>
      <c r="R614" s="46"/>
      <c r="S614" s="6" t="str">
        <f>IF($B614="","",IF(ISNA(MATCH($B614,账户名,0)),"※这个账户不在【参数设置】的账户档案里",IF($A614="","※没填日期，这一笔不会进任何月份的报表",IF(AND($G614&lt;&gt;"",$H614&lt;&gt;""),"※收入和支出不能同时填",IF(AND(N($G614)=0,N($H614)=0),"※收入和支出都没填",IF($E614="","※没填收支类别，分类报表会漏掉这一笔",IF(ISNA(MATCH($E614,类别表,0)),"※收支类别不在【参数设置】的清单里",IF($J614="","△"&amp;$D614&amp;" 还没填汇率，去【月度汇率】补上就自动算了",IF(YEAR($A614)&lt;&gt;管理年度,"△不是管理年度的单据，年报里看不到",IF(AND($F614="内部转账",$Q614=""),"△内部转账建议在「往来单位」写上对方账户",IF($M614&lt;0,"△这一笔之后该账户余额成负数了，核一下","")))))))))))</f>
        <v/>
      </c>
    </row>
    <row r="615" ht="16.5" spans="1:19">
      <c r="A615" s="45"/>
      <c r="B615" s="46"/>
      <c r="C615" s="12" t="str">
        <f>IF($B615="","",IFERROR(INDEX(账户银行,MATCH($B615,账户名,0)),""))</f>
        <v/>
      </c>
      <c r="D615" s="12" t="str">
        <f>IF($B615="","",IFERROR(INDEX(账户币种,MATCH($B615,账户名,0)),""))</f>
        <v/>
      </c>
      <c r="E615" s="47"/>
      <c r="F615" s="12" t="str">
        <f>IF($E615="","",IFERROR(INDEX(类别属性,MATCH($E615,类别表,0)),""))</f>
        <v/>
      </c>
      <c r="G615" s="48"/>
      <c r="H615" s="48"/>
      <c r="I615" s="49"/>
      <c r="J615" s="24" t="str">
        <f>IF(OR($A615="",$B615=""),"",IF($I615&lt;&gt;"",$I615,IF($D615=本位币,1,IFERROR(LOOKUP(2,1/((汇率月份&lt;=$A615)*(INDEX(记账汇率区,0,MATCH($D615,汇率币种头,0))&lt;&gt;"")),INDEX(记账汇率区,0,MATCH($D615,汇率币种头,0))),""))))</f>
        <v/>
      </c>
      <c r="K615" s="23" t="str">
        <f t="shared" si="18"/>
        <v/>
      </c>
      <c r="L615" s="23" t="str">
        <f t="shared" si="19"/>
        <v/>
      </c>
      <c r="M615" s="23" t="str">
        <f>IF($B615="","",ROUND(SUMIF(账户名,$B615,账户期初)+SUMIFS($K$6:K615,$B$6:B615,$B615),2))</f>
        <v/>
      </c>
      <c r="N615" s="23" t="str">
        <f>IF($B615="","",IFERROR(ROUND(INDEX(账户期初本位,MATCH($B615,账户名,0))+SUMIFS($L$6:L615,$B$6:B615,$B615),2),""))</f>
        <v/>
      </c>
      <c r="O615" s="46"/>
      <c r="P615" s="47"/>
      <c r="Q615" s="46"/>
      <c r="R615" s="46"/>
      <c r="S615" s="6" t="str">
        <f>IF($B615="","",IF(ISNA(MATCH($B615,账户名,0)),"※这个账户不在【参数设置】的账户档案里",IF($A615="","※没填日期，这一笔不会进任何月份的报表",IF(AND($G615&lt;&gt;"",$H615&lt;&gt;""),"※收入和支出不能同时填",IF(AND(N($G615)=0,N($H615)=0),"※收入和支出都没填",IF($E615="","※没填收支类别，分类报表会漏掉这一笔",IF(ISNA(MATCH($E615,类别表,0)),"※收支类别不在【参数设置】的清单里",IF($J615="","△"&amp;$D615&amp;" 还没填汇率，去【月度汇率】补上就自动算了",IF(YEAR($A615)&lt;&gt;管理年度,"△不是管理年度的单据，年报里看不到",IF(AND($F615="内部转账",$Q615=""),"△内部转账建议在「往来单位」写上对方账户",IF($M615&lt;0,"△这一笔之后该账户余额成负数了，核一下","")))))))))))</f>
        <v/>
      </c>
    </row>
    <row r="616" ht="16.5" spans="1:19">
      <c r="A616" s="45"/>
      <c r="B616" s="46"/>
      <c r="C616" s="12" t="str">
        <f>IF($B616="","",IFERROR(INDEX(账户银行,MATCH($B616,账户名,0)),""))</f>
        <v/>
      </c>
      <c r="D616" s="12" t="str">
        <f>IF($B616="","",IFERROR(INDEX(账户币种,MATCH($B616,账户名,0)),""))</f>
        <v/>
      </c>
      <c r="E616" s="47"/>
      <c r="F616" s="12" t="str">
        <f>IF($E616="","",IFERROR(INDEX(类别属性,MATCH($E616,类别表,0)),""))</f>
        <v/>
      </c>
      <c r="G616" s="48"/>
      <c r="H616" s="48"/>
      <c r="I616" s="49"/>
      <c r="J616" s="24" t="str">
        <f>IF(OR($A616="",$B616=""),"",IF($I616&lt;&gt;"",$I616,IF($D616=本位币,1,IFERROR(LOOKUP(2,1/((汇率月份&lt;=$A616)*(INDEX(记账汇率区,0,MATCH($D616,汇率币种头,0))&lt;&gt;"")),INDEX(记账汇率区,0,MATCH($D616,汇率币种头,0))),""))))</f>
        <v/>
      </c>
      <c r="K616" s="23" t="str">
        <f t="shared" si="18"/>
        <v/>
      </c>
      <c r="L616" s="23" t="str">
        <f t="shared" si="19"/>
        <v/>
      </c>
      <c r="M616" s="23" t="str">
        <f>IF($B616="","",ROUND(SUMIF(账户名,$B616,账户期初)+SUMIFS($K$6:K616,$B$6:B616,$B616),2))</f>
        <v/>
      </c>
      <c r="N616" s="23" t="str">
        <f>IF($B616="","",IFERROR(ROUND(INDEX(账户期初本位,MATCH($B616,账户名,0))+SUMIFS($L$6:L616,$B$6:B616,$B616),2),""))</f>
        <v/>
      </c>
      <c r="O616" s="46"/>
      <c r="P616" s="47"/>
      <c r="Q616" s="46"/>
      <c r="R616" s="46"/>
      <c r="S616" s="6" t="str">
        <f>IF($B616="","",IF(ISNA(MATCH($B616,账户名,0)),"※这个账户不在【参数设置】的账户档案里",IF($A616="","※没填日期，这一笔不会进任何月份的报表",IF(AND($G616&lt;&gt;"",$H616&lt;&gt;""),"※收入和支出不能同时填",IF(AND(N($G616)=0,N($H616)=0),"※收入和支出都没填",IF($E616="","※没填收支类别，分类报表会漏掉这一笔",IF(ISNA(MATCH($E616,类别表,0)),"※收支类别不在【参数设置】的清单里",IF($J616="","△"&amp;$D616&amp;" 还没填汇率，去【月度汇率】补上就自动算了",IF(YEAR($A616)&lt;&gt;管理年度,"△不是管理年度的单据，年报里看不到",IF(AND($F616="内部转账",$Q616=""),"△内部转账建议在「往来单位」写上对方账户",IF($M616&lt;0,"△这一笔之后该账户余额成负数了，核一下","")))))))))))</f>
        <v/>
      </c>
    </row>
    <row r="617" ht="16.5" spans="1:19">
      <c r="A617" s="45"/>
      <c r="B617" s="46"/>
      <c r="C617" s="12" t="str">
        <f>IF($B617="","",IFERROR(INDEX(账户银行,MATCH($B617,账户名,0)),""))</f>
        <v/>
      </c>
      <c r="D617" s="12" t="str">
        <f>IF($B617="","",IFERROR(INDEX(账户币种,MATCH($B617,账户名,0)),""))</f>
        <v/>
      </c>
      <c r="E617" s="47"/>
      <c r="F617" s="12" t="str">
        <f>IF($E617="","",IFERROR(INDEX(类别属性,MATCH($E617,类别表,0)),""))</f>
        <v/>
      </c>
      <c r="G617" s="48"/>
      <c r="H617" s="48"/>
      <c r="I617" s="49"/>
      <c r="J617" s="24" t="str">
        <f>IF(OR($A617="",$B617=""),"",IF($I617&lt;&gt;"",$I617,IF($D617=本位币,1,IFERROR(LOOKUP(2,1/((汇率月份&lt;=$A617)*(INDEX(记账汇率区,0,MATCH($D617,汇率币种头,0))&lt;&gt;"")),INDEX(记账汇率区,0,MATCH($D617,汇率币种头,0))),""))))</f>
        <v/>
      </c>
      <c r="K617" s="23" t="str">
        <f t="shared" si="18"/>
        <v/>
      </c>
      <c r="L617" s="23" t="str">
        <f t="shared" si="19"/>
        <v/>
      </c>
      <c r="M617" s="23" t="str">
        <f>IF($B617="","",ROUND(SUMIF(账户名,$B617,账户期初)+SUMIFS($K$6:K617,$B$6:B617,$B617),2))</f>
        <v/>
      </c>
      <c r="N617" s="23" t="str">
        <f>IF($B617="","",IFERROR(ROUND(INDEX(账户期初本位,MATCH($B617,账户名,0))+SUMIFS($L$6:L617,$B$6:B617,$B617),2),""))</f>
        <v/>
      </c>
      <c r="O617" s="46"/>
      <c r="P617" s="47"/>
      <c r="Q617" s="46"/>
      <c r="R617" s="46"/>
      <c r="S617" s="6" t="str">
        <f>IF($B617="","",IF(ISNA(MATCH($B617,账户名,0)),"※这个账户不在【参数设置】的账户档案里",IF($A617="","※没填日期，这一笔不会进任何月份的报表",IF(AND($G617&lt;&gt;"",$H617&lt;&gt;""),"※收入和支出不能同时填",IF(AND(N($G617)=0,N($H617)=0),"※收入和支出都没填",IF($E617="","※没填收支类别，分类报表会漏掉这一笔",IF(ISNA(MATCH($E617,类别表,0)),"※收支类别不在【参数设置】的清单里",IF($J617="","△"&amp;$D617&amp;" 还没填汇率，去【月度汇率】补上就自动算了",IF(YEAR($A617)&lt;&gt;管理年度,"△不是管理年度的单据，年报里看不到",IF(AND($F617="内部转账",$Q617=""),"△内部转账建议在「往来单位」写上对方账户",IF($M617&lt;0,"△这一笔之后该账户余额成负数了，核一下","")))))))))))</f>
        <v/>
      </c>
    </row>
    <row r="618" ht="16.5" spans="1:19">
      <c r="A618" s="45"/>
      <c r="B618" s="46"/>
      <c r="C618" s="12" t="str">
        <f>IF($B618="","",IFERROR(INDEX(账户银行,MATCH($B618,账户名,0)),""))</f>
        <v/>
      </c>
      <c r="D618" s="12" t="str">
        <f>IF($B618="","",IFERROR(INDEX(账户币种,MATCH($B618,账户名,0)),""))</f>
        <v/>
      </c>
      <c r="E618" s="47"/>
      <c r="F618" s="12" t="str">
        <f>IF($E618="","",IFERROR(INDEX(类别属性,MATCH($E618,类别表,0)),""))</f>
        <v/>
      </c>
      <c r="G618" s="48"/>
      <c r="H618" s="48"/>
      <c r="I618" s="49"/>
      <c r="J618" s="24" t="str">
        <f>IF(OR($A618="",$B618=""),"",IF($I618&lt;&gt;"",$I618,IF($D618=本位币,1,IFERROR(LOOKUP(2,1/((汇率月份&lt;=$A618)*(INDEX(记账汇率区,0,MATCH($D618,汇率币种头,0))&lt;&gt;"")),INDEX(记账汇率区,0,MATCH($D618,汇率币种头,0))),""))))</f>
        <v/>
      </c>
      <c r="K618" s="23" t="str">
        <f t="shared" si="18"/>
        <v/>
      </c>
      <c r="L618" s="23" t="str">
        <f t="shared" si="19"/>
        <v/>
      </c>
      <c r="M618" s="23" t="str">
        <f>IF($B618="","",ROUND(SUMIF(账户名,$B618,账户期初)+SUMIFS($K$6:K618,$B$6:B618,$B618),2))</f>
        <v/>
      </c>
      <c r="N618" s="23" t="str">
        <f>IF($B618="","",IFERROR(ROUND(INDEX(账户期初本位,MATCH($B618,账户名,0))+SUMIFS($L$6:L618,$B$6:B618,$B618),2),""))</f>
        <v/>
      </c>
      <c r="O618" s="46"/>
      <c r="P618" s="47"/>
      <c r="Q618" s="46"/>
      <c r="R618" s="46"/>
      <c r="S618" s="6" t="str">
        <f>IF($B618="","",IF(ISNA(MATCH($B618,账户名,0)),"※这个账户不在【参数设置】的账户档案里",IF($A618="","※没填日期，这一笔不会进任何月份的报表",IF(AND($G618&lt;&gt;"",$H618&lt;&gt;""),"※收入和支出不能同时填",IF(AND(N($G618)=0,N($H618)=0),"※收入和支出都没填",IF($E618="","※没填收支类别，分类报表会漏掉这一笔",IF(ISNA(MATCH($E618,类别表,0)),"※收支类别不在【参数设置】的清单里",IF($J618="","△"&amp;$D618&amp;" 还没填汇率，去【月度汇率】补上就自动算了",IF(YEAR($A618)&lt;&gt;管理年度,"△不是管理年度的单据，年报里看不到",IF(AND($F618="内部转账",$Q618=""),"△内部转账建议在「往来单位」写上对方账户",IF($M618&lt;0,"△这一笔之后该账户余额成负数了，核一下","")))))))))))</f>
        <v/>
      </c>
    </row>
    <row r="619" ht="16.5" spans="1:19">
      <c r="A619" s="45"/>
      <c r="B619" s="46"/>
      <c r="C619" s="12" t="str">
        <f>IF($B619="","",IFERROR(INDEX(账户银行,MATCH($B619,账户名,0)),""))</f>
        <v/>
      </c>
      <c r="D619" s="12" t="str">
        <f>IF($B619="","",IFERROR(INDEX(账户币种,MATCH($B619,账户名,0)),""))</f>
        <v/>
      </c>
      <c r="E619" s="47"/>
      <c r="F619" s="12" t="str">
        <f>IF($E619="","",IFERROR(INDEX(类别属性,MATCH($E619,类别表,0)),""))</f>
        <v/>
      </c>
      <c r="G619" s="48"/>
      <c r="H619" s="48"/>
      <c r="I619" s="49"/>
      <c r="J619" s="24" t="str">
        <f>IF(OR($A619="",$B619=""),"",IF($I619&lt;&gt;"",$I619,IF($D619=本位币,1,IFERROR(LOOKUP(2,1/((汇率月份&lt;=$A619)*(INDEX(记账汇率区,0,MATCH($D619,汇率币种头,0))&lt;&gt;"")),INDEX(记账汇率区,0,MATCH($D619,汇率币种头,0))),""))))</f>
        <v/>
      </c>
      <c r="K619" s="23" t="str">
        <f t="shared" si="18"/>
        <v/>
      </c>
      <c r="L619" s="23" t="str">
        <f t="shared" si="19"/>
        <v/>
      </c>
      <c r="M619" s="23" t="str">
        <f>IF($B619="","",ROUND(SUMIF(账户名,$B619,账户期初)+SUMIFS($K$6:K619,$B$6:B619,$B619),2))</f>
        <v/>
      </c>
      <c r="N619" s="23" t="str">
        <f>IF($B619="","",IFERROR(ROUND(INDEX(账户期初本位,MATCH($B619,账户名,0))+SUMIFS($L$6:L619,$B$6:B619,$B619),2),""))</f>
        <v/>
      </c>
      <c r="O619" s="46"/>
      <c r="P619" s="47"/>
      <c r="Q619" s="46"/>
      <c r="R619" s="46"/>
      <c r="S619" s="6" t="str">
        <f>IF($B619="","",IF(ISNA(MATCH($B619,账户名,0)),"※这个账户不在【参数设置】的账户档案里",IF($A619="","※没填日期，这一笔不会进任何月份的报表",IF(AND($G619&lt;&gt;"",$H619&lt;&gt;""),"※收入和支出不能同时填",IF(AND(N($G619)=0,N($H619)=0),"※收入和支出都没填",IF($E619="","※没填收支类别，分类报表会漏掉这一笔",IF(ISNA(MATCH($E619,类别表,0)),"※收支类别不在【参数设置】的清单里",IF($J619="","△"&amp;$D619&amp;" 还没填汇率，去【月度汇率】补上就自动算了",IF(YEAR($A619)&lt;&gt;管理年度,"△不是管理年度的单据，年报里看不到",IF(AND($F619="内部转账",$Q619=""),"△内部转账建议在「往来单位」写上对方账户",IF($M619&lt;0,"△这一笔之后该账户余额成负数了，核一下","")))))))))))</f>
        <v/>
      </c>
    </row>
    <row r="620" ht="16.5" spans="1:19">
      <c r="A620" s="45"/>
      <c r="B620" s="46"/>
      <c r="C620" s="12" t="str">
        <f>IF($B620="","",IFERROR(INDEX(账户银行,MATCH($B620,账户名,0)),""))</f>
        <v/>
      </c>
      <c r="D620" s="12" t="str">
        <f>IF($B620="","",IFERROR(INDEX(账户币种,MATCH($B620,账户名,0)),""))</f>
        <v/>
      </c>
      <c r="E620" s="47"/>
      <c r="F620" s="12" t="str">
        <f>IF($E620="","",IFERROR(INDEX(类别属性,MATCH($E620,类别表,0)),""))</f>
        <v/>
      </c>
      <c r="G620" s="48"/>
      <c r="H620" s="48"/>
      <c r="I620" s="49"/>
      <c r="J620" s="24" t="str">
        <f>IF(OR($A620="",$B620=""),"",IF($I620&lt;&gt;"",$I620,IF($D620=本位币,1,IFERROR(LOOKUP(2,1/((汇率月份&lt;=$A620)*(INDEX(记账汇率区,0,MATCH($D620,汇率币种头,0))&lt;&gt;"")),INDEX(记账汇率区,0,MATCH($D620,汇率币种头,0))),""))))</f>
        <v/>
      </c>
      <c r="K620" s="23" t="str">
        <f t="shared" si="18"/>
        <v/>
      </c>
      <c r="L620" s="23" t="str">
        <f t="shared" si="19"/>
        <v/>
      </c>
      <c r="M620" s="23" t="str">
        <f>IF($B620="","",ROUND(SUMIF(账户名,$B620,账户期初)+SUMIFS($K$6:K620,$B$6:B620,$B620),2))</f>
        <v/>
      </c>
      <c r="N620" s="23" t="str">
        <f>IF($B620="","",IFERROR(ROUND(INDEX(账户期初本位,MATCH($B620,账户名,0))+SUMIFS($L$6:L620,$B$6:B620,$B620),2),""))</f>
        <v/>
      </c>
      <c r="O620" s="46"/>
      <c r="P620" s="47"/>
      <c r="Q620" s="46"/>
      <c r="R620" s="46"/>
      <c r="S620" s="6" t="str">
        <f>IF($B620="","",IF(ISNA(MATCH($B620,账户名,0)),"※这个账户不在【参数设置】的账户档案里",IF($A620="","※没填日期，这一笔不会进任何月份的报表",IF(AND($G620&lt;&gt;"",$H620&lt;&gt;""),"※收入和支出不能同时填",IF(AND(N($G620)=0,N($H620)=0),"※收入和支出都没填",IF($E620="","※没填收支类别，分类报表会漏掉这一笔",IF(ISNA(MATCH($E620,类别表,0)),"※收支类别不在【参数设置】的清单里",IF($J620="","△"&amp;$D620&amp;" 还没填汇率，去【月度汇率】补上就自动算了",IF(YEAR($A620)&lt;&gt;管理年度,"△不是管理年度的单据，年报里看不到",IF(AND($F620="内部转账",$Q620=""),"△内部转账建议在「往来单位」写上对方账户",IF($M620&lt;0,"△这一笔之后该账户余额成负数了，核一下","")))))))))))</f>
        <v/>
      </c>
    </row>
    <row r="621" ht="16.5" spans="1:19">
      <c r="A621" s="45"/>
      <c r="B621" s="46"/>
      <c r="C621" s="12" t="str">
        <f>IF($B621="","",IFERROR(INDEX(账户银行,MATCH($B621,账户名,0)),""))</f>
        <v/>
      </c>
      <c r="D621" s="12" t="str">
        <f>IF($B621="","",IFERROR(INDEX(账户币种,MATCH($B621,账户名,0)),""))</f>
        <v/>
      </c>
      <c r="E621" s="47"/>
      <c r="F621" s="12" t="str">
        <f>IF($E621="","",IFERROR(INDEX(类别属性,MATCH($E621,类别表,0)),""))</f>
        <v/>
      </c>
      <c r="G621" s="48"/>
      <c r="H621" s="48"/>
      <c r="I621" s="49"/>
      <c r="J621" s="24" t="str">
        <f>IF(OR($A621="",$B621=""),"",IF($I621&lt;&gt;"",$I621,IF($D621=本位币,1,IFERROR(LOOKUP(2,1/((汇率月份&lt;=$A621)*(INDEX(记账汇率区,0,MATCH($D621,汇率币种头,0))&lt;&gt;"")),INDEX(记账汇率区,0,MATCH($D621,汇率币种头,0))),""))))</f>
        <v/>
      </c>
      <c r="K621" s="23" t="str">
        <f t="shared" si="18"/>
        <v/>
      </c>
      <c r="L621" s="23" t="str">
        <f t="shared" si="19"/>
        <v/>
      </c>
      <c r="M621" s="23" t="str">
        <f>IF($B621="","",ROUND(SUMIF(账户名,$B621,账户期初)+SUMIFS($K$6:K621,$B$6:B621,$B621),2))</f>
        <v/>
      </c>
      <c r="N621" s="23" t="str">
        <f>IF($B621="","",IFERROR(ROUND(INDEX(账户期初本位,MATCH($B621,账户名,0))+SUMIFS($L$6:L621,$B$6:B621,$B621),2),""))</f>
        <v/>
      </c>
      <c r="O621" s="46"/>
      <c r="P621" s="47"/>
      <c r="Q621" s="46"/>
      <c r="R621" s="46"/>
      <c r="S621" s="6" t="str">
        <f>IF($B621="","",IF(ISNA(MATCH($B621,账户名,0)),"※这个账户不在【参数设置】的账户档案里",IF($A621="","※没填日期，这一笔不会进任何月份的报表",IF(AND($G621&lt;&gt;"",$H621&lt;&gt;""),"※收入和支出不能同时填",IF(AND(N($G621)=0,N($H621)=0),"※收入和支出都没填",IF($E621="","※没填收支类别，分类报表会漏掉这一笔",IF(ISNA(MATCH($E621,类别表,0)),"※收支类别不在【参数设置】的清单里",IF($J621="","△"&amp;$D621&amp;" 还没填汇率，去【月度汇率】补上就自动算了",IF(YEAR($A621)&lt;&gt;管理年度,"△不是管理年度的单据，年报里看不到",IF(AND($F621="内部转账",$Q621=""),"△内部转账建议在「往来单位」写上对方账户",IF($M621&lt;0,"△这一笔之后该账户余额成负数了，核一下","")))))))))))</f>
        <v/>
      </c>
    </row>
    <row r="622" ht="16.5" spans="1:19">
      <c r="A622" s="45"/>
      <c r="B622" s="46"/>
      <c r="C622" s="12" t="str">
        <f>IF($B622="","",IFERROR(INDEX(账户银行,MATCH($B622,账户名,0)),""))</f>
        <v/>
      </c>
      <c r="D622" s="12" t="str">
        <f>IF($B622="","",IFERROR(INDEX(账户币种,MATCH($B622,账户名,0)),""))</f>
        <v/>
      </c>
      <c r="E622" s="47"/>
      <c r="F622" s="12" t="str">
        <f>IF($E622="","",IFERROR(INDEX(类别属性,MATCH($E622,类别表,0)),""))</f>
        <v/>
      </c>
      <c r="G622" s="48"/>
      <c r="H622" s="48"/>
      <c r="I622" s="49"/>
      <c r="J622" s="24" t="str">
        <f>IF(OR($A622="",$B622=""),"",IF($I622&lt;&gt;"",$I622,IF($D622=本位币,1,IFERROR(LOOKUP(2,1/((汇率月份&lt;=$A622)*(INDEX(记账汇率区,0,MATCH($D622,汇率币种头,0))&lt;&gt;"")),INDEX(记账汇率区,0,MATCH($D622,汇率币种头,0))),""))))</f>
        <v/>
      </c>
      <c r="K622" s="23" t="str">
        <f t="shared" si="18"/>
        <v/>
      </c>
      <c r="L622" s="23" t="str">
        <f t="shared" si="19"/>
        <v/>
      </c>
      <c r="M622" s="23" t="str">
        <f>IF($B622="","",ROUND(SUMIF(账户名,$B622,账户期初)+SUMIFS($K$6:K622,$B$6:B622,$B622),2))</f>
        <v/>
      </c>
      <c r="N622" s="23" t="str">
        <f>IF($B622="","",IFERROR(ROUND(INDEX(账户期初本位,MATCH($B622,账户名,0))+SUMIFS($L$6:L622,$B$6:B622,$B622),2),""))</f>
        <v/>
      </c>
      <c r="O622" s="46"/>
      <c r="P622" s="47"/>
      <c r="Q622" s="46"/>
      <c r="R622" s="46"/>
      <c r="S622" s="6" t="str">
        <f>IF($B622="","",IF(ISNA(MATCH($B622,账户名,0)),"※这个账户不在【参数设置】的账户档案里",IF($A622="","※没填日期，这一笔不会进任何月份的报表",IF(AND($G622&lt;&gt;"",$H622&lt;&gt;""),"※收入和支出不能同时填",IF(AND(N($G622)=0,N($H622)=0),"※收入和支出都没填",IF($E622="","※没填收支类别，分类报表会漏掉这一笔",IF(ISNA(MATCH($E622,类别表,0)),"※收支类别不在【参数设置】的清单里",IF($J622="","△"&amp;$D622&amp;" 还没填汇率，去【月度汇率】补上就自动算了",IF(YEAR($A622)&lt;&gt;管理年度,"△不是管理年度的单据，年报里看不到",IF(AND($F622="内部转账",$Q622=""),"△内部转账建议在「往来单位」写上对方账户",IF($M622&lt;0,"△这一笔之后该账户余额成负数了，核一下","")))))))))))</f>
        <v/>
      </c>
    </row>
    <row r="623" ht="16.5" spans="1:19">
      <c r="A623" s="45"/>
      <c r="B623" s="46"/>
      <c r="C623" s="12" t="str">
        <f>IF($B623="","",IFERROR(INDEX(账户银行,MATCH($B623,账户名,0)),""))</f>
        <v/>
      </c>
      <c r="D623" s="12" t="str">
        <f>IF($B623="","",IFERROR(INDEX(账户币种,MATCH($B623,账户名,0)),""))</f>
        <v/>
      </c>
      <c r="E623" s="47"/>
      <c r="F623" s="12" t="str">
        <f>IF($E623="","",IFERROR(INDEX(类别属性,MATCH($E623,类别表,0)),""))</f>
        <v/>
      </c>
      <c r="G623" s="48"/>
      <c r="H623" s="48"/>
      <c r="I623" s="49"/>
      <c r="J623" s="24" t="str">
        <f>IF(OR($A623="",$B623=""),"",IF($I623&lt;&gt;"",$I623,IF($D623=本位币,1,IFERROR(LOOKUP(2,1/((汇率月份&lt;=$A623)*(INDEX(记账汇率区,0,MATCH($D623,汇率币种头,0))&lt;&gt;"")),INDEX(记账汇率区,0,MATCH($D623,汇率币种头,0))),""))))</f>
        <v/>
      </c>
      <c r="K623" s="23" t="str">
        <f t="shared" si="18"/>
        <v/>
      </c>
      <c r="L623" s="23" t="str">
        <f t="shared" si="19"/>
        <v/>
      </c>
      <c r="M623" s="23" t="str">
        <f>IF($B623="","",ROUND(SUMIF(账户名,$B623,账户期初)+SUMIFS($K$6:K623,$B$6:B623,$B623),2))</f>
        <v/>
      </c>
      <c r="N623" s="23" t="str">
        <f>IF($B623="","",IFERROR(ROUND(INDEX(账户期初本位,MATCH($B623,账户名,0))+SUMIFS($L$6:L623,$B$6:B623,$B623),2),""))</f>
        <v/>
      </c>
      <c r="O623" s="46"/>
      <c r="P623" s="47"/>
      <c r="Q623" s="46"/>
      <c r="R623" s="46"/>
      <c r="S623" s="6" t="str">
        <f>IF($B623="","",IF(ISNA(MATCH($B623,账户名,0)),"※这个账户不在【参数设置】的账户档案里",IF($A623="","※没填日期，这一笔不会进任何月份的报表",IF(AND($G623&lt;&gt;"",$H623&lt;&gt;""),"※收入和支出不能同时填",IF(AND(N($G623)=0,N($H623)=0),"※收入和支出都没填",IF($E623="","※没填收支类别，分类报表会漏掉这一笔",IF(ISNA(MATCH($E623,类别表,0)),"※收支类别不在【参数设置】的清单里",IF($J623="","△"&amp;$D623&amp;" 还没填汇率，去【月度汇率】补上就自动算了",IF(YEAR($A623)&lt;&gt;管理年度,"△不是管理年度的单据，年报里看不到",IF(AND($F623="内部转账",$Q623=""),"△内部转账建议在「往来单位」写上对方账户",IF($M623&lt;0,"△这一笔之后该账户余额成负数了，核一下","")))))))))))</f>
        <v/>
      </c>
    </row>
    <row r="624" ht="16.5" spans="1:19">
      <c r="A624" s="45"/>
      <c r="B624" s="46"/>
      <c r="C624" s="12" t="str">
        <f>IF($B624="","",IFERROR(INDEX(账户银行,MATCH($B624,账户名,0)),""))</f>
        <v/>
      </c>
      <c r="D624" s="12" t="str">
        <f>IF($B624="","",IFERROR(INDEX(账户币种,MATCH($B624,账户名,0)),""))</f>
        <v/>
      </c>
      <c r="E624" s="47"/>
      <c r="F624" s="12" t="str">
        <f>IF($E624="","",IFERROR(INDEX(类别属性,MATCH($E624,类别表,0)),""))</f>
        <v/>
      </c>
      <c r="G624" s="48"/>
      <c r="H624" s="48"/>
      <c r="I624" s="49"/>
      <c r="J624" s="24" t="str">
        <f>IF(OR($A624="",$B624=""),"",IF($I624&lt;&gt;"",$I624,IF($D624=本位币,1,IFERROR(LOOKUP(2,1/((汇率月份&lt;=$A624)*(INDEX(记账汇率区,0,MATCH($D624,汇率币种头,0))&lt;&gt;"")),INDEX(记账汇率区,0,MATCH($D624,汇率币种头,0))),""))))</f>
        <v/>
      </c>
      <c r="K624" s="23" t="str">
        <f t="shared" si="18"/>
        <v/>
      </c>
      <c r="L624" s="23" t="str">
        <f t="shared" si="19"/>
        <v/>
      </c>
      <c r="M624" s="23" t="str">
        <f>IF($B624="","",ROUND(SUMIF(账户名,$B624,账户期初)+SUMIFS($K$6:K624,$B$6:B624,$B624),2))</f>
        <v/>
      </c>
      <c r="N624" s="23" t="str">
        <f>IF($B624="","",IFERROR(ROUND(INDEX(账户期初本位,MATCH($B624,账户名,0))+SUMIFS($L$6:L624,$B$6:B624,$B624),2),""))</f>
        <v/>
      </c>
      <c r="O624" s="46"/>
      <c r="P624" s="47"/>
      <c r="Q624" s="46"/>
      <c r="R624" s="46"/>
      <c r="S624" s="6" t="str">
        <f>IF($B624="","",IF(ISNA(MATCH($B624,账户名,0)),"※这个账户不在【参数设置】的账户档案里",IF($A624="","※没填日期，这一笔不会进任何月份的报表",IF(AND($G624&lt;&gt;"",$H624&lt;&gt;""),"※收入和支出不能同时填",IF(AND(N($G624)=0,N($H624)=0),"※收入和支出都没填",IF($E624="","※没填收支类别，分类报表会漏掉这一笔",IF(ISNA(MATCH($E624,类别表,0)),"※收支类别不在【参数设置】的清单里",IF($J624="","△"&amp;$D624&amp;" 还没填汇率，去【月度汇率】补上就自动算了",IF(YEAR($A624)&lt;&gt;管理年度,"△不是管理年度的单据，年报里看不到",IF(AND($F624="内部转账",$Q624=""),"△内部转账建议在「往来单位」写上对方账户",IF($M624&lt;0,"△这一笔之后该账户余额成负数了，核一下","")))))))))))</f>
        <v/>
      </c>
    </row>
    <row r="625" ht="16.5" spans="1:19">
      <c r="A625" s="45"/>
      <c r="B625" s="46"/>
      <c r="C625" s="12" t="str">
        <f>IF($B625="","",IFERROR(INDEX(账户银行,MATCH($B625,账户名,0)),""))</f>
        <v/>
      </c>
      <c r="D625" s="12" t="str">
        <f>IF($B625="","",IFERROR(INDEX(账户币种,MATCH($B625,账户名,0)),""))</f>
        <v/>
      </c>
      <c r="E625" s="47"/>
      <c r="F625" s="12" t="str">
        <f>IF($E625="","",IFERROR(INDEX(类别属性,MATCH($E625,类别表,0)),""))</f>
        <v/>
      </c>
      <c r="G625" s="48"/>
      <c r="H625" s="48"/>
      <c r="I625" s="49"/>
      <c r="J625" s="24" t="str">
        <f>IF(OR($A625="",$B625=""),"",IF($I625&lt;&gt;"",$I625,IF($D625=本位币,1,IFERROR(LOOKUP(2,1/((汇率月份&lt;=$A625)*(INDEX(记账汇率区,0,MATCH($D625,汇率币种头,0))&lt;&gt;"")),INDEX(记账汇率区,0,MATCH($D625,汇率币种头,0))),""))))</f>
        <v/>
      </c>
      <c r="K625" s="23" t="str">
        <f t="shared" si="18"/>
        <v/>
      </c>
      <c r="L625" s="23" t="str">
        <f t="shared" si="19"/>
        <v/>
      </c>
      <c r="M625" s="23" t="str">
        <f>IF($B625="","",ROUND(SUMIF(账户名,$B625,账户期初)+SUMIFS($K$6:K625,$B$6:B625,$B625),2))</f>
        <v/>
      </c>
      <c r="N625" s="23" t="str">
        <f>IF($B625="","",IFERROR(ROUND(INDEX(账户期初本位,MATCH($B625,账户名,0))+SUMIFS($L$6:L625,$B$6:B625,$B625),2),""))</f>
        <v/>
      </c>
      <c r="O625" s="46"/>
      <c r="P625" s="47"/>
      <c r="Q625" s="46"/>
      <c r="R625" s="46"/>
      <c r="S625" s="6" t="str">
        <f>IF($B625="","",IF(ISNA(MATCH($B625,账户名,0)),"※这个账户不在【参数设置】的账户档案里",IF($A625="","※没填日期，这一笔不会进任何月份的报表",IF(AND($G625&lt;&gt;"",$H625&lt;&gt;""),"※收入和支出不能同时填",IF(AND(N($G625)=0,N($H625)=0),"※收入和支出都没填",IF($E625="","※没填收支类别，分类报表会漏掉这一笔",IF(ISNA(MATCH($E625,类别表,0)),"※收支类别不在【参数设置】的清单里",IF($J625="","△"&amp;$D625&amp;" 还没填汇率，去【月度汇率】补上就自动算了",IF(YEAR($A625)&lt;&gt;管理年度,"△不是管理年度的单据，年报里看不到",IF(AND($F625="内部转账",$Q625=""),"△内部转账建议在「往来单位」写上对方账户",IF($M625&lt;0,"△这一笔之后该账户余额成负数了，核一下","")))))))))))</f>
        <v/>
      </c>
    </row>
    <row r="626" ht="16.5" spans="1:19">
      <c r="A626" s="45"/>
      <c r="B626" s="46"/>
      <c r="C626" s="12" t="str">
        <f>IF($B626="","",IFERROR(INDEX(账户银行,MATCH($B626,账户名,0)),""))</f>
        <v/>
      </c>
      <c r="D626" s="12" t="str">
        <f>IF($B626="","",IFERROR(INDEX(账户币种,MATCH($B626,账户名,0)),""))</f>
        <v/>
      </c>
      <c r="E626" s="47"/>
      <c r="F626" s="12" t="str">
        <f>IF($E626="","",IFERROR(INDEX(类别属性,MATCH($E626,类别表,0)),""))</f>
        <v/>
      </c>
      <c r="G626" s="48"/>
      <c r="H626" s="48"/>
      <c r="I626" s="49"/>
      <c r="J626" s="24" t="str">
        <f>IF(OR($A626="",$B626=""),"",IF($I626&lt;&gt;"",$I626,IF($D626=本位币,1,IFERROR(LOOKUP(2,1/((汇率月份&lt;=$A626)*(INDEX(记账汇率区,0,MATCH($D626,汇率币种头,0))&lt;&gt;"")),INDEX(记账汇率区,0,MATCH($D626,汇率币种头,0))),""))))</f>
        <v/>
      </c>
      <c r="K626" s="23" t="str">
        <f t="shared" si="18"/>
        <v/>
      </c>
      <c r="L626" s="23" t="str">
        <f t="shared" si="19"/>
        <v/>
      </c>
      <c r="M626" s="23" t="str">
        <f>IF($B626="","",ROUND(SUMIF(账户名,$B626,账户期初)+SUMIFS($K$6:K626,$B$6:B626,$B626),2))</f>
        <v/>
      </c>
      <c r="N626" s="23" t="str">
        <f>IF($B626="","",IFERROR(ROUND(INDEX(账户期初本位,MATCH($B626,账户名,0))+SUMIFS($L$6:L626,$B$6:B626,$B626),2),""))</f>
        <v/>
      </c>
      <c r="O626" s="46"/>
      <c r="P626" s="47"/>
      <c r="Q626" s="46"/>
      <c r="R626" s="46"/>
      <c r="S626" s="6" t="str">
        <f>IF($B626="","",IF(ISNA(MATCH($B626,账户名,0)),"※这个账户不在【参数设置】的账户档案里",IF($A626="","※没填日期，这一笔不会进任何月份的报表",IF(AND($G626&lt;&gt;"",$H626&lt;&gt;""),"※收入和支出不能同时填",IF(AND(N($G626)=0,N($H626)=0),"※收入和支出都没填",IF($E626="","※没填收支类别，分类报表会漏掉这一笔",IF(ISNA(MATCH($E626,类别表,0)),"※收支类别不在【参数设置】的清单里",IF($J626="","△"&amp;$D626&amp;" 还没填汇率，去【月度汇率】补上就自动算了",IF(YEAR($A626)&lt;&gt;管理年度,"△不是管理年度的单据，年报里看不到",IF(AND($F626="内部转账",$Q626=""),"△内部转账建议在「往来单位」写上对方账户",IF($M626&lt;0,"△这一笔之后该账户余额成负数了，核一下","")))))))))))</f>
        <v/>
      </c>
    </row>
    <row r="627" ht="16.5" spans="1:19">
      <c r="A627" s="45"/>
      <c r="B627" s="46"/>
      <c r="C627" s="12" t="str">
        <f>IF($B627="","",IFERROR(INDEX(账户银行,MATCH($B627,账户名,0)),""))</f>
        <v/>
      </c>
      <c r="D627" s="12" t="str">
        <f>IF($B627="","",IFERROR(INDEX(账户币种,MATCH($B627,账户名,0)),""))</f>
        <v/>
      </c>
      <c r="E627" s="47"/>
      <c r="F627" s="12" t="str">
        <f>IF($E627="","",IFERROR(INDEX(类别属性,MATCH($E627,类别表,0)),""))</f>
        <v/>
      </c>
      <c r="G627" s="48"/>
      <c r="H627" s="48"/>
      <c r="I627" s="49"/>
      <c r="J627" s="24" t="str">
        <f>IF(OR($A627="",$B627=""),"",IF($I627&lt;&gt;"",$I627,IF($D627=本位币,1,IFERROR(LOOKUP(2,1/((汇率月份&lt;=$A627)*(INDEX(记账汇率区,0,MATCH($D627,汇率币种头,0))&lt;&gt;"")),INDEX(记账汇率区,0,MATCH($D627,汇率币种头,0))),""))))</f>
        <v/>
      </c>
      <c r="K627" s="23" t="str">
        <f t="shared" si="18"/>
        <v/>
      </c>
      <c r="L627" s="23" t="str">
        <f t="shared" si="19"/>
        <v/>
      </c>
      <c r="M627" s="23" t="str">
        <f>IF($B627="","",ROUND(SUMIF(账户名,$B627,账户期初)+SUMIFS($K$6:K627,$B$6:B627,$B627),2))</f>
        <v/>
      </c>
      <c r="N627" s="23" t="str">
        <f>IF($B627="","",IFERROR(ROUND(INDEX(账户期初本位,MATCH($B627,账户名,0))+SUMIFS($L$6:L627,$B$6:B627,$B627),2),""))</f>
        <v/>
      </c>
      <c r="O627" s="46"/>
      <c r="P627" s="47"/>
      <c r="Q627" s="46"/>
      <c r="R627" s="46"/>
      <c r="S627" s="6" t="str">
        <f>IF($B627="","",IF(ISNA(MATCH($B627,账户名,0)),"※这个账户不在【参数设置】的账户档案里",IF($A627="","※没填日期，这一笔不会进任何月份的报表",IF(AND($G627&lt;&gt;"",$H627&lt;&gt;""),"※收入和支出不能同时填",IF(AND(N($G627)=0,N($H627)=0),"※收入和支出都没填",IF($E627="","※没填收支类别，分类报表会漏掉这一笔",IF(ISNA(MATCH($E627,类别表,0)),"※收支类别不在【参数设置】的清单里",IF($J627="","△"&amp;$D627&amp;" 还没填汇率，去【月度汇率】补上就自动算了",IF(YEAR($A627)&lt;&gt;管理年度,"△不是管理年度的单据，年报里看不到",IF(AND($F627="内部转账",$Q627=""),"△内部转账建议在「往来单位」写上对方账户",IF($M627&lt;0,"△这一笔之后该账户余额成负数了，核一下","")))))))))))</f>
        <v/>
      </c>
    </row>
    <row r="628" ht="16.5" spans="1:19">
      <c r="A628" s="45"/>
      <c r="B628" s="46"/>
      <c r="C628" s="12" t="str">
        <f>IF($B628="","",IFERROR(INDEX(账户银行,MATCH($B628,账户名,0)),""))</f>
        <v/>
      </c>
      <c r="D628" s="12" t="str">
        <f>IF($B628="","",IFERROR(INDEX(账户币种,MATCH($B628,账户名,0)),""))</f>
        <v/>
      </c>
      <c r="E628" s="47"/>
      <c r="F628" s="12" t="str">
        <f>IF($E628="","",IFERROR(INDEX(类别属性,MATCH($E628,类别表,0)),""))</f>
        <v/>
      </c>
      <c r="G628" s="48"/>
      <c r="H628" s="48"/>
      <c r="I628" s="49"/>
      <c r="J628" s="24" t="str">
        <f>IF(OR($A628="",$B628=""),"",IF($I628&lt;&gt;"",$I628,IF($D628=本位币,1,IFERROR(LOOKUP(2,1/((汇率月份&lt;=$A628)*(INDEX(记账汇率区,0,MATCH($D628,汇率币种头,0))&lt;&gt;"")),INDEX(记账汇率区,0,MATCH($D628,汇率币种头,0))),""))))</f>
        <v/>
      </c>
      <c r="K628" s="23" t="str">
        <f t="shared" si="18"/>
        <v/>
      </c>
      <c r="L628" s="23" t="str">
        <f t="shared" si="19"/>
        <v/>
      </c>
      <c r="M628" s="23" t="str">
        <f>IF($B628="","",ROUND(SUMIF(账户名,$B628,账户期初)+SUMIFS($K$6:K628,$B$6:B628,$B628),2))</f>
        <v/>
      </c>
      <c r="N628" s="23" t="str">
        <f>IF($B628="","",IFERROR(ROUND(INDEX(账户期初本位,MATCH($B628,账户名,0))+SUMIFS($L$6:L628,$B$6:B628,$B628),2),""))</f>
        <v/>
      </c>
      <c r="O628" s="46"/>
      <c r="P628" s="47"/>
      <c r="Q628" s="46"/>
      <c r="R628" s="46"/>
      <c r="S628" s="6" t="str">
        <f>IF($B628="","",IF(ISNA(MATCH($B628,账户名,0)),"※这个账户不在【参数设置】的账户档案里",IF($A628="","※没填日期，这一笔不会进任何月份的报表",IF(AND($G628&lt;&gt;"",$H628&lt;&gt;""),"※收入和支出不能同时填",IF(AND(N($G628)=0,N($H628)=0),"※收入和支出都没填",IF($E628="","※没填收支类别，分类报表会漏掉这一笔",IF(ISNA(MATCH($E628,类别表,0)),"※收支类别不在【参数设置】的清单里",IF($J628="","△"&amp;$D628&amp;" 还没填汇率，去【月度汇率】补上就自动算了",IF(YEAR($A628)&lt;&gt;管理年度,"△不是管理年度的单据，年报里看不到",IF(AND($F628="内部转账",$Q628=""),"△内部转账建议在「往来单位」写上对方账户",IF($M628&lt;0,"△这一笔之后该账户余额成负数了，核一下","")))))))))))</f>
        <v/>
      </c>
    </row>
    <row r="629" ht="16.5" spans="1:19">
      <c r="A629" s="45"/>
      <c r="B629" s="46"/>
      <c r="C629" s="12" t="str">
        <f>IF($B629="","",IFERROR(INDEX(账户银行,MATCH($B629,账户名,0)),""))</f>
        <v/>
      </c>
      <c r="D629" s="12" t="str">
        <f>IF($B629="","",IFERROR(INDEX(账户币种,MATCH($B629,账户名,0)),""))</f>
        <v/>
      </c>
      <c r="E629" s="47"/>
      <c r="F629" s="12" t="str">
        <f>IF($E629="","",IFERROR(INDEX(类别属性,MATCH($E629,类别表,0)),""))</f>
        <v/>
      </c>
      <c r="G629" s="48"/>
      <c r="H629" s="48"/>
      <c r="I629" s="49"/>
      <c r="J629" s="24" t="str">
        <f>IF(OR($A629="",$B629=""),"",IF($I629&lt;&gt;"",$I629,IF($D629=本位币,1,IFERROR(LOOKUP(2,1/((汇率月份&lt;=$A629)*(INDEX(记账汇率区,0,MATCH($D629,汇率币种头,0))&lt;&gt;"")),INDEX(记账汇率区,0,MATCH($D629,汇率币种头,0))),""))))</f>
        <v/>
      </c>
      <c r="K629" s="23" t="str">
        <f t="shared" si="18"/>
        <v/>
      </c>
      <c r="L629" s="23" t="str">
        <f t="shared" si="19"/>
        <v/>
      </c>
      <c r="M629" s="23" t="str">
        <f>IF($B629="","",ROUND(SUMIF(账户名,$B629,账户期初)+SUMIFS($K$6:K629,$B$6:B629,$B629),2))</f>
        <v/>
      </c>
      <c r="N629" s="23" t="str">
        <f>IF($B629="","",IFERROR(ROUND(INDEX(账户期初本位,MATCH($B629,账户名,0))+SUMIFS($L$6:L629,$B$6:B629,$B629),2),""))</f>
        <v/>
      </c>
      <c r="O629" s="46"/>
      <c r="P629" s="47"/>
      <c r="Q629" s="46"/>
      <c r="R629" s="46"/>
      <c r="S629" s="6" t="str">
        <f>IF($B629="","",IF(ISNA(MATCH($B629,账户名,0)),"※这个账户不在【参数设置】的账户档案里",IF($A629="","※没填日期，这一笔不会进任何月份的报表",IF(AND($G629&lt;&gt;"",$H629&lt;&gt;""),"※收入和支出不能同时填",IF(AND(N($G629)=0,N($H629)=0),"※收入和支出都没填",IF($E629="","※没填收支类别，分类报表会漏掉这一笔",IF(ISNA(MATCH($E629,类别表,0)),"※收支类别不在【参数设置】的清单里",IF($J629="","△"&amp;$D629&amp;" 还没填汇率，去【月度汇率】补上就自动算了",IF(YEAR($A629)&lt;&gt;管理年度,"△不是管理年度的单据，年报里看不到",IF(AND($F629="内部转账",$Q629=""),"△内部转账建议在「往来单位」写上对方账户",IF($M629&lt;0,"△这一笔之后该账户余额成负数了，核一下","")))))))))))</f>
        <v/>
      </c>
    </row>
    <row r="630" ht="16.5" spans="1:19">
      <c r="A630" s="45"/>
      <c r="B630" s="46"/>
      <c r="C630" s="12" t="str">
        <f>IF($B630="","",IFERROR(INDEX(账户银行,MATCH($B630,账户名,0)),""))</f>
        <v/>
      </c>
      <c r="D630" s="12" t="str">
        <f>IF($B630="","",IFERROR(INDEX(账户币种,MATCH($B630,账户名,0)),""))</f>
        <v/>
      </c>
      <c r="E630" s="47"/>
      <c r="F630" s="12" t="str">
        <f>IF($E630="","",IFERROR(INDEX(类别属性,MATCH($E630,类别表,0)),""))</f>
        <v/>
      </c>
      <c r="G630" s="48"/>
      <c r="H630" s="48"/>
      <c r="I630" s="49"/>
      <c r="J630" s="24" t="str">
        <f>IF(OR($A630="",$B630=""),"",IF($I630&lt;&gt;"",$I630,IF($D630=本位币,1,IFERROR(LOOKUP(2,1/((汇率月份&lt;=$A630)*(INDEX(记账汇率区,0,MATCH($D630,汇率币种头,0))&lt;&gt;"")),INDEX(记账汇率区,0,MATCH($D630,汇率币种头,0))),""))))</f>
        <v/>
      </c>
      <c r="K630" s="23" t="str">
        <f t="shared" si="18"/>
        <v/>
      </c>
      <c r="L630" s="23" t="str">
        <f t="shared" si="19"/>
        <v/>
      </c>
      <c r="M630" s="23" t="str">
        <f>IF($B630="","",ROUND(SUMIF(账户名,$B630,账户期初)+SUMIFS($K$6:K630,$B$6:B630,$B630),2))</f>
        <v/>
      </c>
      <c r="N630" s="23" t="str">
        <f>IF($B630="","",IFERROR(ROUND(INDEX(账户期初本位,MATCH($B630,账户名,0))+SUMIFS($L$6:L630,$B$6:B630,$B630),2),""))</f>
        <v/>
      </c>
      <c r="O630" s="46"/>
      <c r="P630" s="47"/>
      <c r="Q630" s="46"/>
      <c r="R630" s="46"/>
      <c r="S630" s="6" t="str">
        <f>IF($B630="","",IF(ISNA(MATCH($B630,账户名,0)),"※这个账户不在【参数设置】的账户档案里",IF($A630="","※没填日期，这一笔不会进任何月份的报表",IF(AND($G630&lt;&gt;"",$H630&lt;&gt;""),"※收入和支出不能同时填",IF(AND(N($G630)=0,N($H630)=0),"※收入和支出都没填",IF($E630="","※没填收支类别，分类报表会漏掉这一笔",IF(ISNA(MATCH($E630,类别表,0)),"※收支类别不在【参数设置】的清单里",IF($J630="","△"&amp;$D630&amp;" 还没填汇率，去【月度汇率】补上就自动算了",IF(YEAR($A630)&lt;&gt;管理年度,"△不是管理年度的单据，年报里看不到",IF(AND($F630="内部转账",$Q630=""),"△内部转账建议在「往来单位」写上对方账户",IF($M630&lt;0,"△这一笔之后该账户余额成负数了，核一下","")))))))))))</f>
        <v/>
      </c>
    </row>
    <row r="631" ht="16.5" spans="1:19">
      <c r="A631" s="45"/>
      <c r="B631" s="46"/>
      <c r="C631" s="12" t="str">
        <f>IF($B631="","",IFERROR(INDEX(账户银行,MATCH($B631,账户名,0)),""))</f>
        <v/>
      </c>
      <c r="D631" s="12" t="str">
        <f>IF($B631="","",IFERROR(INDEX(账户币种,MATCH($B631,账户名,0)),""))</f>
        <v/>
      </c>
      <c r="E631" s="47"/>
      <c r="F631" s="12" t="str">
        <f>IF($E631="","",IFERROR(INDEX(类别属性,MATCH($E631,类别表,0)),""))</f>
        <v/>
      </c>
      <c r="G631" s="48"/>
      <c r="H631" s="48"/>
      <c r="I631" s="49"/>
      <c r="J631" s="24" t="str">
        <f>IF(OR($A631="",$B631=""),"",IF($I631&lt;&gt;"",$I631,IF($D631=本位币,1,IFERROR(LOOKUP(2,1/((汇率月份&lt;=$A631)*(INDEX(记账汇率区,0,MATCH($D631,汇率币种头,0))&lt;&gt;"")),INDEX(记账汇率区,0,MATCH($D631,汇率币种头,0))),""))))</f>
        <v/>
      </c>
      <c r="K631" s="23" t="str">
        <f t="shared" si="18"/>
        <v/>
      </c>
      <c r="L631" s="23" t="str">
        <f t="shared" si="19"/>
        <v/>
      </c>
      <c r="M631" s="23" t="str">
        <f>IF($B631="","",ROUND(SUMIF(账户名,$B631,账户期初)+SUMIFS($K$6:K631,$B$6:B631,$B631),2))</f>
        <v/>
      </c>
      <c r="N631" s="23" t="str">
        <f>IF($B631="","",IFERROR(ROUND(INDEX(账户期初本位,MATCH($B631,账户名,0))+SUMIFS($L$6:L631,$B$6:B631,$B631),2),""))</f>
        <v/>
      </c>
      <c r="O631" s="46"/>
      <c r="P631" s="47"/>
      <c r="Q631" s="46"/>
      <c r="R631" s="46"/>
      <c r="S631" s="6" t="str">
        <f>IF($B631="","",IF(ISNA(MATCH($B631,账户名,0)),"※这个账户不在【参数设置】的账户档案里",IF($A631="","※没填日期，这一笔不会进任何月份的报表",IF(AND($G631&lt;&gt;"",$H631&lt;&gt;""),"※收入和支出不能同时填",IF(AND(N($G631)=0,N($H631)=0),"※收入和支出都没填",IF($E631="","※没填收支类别，分类报表会漏掉这一笔",IF(ISNA(MATCH($E631,类别表,0)),"※收支类别不在【参数设置】的清单里",IF($J631="","△"&amp;$D631&amp;" 还没填汇率，去【月度汇率】补上就自动算了",IF(YEAR($A631)&lt;&gt;管理年度,"△不是管理年度的单据，年报里看不到",IF(AND($F631="内部转账",$Q631=""),"△内部转账建议在「往来单位」写上对方账户",IF($M631&lt;0,"△这一笔之后该账户余额成负数了，核一下","")))))))))))</f>
        <v/>
      </c>
    </row>
    <row r="632" ht="16.5" spans="1:19">
      <c r="A632" s="45"/>
      <c r="B632" s="46"/>
      <c r="C632" s="12" t="str">
        <f>IF($B632="","",IFERROR(INDEX(账户银行,MATCH($B632,账户名,0)),""))</f>
        <v/>
      </c>
      <c r="D632" s="12" t="str">
        <f>IF($B632="","",IFERROR(INDEX(账户币种,MATCH($B632,账户名,0)),""))</f>
        <v/>
      </c>
      <c r="E632" s="47"/>
      <c r="F632" s="12" t="str">
        <f>IF($E632="","",IFERROR(INDEX(类别属性,MATCH($E632,类别表,0)),""))</f>
        <v/>
      </c>
      <c r="G632" s="48"/>
      <c r="H632" s="48"/>
      <c r="I632" s="49"/>
      <c r="J632" s="24" t="str">
        <f>IF(OR($A632="",$B632=""),"",IF($I632&lt;&gt;"",$I632,IF($D632=本位币,1,IFERROR(LOOKUP(2,1/((汇率月份&lt;=$A632)*(INDEX(记账汇率区,0,MATCH($D632,汇率币种头,0))&lt;&gt;"")),INDEX(记账汇率区,0,MATCH($D632,汇率币种头,0))),""))))</f>
        <v/>
      </c>
      <c r="K632" s="23" t="str">
        <f t="shared" si="18"/>
        <v/>
      </c>
      <c r="L632" s="23" t="str">
        <f t="shared" si="19"/>
        <v/>
      </c>
      <c r="M632" s="23" t="str">
        <f>IF($B632="","",ROUND(SUMIF(账户名,$B632,账户期初)+SUMIFS($K$6:K632,$B$6:B632,$B632),2))</f>
        <v/>
      </c>
      <c r="N632" s="23" t="str">
        <f>IF($B632="","",IFERROR(ROUND(INDEX(账户期初本位,MATCH($B632,账户名,0))+SUMIFS($L$6:L632,$B$6:B632,$B632),2),""))</f>
        <v/>
      </c>
      <c r="O632" s="46"/>
      <c r="P632" s="47"/>
      <c r="Q632" s="46"/>
      <c r="R632" s="46"/>
      <c r="S632" s="6" t="str">
        <f>IF($B632="","",IF(ISNA(MATCH($B632,账户名,0)),"※这个账户不在【参数设置】的账户档案里",IF($A632="","※没填日期，这一笔不会进任何月份的报表",IF(AND($G632&lt;&gt;"",$H632&lt;&gt;""),"※收入和支出不能同时填",IF(AND(N($G632)=0,N($H632)=0),"※收入和支出都没填",IF($E632="","※没填收支类别，分类报表会漏掉这一笔",IF(ISNA(MATCH($E632,类别表,0)),"※收支类别不在【参数设置】的清单里",IF($J632="","△"&amp;$D632&amp;" 还没填汇率，去【月度汇率】补上就自动算了",IF(YEAR($A632)&lt;&gt;管理年度,"△不是管理年度的单据，年报里看不到",IF(AND($F632="内部转账",$Q632=""),"△内部转账建议在「往来单位」写上对方账户",IF($M632&lt;0,"△这一笔之后该账户余额成负数了，核一下","")))))))))))</f>
        <v/>
      </c>
    </row>
    <row r="633" ht="16.5" spans="1:19">
      <c r="A633" s="45"/>
      <c r="B633" s="46"/>
      <c r="C633" s="12" t="str">
        <f>IF($B633="","",IFERROR(INDEX(账户银行,MATCH($B633,账户名,0)),""))</f>
        <v/>
      </c>
      <c r="D633" s="12" t="str">
        <f>IF($B633="","",IFERROR(INDEX(账户币种,MATCH($B633,账户名,0)),""))</f>
        <v/>
      </c>
      <c r="E633" s="47"/>
      <c r="F633" s="12" t="str">
        <f>IF($E633="","",IFERROR(INDEX(类别属性,MATCH($E633,类别表,0)),""))</f>
        <v/>
      </c>
      <c r="G633" s="48"/>
      <c r="H633" s="48"/>
      <c r="I633" s="49"/>
      <c r="J633" s="24" t="str">
        <f>IF(OR($A633="",$B633=""),"",IF($I633&lt;&gt;"",$I633,IF($D633=本位币,1,IFERROR(LOOKUP(2,1/((汇率月份&lt;=$A633)*(INDEX(记账汇率区,0,MATCH($D633,汇率币种头,0))&lt;&gt;"")),INDEX(记账汇率区,0,MATCH($D633,汇率币种头,0))),""))))</f>
        <v/>
      </c>
      <c r="K633" s="23" t="str">
        <f t="shared" si="18"/>
        <v/>
      </c>
      <c r="L633" s="23" t="str">
        <f t="shared" si="19"/>
        <v/>
      </c>
      <c r="M633" s="23" t="str">
        <f>IF($B633="","",ROUND(SUMIF(账户名,$B633,账户期初)+SUMIFS($K$6:K633,$B$6:B633,$B633),2))</f>
        <v/>
      </c>
      <c r="N633" s="23" t="str">
        <f>IF($B633="","",IFERROR(ROUND(INDEX(账户期初本位,MATCH($B633,账户名,0))+SUMIFS($L$6:L633,$B$6:B633,$B633),2),""))</f>
        <v/>
      </c>
      <c r="O633" s="46"/>
      <c r="P633" s="47"/>
      <c r="Q633" s="46"/>
      <c r="R633" s="46"/>
      <c r="S633" s="6" t="str">
        <f>IF($B633="","",IF(ISNA(MATCH($B633,账户名,0)),"※这个账户不在【参数设置】的账户档案里",IF($A633="","※没填日期，这一笔不会进任何月份的报表",IF(AND($G633&lt;&gt;"",$H633&lt;&gt;""),"※收入和支出不能同时填",IF(AND(N($G633)=0,N($H633)=0),"※收入和支出都没填",IF($E633="","※没填收支类别，分类报表会漏掉这一笔",IF(ISNA(MATCH($E633,类别表,0)),"※收支类别不在【参数设置】的清单里",IF($J633="","△"&amp;$D633&amp;" 还没填汇率，去【月度汇率】补上就自动算了",IF(YEAR($A633)&lt;&gt;管理年度,"△不是管理年度的单据，年报里看不到",IF(AND($F633="内部转账",$Q633=""),"△内部转账建议在「往来单位」写上对方账户",IF($M633&lt;0,"△这一笔之后该账户余额成负数了，核一下","")))))))))))</f>
        <v/>
      </c>
    </row>
    <row r="634" ht="16.5" spans="1:19">
      <c r="A634" s="45"/>
      <c r="B634" s="46"/>
      <c r="C634" s="12" t="str">
        <f>IF($B634="","",IFERROR(INDEX(账户银行,MATCH($B634,账户名,0)),""))</f>
        <v/>
      </c>
      <c r="D634" s="12" t="str">
        <f>IF($B634="","",IFERROR(INDEX(账户币种,MATCH($B634,账户名,0)),""))</f>
        <v/>
      </c>
      <c r="E634" s="47"/>
      <c r="F634" s="12" t="str">
        <f>IF($E634="","",IFERROR(INDEX(类别属性,MATCH($E634,类别表,0)),""))</f>
        <v/>
      </c>
      <c r="G634" s="48"/>
      <c r="H634" s="48"/>
      <c r="I634" s="49"/>
      <c r="J634" s="24" t="str">
        <f>IF(OR($A634="",$B634=""),"",IF($I634&lt;&gt;"",$I634,IF($D634=本位币,1,IFERROR(LOOKUP(2,1/((汇率月份&lt;=$A634)*(INDEX(记账汇率区,0,MATCH($D634,汇率币种头,0))&lt;&gt;"")),INDEX(记账汇率区,0,MATCH($D634,汇率币种头,0))),""))))</f>
        <v/>
      </c>
      <c r="K634" s="23" t="str">
        <f t="shared" si="18"/>
        <v/>
      </c>
      <c r="L634" s="23" t="str">
        <f t="shared" si="19"/>
        <v/>
      </c>
      <c r="M634" s="23" t="str">
        <f>IF($B634="","",ROUND(SUMIF(账户名,$B634,账户期初)+SUMIFS($K$6:K634,$B$6:B634,$B634),2))</f>
        <v/>
      </c>
      <c r="N634" s="23" t="str">
        <f>IF($B634="","",IFERROR(ROUND(INDEX(账户期初本位,MATCH($B634,账户名,0))+SUMIFS($L$6:L634,$B$6:B634,$B634),2),""))</f>
        <v/>
      </c>
      <c r="O634" s="46"/>
      <c r="P634" s="47"/>
      <c r="Q634" s="46"/>
      <c r="R634" s="46"/>
      <c r="S634" s="6" t="str">
        <f>IF($B634="","",IF(ISNA(MATCH($B634,账户名,0)),"※这个账户不在【参数设置】的账户档案里",IF($A634="","※没填日期，这一笔不会进任何月份的报表",IF(AND($G634&lt;&gt;"",$H634&lt;&gt;""),"※收入和支出不能同时填",IF(AND(N($G634)=0,N($H634)=0),"※收入和支出都没填",IF($E634="","※没填收支类别，分类报表会漏掉这一笔",IF(ISNA(MATCH($E634,类别表,0)),"※收支类别不在【参数设置】的清单里",IF($J634="","△"&amp;$D634&amp;" 还没填汇率，去【月度汇率】补上就自动算了",IF(YEAR($A634)&lt;&gt;管理年度,"△不是管理年度的单据，年报里看不到",IF(AND($F634="内部转账",$Q634=""),"△内部转账建议在「往来单位」写上对方账户",IF($M634&lt;0,"△这一笔之后该账户余额成负数了，核一下","")))))))))))</f>
        <v/>
      </c>
    </row>
    <row r="635" ht="16.5" spans="1:19">
      <c r="A635" s="45"/>
      <c r="B635" s="46"/>
      <c r="C635" s="12" t="str">
        <f>IF($B635="","",IFERROR(INDEX(账户银行,MATCH($B635,账户名,0)),""))</f>
        <v/>
      </c>
      <c r="D635" s="12" t="str">
        <f>IF($B635="","",IFERROR(INDEX(账户币种,MATCH($B635,账户名,0)),""))</f>
        <v/>
      </c>
      <c r="E635" s="47"/>
      <c r="F635" s="12" t="str">
        <f>IF($E635="","",IFERROR(INDEX(类别属性,MATCH($E635,类别表,0)),""))</f>
        <v/>
      </c>
      <c r="G635" s="48"/>
      <c r="H635" s="48"/>
      <c r="I635" s="49"/>
      <c r="J635" s="24" t="str">
        <f>IF(OR($A635="",$B635=""),"",IF($I635&lt;&gt;"",$I635,IF($D635=本位币,1,IFERROR(LOOKUP(2,1/((汇率月份&lt;=$A635)*(INDEX(记账汇率区,0,MATCH($D635,汇率币种头,0))&lt;&gt;"")),INDEX(记账汇率区,0,MATCH($D635,汇率币种头,0))),""))))</f>
        <v/>
      </c>
      <c r="K635" s="23" t="str">
        <f t="shared" si="18"/>
        <v/>
      </c>
      <c r="L635" s="23" t="str">
        <f t="shared" si="19"/>
        <v/>
      </c>
      <c r="M635" s="23" t="str">
        <f>IF($B635="","",ROUND(SUMIF(账户名,$B635,账户期初)+SUMIFS($K$6:K635,$B$6:B635,$B635),2))</f>
        <v/>
      </c>
      <c r="N635" s="23" t="str">
        <f>IF($B635="","",IFERROR(ROUND(INDEX(账户期初本位,MATCH($B635,账户名,0))+SUMIFS($L$6:L635,$B$6:B635,$B635),2),""))</f>
        <v/>
      </c>
      <c r="O635" s="46"/>
      <c r="P635" s="47"/>
      <c r="Q635" s="46"/>
      <c r="R635" s="46"/>
      <c r="S635" s="6" t="str">
        <f>IF($B635="","",IF(ISNA(MATCH($B635,账户名,0)),"※这个账户不在【参数设置】的账户档案里",IF($A635="","※没填日期，这一笔不会进任何月份的报表",IF(AND($G635&lt;&gt;"",$H635&lt;&gt;""),"※收入和支出不能同时填",IF(AND(N($G635)=0,N($H635)=0),"※收入和支出都没填",IF($E635="","※没填收支类别，分类报表会漏掉这一笔",IF(ISNA(MATCH($E635,类别表,0)),"※收支类别不在【参数设置】的清单里",IF($J635="","△"&amp;$D635&amp;" 还没填汇率，去【月度汇率】补上就自动算了",IF(YEAR($A635)&lt;&gt;管理年度,"△不是管理年度的单据，年报里看不到",IF(AND($F635="内部转账",$Q635=""),"△内部转账建议在「往来单位」写上对方账户",IF($M635&lt;0,"△这一笔之后该账户余额成负数了，核一下","")))))))))))</f>
        <v/>
      </c>
    </row>
    <row r="636" ht="16.5" spans="1:19">
      <c r="A636" s="45"/>
      <c r="B636" s="46"/>
      <c r="C636" s="12" t="str">
        <f>IF($B636="","",IFERROR(INDEX(账户银行,MATCH($B636,账户名,0)),""))</f>
        <v/>
      </c>
      <c r="D636" s="12" t="str">
        <f>IF($B636="","",IFERROR(INDEX(账户币种,MATCH($B636,账户名,0)),""))</f>
        <v/>
      </c>
      <c r="E636" s="47"/>
      <c r="F636" s="12" t="str">
        <f>IF($E636="","",IFERROR(INDEX(类别属性,MATCH($E636,类别表,0)),""))</f>
        <v/>
      </c>
      <c r="G636" s="48"/>
      <c r="H636" s="48"/>
      <c r="I636" s="49"/>
      <c r="J636" s="24" t="str">
        <f>IF(OR($A636="",$B636=""),"",IF($I636&lt;&gt;"",$I636,IF($D636=本位币,1,IFERROR(LOOKUP(2,1/((汇率月份&lt;=$A636)*(INDEX(记账汇率区,0,MATCH($D636,汇率币种头,0))&lt;&gt;"")),INDEX(记账汇率区,0,MATCH($D636,汇率币种头,0))),""))))</f>
        <v/>
      </c>
      <c r="K636" s="23" t="str">
        <f t="shared" si="18"/>
        <v/>
      </c>
      <c r="L636" s="23" t="str">
        <f t="shared" si="19"/>
        <v/>
      </c>
      <c r="M636" s="23" t="str">
        <f>IF($B636="","",ROUND(SUMIF(账户名,$B636,账户期初)+SUMIFS($K$6:K636,$B$6:B636,$B636),2))</f>
        <v/>
      </c>
      <c r="N636" s="23" t="str">
        <f>IF($B636="","",IFERROR(ROUND(INDEX(账户期初本位,MATCH($B636,账户名,0))+SUMIFS($L$6:L636,$B$6:B636,$B636),2),""))</f>
        <v/>
      </c>
      <c r="O636" s="46"/>
      <c r="P636" s="47"/>
      <c r="Q636" s="46"/>
      <c r="R636" s="46"/>
      <c r="S636" s="6" t="str">
        <f>IF($B636="","",IF(ISNA(MATCH($B636,账户名,0)),"※这个账户不在【参数设置】的账户档案里",IF($A636="","※没填日期，这一笔不会进任何月份的报表",IF(AND($G636&lt;&gt;"",$H636&lt;&gt;""),"※收入和支出不能同时填",IF(AND(N($G636)=0,N($H636)=0),"※收入和支出都没填",IF($E636="","※没填收支类别，分类报表会漏掉这一笔",IF(ISNA(MATCH($E636,类别表,0)),"※收支类别不在【参数设置】的清单里",IF($J636="","△"&amp;$D636&amp;" 还没填汇率，去【月度汇率】补上就自动算了",IF(YEAR($A636)&lt;&gt;管理年度,"△不是管理年度的单据，年报里看不到",IF(AND($F636="内部转账",$Q636=""),"△内部转账建议在「往来单位」写上对方账户",IF($M636&lt;0,"△这一笔之后该账户余额成负数了，核一下","")))))))))))</f>
        <v/>
      </c>
    </row>
    <row r="637" ht="16.5" spans="1:19">
      <c r="A637" s="45"/>
      <c r="B637" s="46"/>
      <c r="C637" s="12" t="str">
        <f>IF($B637="","",IFERROR(INDEX(账户银行,MATCH($B637,账户名,0)),""))</f>
        <v/>
      </c>
      <c r="D637" s="12" t="str">
        <f>IF($B637="","",IFERROR(INDEX(账户币种,MATCH($B637,账户名,0)),""))</f>
        <v/>
      </c>
      <c r="E637" s="47"/>
      <c r="F637" s="12" t="str">
        <f>IF($E637="","",IFERROR(INDEX(类别属性,MATCH($E637,类别表,0)),""))</f>
        <v/>
      </c>
      <c r="G637" s="48"/>
      <c r="H637" s="48"/>
      <c r="I637" s="49"/>
      <c r="J637" s="24" t="str">
        <f>IF(OR($A637="",$B637=""),"",IF($I637&lt;&gt;"",$I637,IF($D637=本位币,1,IFERROR(LOOKUP(2,1/((汇率月份&lt;=$A637)*(INDEX(记账汇率区,0,MATCH($D637,汇率币种头,0))&lt;&gt;"")),INDEX(记账汇率区,0,MATCH($D637,汇率币种头,0))),""))))</f>
        <v/>
      </c>
      <c r="K637" s="23" t="str">
        <f t="shared" si="18"/>
        <v/>
      </c>
      <c r="L637" s="23" t="str">
        <f t="shared" si="19"/>
        <v/>
      </c>
      <c r="M637" s="23" t="str">
        <f>IF($B637="","",ROUND(SUMIF(账户名,$B637,账户期初)+SUMIFS($K$6:K637,$B$6:B637,$B637),2))</f>
        <v/>
      </c>
      <c r="N637" s="23" t="str">
        <f>IF($B637="","",IFERROR(ROUND(INDEX(账户期初本位,MATCH($B637,账户名,0))+SUMIFS($L$6:L637,$B$6:B637,$B637),2),""))</f>
        <v/>
      </c>
      <c r="O637" s="46"/>
      <c r="P637" s="47"/>
      <c r="Q637" s="46"/>
      <c r="R637" s="46"/>
      <c r="S637" s="6" t="str">
        <f>IF($B637="","",IF(ISNA(MATCH($B637,账户名,0)),"※这个账户不在【参数设置】的账户档案里",IF($A637="","※没填日期，这一笔不会进任何月份的报表",IF(AND($G637&lt;&gt;"",$H637&lt;&gt;""),"※收入和支出不能同时填",IF(AND(N($G637)=0,N($H637)=0),"※收入和支出都没填",IF($E637="","※没填收支类别，分类报表会漏掉这一笔",IF(ISNA(MATCH($E637,类别表,0)),"※收支类别不在【参数设置】的清单里",IF($J637="","△"&amp;$D637&amp;" 还没填汇率，去【月度汇率】补上就自动算了",IF(YEAR($A637)&lt;&gt;管理年度,"△不是管理年度的单据，年报里看不到",IF(AND($F637="内部转账",$Q637=""),"△内部转账建议在「往来单位」写上对方账户",IF($M637&lt;0,"△这一笔之后该账户余额成负数了，核一下","")))))))))))</f>
        <v/>
      </c>
    </row>
    <row r="638" ht="16.5" spans="1:19">
      <c r="A638" s="45"/>
      <c r="B638" s="46"/>
      <c r="C638" s="12" t="str">
        <f>IF($B638="","",IFERROR(INDEX(账户银行,MATCH($B638,账户名,0)),""))</f>
        <v/>
      </c>
      <c r="D638" s="12" t="str">
        <f>IF($B638="","",IFERROR(INDEX(账户币种,MATCH($B638,账户名,0)),""))</f>
        <v/>
      </c>
      <c r="E638" s="47"/>
      <c r="F638" s="12" t="str">
        <f>IF($E638="","",IFERROR(INDEX(类别属性,MATCH($E638,类别表,0)),""))</f>
        <v/>
      </c>
      <c r="G638" s="48"/>
      <c r="H638" s="48"/>
      <c r="I638" s="49"/>
      <c r="J638" s="24" t="str">
        <f>IF(OR($A638="",$B638=""),"",IF($I638&lt;&gt;"",$I638,IF($D638=本位币,1,IFERROR(LOOKUP(2,1/((汇率月份&lt;=$A638)*(INDEX(记账汇率区,0,MATCH($D638,汇率币种头,0))&lt;&gt;"")),INDEX(记账汇率区,0,MATCH($D638,汇率币种头,0))),""))))</f>
        <v/>
      </c>
      <c r="K638" s="23" t="str">
        <f t="shared" si="18"/>
        <v/>
      </c>
      <c r="L638" s="23" t="str">
        <f t="shared" si="19"/>
        <v/>
      </c>
      <c r="M638" s="23" t="str">
        <f>IF($B638="","",ROUND(SUMIF(账户名,$B638,账户期初)+SUMIFS($K$6:K638,$B$6:B638,$B638),2))</f>
        <v/>
      </c>
      <c r="N638" s="23" t="str">
        <f>IF($B638="","",IFERROR(ROUND(INDEX(账户期初本位,MATCH($B638,账户名,0))+SUMIFS($L$6:L638,$B$6:B638,$B638),2),""))</f>
        <v/>
      </c>
      <c r="O638" s="46"/>
      <c r="P638" s="47"/>
      <c r="Q638" s="46"/>
      <c r="R638" s="46"/>
      <c r="S638" s="6" t="str">
        <f>IF($B638="","",IF(ISNA(MATCH($B638,账户名,0)),"※这个账户不在【参数设置】的账户档案里",IF($A638="","※没填日期，这一笔不会进任何月份的报表",IF(AND($G638&lt;&gt;"",$H638&lt;&gt;""),"※收入和支出不能同时填",IF(AND(N($G638)=0,N($H638)=0),"※收入和支出都没填",IF($E638="","※没填收支类别，分类报表会漏掉这一笔",IF(ISNA(MATCH($E638,类别表,0)),"※收支类别不在【参数设置】的清单里",IF($J638="","△"&amp;$D638&amp;" 还没填汇率，去【月度汇率】补上就自动算了",IF(YEAR($A638)&lt;&gt;管理年度,"△不是管理年度的单据，年报里看不到",IF(AND($F638="内部转账",$Q638=""),"△内部转账建议在「往来单位」写上对方账户",IF($M638&lt;0,"△这一笔之后该账户余额成负数了，核一下","")))))))))))</f>
        <v/>
      </c>
    </row>
    <row r="639" ht="16.5" spans="1:19">
      <c r="A639" s="45"/>
      <c r="B639" s="46"/>
      <c r="C639" s="12" t="str">
        <f>IF($B639="","",IFERROR(INDEX(账户银行,MATCH($B639,账户名,0)),""))</f>
        <v/>
      </c>
      <c r="D639" s="12" t="str">
        <f>IF($B639="","",IFERROR(INDEX(账户币种,MATCH($B639,账户名,0)),""))</f>
        <v/>
      </c>
      <c r="E639" s="47"/>
      <c r="F639" s="12" t="str">
        <f>IF($E639="","",IFERROR(INDEX(类别属性,MATCH($E639,类别表,0)),""))</f>
        <v/>
      </c>
      <c r="G639" s="48"/>
      <c r="H639" s="48"/>
      <c r="I639" s="49"/>
      <c r="J639" s="24" t="str">
        <f>IF(OR($A639="",$B639=""),"",IF($I639&lt;&gt;"",$I639,IF($D639=本位币,1,IFERROR(LOOKUP(2,1/((汇率月份&lt;=$A639)*(INDEX(记账汇率区,0,MATCH($D639,汇率币种头,0))&lt;&gt;"")),INDEX(记账汇率区,0,MATCH($D639,汇率币种头,0))),""))))</f>
        <v/>
      </c>
      <c r="K639" s="23" t="str">
        <f t="shared" si="18"/>
        <v/>
      </c>
      <c r="L639" s="23" t="str">
        <f t="shared" si="19"/>
        <v/>
      </c>
      <c r="M639" s="23" t="str">
        <f>IF($B639="","",ROUND(SUMIF(账户名,$B639,账户期初)+SUMIFS($K$6:K639,$B$6:B639,$B639),2))</f>
        <v/>
      </c>
      <c r="N639" s="23" t="str">
        <f>IF($B639="","",IFERROR(ROUND(INDEX(账户期初本位,MATCH($B639,账户名,0))+SUMIFS($L$6:L639,$B$6:B639,$B639),2),""))</f>
        <v/>
      </c>
      <c r="O639" s="46"/>
      <c r="P639" s="47"/>
      <c r="Q639" s="46"/>
      <c r="R639" s="46"/>
      <c r="S639" s="6" t="str">
        <f>IF($B639="","",IF(ISNA(MATCH($B639,账户名,0)),"※这个账户不在【参数设置】的账户档案里",IF($A639="","※没填日期，这一笔不会进任何月份的报表",IF(AND($G639&lt;&gt;"",$H639&lt;&gt;""),"※收入和支出不能同时填",IF(AND(N($G639)=0,N($H639)=0),"※收入和支出都没填",IF($E639="","※没填收支类别，分类报表会漏掉这一笔",IF(ISNA(MATCH($E639,类别表,0)),"※收支类别不在【参数设置】的清单里",IF($J639="","△"&amp;$D639&amp;" 还没填汇率，去【月度汇率】补上就自动算了",IF(YEAR($A639)&lt;&gt;管理年度,"△不是管理年度的单据，年报里看不到",IF(AND($F639="内部转账",$Q639=""),"△内部转账建议在「往来单位」写上对方账户",IF($M639&lt;0,"△这一笔之后该账户余额成负数了，核一下","")))))))))))</f>
        <v/>
      </c>
    </row>
    <row r="640" ht="16.5" spans="1:19">
      <c r="A640" s="45"/>
      <c r="B640" s="46"/>
      <c r="C640" s="12" t="str">
        <f>IF($B640="","",IFERROR(INDEX(账户银行,MATCH($B640,账户名,0)),""))</f>
        <v/>
      </c>
      <c r="D640" s="12" t="str">
        <f>IF($B640="","",IFERROR(INDEX(账户币种,MATCH($B640,账户名,0)),""))</f>
        <v/>
      </c>
      <c r="E640" s="47"/>
      <c r="F640" s="12" t="str">
        <f>IF($E640="","",IFERROR(INDEX(类别属性,MATCH($E640,类别表,0)),""))</f>
        <v/>
      </c>
      <c r="G640" s="48"/>
      <c r="H640" s="48"/>
      <c r="I640" s="49"/>
      <c r="J640" s="24" t="str">
        <f>IF(OR($A640="",$B640=""),"",IF($I640&lt;&gt;"",$I640,IF($D640=本位币,1,IFERROR(LOOKUP(2,1/((汇率月份&lt;=$A640)*(INDEX(记账汇率区,0,MATCH($D640,汇率币种头,0))&lt;&gt;"")),INDEX(记账汇率区,0,MATCH($D640,汇率币种头,0))),""))))</f>
        <v/>
      </c>
      <c r="K640" s="23" t="str">
        <f t="shared" si="18"/>
        <v/>
      </c>
      <c r="L640" s="23" t="str">
        <f t="shared" si="19"/>
        <v/>
      </c>
      <c r="M640" s="23" t="str">
        <f>IF($B640="","",ROUND(SUMIF(账户名,$B640,账户期初)+SUMIFS($K$6:K640,$B$6:B640,$B640),2))</f>
        <v/>
      </c>
      <c r="N640" s="23" t="str">
        <f>IF($B640="","",IFERROR(ROUND(INDEX(账户期初本位,MATCH($B640,账户名,0))+SUMIFS($L$6:L640,$B$6:B640,$B640),2),""))</f>
        <v/>
      </c>
      <c r="O640" s="46"/>
      <c r="P640" s="47"/>
      <c r="Q640" s="46"/>
      <c r="R640" s="46"/>
      <c r="S640" s="6" t="str">
        <f>IF($B640="","",IF(ISNA(MATCH($B640,账户名,0)),"※这个账户不在【参数设置】的账户档案里",IF($A640="","※没填日期，这一笔不会进任何月份的报表",IF(AND($G640&lt;&gt;"",$H640&lt;&gt;""),"※收入和支出不能同时填",IF(AND(N($G640)=0,N($H640)=0),"※收入和支出都没填",IF($E640="","※没填收支类别，分类报表会漏掉这一笔",IF(ISNA(MATCH($E640,类别表,0)),"※收支类别不在【参数设置】的清单里",IF($J640="","△"&amp;$D640&amp;" 还没填汇率，去【月度汇率】补上就自动算了",IF(YEAR($A640)&lt;&gt;管理年度,"△不是管理年度的单据，年报里看不到",IF(AND($F640="内部转账",$Q640=""),"△内部转账建议在「往来单位」写上对方账户",IF($M640&lt;0,"△这一笔之后该账户余额成负数了，核一下","")))))))))))</f>
        <v/>
      </c>
    </row>
    <row r="641" ht="16.5" spans="1:19">
      <c r="A641" s="45"/>
      <c r="B641" s="46"/>
      <c r="C641" s="12" t="str">
        <f>IF($B641="","",IFERROR(INDEX(账户银行,MATCH($B641,账户名,0)),""))</f>
        <v/>
      </c>
      <c r="D641" s="12" t="str">
        <f>IF($B641="","",IFERROR(INDEX(账户币种,MATCH($B641,账户名,0)),""))</f>
        <v/>
      </c>
      <c r="E641" s="47"/>
      <c r="F641" s="12" t="str">
        <f>IF($E641="","",IFERROR(INDEX(类别属性,MATCH($E641,类别表,0)),""))</f>
        <v/>
      </c>
      <c r="G641" s="48"/>
      <c r="H641" s="48"/>
      <c r="I641" s="49"/>
      <c r="J641" s="24" t="str">
        <f>IF(OR($A641="",$B641=""),"",IF($I641&lt;&gt;"",$I641,IF($D641=本位币,1,IFERROR(LOOKUP(2,1/((汇率月份&lt;=$A641)*(INDEX(记账汇率区,0,MATCH($D641,汇率币种头,0))&lt;&gt;"")),INDEX(记账汇率区,0,MATCH($D641,汇率币种头,0))),""))))</f>
        <v/>
      </c>
      <c r="K641" s="23" t="str">
        <f t="shared" si="18"/>
        <v/>
      </c>
      <c r="L641" s="23" t="str">
        <f t="shared" si="19"/>
        <v/>
      </c>
      <c r="M641" s="23" t="str">
        <f>IF($B641="","",ROUND(SUMIF(账户名,$B641,账户期初)+SUMIFS($K$6:K641,$B$6:B641,$B641),2))</f>
        <v/>
      </c>
      <c r="N641" s="23" t="str">
        <f>IF($B641="","",IFERROR(ROUND(INDEX(账户期初本位,MATCH($B641,账户名,0))+SUMIFS($L$6:L641,$B$6:B641,$B641),2),""))</f>
        <v/>
      </c>
      <c r="O641" s="46"/>
      <c r="P641" s="47"/>
      <c r="Q641" s="46"/>
      <c r="R641" s="46"/>
      <c r="S641" s="6" t="str">
        <f>IF($B641="","",IF(ISNA(MATCH($B641,账户名,0)),"※这个账户不在【参数设置】的账户档案里",IF($A641="","※没填日期，这一笔不会进任何月份的报表",IF(AND($G641&lt;&gt;"",$H641&lt;&gt;""),"※收入和支出不能同时填",IF(AND(N($G641)=0,N($H641)=0),"※收入和支出都没填",IF($E641="","※没填收支类别，分类报表会漏掉这一笔",IF(ISNA(MATCH($E641,类别表,0)),"※收支类别不在【参数设置】的清单里",IF($J641="","△"&amp;$D641&amp;" 还没填汇率，去【月度汇率】补上就自动算了",IF(YEAR($A641)&lt;&gt;管理年度,"△不是管理年度的单据，年报里看不到",IF(AND($F641="内部转账",$Q641=""),"△内部转账建议在「往来单位」写上对方账户",IF($M641&lt;0,"△这一笔之后该账户余额成负数了，核一下","")))))))))))</f>
        <v/>
      </c>
    </row>
    <row r="642" ht="16.5" spans="1:19">
      <c r="A642" s="45"/>
      <c r="B642" s="46"/>
      <c r="C642" s="12" t="str">
        <f>IF($B642="","",IFERROR(INDEX(账户银行,MATCH($B642,账户名,0)),""))</f>
        <v/>
      </c>
      <c r="D642" s="12" t="str">
        <f>IF($B642="","",IFERROR(INDEX(账户币种,MATCH($B642,账户名,0)),""))</f>
        <v/>
      </c>
      <c r="E642" s="47"/>
      <c r="F642" s="12" t="str">
        <f>IF($E642="","",IFERROR(INDEX(类别属性,MATCH($E642,类别表,0)),""))</f>
        <v/>
      </c>
      <c r="G642" s="48"/>
      <c r="H642" s="48"/>
      <c r="I642" s="49"/>
      <c r="J642" s="24" t="str">
        <f>IF(OR($A642="",$B642=""),"",IF($I642&lt;&gt;"",$I642,IF($D642=本位币,1,IFERROR(LOOKUP(2,1/((汇率月份&lt;=$A642)*(INDEX(记账汇率区,0,MATCH($D642,汇率币种头,0))&lt;&gt;"")),INDEX(记账汇率区,0,MATCH($D642,汇率币种头,0))),""))))</f>
        <v/>
      </c>
      <c r="K642" s="23" t="str">
        <f t="shared" si="18"/>
        <v/>
      </c>
      <c r="L642" s="23" t="str">
        <f t="shared" si="19"/>
        <v/>
      </c>
      <c r="M642" s="23" t="str">
        <f>IF($B642="","",ROUND(SUMIF(账户名,$B642,账户期初)+SUMIFS($K$6:K642,$B$6:B642,$B642),2))</f>
        <v/>
      </c>
      <c r="N642" s="23" t="str">
        <f>IF($B642="","",IFERROR(ROUND(INDEX(账户期初本位,MATCH($B642,账户名,0))+SUMIFS($L$6:L642,$B$6:B642,$B642),2),""))</f>
        <v/>
      </c>
      <c r="O642" s="46"/>
      <c r="P642" s="47"/>
      <c r="Q642" s="46"/>
      <c r="R642" s="46"/>
      <c r="S642" s="6" t="str">
        <f>IF($B642="","",IF(ISNA(MATCH($B642,账户名,0)),"※这个账户不在【参数设置】的账户档案里",IF($A642="","※没填日期，这一笔不会进任何月份的报表",IF(AND($G642&lt;&gt;"",$H642&lt;&gt;""),"※收入和支出不能同时填",IF(AND(N($G642)=0,N($H642)=0),"※收入和支出都没填",IF($E642="","※没填收支类别，分类报表会漏掉这一笔",IF(ISNA(MATCH($E642,类别表,0)),"※收支类别不在【参数设置】的清单里",IF($J642="","△"&amp;$D642&amp;" 还没填汇率，去【月度汇率】补上就自动算了",IF(YEAR($A642)&lt;&gt;管理年度,"△不是管理年度的单据，年报里看不到",IF(AND($F642="内部转账",$Q642=""),"△内部转账建议在「往来单位」写上对方账户",IF($M642&lt;0,"△这一笔之后该账户余额成负数了，核一下","")))))))))))</f>
        <v/>
      </c>
    </row>
    <row r="643" ht="16.5" spans="1:19">
      <c r="A643" s="45"/>
      <c r="B643" s="46"/>
      <c r="C643" s="12" t="str">
        <f>IF($B643="","",IFERROR(INDEX(账户银行,MATCH($B643,账户名,0)),""))</f>
        <v/>
      </c>
      <c r="D643" s="12" t="str">
        <f>IF($B643="","",IFERROR(INDEX(账户币种,MATCH($B643,账户名,0)),""))</f>
        <v/>
      </c>
      <c r="E643" s="47"/>
      <c r="F643" s="12" t="str">
        <f>IF($E643="","",IFERROR(INDEX(类别属性,MATCH($E643,类别表,0)),""))</f>
        <v/>
      </c>
      <c r="G643" s="48"/>
      <c r="H643" s="48"/>
      <c r="I643" s="49"/>
      <c r="J643" s="24" t="str">
        <f>IF(OR($A643="",$B643=""),"",IF($I643&lt;&gt;"",$I643,IF($D643=本位币,1,IFERROR(LOOKUP(2,1/((汇率月份&lt;=$A643)*(INDEX(记账汇率区,0,MATCH($D643,汇率币种头,0))&lt;&gt;"")),INDEX(记账汇率区,0,MATCH($D643,汇率币种头,0))),""))))</f>
        <v/>
      </c>
      <c r="K643" s="23" t="str">
        <f t="shared" si="18"/>
        <v/>
      </c>
      <c r="L643" s="23" t="str">
        <f t="shared" si="19"/>
        <v/>
      </c>
      <c r="M643" s="23" t="str">
        <f>IF($B643="","",ROUND(SUMIF(账户名,$B643,账户期初)+SUMIFS($K$6:K643,$B$6:B643,$B643),2))</f>
        <v/>
      </c>
      <c r="N643" s="23" t="str">
        <f>IF($B643="","",IFERROR(ROUND(INDEX(账户期初本位,MATCH($B643,账户名,0))+SUMIFS($L$6:L643,$B$6:B643,$B643),2),""))</f>
        <v/>
      </c>
      <c r="O643" s="46"/>
      <c r="P643" s="47"/>
      <c r="Q643" s="46"/>
      <c r="R643" s="46"/>
      <c r="S643" s="6" t="str">
        <f>IF($B643="","",IF(ISNA(MATCH($B643,账户名,0)),"※这个账户不在【参数设置】的账户档案里",IF($A643="","※没填日期，这一笔不会进任何月份的报表",IF(AND($G643&lt;&gt;"",$H643&lt;&gt;""),"※收入和支出不能同时填",IF(AND(N($G643)=0,N($H643)=0),"※收入和支出都没填",IF($E643="","※没填收支类别，分类报表会漏掉这一笔",IF(ISNA(MATCH($E643,类别表,0)),"※收支类别不在【参数设置】的清单里",IF($J643="","△"&amp;$D643&amp;" 还没填汇率，去【月度汇率】补上就自动算了",IF(YEAR($A643)&lt;&gt;管理年度,"△不是管理年度的单据，年报里看不到",IF(AND($F643="内部转账",$Q643=""),"△内部转账建议在「往来单位」写上对方账户",IF($M643&lt;0,"△这一笔之后该账户余额成负数了，核一下","")))))))))))</f>
        <v/>
      </c>
    </row>
    <row r="644" ht="16.5" spans="1:19">
      <c r="A644" s="45"/>
      <c r="B644" s="46"/>
      <c r="C644" s="12" t="str">
        <f>IF($B644="","",IFERROR(INDEX(账户银行,MATCH($B644,账户名,0)),""))</f>
        <v/>
      </c>
      <c r="D644" s="12" t="str">
        <f>IF($B644="","",IFERROR(INDEX(账户币种,MATCH($B644,账户名,0)),""))</f>
        <v/>
      </c>
      <c r="E644" s="47"/>
      <c r="F644" s="12" t="str">
        <f>IF($E644="","",IFERROR(INDEX(类别属性,MATCH($E644,类别表,0)),""))</f>
        <v/>
      </c>
      <c r="G644" s="48"/>
      <c r="H644" s="48"/>
      <c r="I644" s="49"/>
      <c r="J644" s="24" t="str">
        <f>IF(OR($A644="",$B644=""),"",IF($I644&lt;&gt;"",$I644,IF($D644=本位币,1,IFERROR(LOOKUP(2,1/((汇率月份&lt;=$A644)*(INDEX(记账汇率区,0,MATCH($D644,汇率币种头,0))&lt;&gt;"")),INDEX(记账汇率区,0,MATCH($D644,汇率币种头,0))),""))))</f>
        <v/>
      </c>
      <c r="K644" s="23" t="str">
        <f t="shared" si="18"/>
        <v/>
      </c>
      <c r="L644" s="23" t="str">
        <f t="shared" si="19"/>
        <v/>
      </c>
      <c r="M644" s="23" t="str">
        <f>IF($B644="","",ROUND(SUMIF(账户名,$B644,账户期初)+SUMIFS($K$6:K644,$B$6:B644,$B644),2))</f>
        <v/>
      </c>
      <c r="N644" s="23" t="str">
        <f>IF($B644="","",IFERROR(ROUND(INDEX(账户期初本位,MATCH($B644,账户名,0))+SUMIFS($L$6:L644,$B$6:B644,$B644),2),""))</f>
        <v/>
      </c>
      <c r="O644" s="46"/>
      <c r="P644" s="47"/>
      <c r="Q644" s="46"/>
      <c r="R644" s="46"/>
      <c r="S644" s="6" t="str">
        <f>IF($B644="","",IF(ISNA(MATCH($B644,账户名,0)),"※这个账户不在【参数设置】的账户档案里",IF($A644="","※没填日期，这一笔不会进任何月份的报表",IF(AND($G644&lt;&gt;"",$H644&lt;&gt;""),"※收入和支出不能同时填",IF(AND(N($G644)=0,N($H644)=0),"※收入和支出都没填",IF($E644="","※没填收支类别，分类报表会漏掉这一笔",IF(ISNA(MATCH($E644,类别表,0)),"※收支类别不在【参数设置】的清单里",IF($J644="","△"&amp;$D644&amp;" 还没填汇率，去【月度汇率】补上就自动算了",IF(YEAR($A644)&lt;&gt;管理年度,"△不是管理年度的单据，年报里看不到",IF(AND($F644="内部转账",$Q644=""),"△内部转账建议在「往来单位」写上对方账户",IF($M644&lt;0,"△这一笔之后该账户余额成负数了，核一下","")))))))))))</f>
        <v/>
      </c>
    </row>
    <row r="645" ht="16.5" spans="1:19">
      <c r="A645" s="45"/>
      <c r="B645" s="46"/>
      <c r="C645" s="12" t="str">
        <f>IF($B645="","",IFERROR(INDEX(账户银行,MATCH($B645,账户名,0)),""))</f>
        <v/>
      </c>
      <c r="D645" s="12" t="str">
        <f>IF($B645="","",IFERROR(INDEX(账户币种,MATCH($B645,账户名,0)),""))</f>
        <v/>
      </c>
      <c r="E645" s="47"/>
      <c r="F645" s="12" t="str">
        <f>IF($E645="","",IFERROR(INDEX(类别属性,MATCH($E645,类别表,0)),""))</f>
        <v/>
      </c>
      <c r="G645" s="48"/>
      <c r="H645" s="48"/>
      <c r="I645" s="49"/>
      <c r="J645" s="24" t="str">
        <f>IF(OR($A645="",$B645=""),"",IF($I645&lt;&gt;"",$I645,IF($D645=本位币,1,IFERROR(LOOKUP(2,1/((汇率月份&lt;=$A645)*(INDEX(记账汇率区,0,MATCH($D645,汇率币种头,0))&lt;&gt;"")),INDEX(记账汇率区,0,MATCH($D645,汇率币种头,0))),""))))</f>
        <v/>
      </c>
      <c r="K645" s="23" t="str">
        <f t="shared" si="18"/>
        <v/>
      </c>
      <c r="L645" s="23" t="str">
        <f t="shared" si="19"/>
        <v/>
      </c>
      <c r="M645" s="23" t="str">
        <f>IF($B645="","",ROUND(SUMIF(账户名,$B645,账户期初)+SUMIFS($K$6:K645,$B$6:B645,$B645),2))</f>
        <v/>
      </c>
      <c r="N645" s="23" t="str">
        <f>IF($B645="","",IFERROR(ROUND(INDEX(账户期初本位,MATCH($B645,账户名,0))+SUMIFS($L$6:L645,$B$6:B645,$B645),2),""))</f>
        <v/>
      </c>
      <c r="O645" s="46"/>
      <c r="P645" s="47"/>
      <c r="Q645" s="46"/>
      <c r="R645" s="46"/>
      <c r="S645" s="6" t="str">
        <f>IF($B645="","",IF(ISNA(MATCH($B645,账户名,0)),"※这个账户不在【参数设置】的账户档案里",IF($A645="","※没填日期，这一笔不会进任何月份的报表",IF(AND($G645&lt;&gt;"",$H645&lt;&gt;""),"※收入和支出不能同时填",IF(AND(N($G645)=0,N($H645)=0),"※收入和支出都没填",IF($E645="","※没填收支类别，分类报表会漏掉这一笔",IF(ISNA(MATCH($E645,类别表,0)),"※收支类别不在【参数设置】的清单里",IF($J645="","△"&amp;$D645&amp;" 还没填汇率，去【月度汇率】补上就自动算了",IF(YEAR($A645)&lt;&gt;管理年度,"△不是管理年度的单据，年报里看不到",IF(AND($F645="内部转账",$Q645=""),"△内部转账建议在「往来单位」写上对方账户",IF($M645&lt;0,"△这一笔之后该账户余额成负数了，核一下","")))))))))))</f>
        <v/>
      </c>
    </row>
    <row r="646" ht="16.5" spans="1:19">
      <c r="A646" s="45"/>
      <c r="B646" s="46"/>
      <c r="C646" s="12" t="str">
        <f>IF($B646="","",IFERROR(INDEX(账户银行,MATCH($B646,账户名,0)),""))</f>
        <v/>
      </c>
      <c r="D646" s="12" t="str">
        <f>IF($B646="","",IFERROR(INDEX(账户币种,MATCH($B646,账户名,0)),""))</f>
        <v/>
      </c>
      <c r="E646" s="47"/>
      <c r="F646" s="12" t="str">
        <f>IF($E646="","",IFERROR(INDEX(类别属性,MATCH($E646,类别表,0)),""))</f>
        <v/>
      </c>
      <c r="G646" s="48"/>
      <c r="H646" s="48"/>
      <c r="I646" s="49"/>
      <c r="J646" s="24" t="str">
        <f>IF(OR($A646="",$B646=""),"",IF($I646&lt;&gt;"",$I646,IF($D646=本位币,1,IFERROR(LOOKUP(2,1/((汇率月份&lt;=$A646)*(INDEX(记账汇率区,0,MATCH($D646,汇率币种头,0))&lt;&gt;"")),INDEX(记账汇率区,0,MATCH($D646,汇率币种头,0))),""))))</f>
        <v/>
      </c>
      <c r="K646" s="23" t="str">
        <f t="shared" ref="K646:K709" si="20">IF(AND($G646="",$H646=""),"",ROUND(N($G646)-N($H646),2))</f>
        <v/>
      </c>
      <c r="L646" s="23" t="str">
        <f t="shared" ref="L646:L709" si="21">IF(OR($K646="",$J646=""),"",ROUND($K646*$J646,2))</f>
        <v/>
      </c>
      <c r="M646" s="23" t="str">
        <f>IF($B646="","",ROUND(SUMIF(账户名,$B646,账户期初)+SUMIFS($K$6:K646,$B$6:B646,$B646),2))</f>
        <v/>
      </c>
      <c r="N646" s="23" t="str">
        <f>IF($B646="","",IFERROR(ROUND(INDEX(账户期初本位,MATCH($B646,账户名,0))+SUMIFS($L$6:L646,$B$6:B646,$B646),2),""))</f>
        <v/>
      </c>
      <c r="O646" s="46"/>
      <c r="P646" s="47"/>
      <c r="Q646" s="46"/>
      <c r="R646" s="46"/>
      <c r="S646" s="6" t="str">
        <f>IF($B646="","",IF(ISNA(MATCH($B646,账户名,0)),"※这个账户不在【参数设置】的账户档案里",IF($A646="","※没填日期，这一笔不会进任何月份的报表",IF(AND($G646&lt;&gt;"",$H646&lt;&gt;""),"※收入和支出不能同时填",IF(AND(N($G646)=0,N($H646)=0),"※收入和支出都没填",IF($E646="","※没填收支类别，分类报表会漏掉这一笔",IF(ISNA(MATCH($E646,类别表,0)),"※收支类别不在【参数设置】的清单里",IF($J646="","△"&amp;$D646&amp;" 还没填汇率，去【月度汇率】补上就自动算了",IF(YEAR($A646)&lt;&gt;管理年度,"△不是管理年度的单据，年报里看不到",IF(AND($F646="内部转账",$Q646=""),"△内部转账建议在「往来单位」写上对方账户",IF($M646&lt;0,"△这一笔之后该账户余额成负数了，核一下","")))))))))))</f>
        <v/>
      </c>
    </row>
    <row r="647" ht="16.5" spans="1:19">
      <c r="A647" s="45"/>
      <c r="B647" s="46"/>
      <c r="C647" s="12" t="str">
        <f>IF($B647="","",IFERROR(INDEX(账户银行,MATCH($B647,账户名,0)),""))</f>
        <v/>
      </c>
      <c r="D647" s="12" t="str">
        <f>IF($B647="","",IFERROR(INDEX(账户币种,MATCH($B647,账户名,0)),""))</f>
        <v/>
      </c>
      <c r="E647" s="47"/>
      <c r="F647" s="12" t="str">
        <f>IF($E647="","",IFERROR(INDEX(类别属性,MATCH($E647,类别表,0)),""))</f>
        <v/>
      </c>
      <c r="G647" s="48"/>
      <c r="H647" s="48"/>
      <c r="I647" s="49"/>
      <c r="J647" s="24" t="str">
        <f>IF(OR($A647="",$B647=""),"",IF($I647&lt;&gt;"",$I647,IF($D647=本位币,1,IFERROR(LOOKUP(2,1/((汇率月份&lt;=$A647)*(INDEX(记账汇率区,0,MATCH($D647,汇率币种头,0))&lt;&gt;"")),INDEX(记账汇率区,0,MATCH($D647,汇率币种头,0))),""))))</f>
        <v/>
      </c>
      <c r="K647" s="23" t="str">
        <f t="shared" si="20"/>
        <v/>
      </c>
      <c r="L647" s="23" t="str">
        <f t="shared" si="21"/>
        <v/>
      </c>
      <c r="M647" s="23" t="str">
        <f>IF($B647="","",ROUND(SUMIF(账户名,$B647,账户期初)+SUMIFS($K$6:K647,$B$6:B647,$B647),2))</f>
        <v/>
      </c>
      <c r="N647" s="23" t="str">
        <f>IF($B647="","",IFERROR(ROUND(INDEX(账户期初本位,MATCH($B647,账户名,0))+SUMIFS($L$6:L647,$B$6:B647,$B647),2),""))</f>
        <v/>
      </c>
      <c r="O647" s="46"/>
      <c r="P647" s="47"/>
      <c r="Q647" s="46"/>
      <c r="R647" s="46"/>
      <c r="S647" s="6" t="str">
        <f>IF($B647="","",IF(ISNA(MATCH($B647,账户名,0)),"※这个账户不在【参数设置】的账户档案里",IF($A647="","※没填日期，这一笔不会进任何月份的报表",IF(AND($G647&lt;&gt;"",$H647&lt;&gt;""),"※收入和支出不能同时填",IF(AND(N($G647)=0,N($H647)=0),"※收入和支出都没填",IF($E647="","※没填收支类别，分类报表会漏掉这一笔",IF(ISNA(MATCH($E647,类别表,0)),"※收支类别不在【参数设置】的清单里",IF($J647="","△"&amp;$D647&amp;" 还没填汇率，去【月度汇率】补上就自动算了",IF(YEAR($A647)&lt;&gt;管理年度,"△不是管理年度的单据，年报里看不到",IF(AND($F647="内部转账",$Q647=""),"△内部转账建议在「往来单位」写上对方账户",IF($M647&lt;0,"△这一笔之后该账户余额成负数了，核一下","")))))))))))</f>
        <v/>
      </c>
    </row>
    <row r="648" ht="16.5" spans="1:19">
      <c r="A648" s="45"/>
      <c r="B648" s="46"/>
      <c r="C648" s="12" t="str">
        <f>IF($B648="","",IFERROR(INDEX(账户银行,MATCH($B648,账户名,0)),""))</f>
        <v/>
      </c>
      <c r="D648" s="12" t="str">
        <f>IF($B648="","",IFERROR(INDEX(账户币种,MATCH($B648,账户名,0)),""))</f>
        <v/>
      </c>
      <c r="E648" s="47"/>
      <c r="F648" s="12" t="str">
        <f>IF($E648="","",IFERROR(INDEX(类别属性,MATCH($E648,类别表,0)),""))</f>
        <v/>
      </c>
      <c r="G648" s="48"/>
      <c r="H648" s="48"/>
      <c r="I648" s="49"/>
      <c r="J648" s="24" t="str">
        <f>IF(OR($A648="",$B648=""),"",IF($I648&lt;&gt;"",$I648,IF($D648=本位币,1,IFERROR(LOOKUP(2,1/((汇率月份&lt;=$A648)*(INDEX(记账汇率区,0,MATCH($D648,汇率币种头,0))&lt;&gt;"")),INDEX(记账汇率区,0,MATCH($D648,汇率币种头,0))),""))))</f>
        <v/>
      </c>
      <c r="K648" s="23" t="str">
        <f t="shared" si="20"/>
        <v/>
      </c>
      <c r="L648" s="23" t="str">
        <f t="shared" si="21"/>
        <v/>
      </c>
      <c r="M648" s="23" t="str">
        <f>IF($B648="","",ROUND(SUMIF(账户名,$B648,账户期初)+SUMIFS($K$6:K648,$B$6:B648,$B648),2))</f>
        <v/>
      </c>
      <c r="N648" s="23" t="str">
        <f>IF($B648="","",IFERROR(ROUND(INDEX(账户期初本位,MATCH($B648,账户名,0))+SUMIFS($L$6:L648,$B$6:B648,$B648),2),""))</f>
        <v/>
      </c>
      <c r="O648" s="46"/>
      <c r="P648" s="47"/>
      <c r="Q648" s="46"/>
      <c r="R648" s="46"/>
      <c r="S648" s="6" t="str">
        <f>IF($B648="","",IF(ISNA(MATCH($B648,账户名,0)),"※这个账户不在【参数设置】的账户档案里",IF($A648="","※没填日期，这一笔不会进任何月份的报表",IF(AND($G648&lt;&gt;"",$H648&lt;&gt;""),"※收入和支出不能同时填",IF(AND(N($G648)=0,N($H648)=0),"※收入和支出都没填",IF($E648="","※没填收支类别，分类报表会漏掉这一笔",IF(ISNA(MATCH($E648,类别表,0)),"※收支类别不在【参数设置】的清单里",IF($J648="","△"&amp;$D648&amp;" 还没填汇率，去【月度汇率】补上就自动算了",IF(YEAR($A648)&lt;&gt;管理年度,"△不是管理年度的单据，年报里看不到",IF(AND($F648="内部转账",$Q648=""),"△内部转账建议在「往来单位」写上对方账户",IF($M648&lt;0,"△这一笔之后该账户余额成负数了，核一下","")))))))))))</f>
        <v/>
      </c>
    </row>
    <row r="649" ht="16.5" spans="1:19">
      <c r="A649" s="45"/>
      <c r="B649" s="46"/>
      <c r="C649" s="12" t="str">
        <f>IF($B649="","",IFERROR(INDEX(账户银行,MATCH($B649,账户名,0)),""))</f>
        <v/>
      </c>
      <c r="D649" s="12" t="str">
        <f>IF($B649="","",IFERROR(INDEX(账户币种,MATCH($B649,账户名,0)),""))</f>
        <v/>
      </c>
      <c r="E649" s="47"/>
      <c r="F649" s="12" t="str">
        <f>IF($E649="","",IFERROR(INDEX(类别属性,MATCH($E649,类别表,0)),""))</f>
        <v/>
      </c>
      <c r="G649" s="48"/>
      <c r="H649" s="48"/>
      <c r="I649" s="49"/>
      <c r="J649" s="24" t="str">
        <f>IF(OR($A649="",$B649=""),"",IF($I649&lt;&gt;"",$I649,IF($D649=本位币,1,IFERROR(LOOKUP(2,1/((汇率月份&lt;=$A649)*(INDEX(记账汇率区,0,MATCH($D649,汇率币种头,0))&lt;&gt;"")),INDEX(记账汇率区,0,MATCH($D649,汇率币种头,0))),""))))</f>
        <v/>
      </c>
      <c r="K649" s="23" t="str">
        <f t="shared" si="20"/>
        <v/>
      </c>
      <c r="L649" s="23" t="str">
        <f t="shared" si="21"/>
        <v/>
      </c>
      <c r="M649" s="23" t="str">
        <f>IF($B649="","",ROUND(SUMIF(账户名,$B649,账户期初)+SUMIFS($K$6:K649,$B$6:B649,$B649),2))</f>
        <v/>
      </c>
      <c r="N649" s="23" t="str">
        <f>IF($B649="","",IFERROR(ROUND(INDEX(账户期初本位,MATCH($B649,账户名,0))+SUMIFS($L$6:L649,$B$6:B649,$B649),2),""))</f>
        <v/>
      </c>
      <c r="O649" s="46"/>
      <c r="P649" s="47"/>
      <c r="Q649" s="46"/>
      <c r="R649" s="46"/>
      <c r="S649" s="6" t="str">
        <f>IF($B649="","",IF(ISNA(MATCH($B649,账户名,0)),"※这个账户不在【参数设置】的账户档案里",IF($A649="","※没填日期，这一笔不会进任何月份的报表",IF(AND($G649&lt;&gt;"",$H649&lt;&gt;""),"※收入和支出不能同时填",IF(AND(N($G649)=0,N($H649)=0),"※收入和支出都没填",IF($E649="","※没填收支类别，分类报表会漏掉这一笔",IF(ISNA(MATCH($E649,类别表,0)),"※收支类别不在【参数设置】的清单里",IF($J649="","△"&amp;$D649&amp;" 还没填汇率，去【月度汇率】补上就自动算了",IF(YEAR($A649)&lt;&gt;管理年度,"△不是管理年度的单据，年报里看不到",IF(AND($F649="内部转账",$Q649=""),"△内部转账建议在「往来单位」写上对方账户",IF($M649&lt;0,"△这一笔之后该账户余额成负数了，核一下","")))))))))))</f>
        <v/>
      </c>
    </row>
    <row r="650" ht="16.5" spans="1:19">
      <c r="A650" s="45"/>
      <c r="B650" s="46"/>
      <c r="C650" s="12" t="str">
        <f>IF($B650="","",IFERROR(INDEX(账户银行,MATCH($B650,账户名,0)),""))</f>
        <v/>
      </c>
      <c r="D650" s="12" t="str">
        <f>IF($B650="","",IFERROR(INDEX(账户币种,MATCH($B650,账户名,0)),""))</f>
        <v/>
      </c>
      <c r="E650" s="47"/>
      <c r="F650" s="12" t="str">
        <f>IF($E650="","",IFERROR(INDEX(类别属性,MATCH($E650,类别表,0)),""))</f>
        <v/>
      </c>
      <c r="G650" s="48"/>
      <c r="H650" s="48"/>
      <c r="I650" s="49"/>
      <c r="J650" s="24" t="str">
        <f>IF(OR($A650="",$B650=""),"",IF($I650&lt;&gt;"",$I650,IF($D650=本位币,1,IFERROR(LOOKUP(2,1/((汇率月份&lt;=$A650)*(INDEX(记账汇率区,0,MATCH($D650,汇率币种头,0))&lt;&gt;"")),INDEX(记账汇率区,0,MATCH($D650,汇率币种头,0))),""))))</f>
        <v/>
      </c>
      <c r="K650" s="23" t="str">
        <f t="shared" si="20"/>
        <v/>
      </c>
      <c r="L650" s="23" t="str">
        <f t="shared" si="21"/>
        <v/>
      </c>
      <c r="M650" s="23" t="str">
        <f>IF($B650="","",ROUND(SUMIF(账户名,$B650,账户期初)+SUMIFS($K$6:K650,$B$6:B650,$B650),2))</f>
        <v/>
      </c>
      <c r="N650" s="23" t="str">
        <f>IF($B650="","",IFERROR(ROUND(INDEX(账户期初本位,MATCH($B650,账户名,0))+SUMIFS($L$6:L650,$B$6:B650,$B650),2),""))</f>
        <v/>
      </c>
      <c r="O650" s="46"/>
      <c r="P650" s="47"/>
      <c r="Q650" s="46"/>
      <c r="R650" s="46"/>
      <c r="S650" s="6" t="str">
        <f>IF($B650="","",IF(ISNA(MATCH($B650,账户名,0)),"※这个账户不在【参数设置】的账户档案里",IF($A650="","※没填日期，这一笔不会进任何月份的报表",IF(AND($G650&lt;&gt;"",$H650&lt;&gt;""),"※收入和支出不能同时填",IF(AND(N($G650)=0,N($H650)=0),"※收入和支出都没填",IF($E650="","※没填收支类别，分类报表会漏掉这一笔",IF(ISNA(MATCH($E650,类别表,0)),"※收支类别不在【参数设置】的清单里",IF($J650="","△"&amp;$D650&amp;" 还没填汇率，去【月度汇率】补上就自动算了",IF(YEAR($A650)&lt;&gt;管理年度,"△不是管理年度的单据，年报里看不到",IF(AND($F650="内部转账",$Q650=""),"△内部转账建议在「往来单位」写上对方账户",IF($M650&lt;0,"△这一笔之后该账户余额成负数了，核一下","")))))))))))</f>
        <v/>
      </c>
    </row>
    <row r="651" ht="16.5" spans="1:19">
      <c r="A651" s="45"/>
      <c r="B651" s="46"/>
      <c r="C651" s="12" t="str">
        <f>IF($B651="","",IFERROR(INDEX(账户银行,MATCH($B651,账户名,0)),""))</f>
        <v/>
      </c>
      <c r="D651" s="12" t="str">
        <f>IF($B651="","",IFERROR(INDEX(账户币种,MATCH($B651,账户名,0)),""))</f>
        <v/>
      </c>
      <c r="E651" s="47"/>
      <c r="F651" s="12" t="str">
        <f>IF($E651="","",IFERROR(INDEX(类别属性,MATCH($E651,类别表,0)),""))</f>
        <v/>
      </c>
      <c r="G651" s="48"/>
      <c r="H651" s="48"/>
      <c r="I651" s="49"/>
      <c r="J651" s="24" t="str">
        <f>IF(OR($A651="",$B651=""),"",IF($I651&lt;&gt;"",$I651,IF($D651=本位币,1,IFERROR(LOOKUP(2,1/((汇率月份&lt;=$A651)*(INDEX(记账汇率区,0,MATCH($D651,汇率币种头,0))&lt;&gt;"")),INDEX(记账汇率区,0,MATCH($D651,汇率币种头,0))),""))))</f>
        <v/>
      </c>
      <c r="K651" s="23" t="str">
        <f t="shared" si="20"/>
        <v/>
      </c>
      <c r="L651" s="23" t="str">
        <f t="shared" si="21"/>
        <v/>
      </c>
      <c r="M651" s="23" t="str">
        <f>IF($B651="","",ROUND(SUMIF(账户名,$B651,账户期初)+SUMIFS($K$6:K651,$B$6:B651,$B651),2))</f>
        <v/>
      </c>
      <c r="N651" s="23" t="str">
        <f>IF($B651="","",IFERROR(ROUND(INDEX(账户期初本位,MATCH($B651,账户名,0))+SUMIFS($L$6:L651,$B$6:B651,$B651),2),""))</f>
        <v/>
      </c>
      <c r="O651" s="46"/>
      <c r="P651" s="47"/>
      <c r="Q651" s="46"/>
      <c r="R651" s="46"/>
      <c r="S651" s="6" t="str">
        <f>IF($B651="","",IF(ISNA(MATCH($B651,账户名,0)),"※这个账户不在【参数设置】的账户档案里",IF($A651="","※没填日期，这一笔不会进任何月份的报表",IF(AND($G651&lt;&gt;"",$H651&lt;&gt;""),"※收入和支出不能同时填",IF(AND(N($G651)=0,N($H651)=0),"※收入和支出都没填",IF($E651="","※没填收支类别，分类报表会漏掉这一笔",IF(ISNA(MATCH($E651,类别表,0)),"※收支类别不在【参数设置】的清单里",IF($J651="","△"&amp;$D651&amp;" 还没填汇率，去【月度汇率】补上就自动算了",IF(YEAR($A651)&lt;&gt;管理年度,"△不是管理年度的单据，年报里看不到",IF(AND($F651="内部转账",$Q651=""),"△内部转账建议在「往来单位」写上对方账户",IF($M651&lt;0,"△这一笔之后该账户余额成负数了，核一下","")))))))))))</f>
        <v/>
      </c>
    </row>
    <row r="652" ht="16.5" spans="1:19">
      <c r="A652" s="45"/>
      <c r="B652" s="46"/>
      <c r="C652" s="12" t="str">
        <f>IF($B652="","",IFERROR(INDEX(账户银行,MATCH($B652,账户名,0)),""))</f>
        <v/>
      </c>
      <c r="D652" s="12" t="str">
        <f>IF($B652="","",IFERROR(INDEX(账户币种,MATCH($B652,账户名,0)),""))</f>
        <v/>
      </c>
      <c r="E652" s="47"/>
      <c r="F652" s="12" t="str">
        <f>IF($E652="","",IFERROR(INDEX(类别属性,MATCH($E652,类别表,0)),""))</f>
        <v/>
      </c>
      <c r="G652" s="48"/>
      <c r="H652" s="48"/>
      <c r="I652" s="49"/>
      <c r="J652" s="24" t="str">
        <f>IF(OR($A652="",$B652=""),"",IF($I652&lt;&gt;"",$I652,IF($D652=本位币,1,IFERROR(LOOKUP(2,1/((汇率月份&lt;=$A652)*(INDEX(记账汇率区,0,MATCH($D652,汇率币种头,0))&lt;&gt;"")),INDEX(记账汇率区,0,MATCH($D652,汇率币种头,0))),""))))</f>
        <v/>
      </c>
      <c r="K652" s="23" t="str">
        <f t="shared" si="20"/>
        <v/>
      </c>
      <c r="L652" s="23" t="str">
        <f t="shared" si="21"/>
        <v/>
      </c>
      <c r="M652" s="23" t="str">
        <f>IF($B652="","",ROUND(SUMIF(账户名,$B652,账户期初)+SUMIFS($K$6:K652,$B$6:B652,$B652),2))</f>
        <v/>
      </c>
      <c r="N652" s="23" t="str">
        <f>IF($B652="","",IFERROR(ROUND(INDEX(账户期初本位,MATCH($B652,账户名,0))+SUMIFS($L$6:L652,$B$6:B652,$B652),2),""))</f>
        <v/>
      </c>
      <c r="O652" s="46"/>
      <c r="P652" s="47"/>
      <c r="Q652" s="46"/>
      <c r="R652" s="46"/>
      <c r="S652" s="6" t="str">
        <f>IF($B652="","",IF(ISNA(MATCH($B652,账户名,0)),"※这个账户不在【参数设置】的账户档案里",IF($A652="","※没填日期，这一笔不会进任何月份的报表",IF(AND($G652&lt;&gt;"",$H652&lt;&gt;""),"※收入和支出不能同时填",IF(AND(N($G652)=0,N($H652)=0),"※收入和支出都没填",IF($E652="","※没填收支类别，分类报表会漏掉这一笔",IF(ISNA(MATCH($E652,类别表,0)),"※收支类别不在【参数设置】的清单里",IF($J652="","△"&amp;$D652&amp;" 还没填汇率，去【月度汇率】补上就自动算了",IF(YEAR($A652)&lt;&gt;管理年度,"△不是管理年度的单据，年报里看不到",IF(AND($F652="内部转账",$Q652=""),"△内部转账建议在「往来单位」写上对方账户",IF($M652&lt;0,"△这一笔之后该账户余额成负数了，核一下","")))))))))))</f>
        <v/>
      </c>
    </row>
    <row r="653" ht="16.5" spans="1:19">
      <c r="A653" s="45"/>
      <c r="B653" s="46"/>
      <c r="C653" s="12" t="str">
        <f>IF($B653="","",IFERROR(INDEX(账户银行,MATCH($B653,账户名,0)),""))</f>
        <v/>
      </c>
      <c r="D653" s="12" t="str">
        <f>IF($B653="","",IFERROR(INDEX(账户币种,MATCH($B653,账户名,0)),""))</f>
        <v/>
      </c>
      <c r="E653" s="47"/>
      <c r="F653" s="12" t="str">
        <f>IF($E653="","",IFERROR(INDEX(类别属性,MATCH($E653,类别表,0)),""))</f>
        <v/>
      </c>
      <c r="G653" s="48"/>
      <c r="H653" s="48"/>
      <c r="I653" s="49"/>
      <c r="J653" s="24" t="str">
        <f>IF(OR($A653="",$B653=""),"",IF($I653&lt;&gt;"",$I653,IF($D653=本位币,1,IFERROR(LOOKUP(2,1/((汇率月份&lt;=$A653)*(INDEX(记账汇率区,0,MATCH($D653,汇率币种头,0))&lt;&gt;"")),INDEX(记账汇率区,0,MATCH($D653,汇率币种头,0))),""))))</f>
        <v/>
      </c>
      <c r="K653" s="23" t="str">
        <f t="shared" si="20"/>
        <v/>
      </c>
      <c r="L653" s="23" t="str">
        <f t="shared" si="21"/>
        <v/>
      </c>
      <c r="M653" s="23" t="str">
        <f>IF($B653="","",ROUND(SUMIF(账户名,$B653,账户期初)+SUMIFS($K$6:K653,$B$6:B653,$B653),2))</f>
        <v/>
      </c>
      <c r="N653" s="23" t="str">
        <f>IF($B653="","",IFERROR(ROUND(INDEX(账户期初本位,MATCH($B653,账户名,0))+SUMIFS($L$6:L653,$B$6:B653,$B653),2),""))</f>
        <v/>
      </c>
      <c r="O653" s="46"/>
      <c r="P653" s="47"/>
      <c r="Q653" s="46"/>
      <c r="R653" s="46"/>
      <c r="S653" s="6" t="str">
        <f>IF($B653="","",IF(ISNA(MATCH($B653,账户名,0)),"※这个账户不在【参数设置】的账户档案里",IF($A653="","※没填日期，这一笔不会进任何月份的报表",IF(AND($G653&lt;&gt;"",$H653&lt;&gt;""),"※收入和支出不能同时填",IF(AND(N($G653)=0,N($H653)=0),"※收入和支出都没填",IF($E653="","※没填收支类别，分类报表会漏掉这一笔",IF(ISNA(MATCH($E653,类别表,0)),"※收支类别不在【参数设置】的清单里",IF($J653="","△"&amp;$D653&amp;" 还没填汇率，去【月度汇率】补上就自动算了",IF(YEAR($A653)&lt;&gt;管理年度,"△不是管理年度的单据，年报里看不到",IF(AND($F653="内部转账",$Q653=""),"△内部转账建议在「往来单位」写上对方账户",IF($M653&lt;0,"△这一笔之后该账户余额成负数了，核一下","")))))))))))</f>
        <v/>
      </c>
    </row>
    <row r="654" ht="16.5" spans="1:19">
      <c r="A654" s="45"/>
      <c r="B654" s="46"/>
      <c r="C654" s="12" t="str">
        <f>IF($B654="","",IFERROR(INDEX(账户银行,MATCH($B654,账户名,0)),""))</f>
        <v/>
      </c>
      <c r="D654" s="12" t="str">
        <f>IF($B654="","",IFERROR(INDEX(账户币种,MATCH($B654,账户名,0)),""))</f>
        <v/>
      </c>
      <c r="E654" s="47"/>
      <c r="F654" s="12" t="str">
        <f>IF($E654="","",IFERROR(INDEX(类别属性,MATCH($E654,类别表,0)),""))</f>
        <v/>
      </c>
      <c r="G654" s="48"/>
      <c r="H654" s="48"/>
      <c r="I654" s="49"/>
      <c r="J654" s="24" t="str">
        <f>IF(OR($A654="",$B654=""),"",IF($I654&lt;&gt;"",$I654,IF($D654=本位币,1,IFERROR(LOOKUP(2,1/((汇率月份&lt;=$A654)*(INDEX(记账汇率区,0,MATCH($D654,汇率币种头,0))&lt;&gt;"")),INDEX(记账汇率区,0,MATCH($D654,汇率币种头,0))),""))))</f>
        <v/>
      </c>
      <c r="K654" s="23" t="str">
        <f t="shared" si="20"/>
        <v/>
      </c>
      <c r="L654" s="23" t="str">
        <f t="shared" si="21"/>
        <v/>
      </c>
      <c r="M654" s="23" t="str">
        <f>IF($B654="","",ROUND(SUMIF(账户名,$B654,账户期初)+SUMIFS($K$6:K654,$B$6:B654,$B654),2))</f>
        <v/>
      </c>
      <c r="N654" s="23" t="str">
        <f>IF($B654="","",IFERROR(ROUND(INDEX(账户期初本位,MATCH($B654,账户名,0))+SUMIFS($L$6:L654,$B$6:B654,$B654),2),""))</f>
        <v/>
      </c>
      <c r="O654" s="46"/>
      <c r="P654" s="47"/>
      <c r="Q654" s="46"/>
      <c r="R654" s="46"/>
      <c r="S654" s="6" t="str">
        <f>IF($B654="","",IF(ISNA(MATCH($B654,账户名,0)),"※这个账户不在【参数设置】的账户档案里",IF($A654="","※没填日期，这一笔不会进任何月份的报表",IF(AND($G654&lt;&gt;"",$H654&lt;&gt;""),"※收入和支出不能同时填",IF(AND(N($G654)=0,N($H654)=0),"※收入和支出都没填",IF($E654="","※没填收支类别，分类报表会漏掉这一笔",IF(ISNA(MATCH($E654,类别表,0)),"※收支类别不在【参数设置】的清单里",IF($J654="","△"&amp;$D654&amp;" 还没填汇率，去【月度汇率】补上就自动算了",IF(YEAR($A654)&lt;&gt;管理年度,"△不是管理年度的单据，年报里看不到",IF(AND($F654="内部转账",$Q654=""),"△内部转账建议在「往来单位」写上对方账户",IF($M654&lt;0,"△这一笔之后该账户余额成负数了，核一下","")))))))))))</f>
        <v/>
      </c>
    </row>
    <row r="655" ht="16.5" spans="1:19">
      <c r="A655" s="45"/>
      <c r="B655" s="46"/>
      <c r="C655" s="12" t="str">
        <f>IF($B655="","",IFERROR(INDEX(账户银行,MATCH($B655,账户名,0)),""))</f>
        <v/>
      </c>
      <c r="D655" s="12" t="str">
        <f>IF($B655="","",IFERROR(INDEX(账户币种,MATCH($B655,账户名,0)),""))</f>
        <v/>
      </c>
      <c r="E655" s="47"/>
      <c r="F655" s="12" t="str">
        <f>IF($E655="","",IFERROR(INDEX(类别属性,MATCH($E655,类别表,0)),""))</f>
        <v/>
      </c>
      <c r="G655" s="48"/>
      <c r="H655" s="48"/>
      <c r="I655" s="49"/>
      <c r="J655" s="24" t="str">
        <f>IF(OR($A655="",$B655=""),"",IF($I655&lt;&gt;"",$I655,IF($D655=本位币,1,IFERROR(LOOKUP(2,1/((汇率月份&lt;=$A655)*(INDEX(记账汇率区,0,MATCH($D655,汇率币种头,0))&lt;&gt;"")),INDEX(记账汇率区,0,MATCH($D655,汇率币种头,0))),""))))</f>
        <v/>
      </c>
      <c r="K655" s="23" t="str">
        <f t="shared" si="20"/>
        <v/>
      </c>
      <c r="L655" s="23" t="str">
        <f t="shared" si="21"/>
        <v/>
      </c>
      <c r="M655" s="23" t="str">
        <f>IF($B655="","",ROUND(SUMIF(账户名,$B655,账户期初)+SUMIFS($K$6:K655,$B$6:B655,$B655),2))</f>
        <v/>
      </c>
      <c r="N655" s="23" t="str">
        <f>IF($B655="","",IFERROR(ROUND(INDEX(账户期初本位,MATCH($B655,账户名,0))+SUMIFS($L$6:L655,$B$6:B655,$B655),2),""))</f>
        <v/>
      </c>
      <c r="O655" s="46"/>
      <c r="P655" s="47"/>
      <c r="Q655" s="46"/>
      <c r="R655" s="46"/>
      <c r="S655" s="6" t="str">
        <f>IF($B655="","",IF(ISNA(MATCH($B655,账户名,0)),"※这个账户不在【参数设置】的账户档案里",IF($A655="","※没填日期，这一笔不会进任何月份的报表",IF(AND($G655&lt;&gt;"",$H655&lt;&gt;""),"※收入和支出不能同时填",IF(AND(N($G655)=0,N($H655)=0),"※收入和支出都没填",IF($E655="","※没填收支类别，分类报表会漏掉这一笔",IF(ISNA(MATCH($E655,类别表,0)),"※收支类别不在【参数设置】的清单里",IF($J655="","△"&amp;$D655&amp;" 还没填汇率，去【月度汇率】补上就自动算了",IF(YEAR($A655)&lt;&gt;管理年度,"△不是管理年度的单据，年报里看不到",IF(AND($F655="内部转账",$Q655=""),"△内部转账建议在「往来单位」写上对方账户",IF($M655&lt;0,"△这一笔之后该账户余额成负数了，核一下","")))))))))))</f>
        <v/>
      </c>
    </row>
    <row r="656" ht="16.5" spans="1:19">
      <c r="A656" s="45"/>
      <c r="B656" s="46"/>
      <c r="C656" s="12" t="str">
        <f>IF($B656="","",IFERROR(INDEX(账户银行,MATCH($B656,账户名,0)),""))</f>
        <v/>
      </c>
      <c r="D656" s="12" t="str">
        <f>IF($B656="","",IFERROR(INDEX(账户币种,MATCH($B656,账户名,0)),""))</f>
        <v/>
      </c>
      <c r="E656" s="47"/>
      <c r="F656" s="12" t="str">
        <f>IF($E656="","",IFERROR(INDEX(类别属性,MATCH($E656,类别表,0)),""))</f>
        <v/>
      </c>
      <c r="G656" s="48"/>
      <c r="H656" s="48"/>
      <c r="I656" s="49"/>
      <c r="J656" s="24" t="str">
        <f>IF(OR($A656="",$B656=""),"",IF($I656&lt;&gt;"",$I656,IF($D656=本位币,1,IFERROR(LOOKUP(2,1/((汇率月份&lt;=$A656)*(INDEX(记账汇率区,0,MATCH($D656,汇率币种头,0))&lt;&gt;"")),INDEX(记账汇率区,0,MATCH($D656,汇率币种头,0))),""))))</f>
        <v/>
      </c>
      <c r="K656" s="23" t="str">
        <f t="shared" si="20"/>
        <v/>
      </c>
      <c r="L656" s="23" t="str">
        <f t="shared" si="21"/>
        <v/>
      </c>
      <c r="M656" s="23" t="str">
        <f>IF($B656="","",ROUND(SUMIF(账户名,$B656,账户期初)+SUMIFS($K$6:K656,$B$6:B656,$B656),2))</f>
        <v/>
      </c>
      <c r="N656" s="23" t="str">
        <f>IF($B656="","",IFERROR(ROUND(INDEX(账户期初本位,MATCH($B656,账户名,0))+SUMIFS($L$6:L656,$B$6:B656,$B656),2),""))</f>
        <v/>
      </c>
      <c r="O656" s="46"/>
      <c r="P656" s="47"/>
      <c r="Q656" s="46"/>
      <c r="R656" s="46"/>
      <c r="S656" s="6" t="str">
        <f>IF($B656="","",IF(ISNA(MATCH($B656,账户名,0)),"※这个账户不在【参数设置】的账户档案里",IF($A656="","※没填日期，这一笔不会进任何月份的报表",IF(AND($G656&lt;&gt;"",$H656&lt;&gt;""),"※收入和支出不能同时填",IF(AND(N($G656)=0,N($H656)=0),"※收入和支出都没填",IF($E656="","※没填收支类别，分类报表会漏掉这一笔",IF(ISNA(MATCH($E656,类别表,0)),"※收支类别不在【参数设置】的清单里",IF($J656="","△"&amp;$D656&amp;" 还没填汇率，去【月度汇率】补上就自动算了",IF(YEAR($A656)&lt;&gt;管理年度,"△不是管理年度的单据，年报里看不到",IF(AND($F656="内部转账",$Q656=""),"△内部转账建议在「往来单位」写上对方账户",IF($M656&lt;0,"△这一笔之后该账户余额成负数了，核一下","")))))))))))</f>
        <v/>
      </c>
    </row>
    <row r="657" ht="16.5" spans="1:19">
      <c r="A657" s="45"/>
      <c r="B657" s="46"/>
      <c r="C657" s="12" t="str">
        <f>IF($B657="","",IFERROR(INDEX(账户银行,MATCH($B657,账户名,0)),""))</f>
        <v/>
      </c>
      <c r="D657" s="12" t="str">
        <f>IF($B657="","",IFERROR(INDEX(账户币种,MATCH($B657,账户名,0)),""))</f>
        <v/>
      </c>
      <c r="E657" s="47"/>
      <c r="F657" s="12" t="str">
        <f>IF($E657="","",IFERROR(INDEX(类别属性,MATCH($E657,类别表,0)),""))</f>
        <v/>
      </c>
      <c r="G657" s="48"/>
      <c r="H657" s="48"/>
      <c r="I657" s="49"/>
      <c r="J657" s="24" t="str">
        <f>IF(OR($A657="",$B657=""),"",IF($I657&lt;&gt;"",$I657,IF($D657=本位币,1,IFERROR(LOOKUP(2,1/((汇率月份&lt;=$A657)*(INDEX(记账汇率区,0,MATCH($D657,汇率币种头,0))&lt;&gt;"")),INDEX(记账汇率区,0,MATCH($D657,汇率币种头,0))),""))))</f>
        <v/>
      </c>
      <c r="K657" s="23" t="str">
        <f t="shared" si="20"/>
        <v/>
      </c>
      <c r="L657" s="23" t="str">
        <f t="shared" si="21"/>
        <v/>
      </c>
      <c r="M657" s="23" t="str">
        <f>IF($B657="","",ROUND(SUMIF(账户名,$B657,账户期初)+SUMIFS($K$6:K657,$B$6:B657,$B657),2))</f>
        <v/>
      </c>
      <c r="N657" s="23" t="str">
        <f>IF($B657="","",IFERROR(ROUND(INDEX(账户期初本位,MATCH($B657,账户名,0))+SUMIFS($L$6:L657,$B$6:B657,$B657),2),""))</f>
        <v/>
      </c>
      <c r="O657" s="46"/>
      <c r="P657" s="47"/>
      <c r="Q657" s="46"/>
      <c r="R657" s="46"/>
      <c r="S657" s="6" t="str">
        <f>IF($B657="","",IF(ISNA(MATCH($B657,账户名,0)),"※这个账户不在【参数设置】的账户档案里",IF($A657="","※没填日期，这一笔不会进任何月份的报表",IF(AND($G657&lt;&gt;"",$H657&lt;&gt;""),"※收入和支出不能同时填",IF(AND(N($G657)=0,N($H657)=0),"※收入和支出都没填",IF($E657="","※没填收支类别，分类报表会漏掉这一笔",IF(ISNA(MATCH($E657,类别表,0)),"※收支类别不在【参数设置】的清单里",IF($J657="","△"&amp;$D657&amp;" 还没填汇率，去【月度汇率】补上就自动算了",IF(YEAR($A657)&lt;&gt;管理年度,"△不是管理年度的单据，年报里看不到",IF(AND($F657="内部转账",$Q657=""),"△内部转账建议在「往来单位」写上对方账户",IF($M657&lt;0,"△这一笔之后该账户余额成负数了，核一下","")))))))))))</f>
        <v/>
      </c>
    </row>
    <row r="658" ht="16.5" spans="1:19">
      <c r="A658" s="45"/>
      <c r="B658" s="46"/>
      <c r="C658" s="12" t="str">
        <f>IF($B658="","",IFERROR(INDEX(账户银行,MATCH($B658,账户名,0)),""))</f>
        <v/>
      </c>
      <c r="D658" s="12" t="str">
        <f>IF($B658="","",IFERROR(INDEX(账户币种,MATCH($B658,账户名,0)),""))</f>
        <v/>
      </c>
      <c r="E658" s="47"/>
      <c r="F658" s="12" t="str">
        <f>IF($E658="","",IFERROR(INDEX(类别属性,MATCH($E658,类别表,0)),""))</f>
        <v/>
      </c>
      <c r="G658" s="48"/>
      <c r="H658" s="48"/>
      <c r="I658" s="49"/>
      <c r="J658" s="24" t="str">
        <f>IF(OR($A658="",$B658=""),"",IF($I658&lt;&gt;"",$I658,IF($D658=本位币,1,IFERROR(LOOKUP(2,1/((汇率月份&lt;=$A658)*(INDEX(记账汇率区,0,MATCH($D658,汇率币种头,0))&lt;&gt;"")),INDEX(记账汇率区,0,MATCH($D658,汇率币种头,0))),""))))</f>
        <v/>
      </c>
      <c r="K658" s="23" t="str">
        <f t="shared" si="20"/>
        <v/>
      </c>
      <c r="L658" s="23" t="str">
        <f t="shared" si="21"/>
        <v/>
      </c>
      <c r="M658" s="23" t="str">
        <f>IF($B658="","",ROUND(SUMIF(账户名,$B658,账户期初)+SUMIFS($K$6:K658,$B$6:B658,$B658),2))</f>
        <v/>
      </c>
      <c r="N658" s="23" t="str">
        <f>IF($B658="","",IFERROR(ROUND(INDEX(账户期初本位,MATCH($B658,账户名,0))+SUMIFS($L$6:L658,$B$6:B658,$B658),2),""))</f>
        <v/>
      </c>
      <c r="O658" s="46"/>
      <c r="P658" s="47"/>
      <c r="Q658" s="46"/>
      <c r="R658" s="46"/>
      <c r="S658" s="6" t="str">
        <f>IF($B658="","",IF(ISNA(MATCH($B658,账户名,0)),"※这个账户不在【参数设置】的账户档案里",IF($A658="","※没填日期，这一笔不会进任何月份的报表",IF(AND($G658&lt;&gt;"",$H658&lt;&gt;""),"※收入和支出不能同时填",IF(AND(N($G658)=0,N($H658)=0),"※收入和支出都没填",IF($E658="","※没填收支类别，分类报表会漏掉这一笔",IF(ISNA(MATCH($E658,类别表,0)),"※收支类别不在【参数设置】的清单里",IF($J658="","△"&amp;$D658&amp;" 还没填汇率，去【月度汇率】补上就自动算了",IF(YEAR($A658)&lt;&gt;管理年度,"△不是管理年度的单据，年报里看不到",IF(AND($F658="内部转账",$Q658=""),"△内部转账建议在「往来单位」写上对方账户",IF($M658&lt;0,"△这一笔之后该账户余额成负数了，核一下","")))))))))))</f>
        <v/>
      </c>
    </row>
    <row r="659" ht="16.5" spans="1:19">
      <c r="A659" s="45"/>
      <c r="B659" s="46"/>
      <c r="C659" s="12" t="str">
        <f>IF($B659="","",IFERROR(INDEX(账户银行,MATCH($B659,账户名,0)),""))</f>
        <v/>
      </c>
      <c r="D659" s="12" t="str">
        <f>IF($B659="","",IFERROR(INDEX(账户币种,MATCH($B659,账户名,0)),""))</f>
        <v/>
      </c>
      <c r="E659" s="47"/>
      <c r="F659" s="12" t="str">
        <f>IF($E659="","",IFERROR(INDEX(类别属性,MATCH($E659,类别表,0)),""))</f>
        <v/>
      </c>
      <c r="G659" s="48"/>
      <c r="H659" s="48"/>
      <c r="I659" s="49"/>
      <c r="J659" s="24" t="str">
        <f>IF(OR($A659="",$B659=""),"",IF($I659&lt;&gt;"",$I659,IF($D659=本位币,1,IFERROR(LOOKUP(2,1/((汇率月份&lt;=$A659)*(INDEX(记账汇率区,0,MATCH($D659,汇率币种头,0))&lt;&gt;"")),INDEX(记账汇率区,0,MATCH($D659,汇率币种头,0))),""))))</f>
        <v/>
      </c>
      <c r="K659" s="23" t="str">
        <f t="shared" si="20"/>
        <v/>
      </c>
      <c r="L659" s="23" t="str">
        <f t="shared" si="21"/>
        <v/>
      </c>
      <c r="M659" s="23" t="str">
        <f>IF($B659="","",ROUND(SUMIF(账户名,$B659,账户期初)+SUMIFS($K$6:K659,$B$6:B659,$B659),2))</f>
        <v/>
      </c>
      <c r="N659" s="23" t="str">
        <f>IF($B659="","",IFERROR(ROUND(INDEX(账户期初本位,MATCH($B659,账户名,0))+SUMIFS($L$6:L659,$B$6:B659,$B659),2),""))</f>
        <v/>
      </c>
      <c r="O659" s="46"/>
      <c r="P659" s="47"/>
      <c r="Q659" s="46"/>
      <c r="R659" s="46"/>
      <c r="S659" s="6" t="str">
        <f>IF($B659="","",IF(ISNA(MATCH($B659,账户名,0)),"※这个账户不在【参数设置】的账户档案里",IF($A659="","※没填日期，这一笔不会进任何月份的报表",IF(AND($G659&lt;&gt;"",$H659&lt;&gt;""),"※收入和支出不能同时填",IF(AND(N($G659)=0,N($H659)=0),"※收入和支出都没填",IF($E659="","※没填收支类别，分类报表会漏掉这一笔",IF(ISNA(MATCH($E659,类别表,0)),"※收支类别不在【参数设置】的清单里",IF($J659="","△"&amp;$D659&amp;" 还没填汇率，去【月度汇率】补上就自动算了",IF(YEAR($A659)&lt;&gt;管理年度,"△不是管理年度的单据，年报里看不到",IF(AND($F659="内部转账",$Q659=""),"△内部转账建议在「往来单位」写上对方账户",IF($M659&lt;0,"△这一笔之后该账户余额成负数了，核一下","")))))))))))</f>
        <v/>
      </c>
    </row>
    <row r="660" ht="16.5" spans="1:19">
      <c r="A660" s="45"/>
      <c r="B660" s="46"/>
      <c r="C660" s="12" t="str">
        <f>IF($B660="","",IFERROR(INDEX(账户银行,MATCH($B660,账户名,0)),""))</f>
        <v/>
      </c>
      <c r="D660" s="12" t="str">
        <f>IF($B660="","",IFERROR(INDEX(账户币种,MATCH($B660,账户名,0)),""))</f>
        <v/>
      </c>
      <c r="E660" s="47"/>
      <c r="F660" s="12" t="str">
        <f>IF($E660="","",IFERROR(INDEX(类别属性,MATCH($E660,类别表,0)),""))</f>
        <v/>
      </c>
      <c r="G660" s="48"/>
      <c r="H660" s="48"/>
      <c r="I660" s="49"/>
      <c r="J660" s="24" t="str">
        <f>IF(OR($A660="",$B660=""),"",IF($I660&lt;&gt;"",$I660,IF($D660=本位币,1,IFERROR(LOOKUP(2,1/((汇率月份&lt;=$A660)*(INDEX(记账汇率区,0,MATCH($D660,汇率币种头,0))&lt;&gt;"")),INDEX(记账汇率区,0,MATCH($D660,汇率币种头,0))),""))))</f>
        <v/>
      </c>
      <c r="K660" s="23" t="str">
        <f t="shared" si="20"/>
        <v/>
      </c>
      <c r="L660" s="23" t="str">
        <f t="shared" si="21"/>
        <v/>
      </c>
      <c r="M660" s="23" t="str">
        <f>IF($B660="","",ROUND(SUMIF(账户名,$B660,账户期初)+SUMIFS($K$6:K660,$B$6:B660,$B660),2))</f>
        <v/>
      </c>
      <c r="N660" s="23" t="str">
        <f>IF($B660="","",IFERROR(ROUND(INDEX(账户期初本位,MATCH($B660,账户名,0))+SUMIFS($L$6:L660,$B$6:B660,$B660),2),""))</f>
        <v/>
      </c>
      <c r="O660" s="46"/>
      <c r="P660" s="47"/>
      <c r="Q660" s="46"/>
      <c r="R660" s="46"/>
      <c r="S660" s="6" t="str">
        <f>IF($B660="","",IF(ISNA(MATCH($B660,账户名,0)),"※这个账户不在【参数设置】的账户档案里",IF($A660="","※没填日期，这一笔不会进任何月份的报表",IF(AND($G660&lt;&gt;"",$H660&lt;&gt;""),"※收入和支出不能同时填",IF(AND(N($G660)=0,N($H660)=0),"※收入和支出都没填",IF($E660="","※没填收支类别，分类报表会漏掉这一笔",IF(ISNA(MATCH($E660,类别表,0)),"※收支类别不在【参数设置】的清单里",IF($J660="","△"&amp;$D660&amp;" 还没填汇率，去【月度汇率】补上就自动算了",IF(YEAR($A660)&lt;&gt;管理年度,"△不是管理年度的单据，年报里看不到",IF(AND($F660="内部转账",$Q660=""),"△内部转账建议在「往来单位」写上对方账户",IF($M660&lt;0,"△这一笔之后该账户余额成负数了，核一下","")))))))))))</f>
        <v/>
      </c>
    </row>
    <row r="661" ht="16.5" spans="1:19">
      <c r="A661" s="45"/>
      <c r="B661" s="46"/>
      <c r="C661" s="12" t="str">
        <f>IF($B661="","",IFERROR(INDEX(账户银行,MATCH($B661,账户名,0)),""))</f>
        <v/>
      </c>
      <c r="D661" s="12" t="str">
        <f>IF($B661="","",IFERROR(INDEX(账户币种,MATCH($B661,账户名,0)),""))</f>
        <v/>
      </c>
      <c r="E661" s="47"/>
      <c r="F661" s="12" t="str">
        <f>IF($E661="","",IFERROR(INDEX(类别属性,MATCH($E661,类别表,0)),""))</f>
        <v/>
      </c>
      <c r="G661" s="48"/>
      <c r="H661" s="48"/>
      <c r="I661" s="49"/>
      <c r="J661" s="24" t="str">
        <f>IF(OR($A661="",$B661=""),"",IF($I661&lt;&gt;"",$I661,IF($D661=本位币,1,IFERROR(LOOKUP(2,1/((汇率月份&lt;=$A661)*(INDEX(记账汇率区,0,MATCH($D661,汇率币种头,0))&lt;&gt;"")),INDEX(记账汇率区,0,MATCH($D661,汇率币种头,0))),""))))</f>
        <v/>
      </c>
      <c r="K661" s="23" t="str">
        <f t="shared" si="20"/>
        <v/>
      </c>
      <c r="L661" s="23" t="str">
        <f t="shared" si="21"/>
        <v/>
      </c>
      <c r="M661" s="23" t="str">
        <f>IF($B661="","",ROUND(SUMIF(账户名,$B661,账户期初)+SUMIFS($K$6:K661,$B$6:B661,$B661),2))</f>
        <v/>
      </c>
      <c r="N661" s="23" t="str">
        <f>IF($B661="","",IFERROR(ROUND(INDEX(账户期初本位,MATCH($B661,账户名,0))+SUMIFS($L$6:L661,$B$6:B661,$B661),2),""))</f>
        <v/>
      </c>
      <c r="O661" s="46"/>
      <c r="P661" s="47"/>
      <c r="Q661" s="46"/>
      <c r="R661" s="46"/>
      <c r="S661" s="6" t="str">
        <f>IF($B661="","",IF(ISNA(MATCH($B661,账户名,0)),"※这个账户不在【参数设置】的账户档案里",IF($A661="","※没填日期，这一笔不会进任何月份的报表",IF(AND($G661&lt;&gt;"",$H661&lt;&gt;""),"※收入和支出不能同时填",IF(AND(N($G661)=0,N($H661)=0),"※收入和支出都没填",IF($E661="","※没填收支类别，分类报表会漏掉这一笔",IF(ISNA(MATCH($E661,类别表,0)),"※收支类别不在【参数设置】的清单里",IF($J661="","△"&amp;$D661&amp;" 还没填汇率，去【月度汇率】补上就自动算了",IF(YEAR($A661)&lt;&gt;管理年度,"△不是管理年度的单据，年报里看不到",IF(AND($F661="内部转账",$Q661=""),"△内部转账建议在「往来单位」写上对方账户",IF($M661&lt;0,"△这一笔之后该账户余额成负数了，核一下","")))))))))))</f>
        <v/>
      </c>
    </row>
    <row r="662" ht="16.5" spans="1:19">
      <c r="A662" s="45"/>
      <c r="B662" s="46"/>
      <c r="C662" s="12" t="str">
        <f>IF($B662="","",IFERROR(INDEX(账户银行,MATCH($B662,账户名,0)),""))</f>
        <v/>
      </c>
      <c r="D662" s="12" t="str">
        <f>IF($B662="","",IFERROR(INDEX(账户币种,MATCH($B662,账户名,0)),""))</f>
        <v/>
      </c>
      <c r="E662" s="47"/>
      <c r="F662" s="12" t="str">
        <f>IF($E662="","",IFERROR(INDEX(类别属性,MATCH($E662,类别表,0)),""))</f>
        <v/>
      </c>
      <c r="G662" s="48"/>
      <c r="H662" s="48"/>
      <c r="I662" s="49"/>
      <c r="J662" s="24" t="str">
        <f>IF(OR($A662="",$B662=""),"",IF($I662&lt;&gt;"",$I662,IF($D662=本位币,1,IFERROR(LOOKUP(2,1/((汇率月份&lt;=$A662)*(INDEX(记账汇率区,0,MATCH($D662,汇率币种头,0))&lt;&gt;"")),INDEX(记账汇率区,0,MATCH($D662,汇率币种头,0))),""))))</f>
        <v/>
      </c>
      <c r="K662" s="23" t="str">
        <f t="shared" si="20"/>
        <v/>
      </c>
      <c r="L662" s="23" t="str">
        <f t="shared" si="21"/>
        <v/>
      </c>
      <c r="M662" s="23" t="str">
        <f>IF($B662="","",ROUND(SUMIF(账户名,$B662,账户期初)+SUMIFS($K$6:K662,$B$6:B662,$B662),2))</f>
        <v/>
      </c>
      <c r="N662" s="23" t="str">
        <f>IF($B662="","",IFERROR(ROUND(INDEX(账户期初本位,MATCH($B662,账户名,0))+SUMIFS($L$6:L662,$B$6:B662,$B662),2),""))</f>
        <v/>
      </c>
      <c r="O662" s="46"/>
      <c r="P662" s="47"/>
      <c r="Q662" s="46"/>
      <c r="R662" s="46"/>
      <c r="S662" s="6" t="str">
        <f>IF($B662="","",IF(ISNA(MATCH($B662,账户名,0)),"※这个账户不在【参数设置】的账户档案里",IF($A662="","※没填日期，这一笔不会进任何月份的报表",IF(AND($G662&lt;&gt;"",$H662&lt;&gt;""),"※收入和支出不能同时填",IF(AND(N($G662)=0,N($H662)=0),"※收入和支出都没填",IF($E662="","※没填收支类别，分类报表会漏掉这一笔",IF(ISNA(MATCH($E662,类别表,0)),"※收支类别不在【参数设置】的清单里",IF($J662="","△"&amp;$D662&amp;" 还没填汇率，去【月度汇率】补上就自动算了",IF(YEAR($A662)&lt;&gt;管理年度,"△不是管理年度的单据，年报里看不到",IF(AND($F662="内部转账",$Q662=""),"△内部转账建议在「往来单位」写上对方账户",IF($M662&lt;0,"△这一笔之后该账户余额成负数了，核一下","")))))))))))</f>
        <v/>
      </c>
    </row>
    <row r="663" ht="16.5" spans="1:19">
      <c r="A663" s="45"/>
      <c r="B663" s="46"/>
      <c r="C663" s="12" t="str">
        <f>IF($B663="","",IFERROR(INDEX(账户银行,MATCH($B663,账户名,0)),""))</f>
        <v/>
      </c>
      <c r="D663" s="12" t="str">
        <f>IF($B663="","",IFERROR(INDEX(账户币种,MATCH($B663,账户名,0)),""))</f>
        <v/>
      </c>
      <c r="E663" s="47"/>
      <c r="F663" s="12" t="str">
        <f>IF($E663="","",IFERROR(INDEX(类别属性,MATCH($E663,类别表,0)),""))</f>
        <v/>
      </c>
      <c r="G663" s="48"/>
      <c r="H663" s="48"/>
      <c r="I663" s="49"/>
      <c r="J663" s="24" t="str">
        <f>IF(OR($A663="",$B663=""),"",IF($I663&lt;&gt;"",$I663,IF($D663=本位币,1,IFERROR(LOOKUP(2,1/((汇率月份&lt;=$A663)*(INDEX(记账汇率区,0,MATCH($D663,汇率币种头,0))&lt;&gt;"")),INDEX(记账汇率区,0,MATCH($D663,汇率币种头,0))),""))))</f>
        <v/>
      </c>
      <c r="K663" s="23" t="str">
        <f t="shared" si="20"/>
        <v/>
      </c>
      <c r="L663" s="23" t="str">
        <f t="shared" si="21"/>
        <v/>
      </c>
      <c r="M663" s="23" t="str">
        <f>IF($B663="","",ROUND(SUMIF(账户名,$B663,账户期初)+SUMIFS($K$6:K663,$B$6:B663,$B663),2))</f>
        <v/>
      </c>
      <c r="N663" s="23" t="str">
        <f>IF($B663="","",IFERROR(ROUND(INDEX(账户期初本位,MATCH($B663,账户名,0))+SUMIFS($L$6:L663,$B$6:B663,$B663),2),""))</f>
        <v/>
      </c>
      <c r="O663" s="46"/>
      <c r="P663" s="47"/>
      <c r="Q663" s="46"/>
      <c r="R663" s="46"/>
      <c r="S663" s="6" t="str">
        <f>IF($B663="","",IF(ISNA(MATCH($B663,账户名,0)),"※这个账户不在【参数设置】的账户档案里",IF($A663="","※没填日期，这一笔不会进任何月份的报表",IF(AND($G663&lt;&gt;"",$H663&lt;&gt;""),"※收入和支出不能同时填",IF(AND(N($G663)=0,N($H663)=0),"※收入和支出都没填",IF($E663="","※没填收支类别，分类报表会漏掉这一笔",IF(ISNA(MATCH($E663,类别表,0)),"※收支类别不在【参数设置】的清单里",IF($J663="","△"&amp;$D663&amp;" 还没填汇率，去【月度汇率】补上就自动算了",IF(YEAR($A663)&lt;&gt;管理年度,"△不是管理年度的单据，年报里看不到",IF(AND($F663="内部转账",$Q663=""),"△内部转账建议在「往来单位」写上对方账户",IF($M663&lt;0,"△这一笔之后该账户余额成负数了，核一下","")))))))))))</f>
        <v/>
      </c>
    </row>
    <row r="664" ht="16.5" spans="1:19">
      <c r="A664" s="45"/>
      <c r="B664" s="46"/>
      <c r="C664" s="12" t="str">
        <f>IF($B664="","",IFERROR(INDEX(账户银行,MATCH($B664,账户名,0)),""))</f>
        <v/>
      </c>
      <c r="D664" s="12" t="str">
        <f>IF($B664="","",IFERROR(INDEX(账户币种,MATCH($B664,账户名,0)),""))</f>
        <v/>
      </c>
      <c r="E664" s="47"/>
      <c r="F664" s="12" t="str">
        <f>IF($E664="","",IFERROR(INDEX(类别属性,MATCH($E664,类别表,0)),""))</f>
        <v/>
      </c>
      <c r="G664" s="48"/>
      <c r="H664" s="48"/>
      <c r="I664" s="49"/>
      <c r="J664" s="24" t="str">
        <f>IF(OR($A664="",$B664=""),"",IF($I664&lt;&gt;"",$I664,IF($D664=本位币,1,IFERROR(LOOKUP(2,1/((汇率月份&lt;=$A664)*(INDEX(记账汇率区,0,MATCH($D664,汇率币种头,0))&lt;&gt;"")),INDEX(记账汇率区,0,MATCH($D664,汇率币种头,0))),""))))</f>
        <v/>
      </c>
      <c r="K664" s="23" t="str">
        <f t="shared" si="20"/>
        <v/>
      </c>
      <c r="L664" s="23" t="str">
        <f t="shared" si="21"/>
        <v/>
      </c>
      <c r="M664" s="23" t="str">
        <f>IF($B664="","",ROUND(SUMIF(账户名,$B664,账户期初)+SUMIFS($K$6:K664,$B$6:B664,$B664),2))</f>
        <v/>
      </c>
      <c r="N664" s="23" t="str">
        <f>IF($B664="","",IFERROR(ROUND(INDEX(账户期初本位,MATCH($B664,账户名,0))+SUMIFS($L$6:L664,$B$6:B664,$B664),2),""))</f>
        <v/>
      </c>
      <c r="O664" s="46"/>
      <c r="P664" s="47"/>
      <c r="Q664" s="46"/>
      <c r="R664" s="46"/>
      <c r="S664" s="6" t="str">
        <f>IF($B664="","",IF(ISNA(MATCH($B664,账户名,0)),"※这个账户不在【参数设置】的账户档案里",IF($A664="","※没填日期，这一笔不会进任何月份的报表",IF(AND($G664&lt;&gt;"",$H664&lt;&gt;""),"※收入和支出不能同时填",IF(AND(N($G664)=0,N($H664)=0),"※收入和支出都没填",IF($E664="","※没填收支类别，分类报表会漏掉这一笔",IF(ISNA(MATCH($E664,类别表,0)),"※收支类别不在【参数设置】的清单里",IF($J664="","△"&amp;$D664&amp;" 还没填汇率，去【月度汇率】补上就自动算了",IF(YEAR($A664)&lt;&gt;管理年度,"△不是管理年度的单据，年报里看不到",IF(AND($F664="内部转账",$Q664=""),"△内部转账建议在「往来单位」写上对方账户",IF($M664&lt;0,"△这一笔之后该账户余额成负数了，核一下","")))))))))))</f>
        <v/>
      </c>
    </row>
    <row r="665" ht="16.5" spans="1:19">
      <c r="A665" s="45"/>
      <c r="B665" s="46"/>
      <c r="C665" s="12" t="str">
        <f>IF($B665="","",IFERROR(INDEX(账户银行,MATCH($B665,账户名,0)),""))</f>
        <v/>
      </c>
      <c r="D665" s="12" t="str">
        <f>IF($B665="","",IFERROR(INDEX(账户币种,MATCH($B665,账户名,0)),""))</f>
        <v/>
      </c>
      <c r="E665" s="47"/>
      <c r="F665" s="12" t="str">
        <f>IF($E665="","",IFERROR(INDEX(类别属性,MATCH($E665,类别表,0)),""))</f>
        <v/>
      </c>
      <c r="G665" s="48"/>
      <c r="H665" s="48"/>
      <c r="I665" s="49"/>
      <c r="J665" s="24" t="str">
        <f>IF(OR($A665="",$B665=""),"",IF($I665&lt;&gt;"",$I665,IF($D665=本位币,1,IFERROR(LOOKUP(2,1/((汇率月份&lt;=$A665)*(INDEX(记账汇率区,0,MATCH($D665,汇率币种头,0))&lt;&gt;"")),INDEX(记账汇率区,0,MATCH($D665,汇率币种头,0))),""))))</f>
        <v/>
      </c>
      <c r="K665" s="23" t="str">
        <f t="shared" si="20"/>
        <v/>
      </c>
      <c r="L665" s="23" t="str">
        <f t="shared" si="21"/>
        <v/>
      </c>
      <c r="M665" s="23" t="str">
        <f>IF($B665="","",ROUND(SUMIF(账户名,$B665,账户期初)+SUMIFS($K$6:K665,$B$6:B665,$B665),2))</f>
        <v/>
      </c>
      <c r="N665" s="23" t="str">
        <f>IF($B665="","",IFERROR(ROUND(INDEX(账户期初本位,MATCH($B665,账户名,0))+SUMIFS($L$6:L665,$B$6:B665,$B665),2),""))</f>
        <v/>
      </c>
      <c r="O665" s="46"/>
      <c r="P665" s="47"/>
      <c r="Q665" s="46"/>
      <c r="R665" s="46"/>
      <c r="S665" s="6" t="str">
        <f>IF($B665="","",IF(ISNA(MATCH($B665,账户名,0)),"※这个账户不在【参数设置】的账户档案里",IF($A665="","※没填日期，这一笔不会进任何月份的报表",IF(AND($G665&lt;&gt;"",$H665&lt;&gt;""),"※收入和支出不能同时填",IF(AND(N($G665)=0,N($H665)=0),"※收入和支出都没填",IF($E665="","※没填收支类别，分类报表会漏掉这一笔",IF(ISNA(MATCH($E665,类别表,0)),"※收支类别不在【参数设置】的清单里",IF($J665="","△"&amp;$D665&amp;" 还没填汇率，去【月度汇率】补上就自动算了",IF(YEAR($A665)&lt;&gt;管理年度,"△不是管理年度的单据，年报里看不到",IF(AND($F665="内部转账",$Q665=""),"△内部转账建议在「往来单位」写上对方账户",IF($M665&lt;0,"△这一笔之后该账户余额成负数了，核一下","")))))))))))</f>
        <v/>
      </c>
    </row>
    <row r="666" ht="16.5" spans="1:19">
      <c r="A666" s="45"/>
      <c r="B666" s="46"/>
      <c r="C666" s="12" t="str">
        <f>IF($B666="","",IFERROR(INDEX(账户银行,MATCH($B666,账户名,0)),""))</f>
        <v/>
      </c>
      <c r="D666" s="12" t="str">
        <f>IF($B666="","",IFERROR(INDEX(账户币种,MATCH($B666,账户名,0)),""))</f>
        <v/>
      </c>
      <c r="E666" s="47"/>
      <c r="F666" s="12" t="str">
        <f>IF($E666="","",IFERROR(INDEX(类别属性,MATCH($E666,类别表,0)),""))</f>
        <v/>
      </c>
      <c r="G666" s="48"/>
      <c r="H666" s="48"/>
      <c r="I666" s="49"/>
      <c r="J666" s="24" t="str">
        <f>IF(OR($A666="",$B666=""),"",IF($I666&lt;&gt;"",$I666,IF($D666=本位币,1,IFERROR(LOOKUP(2,1/((汇率月份&lt;=$A666)*(INDEX(记账汇率区,0,MATCH($D666,汇率币种头,0))&lt;&gt;"")),INDEX(记账汇率区,0,MATCH($D666,汇率币种头,0))),""))))</f>
        <v/>
      </c>
      <c r="K666" s="23" t="str">
        <f t="shared" si="20"/>
        <v/>
      </c>
      <c r="L666" s="23" t="str">
        <f t="shared" si="21"/>
        <v/>
      </c>
      <c r="M666" s="23" t="str">
        <f>IF($B666="","",ROUND(SUMIF(账户名,$B666,账户期初)+SUMIFS($K$6:K666,$B$6:B666,$B666),2))</f>
        <v/>
      </c>
      <c r="N666" s="23" t="str">
        <f>IF($B666="","",IFERROR(ROUND(INDEX(账户期初本位,MATCH($B666,账户名,0))+SUMIFS($L$6:L666,$B$6:B666,$B666),2),""))</f>
        <v/>
      </c>
      <c r="O666" s="46"/>
      <c r="P666" s="47"/>
      <c r="Q666" s="46"/>
      <c r="R666" s="46"/>
      <c r="S666" s="6" t="str">
        <f>IF($B666="","",IF(ISNA(MATCH($B666,账户名,0)),"※这个账户不在【参数设置】的账户档案里",IF($A666="","※没填日期，这一笔不会进任何月份的报表",IF(AND($G666&lt;&gt;"",$H666&lt;&gt;""),"※收入和支出不能同时填",IF(AND(N($G666)=0,N($H666)=0),"※收入和支出都没填",IF($E666="","※没填收支类别，分类报表会漏掉这一笔",IF(ISNA(MATCH($E666,类别表,0)),"※收支类别不在【参数设置】的清单里",IF($J666="","△"&amp;$D666&amp;" 还没填汇率，去【月度汇率】补上就自动算了",IF(YEAR($A666)&lt;&gt;管理年度,"△不是管理年度的单据，年报里看不到",IF(AND($F666="内部转账",$Q666=""),"△内部转账建议在「往来单位」写上对方账户",IF($M666&lt;0,"△这一笔之后该账户余额成负数了，核一下","")))))))))))</f>
        <v/>
      </c>
    </row>
    <row r="667" ht="16.5" spans="1:19">
      <c r="A667" s="45"/>
      <c r="B667" s="46"/>
      <c r="C667" s="12" t="str">
        <f>IF($B667="","",IFERROR(INDEX(账户银行,MATCH($B667,账户名,0)),""))</f>
        <v/>
      </c>
      <c r="D667" s="12" t="str">
        <f>IF($B667="","",IFERROR(INDEX(账户币种,MATCH($B667,账户名,0)),""))</f>
        <v/>
      </c>
      <c r="E667" s="47"/>
      <c r="F667" s="12" t="str">
        <f>IF($E667="","",IFERROR(INDEX(类别属性,MATCH($E667,类别表,0)),""))</f>
        <v/>
      </c>
      <c r="G667" s="48"/>
      <c r="H667" s="48"/>
      <c r="I667" s="49"/>
      <c r="J667" s="24" t="str">
        <f>IF(OR($A667="",$B667=""),"",IF($I667&lt;&gt;"",$I667,IF($D667=本位币,1,IFERROR(LOOKUP(2,1/((汇率月份&lt;=$A667)*(INDEX(记账汇率区,0,MATCH($D667,汇率币种头,0))&lt;&gt;"")),INDEX(记账汇率区,0,MATCH($D667,汇率币种头,0))),""))))</f>
        <v/>
      </c>
      <c r="K667" s="23" t="str">
        <f t="shared" si="20"/>
        <v/>
      </c>
      <c r="L667" s="23" t="str">
        <f t="shared" si="21"/>
        <v/>
      </c>
      <c r="M667" s="23" t="str">
        <f>IF($B667="","",ROUND(SUMIF(账户名,$B667,账户期初)+SUMIFS($K$6:K667,$B$6:B667,$B667),2))</f>
        <v/>
      </c>
      <c r="N667" s="23" t="str">
        <f>IF($B667="","",IFERROR(ROUND(INDEX(账户期初本位,MATCH($B667,账户名,0))+SUMIFS($L$6:L667,$B$6:B667,$B667),2),""))</f>
        <v/>
      </c>
      <c r="O667" s="46"/>
      <c r="P667" s="47"/>
      <c r="Q667" s="46"/>
      <c r="R667" s="46"/>
      <c r="S667" s="6" t="str">
        <f>IF($B667="","",IF(ISNA(MATCH($B667,账户名,0)),"※这个账户不在【参数设置】的账户档案里",IF($A667="","※没填日期，这一笔不会进任何月份的报表",IF(AND($G667&lt;&gt;"",$H667&lt;&gt;""),"※收入和支出不能同时填",IF(AND(N($G667)=0,N($H667)=0),"※收入和支出都没填",IF($E667="","※没填收支类别，分类报表会漏掉这一笔",IF(ISNA(MATCH($E667,类别表,0)),"※收支类别不在【参数设置】的清单里",IF($J667="","△"&amp;$D667&amp;" 还没填汇率，去【月度汇率】补上就自动算了",IF(YEAR($A667)&lt;&gt;管理年度,"△不是管理年度的单据，年报里看不到",IF(AND($F667="内部转账",$Q667=""),"△内部转账建议在「往来单位」写上对方账户",IF($M667&lt;0,"△这一笔之后该账户余额成负数了，核一下","")))))))))))</f>
        <v/>
      </c>
    </row>
    <row r="668" ht="16.5" spans="1:19">
      <c r="A668" s="45"/>
      <c r="B668" s="46"/>
      <c r="C668" s="12" t="str">
        <f>IF($B668="","",IFERROR(INDEX(账户银行,MATCH($B668,账户名,0)),""))</f>
        <v/>
      </c>
      <c r="D668" s="12" t="str">
        <f>IF($B668="","",IFERROR(INDEX(账户币种,MATCH($B668,账户名,0)),""))</f>
        <v/>
      </c>
      <c r="E668" s="47"/>
      <c r="F668" s="12" t="str">
        <f>IF($E668="","",IFERROR(INDEX(类别属性,MATCH($E668,类别表,0)),""))</f>
        <v/>
      </c>
      <c r="G668" s="48"/>
      <c r="H668" s="48"/>
      <c r="I668" s="49"/>
      <c r="J668" s="24" t="str">
        <f>IF(OR($A668="",$B668=""),"",IF($I668&lt;&gt;"",$I668,IF($D668=本位币,1,IFERROR(LOOKUP(2,1/((汇率月份&lt;=$A668)*(INDEX(记账汇率区,0,MATCH($D668,汇率币种头,0))&lt;&gt;"")),INDEX(记账汇率区,0,MATCH($D668,汇率币种头,0))),""))))</f>
        <v/>
      </c>
      <c r="K668" s="23" t="str">
        <f t="shared" si="20"/>
        <v/>
      </c>
      <c r="L668" s="23" t="str">
        <f t="shared" si="21"/>
        <v/>
      </c>
      <c r="M668" s="23" t="str">
        <f>IF($B668="","",ROUND(SUMIF(账户名,$B668,账户期初)+SUMIFS($K$6:K668,$B$6:B668,$B668),2))</f>
        <v/>
      </c>
      <c r="N668" s="23" t="str">
        <f>IF($B668="","",IFERROR(ROUND(INDEX(账户期初本位,MATCH($B668,账户名,0))+SUMIFS($L$6:L668,$B$6:B668,$B668),2),""))</f>
        <v/>
      </c>
      <c r="O668" s="46"/>
      <c r="P668" s="47"/>
      <c r="Q668" s="46"/>
      <c r="R668" s="46"/>
      <c r="S668" s="6" t="str">
        <f>IF($B668="","",IF(ISNA(MATCH($B668,账户名,0)),"※这个账户不在【参数设置】的账户档案里",IF($A668="","※没填日期，这一笔不会进任何月份的报表",IF(AND($G668&lt;&gt;"",$H668&lt;&gt;""),"※收入和支出不能同时填",IF(AND(N($G668)=0,N($H668)=0),"※收入和支出都没填",IF($E668="","※没填收支类别，分类报表会漏掉这一笔",IF(ISNA(MATCH($E668,类别表,0)),"※收支类别不在【参数设置】的清单里",IF($J668="","△"&amp;$D668&amp;" 还没填汇率，去【月度汇率】补上就自动算了",IF(YEAR($A668)&lt;&gt;管理年度,"△不是管理年度的单据，年报里看不到",IF(AND($F668="内部转账",$Q668=""),"△内部转账建议在「往来单位」写上对方账户",IF($M668&lt;0,"△这一笔之后该账户余额成负数了，核一下","")))))))))))</f>
        <v/>
      </c>
    </row>
    <row r="669" ht="16.5" spans="1:19">
      <c r="A669" s="45"/>
      <c r="B669" s="46"/>
      <c r="C669" s="12" t="str">
        <f>IF($B669="","",IFERROR(INDEX(账户银行,MATCH($B669,账户名,0)),""))</f>
        <v/>
      </c>
      <c r="D669" s="12" t="str">
        <f>IF($B669="","",IFERROR(INDEX(账户币种,MATCH($B669,账户名,0)),""))</f>
        <v/>
      </c>
      <c r="E669" s="47"/>
      <c r="F669" s="12" t="str">
        <f>IF($E669="","",IFERROR(INDEX(类别属性,MATCH($E669,类别表,0)),""))</f>
        <v/>
      </c>
      <c r="G669" s="48"/>
      <c r="H669" s="48"/>
      <c r="I669" s="49"/>
      <c r="J669" s="24" t="str">
        <f>IF(OR($A669="",$B669=""),"",IF($I669&lt;&gt;"",$I669,IF($D669=本位币,1,IFERROR(LOOKUP(2,1/((汇率月份&lt;=$A669)*(INDEX(记账汇率区,0,MATCH($D669,汇率币种头,0))&lt;&gt;"")),INDEX(记账汇率区,0,MATCH($D669,汇率币种头,0))),""))))</f>
        <v/>
      </c>
      <c r="K669" s="23" t="str">
        <f t="shared" si="20"/>
        <v/>
      </c>
      <c r="L669" s="23" t="str">
        <f t="shared" si="21"/>
        <v/>
      </c>
      <c r="M669" s="23" t="str">
        <f>IF($B669="","",ROUND(SUMIF(账户名,$B669,账户期初)+SUMIFS($K$6:K669,$B$6:B669,$B669),2))</f>
        <v/>
      </c>
      <c r="N669" s="23" t="str">
        <f>IF($B669="","",IFERROR(ROUND(INDEX(账户期初本位,MATCH($B669,账户名,0))+SUMIFS($L$6:L669,$B$6:B669,$B669),2),""))</f>
        <v/>
      </c>
      <c r="O669" s="46"/>
      <c r="P669" s="47"/>
      <c r="Q669" s="46"/>
      <c r="R669" s="46"/>
      <c r="S669" s="6" t="str">
        <f>IF($B669="","",IF(ISNA(MATCH($B669,账户名,0)),"※这个账户不在【参数设置】的账户档案里",IF($A669="","※没填日期，这一笔不会进任何月份的报表",IF(AND($G669&lt;&gt;"",$H669&lt;&gt;""),"※收入和支出不能同时填",IF(AND(N($G669)=0,N($H669)=0),"※收入和支出都没填",IF($E669="","※没填收支类别，分类报表会漏掉这一笔",IF(ISNA(MATCH($E669,类别表,0)),"※收支类别不在【参数设置】的清单里",IF($J669="","△"&amp;$D669&amp;" 还没填汇率，去【月度汇率】补上就自动算了",IF(YEAR($A669)&lt;&gt;管理年度,"△不是管理年度的单据，年报里看不到",IF(AND($F669="内部转账",$Q669=""),"△内部转账建议在「往来单位」写上对方账户",IF($M669&lt;0,"△这一笔之后该账户余额成负数了，核一下","")))))))))))</f>
        <v/>
      </c>
    </row>
    <row r="670" ht="16.5" spans="1:19">
      <c r="A670" s="45"/>
      <c r="B670" s="46"/>
      <c r="C670" s="12" t="str">
        <f>IF($B670="","",IFERROR(INDEX(账户银行,MATCH($B670,账户名,0)),""))</f>
        <v/>
      </c>
      <c r="D670" s="12" t="str">
        <f>IF($B670="","",IFERROR(INDEX(账户币种,MATCH($B670,账户名,0)),""))</f>
        <v/>
      </c>
      <c r="E670" s="47"/>
      <c r="F670" s="12" t="str">
        <f>IF($E670="","",IFERROR(INDEX(类别属性,MATCH($E670,类别表,0)),""))</f>
        <v/>
      </c>
      <c r="G670" s="48"/>
      <c r="H670" s="48"/>
      <c r="I670" s="49"/>
      <c r="J670" s="24" t="str">
        <f>IF(OR($A670="",$B670=""),"",IF($I670&lt;&gt;"",$I670,IF($D670=本位币,1,IFERROR(LOOKUP(2,1/((汇率月份&lt;=$A670)*(INDEX(记账汇率区,0,MATCH($D670,汇率币种头,0))&lt;&gt;"")),INDEX(记账汇率区,0,MATCH($D670,汇率币种头,0))),""))))</f>
        <v/>
      </c>
      <c r="K670" s="23" t="str">
        <f t="shared" si="20"/>
        <v/>
      </c>
      <c r="L670" s="23" t="str">
        <f t="shared" si="21"/>
        <v/>
      </c>
      <c r="M670" s="23" t="str">
        <f>IF($B670="","",ROUND(SUMIF(账户名,$B670,账户期初)+SUMIFS($K$6:K670,$B$6:B670,$B670),2))</f>
        <v/>
      </c>
      <c r="N670" s="23" t="str">
        <f>IF($B670="","",IFERROR(ROUND(INDEX(账户期初本位,MATCH($B670,账户名,0))+SUMIFS($L$6:L670,$B$6:B670,$B670),2),""))</f>
        <v/>
      </c>
      <c r="O670" s="46"/>
      <c r="P670" s="47"/>
      <c r="Q670" s="46"/>
      <c r="R670" s="46"/>
      <c r="S670" s="6" t="str">
        <f>IF($B670="","",IF(ISNA(MATCH($B670,账户名,0)),"※这个账户不在【参数设置】的账户档案里",IF($A670="","※没填日期，这一笔不会进任何月份的报表",IF(AND($G670&lt;&gt;"",$H670&lt;&gt;""),"※收入和支出不能同时填",IF(AND(N($G670)=0,N($H670)=0),"※收入和支出都没填",IF($E670="","※没填收支类别，分类报表会漏掉这一笔",IF(ISNA(MATCH($E670,类别表,0)),"※收支类别不在【参数设置】的清单里",IF($J670="","△"&amp;$D670&amp;" 还没填汇率，去【月度汇率】补上就自动算了",IF(YEAR($A670)&lt;&gt;管理年度,"△不是管理年度的单据，年报里看不到",IF(AND($F670="内部转账",$Q670=""),"△内部转账建议在「往来单位」写上对方账户",IF($M670&lt;0,"△这一笔之后该账户余额成负数了，核一下","")))))))))))</f>
        <v/>
      </c>
    </row>
    <row r="671" ht="16.5" spans="1:19">
      <c r="A671" s="45"/>
      <c r="B671" s="46"/>
      <c r="C671" s="12" t="str">
        <f>IF($B671="","",IFERROR(INDEX(账户银行,MATCH($B671,账户名,0)),""))</f>
        <v/>
      </c>
      <c r="D671" s="12" t="str">
        <f>IF($B671="","",IFERROR(INDEX(账户币种,MATCH($B671,账户名,0)),""))</f>
        <v/>
      </c>
      <c r="E671" s="47"/>
      <c r="F671" s="12" t="str">
        <f>IF($E671="","",IFERROR(INDEX(类别属性,MATCH($E671,类别表,0)),""))</f>
        <v/>
      </c>
      <c r="G671" s="48"/>
      <c r="H671" s="48"/>
      <c r="I671" s="49"/>
      <c r="J671" s="24" t="str">
        <f>IF(OR($A671="",$B671=""),"",IF($I671&lt;&gt;"",$I671,IF($D671=本位币,1,IFERROR(LOOKUP(2,1/((汇率月份&lt;=$A671)*(INDEX(记账汇率区,0,MATCH($D671,汇率币种头,0))&lt;&gt;"")),INDEX(记账汇率区,0,MATCH($D671,汇率币种头,0))),""))))</f>
        <v/>
      </c>
      <c r="K671" s="23" t="str">
        <f t="shared" si="20"/>
        <v/>
      </c>
      <c r="L671" s="23" t="str">
        <f t="shared" si="21"/>
        <v/>
      </c>
      <c r="M671" s="23" t="str">
        <f>IF($B671="","",ROUND(SUMIF(账户名,$B671,账户期初)+SUMIFS($K$6:K671,$B$6:B671,$B671),2))</f>
        <v/>
      </c>
      <c r="N671" s="23" t="str">
        <f>IF($B671="","",IFERROR(ROUND(INDEX(账户期初本位,MATCH($B671,账户名,0))+SUMIFS($L$6:L671,$B$6:B671,$B671),2),""))</f>
        <v/>
      </c>
      <c r="O671" s="46"/>
      <c r="P671" s="47"/>
      <c r="Q671" s="46"/>
      <c r="R671" s="46"/>
      <c r="S671" s="6" t="str">
        <f>IF($B671="","",IF(ISNA(MATCH($B671,账户名,0)),"※这个账户不在【参数设置】的账户档案里",IF($A671="","※没填日期，这一笔不会进任何月份的报表",IF(AND($G671&lt;&gt;"",$H671&lt;&gt;""),"※收入和支出不能同时填",IF(AND(N($G671)=0,N($H671)=0),"※收入和支出都没填",IF($E671="","※没填收支类别，分类报表会漏掉这一笔",IF(ISNA(MATCH($E671,类别表,0)),"※收支类别不在【参数设置】的清单里",IF($J671="","△"&amp;$D671&amp;" 还没填汇率，去【月度汇率】补上就自动算了",IF(YEAR($A671)&lt;&gt;管理年度,"△不是管理年度的单据，年报里看不到",IF(AND($F671="内部转账",$Q671=""),"△内部转账建议在「往来单位」写上对方账户",IF($M671&lt;0,"△这一笔之后该账户余额成负数了，核一下","")))))))))))</f>
        <v/>
      </c>
    </row>
    <row r="672" ht="16.5" spans="1:19">
      <c r="A672" s="45"/>
      <c r="B672" s="46"/>
      <c r="C672" s="12" t="str">
        <f>IF($B672="","",IFERROR(INDEX(账户银行,MATCH($B672,账户名,0)),""))</f>
        <v/>
      </c>
      <c r="D672" s="12" t="str">
        <f>IF($B672="","",IFERROR(INDEX(账户币种,MATCH($B672,账户名,0)),""))</f>
        <v/>
      </c>
      <c r="E672" s="47"/>
      <c r="F672" s="12" t="str">
        <f>IF($E672="","",IFERROR(INDEX(类别属性,MATCH($E672,类别表,0)),""))</f>
        <v/>
      </c>
      <c r="G672" s="48"/>
      <c r="H672" s="48"/>
      <c r="I672" s="49"/>
      <c r="J672" s="24" t="str">
        <f>IF(OR($A672="",$B672=""),"",IF($I672&lt;&gt;"",$I672,IF($D672=本位币,1,IFERROR(LOOKUP(2,1/((汇率月份&lt;=$A672)*(INDEX(记账汇率区,0,MATCH($D672,汇率币种头,0))&lt;&gt;"")),INDEX(记账汇率区,0,MATCH($D672,汇率币种头,0))),""))))</f>
        <v/>
      </c>
      <c r="K672" s="23" t="str">
        <f t="shared" si="20"/>
        <v/>
      </c>
      <c r="L672" s="23" t="str">
        <f t="shared" si="21"/>
        <v/>
      </c>
      <c r="M672" s="23" t="str">
        <f>IF($B672="","",ROUND(SUMIF(账户名,$B672,账户期初)+SUMIFS($K$6:K672,$B$6:B672,$B672),2))</f>
        <v/>
      </c>
      <c r="N672" s="23" t="str">
        <f>IF($B672="","",IFERROR(ROUND(INDEX(账户期初本位,MATCH($B672,账户名,0))+SUMIFS($L$6:L672,$B$6:B672,$B672),2),""))</f>
        <v/>
      </c>
      <c r="O672" s="46"/>
      <c r="P672" s="47"/>
      <c r="Q672" s="46"/>
      <c r="R672" s="46"/>
      <c r="S672" s="6" t="str">
        <f>IF($B672="","",IF(ISNA(MATCH($B672,账户名,0)),"※这个账户不在【参数设置】的账户档案里",IF($A672="","※没填日期，这一笔不会进任何月份的报表",IF(AND($G672&lt;&gt;"",$H672&lt;&gt;""),"※收入和支出不能同时填",IF(AND(N($G672)=0,N($H672)=0),"※收入和支出都没填",IF($E672="","※没填收支类别，分类报表会漏掉这一笔",IF(ISNA(MATCH($E672,类别表,0)),"※收支类别不在【参数设置】的清单里",IF($J672="","△"&amp;$D672&amp;" 还没填汇率，去【月度汇率】补上就自动算了",IF(YEAR($A672)&lt;&gt;管理年度,"△不是管理年度的单据，年报里看不到",IF(AND($F672="内部转账",$Q672=""),"△内部转账建议在「往来单位」写上对方账户",IF($M672&lt;0,"△这一笔之后该账户余额成负数了，核一下","")))))))))))</f>
        <v/>
      </c>
    </row>
    <row r="673" ht="16.5" spans="1:19">
      <c r="A673" s="45"/>
      <c r="B673" s="46"/>
      <c r="C673" s="12" t="str">
        <f>IF($B673="","",IFERROR(INDEX(账户银行,MATCH($B673,账户名,0)),""))</f>
        <v/>
      </c>
      <c r="D673" s="12" t="str">
        <f>IF($B673="","",IFERROR(INDEX(账户币种,MATCH($B673,账户名,0)),""))</f>
        <v/>
      </c>
      <c r="E673" s="47"/>
      <c r="F673" s="12" t="str">
        <f>IF($E673="","",IFERROR(INDEX(类别属性,MATCH($E673,类别表,0)),""))</f>
        <v/>
      </c>
      <c r="G673" s="48"/>
      <c r="H673" s="48"/>
      <c r="I673" s="49"/>
      <c r="J673" s="24" t="str">
        <f>IF(OR($A673="",$B673=""),"",IF($I673&lt;&gt;"",$I673,IF($D673=本位币,1,IFERROR(LOOKUP(2,1/((汇率月份&lt;=$A673)*(INDEX(记账汇率区,0,MATCH($D673,汇率币种头,0))&lt;&gt;"")),INDEX(记账汇率区,0,MATCH($D673,汇率币种头,0))),""))))</f>
        <v/>
      </c>
      <c r="K673" s="23" t="str">
        <f t="shared" si="20"/>
        <v/>
      </c>
      <c r="L673" s="23" t="str">
        <f t="shared" si="21"/>
        <v/>
      </c>
      <c r="M673" s="23" t="str">
        <f>IF($B673="","",ROUND(SUMIF(账户名,$B673,账户期初)+SUMIFS($K$6:K673,$B$6:B673,$B673),2))</f>
        <v/>
      </c>
      <c r="N673" s="23" t="str">
        <f>IF($B673="","",IFERROR(ROUND(INDEX(账户期初本位,MATCH($B673,账户名,0))+SUMIFS($L$6:L673,$B$6:B673,$B673),2),""))</f>
        <v/>
      </c>
      <c r="O673" s="46"/>
      <c r="P673" s="47"/>
      <c r="Q673" s="46"/>
      <c r="R673" s="46"/>
      <c r="S673" s="6" t="str">
        <f>IF($B673="","",IF(ISNA(MATCH($B673,账户名,0)),"※这个账户不在【参数设置】的账户档案里",IF($A673="","※没填日期，这一笔不会进任何月份的报表",IF(AND($G673&lt;&gt;"",$H673&lt;&gt;""),"※收入和支出不能同时填",IF(AND(N($G673)=0,N($H673)=0),"※收入和支出都没填",IF($E673="","※没填收支类别，分类报表会漏掉这一笔",IF(ISNA(MATCH($E673,类别表,0)),"※收支类别不在【参数设置】的清单里",IF($J673="","△"&amp;$D673&amp;" 还没填汇率，去【月度汇率】补上就自动算了",IF(YEAR($A673)&lt;&gt;管理年度,"△不是管理年度的单据，年报里看不到",IF(AND($F673="内部转账",$Q673=""),"△内部转账建议在「往来单位」写上对方账户",IF($M673&lt;0,"△这一笔之后该账户余额成负数了，核一下","")))))))))))</f>
        <v/>
      </c>
    </row>
    <row r="674" ht="16.5" spans="1:19">
      <c r="A674" s="45"/>
      <c r="B674" s="46"/>
      <c r="C674" s="12" t="str">
        <f>IF($B674="","",IFERROR(INDEX(账户银行,MATCH($B674,账户名,0)),""))</f>
        <v/>
      </c>
      <c r="D674" s="12" t="str">
        <f>IF($B674="","",IFERROR(INDEX(账户币种,MATCH($B674,账户名,0)),""))</f>
        <v/>
      </c>
      <c r="E674" s="47"/>
      <c r="F674" s="12" t="str">
        <f>IF($E674="","",IFERROR(INDEX(类别属性,MATCH($E674,类别表,0)),""))</f>
        <v/>
      </c>
      <c r="G674" s="48"/>
      <c r="H674" s="48"/>
      <c r="I674" s="49"/>
      <c r="J674" s="24" t="str">
        <f>IF(OR($A674="",$B674=""),"",IF($I674&lt;&gt;"",$I674,IF($D674=本位币,1,IFERROR(LOOKUP(2,1/((汇率月份&lt;=$A674)*(INDEX(记账汇率区,0,MATCH($D674,汇率币种头,0))&lt;&gt;"")),INDEX(记账汇率区,0,MATCH($D674,汇率币种头,0))),""))))</f>
        <v/>
      </c>
      <c r="K674" s="23" t="str">
        <f t="shared" si="20"/>
        <v/>
      </c>
      <c r="L674" s="23" t="str">
        <f t="shared" si="21"/>
        <v/>
      </c>
      <c r="M674" s="23" t="str">
        <f>IF($B674="","",ROUND(SUMIF(账户名,$B674,账户期初)+SUMIFS($K$6:K674,$B$6:B674,$B674),2))</f>
        <v/>
      </c>
      <c r="N674" s="23" t="str">
        <f>IF($B674="","",IFERROR(ROUND(INDEX(账户期初本位,MATCH($B674,账户名,0))+SUMIFS($L$6:L674,$B$6:B674,$B674),2),""))</f>
        <v/>
      </c>
      <c r="O674" s="46"/>
      <c r="P674" s="47"/>
      <c r="Q674" s="46"/>
      <c r="R674" s="46"/>
      <c r="S674" s="6" t="str">
        <f>IF($B674="","",IF(ISNA(MATCH($B674,账户名,0)),"※这个账户不在【参数设置】的账户档案里",IF($A674="","※没填日期，这一笔不会进任何月份的报表",IF(AND($G674&lt;&gt;"",$H674&lt;&gt;""),"※收入和支出不能同时填",IF(AND(N($G674)=0,N($H674)=0),"※收入和支出都没填",IF($E674="","※没填收支类别，分类报表会漏掉这一笔",IF(ISNA(MATCH($E674,类别表,0)),"※收支类别不在【参数设置】的清单里",IF($J674="","△"&amp;$D674&amp;" 还没填汇率，去【月度汇率】补上就自动算了",IF(YEAR($A674)&lt;&gt;管理年度,"△不是管理年度的单据，年报里看不到",IF(AND($F674="内部转账",$Q674=""),"△内部转账建议在「往来单位」写上对方账户",IF($M674&lt;0,"△这一笔之后该账户余额成负数了，核一下","")))))))))))</f>
        <v/>
      </c>
    </row>
    <row r="675" ht="16.5" spans="1:19">
      <c r="A675" s="45"/>
      <c r="B675" s="46"/>
      <c r="C675" s="12" t="str">
        <f>IF($B675="","",IFERROR(INDEX(账户银行,MATCH($B675,账户名,0)),""))</f>
        <v/>
      </c>
      <c r="D675" s="12" t="str">
        <f>IF($B675="","",IFERROR(INDEX(账户币种,MATCH($B675,账户名,0)),""))</f>
        <v/>
      </c>
      <c r="E675" s="47"/>
      <c r="F675" s="12" t="str">
        <f>IF($E675="","",IFERROR(INDEX(类别属性,MATCH($E675,类别表,0)),""))</f>
        <v/>
      </c>
      <c r="G675" s="48"/>
      <c r="H675" s="48"/>
      <c r="I675" s="49"/>
      <c r="J675" s="24" t="str">
        <f>IF(OR($A675="",$B675=""),"",IF($I675&lt;&gt;"",$I675,IF($D675=本位币,1,IFERROR(LOOKUP(2,1/((汇率月份&lt;=$A675)*(INDEX(记账汇率区,0,MATCH($D675,汇率币种头,0))&lt;&gt;"")),INDEX(记账汇率区,0,MATCH($D675,汇率币种头,0))),""))))</f>
        <v/>
      </c>
      <c r="K675" s="23" t="str">
        <f t="shared" si="20"/>
        <v/>
      </c>
      <c r="L675" s="23" t="str">
        <f t="shared" si="21"/>
        <v/>
      </c>
      <c r="M675" s="23" t="str">
        <f>IF($B675="","",ROUND(SUMIF(账户名,$B675,账户期初)+SUMIFS($K$6:K675,$B$6:B675,$B675),2))</f>
        <v/>
      </c>
      <c r="N675" s="23" t="str">
        <f>IF($B675="","",IFERROR(ROUND(INDEX(账户期初本位,MATCH($B675,账户名,0))+SUMIFS($L$6:L675,$B$6:B675,$B675),2),""))</f>
        <v/>
      </c>
      <c r="O675" s="46"/>
      <c r="P675" s="47"/>
      <c r="Q675" s="46"/>
      <c r="R675" s="46"/>
      <c r="S675" s="6" t="str">
        <f>IF($B675="","",IF(ISNA(MATCH($B675,账户名,0)),"※这个账户不在【参数设置】的账户档案里",IF($A675="","※没填日期，这一笔不会进任何月份的报表",IF(AND($G675&lt;&gt;"",$H675&lt;&gt;""),"※收入和支出不能同时填",IF(AND(N($G675)=0,N($H675)=0),"※收入和支出都没填",IF($E675="","※没填收支类别，分类报表会漏掉这一笔",IF(ISNA(MATCH($E675,类别表,0)),"※收支类别不在【参数设置】的清单里",IF($J675="","△"&amp;$D675&amp;" 还没填汇率，去【月度汇率】补上就自动算了",IF(YEAR($A675)&lt;&gt;管理年度,"△不是管理年度的单据，年报里看不到",IF(AND($F675="内部转账",$Q675=""),"△内部转账建议在「往来单位」写上对方账户",IF($M675&lt;0,"△这一笔之后该账户余额成负数了，核一下","")))))))))))</f>
        <v/>
      </c>
    </row>
    <row r="676" ht="16.5" spans="1:19">
      <c r="A676" s="45"/>
      <c r="B676" s="46"/>
      <c r="C676" s="12" t="str">
        <f>IF($B676="","",IFERROR(INDEX(账户银行,MATCH($B676,账户名,0)),""))</f>
        <v/>
      </c>
      <c r="D676" s="12" t="str">
        <f>IF($B676="","",IFERROR(INDEX(账户币种,MATCH($B676,账户名,0)),""))</f>
        <v/>
      </c>
      <c r="E676" s="47"/>
      <c r="F676" s="12" t="str">
        <f>IF($E676="","",IFERROR(INDEX(类别属性,MATCH($E676,类别表,0)),""))</f>
        <v/>
      </c>
      <c r="G676" s="48"/>
      <c r="H676" s="48"/>
      <c r="I676" s="49"/>
      <c r="J676" s="24" t="str">
        <f>IF(OR($A676="",$B676=""),"",IF($I676&lt;&gt;"",$I676,IF($D676=本位币,1,IFERROR(LOOKUP(2,1/((汇率月份&lt;=$A676)*(INDEX(记账汇率区,0,MATCH($D676,汇率币种头,0))&lt;&gt;"")),INDEX(记账汇率区,0,MATCH($D676,汇率币种头,0))),""))))</f>
        <v/>
      </c>
      <c r="K676" s="23" t="str">
        <f t="shared" si="20"/>
        <v/>
      </c>
      <c r="L676" s="23" t="str">
        <f t="shared" si="21"/>
        <v/>
      </c>
      <c r="M676" s="23" t="str">
        <f>IF($B676="","",ROUND(SUMIF(账户名,$B676,账户期初)+SUMIFS($K$6:K676,$B$6:B676,$B676),2))</f>
        <v/>
      </c>
      <c r="N676" s="23" t="str">
        <f>IF($B676="","",IFERROR(ROUND(INDEX(账户期初本位,MATCH($B676,账户名,0))+SUMIFS($L$6:L676,$B$6:B676,$B676),2),""))</f>
        <v/>
      </c>
      <c r="O676" s="46"/>
      <c r="P676" s="47"/>
      <c r="Q676" s="46"/>
      <c r="R676" s="46"/>
      <c r="S676" s="6" t="str">
        <f>IF($B676="","",IF(ISNA(MATCH($B676,账户名,0)),"※这个账户不在【参数设置】的账户档案里",IF($A676="","※没填日期，这一笔不会进任何月份的报表",IF(AND($G676&lt;&gt;"",$H676&lt;&gt;""),"※收入和支出不能同时填",IF(AND(N($G676)=0,N($H676)=0),"※收入和支出都没填",IF($E676="","※没填收支类别，分类报表会漏掉这一笔",IF(ISNA(MATCH($E676,类别表,0)),"※收支类别不在【参数设置】的清单里",IF($J676="","△"&amp;$D676&amp;" 还没填汇率，去【月度汇率】补上就自动算了",IF(YEAR($A676)&lt;&gt;管理年度,"△不是管理年度的单据，年报里看不到",IF(AND($F676="内部转账",$Q676=""),"△内部转账建议在「往来单位」写上对方账户",IF($M676&lt;0,"△这一笔之后该账户余额成负数了，核一下","")))))))))))</f>
        <v/>
      </c>
    </row>
    <row r="677" ht="16.5" spans="1:19">
      <c r="A677" s="45"/>
      <c r="B677" s="46"/>
      <c r="C677" s="12" t="str">
        <f>IF($B677="","",IFERROR(INDEX(账户银行,MATCH($B677,账户名,0)),""))</f>
        <v/>
      </c>
      <c r="D677" s="12" t="str">
        <f>IF($B677="","",IFERROR(INDEX(账户币种,MATCH($B677,账户名,0)),""))</f>
        <v/>
      </c>
      <c r="E677" s="47"/>
      <c r="F677" s="12" t="str">
        <f>IF($E677="","",IFERROR(INDEX(类别属性,MATCH($E677,类别表,0)),""))</f>
        <v/>
      </c>
      <c r="G677" s="48"/>
      <c r="H677" s="48"/>
      <c r="I677" s="49"/>
      <c r="J677" s="24" t="str">
        <f>IF(OR($A677="",$B677=""),"",IF($I677&lt;&gt;"",$I677,IF($D677=本位币,1,IFERROR(LOOKUP(2,1/((汇率月份&lt;=$A677)*(INDEX(记账汇率区,0,MATCH($D677,汇率币种头,0))&lt;&gt;"")),INDEX(记账汇率区,0,MATCH($D677,汇率币种头,0))),""))))</f>
        <v/>
      </c>
      <c r="K677" s="23" t="str">
        <f t="shared" si="20"/>
        <v/>
      </c>
      <c r="L677" s="23" t="str">
        <f t="shared" si="21"/>
        <v/>
      </c>
      <c r="M677" s="23" t="str">
        <f>IF($B677="","",ROUND(SUMIF(账户名,$B677,账户期初)+SUMIFS($K$6:K677,$B$6:B677,$B677),2))</f>
        <v/>
      </c>
      <c r="N677" s="23" t="str">
        <f>IF($B677="","",IFERROR(ROUND(INDEX(账户期初本位,MATCH($B677,账户名,0))+SUMIFS($L$6:L677,$B$6:B677,$B677),2),""))</f>
        <v/>
      </c>
      <c r="O677" s="46"/>
      <c r="P677" s="47"/>
      <c r="Q677" s="46"/>
      <c r="R677" s="46"/>
      <c r="S677" s="6" t="str">
        <f>IF($B677="","",IF(ISNA(MATCH($B677,账户名,0)),"※这个账户不在【参数设置】的账户档案里",IF($A677="","※没填日期，这一笔不会进任何月份的报表",IF(AND($G677&lt;&gt;"",$H677&lt;&gt;""),"※收入和支出不能同时填",IF(AND(N($G677)=0,N($H677)=0),"※收入和支出都没填",IF($E677="","※没填收支类别，分类报表会漏掉这一笔",IF(ISNA(MATCH($E677,类别表,0)),"※收支类别不在【参数设置】的清单里",IF($J677="","△"&amp;$D677&amp;" 还没填汇率，去【月度汇率】补上就自动算了",IF(YEAR($A677)&lt;&gt;管理年度,"△不是管理年度的单据，年报里看不到",IF(AND($F677="内部转账",$Q677=""),"△内部转账建议在「往来单位」写上对方账户",IF($M677&lt;0,"△这一笔之后该账户余额成负数了，核一下","")))))))))))</f>
        <v/>
      </c>
    </row>
    <row r="678" ht="16.5" spans="1:19">
      <c r="A678" s="45"/>
      <c r="B678" s="46"/>
      <c r="C678" s="12" t="str">
        <f>IF($B678="","",IFERROR(INDEX(账户银行,MATCH($B678,账户名,0)),""))</f>
        <v/>
      </c>
      <c r="D678" s="12" t="str">
        <f>IF($B678="","",IFERROR(INDEX(账户币种,MATCH($B678,账户名,0)),""))</f>
        <v/>
      </c>
      <c r="E678" s="47"/>
      <c r="F678" s="12" t="str">
        <f>IF($E678="","",IFERROR(INDEX(类别属性,MATCH($E678,类别表,0)),""))</f>
        <v/>
      </c>
      <c r="G678" s="48"/>
      <c r="H678" s="48"/>
      <c r="I678" s="49"/>
      <c r="J678" s="24" t="str">
        <f>IF(OR($A678="",$B678=""),"",IF($I678&lt;&gt;"",$I678,IF($D678=本位币,1,IFERROR(LOOKUP(2,1/((汇率月份&lt;=$A678)*(INDEX(记账汇率区,0,MATCH($D678,汇率币种头,0))&lt;&gt;"")),INDEX(记账汇率区,0,MATCH($D678,汇率币种头,0))),""))))</f>
        <v/>
      </c>
      <c r="K678" s="23" t="str">
        <f t="shared" si="20"/>
        <v/>
      </c>
      <c r="L678" s="23" t="str">
        <f t="shared" si="21"/>
        <v/>
      </c>
      <c r="M678" s="23" t="str">
        <f>IF($B678="","",ROUND(SUMIF(账户名,$B678,账户期初)+SUMIFS($K$6:K678,$B$6:B678,$B678),2))</f>
        <v/>
      </c>
      <c r="N678" s="23" t="str">
        <f>IF($B678="","",IFERROR(ROUND(INDEX(账户期初本位,MATCH($B678,账户名,0))+SUMIFS($L$6:L678,$B$6:B678,$B678),2),""))</f>
        <v/>
      </c>
      <c r="O678" s="46"/>
      <c r="P678" s="47"/>
      <c r="Q678" s="46"/>
      <c r="R678" s="46"/>
      <c r="S678" s="6" t="str">
        <f>IF($B678="","",IF(ISNA(MATCH($B678,账户名,0)),"※这个账户不在【参数设置】的账户档案里",IF($A678="","※没填日期，这一笔不会进任何月份的报表",IF(AND($G678&lt;&gt;"",$H678&lt;&gt;""),"※收入和支出不能同时填",IF(AND(N($G678)=0,N($H678)=0),"※收入和支出都没填",IF($E678="","※没填收支类别，分类报表会漏掉这一笔",IF(ISNA(MATCH($E678,类别表,0)),"※收支类别不在【参数设置】的清单里",IF($J678="","△"&amp;$D678&amp;" 还没填汇率，去【月度汇率】补上就自动算了",IF(YEAR($A678)&lt;&gt;管理年度,"△不是管理年度的单据，年报里看不到",IF(AND($F678="内部转账",$Q678=""),"△内部转账建议在「往来单位」写上对方账户",IF($M678&lt;0,"△这一笔之后该账户余额成负数了，核一下","")))))))))))</f>
        <v/>
      </c>
    </row>
    <row r="679" ht="16.5" spans="1:19">
      <c r="A679" s="45"/>
      <c r="B679" s="46"/>
      <c r="C679" s="12" t="str">
        <f>IF($B679="","",IFERROR(INDEX(账户银行,MATCH($B679,账户名,0)),""))</f>
        <v/>
      </c>
      <c r="D679" s="12" t="str">
        <f>IF($B679="","",IFERROR(INDEX(账户币种,MATCH($B679,账户名,0)),""))</f>
        <v/>
      </c>
      <c r="E679" s="47"/>
      <c r="F679" s="12" t="str">
        <f>IF($E679="","",IFERROR(INDEX(类别属性,MATCH($E679,类别表,0)),""))</f>
        <v/>
      </c>
      <c r="G679" s="48"/>
      <c r="H679" s="48"/>
      <c r="I679" s="49"/>
      <c r="J679" s="24" t="str">
        <f>IF(OR($A679="",$B679=""),"",IF($I679&lt;&gt;"",$I679,IF($D679=本位币,1,IFERROR(LOOKUP(2,1/((汇率月份&lt;=$A679)*(INDEX(记账汇率区,0,MATCH($D679,汇率币种头,0))&lt;&gt;"")),INDEX(记账汇率区,0,MATCH($D679,汇率币种头,0))),""))))</f>
        <v/>
      </c>
      <c r="K679" s="23" t="str">
        <f t="shared" si="20"/>
        <v/>
      </c>
      <c r="L679" s="23" t="str">
        <f t="shared" si="21"/>
        <v/>
      </c>
      <c r="M679" s="23" t="str">
        <f>IF($B679="","",ROUND(SUMIF(账户名,$B679,账户期初)+SUMIFS($K$6:K679,$B$6:B679,$B679),2))</f>
        <v/>
      </c>
      <c r="N679" s="23" t="str">
        <f>IF($B679="","",IFERROR(ROUND(INDEX(账户期初本位,MATCH($B679,账户名,0))+SUMIFS($L$6:L679,$B$6:B679,$B679),2),""))</f>
        <v/>
      </c>
      <c r="O679" s="46"/>
      <c r="P679" s="47"/>
      <c r="Q679" s="46"/>
      <c r="R679" s="46"/>
      <c r="S679" s="6" t="str">
        <f>IF($B679="","",IF(ISNA(MATCH($B679,账户名,0)),"※这个账户不在【参数设置】的账户档案里",IF($A679="","※没填日期，这一笔不会进任何月份的报表",IF(AND($G679&lt;&gt;"",$H679&lt;&gt;""),"※收入和支出不能同时填",IF(AND(N($G679)=0,N($H679)=0),"※收入和支出都没填",IF($E679="","※没填收支类别，分类报表会漏掉这一笔",IF(ISNA(MATCH($E679,类别表,0)),"※收支类别不在【参数设置】的清单里",IF($J679="","△"&amp;$D679&amp;" 还没填汇率，去【月度汇率】补上就自动算了",IF(YEAR($A679)&lt;&gt;管理年度,"△不是管理年度的单据，年报里看不到",IF(AND($F679="内部转账",$Q679=""),"△内部转账建议在「往来单位」写上对方账户",IF($M679&lt;0,"△这一笔之后该账户余额成负数了，核一下","")))))))))))</f>
        <v/>
      </c>
    </row>
    <row r="680" ht="16.5" spans="1:19">
      <c r="A680" s="45"/>
      <c r="B680" s="46"/>
      <c r="C680" s="12" t="str">
        <f>IF($B680="","",IFERROR(INDEX(账户银行,MATCH($B680,账户名,0)),""))</f>
        <v/>
      </c>
      <c r="D680" s="12" t="str">
        <f>IF($B680="","",IFERROR(INDEX(账户币种,MATCH($B680,账户名,0)),""))</f>
        <v/>
      </c>
      <c r="E680" s="47"/>
      <c r="F680" s="12" t="str">
        <f>IF($E680="","",IFERROR(INDEX(类别属性,MATCH($E680,类别表,0)),""))</f>
        <v/>
      </c>
      <c r="G680" s="48"/>
      <c r="H680" s="48"/>
      <c r="I680" s="49"/>
      <c r="J680" s="24" t="str">
        <f>IF(OR($A680="",$B680=""),"",IF($I680&lt;&gt;"",$I680,IF($D680=本位币,1,IFERROR(LOOKUP(2,1/((汇率月份&lt;=$A680)*(INDEX(记账汇率区,0,MATCH($D680,汇率币种头,0))&lt;&gt;"")),INDEX(记账汇率区,0,MATCH($D680,汇率币种头,0))),""))))</f>
        <v/>
      </c>
      <c r="K680" s="23" t="str">
        <f t="shared" si="20"/>
        <v/>
      </c>
      <c r="L680" s="23" t="str">
        <f t="shared" si="21"/>
        <v/>
      </c>
      <c r="M680" s="23" t="str">
        <f>IF($B680="","",ROUND(SUMIF(账户名,$B680,账户期初)+SUMIFS($K$6:K680,$B$6:B680,$B680),2))</f>
        <v/>
      </c>
      <c r="N680" s="23" t="str">
        <f>IF($B680="","",IFERROR(ROUND(INDEX(账户期初本位,MATCH($B680,账户名,0))+SUMIFS($L$6:L680,$B$6:B680,$B680),2),""))</f>
        <v/>
      </c>
      <c r="O680" s="46"/>
      <c r="P680" s="47"/>
      <c r="Q680" s="46"/>
      <c r="R680" s="46"/>
      <c r="S680" s="6" t="str">
        <f>IF($B680="","",IF(ISNA(MATCH($B680,账户名,0)),"※这个账户不在【参数设置】的账户档案里",IF($A680="","※没填日期，这一笔不会进任何月份的报表",IF(AND($G680&lt;&gt;"",$H680&lt;&gt;""),"※收入和支出不能同时填",IF(AND(N($G680)=0,N($H680)=0),"※收入和支出都没填",IF($E680="","※没填收支类别，分类报表会漏掉这一笔",IF(ISNA(MATCH($E680,类别表,0)),"※收支类别不在【参数设置】的清单里",IF($J680="","△"&amp;$D680&amp;" 还没填汇率，去【月度汇率】补上就自动算了",IF(YEAR($A680)&lt;&gt;管理年度,"△不是管理年度的单据，年报里看不到",IF(AND($F680="内部转账",$Q680=""),"△内部转账建议在「往来单位」写上对方账户",IF($M680&lt;0,"△这一笔之后该账户余额成负数了，核一下","")))))))))))</f>
        <v/>
      </c>
    </row>
    <row r="681" ht="16.5" spans="1:19">
      <c r="A681" s="45"/>
      <c r="B681" s="46"/>
      <c r="C681" s="12" t="str">
        <f>IF($B681="","",IFERROR(INDEX(账户银行,MATCH($B681,账户名,0)),""))</f>
        <v/>
      </c>
      <c r="D681" s="12" t="str">
        <f>IF($B681="","",IFERROR(INDEX(账户币种,MATCH($B681,账户名,0)),""))</f>
        <v/>
      </c>
      <c r="E681" s="47"/>
      <c r="F681" s="12" t="str">
        <f>IF($E681="","",IFERROR(INDEX(类别属性,MATCH($E681,类别表,0)),""))</f>
        <v/>
      </c>
      <c r="G681" s="48"/>
      <c r="H681" s="48"/>
      <c r="I681" s="49"/>
      <c r="J681" s="24" t="str">
        <f>IF(OR($A681="",$B681=""),"",IF($I681&lt;&gt;"",$I681,IF($D681=本位币,1,IFERROR(LOOKUP(2,1/((汇率月份&lt;=$A681)*(INDEX(记账汇率区,0,MATCH($D681,汇率币种头,0))&lt;&gt;"")),INDEX(记账汇率区,0,MATCH($D681,汇率币种头,0))),""))))</f>
        <v/>
      </c>
      <c r="K681" s="23" t="str">
        <f t="shared" si="20"/>
        <v/>
      </c>
      <c r="L681" s="23" t="str">
        <f t="shared" si="21"/>
        <v/>
      </c>
      <c r="M681" s="23" t="str">
        <f>IF($B681="","",ROUND(SUMIF(账户名,$B681,账户期初)+SUMIFS($K$6:K681,$B$6:B681,$B681),2))</f>
        <v/>
      </c>
      <c r="N681" s="23" t="str">
        <f>IF($B681="","",IFERROR(ROUND(INDEX(账户期初本位,MATCH($B681,账户名,0))+SUMIFS($L$6:L681,$B$6:B681,$B681),2),""))</f>
        <v/>
      </c>
      <c r="O681" s="46"/>
      <c r="P681" s="47"/>
      <c r="Q681" s="46"/>
      <c r="R681" s="46"/>
      <c r="S681" s="6" t="str">
        <f>IF($B681="","",IF(ISNA(MATCH($B681,账户名,0)),"※这个账户不在【参数设置】的账户档案里",IF($A681="","※没填日期，这一笔不会进任何月份的报表",IF(AND($G681&lt;&gt;"",$H681&lt;&gt;""),"※收入和支出不能同时填",IF(AND(N($G681)=0,N($H681)=0),"※收入和支出都没填",IF($E681="","※没填收支类别，分类报表会漏掉这一笔",IF(ISNA(MATCH($E681,类别表,0)),"※收支类别不在【参数设置】的清单里",IF($J681="","△"&amp;$D681&amp;" 还没填汇率，去【月度汇率】补上就自动算了",IF(YEAR($A681)&lt;&gt;管理年度,"△不是管理年度的单据，年报里看不到",IF(AND($F681="内部转账",$Q681=""),"△内部转账建议在「往来单位」写上对方账户",IF($M681&lt;0,"△这一笔之后该账户余额成负数了，核一下","")))))))))))</f>
        <v/>
      </c>
    </row>
    <row r="682" ht="16.5" spans="1:19">
      <c r="A682" s="45"/>
      <c r="B682" s="46"/>
      <c r="C682" s="12" t="str">
        <f>IF($B682="","",IFERROR(INDEX(账户银行,MATCH($B682,账户名,0)),""))</f>
        <v/>
      </c>
      <c r="D682" s="12" t="str">
        <f>IF($B682="","",IFERROR(INDEX(账户币种,MATCH($B682,账户名,0)),""))</f>
        <v/>
      </c>
      <c r="E682" s="47"/>
      <c r="F682" s="12" t="str">
        <f>IF($E682="","",IFERROR(INDEX(类别属性,MATCH($E682,类别表,0)),""))</f>
        <v/>
      </c>
      <c r="G682" s="48"/>
      <c r="H682" s="48"/>
      <c r="I682" s="49"/>
      <c r="J682" s="24" t="str">
        <f>IF(OR($A682="",$B682=""),"",IF($I682&lt;&gt;"",$I682,IF($D682=本位币,1,IFERROR(LOOKUP(2,1/((汇率月份&lt;=$A682)*(INDEX(记账汇率区,0,MATCH($D682,汇率币种头,0))&lt;&gt;"")),INDEX(记账汇率区,0,MATCH($D682,汇率币种头,0))),""))))</f>
        <v/>
      </c>
      <c r="K682" s="23" t="str">
        <f t="shared" si="20"/>
        <v/>
      </c>
      <c r="L682" s="23" t="str">
        <f t="shared" si="21"/>
        <v/>
      </c>
      <c r="M682" s="23" t="str">
        <f>IF($B682="","",ROUND(SUMIF(账户名,$B682,账户期初)+SUMIFS($K$6:K682,$B$6:B682,$B682),2))</f>
        <v/>
      </c>
      <c r="N682" s="23" t="str">
        <f>IF($B682="","",IFERROR(ROUND(INDEX(账户期初本位,MATCH($B682,账户名,0))+SUMIFS($L$6:L682,$B$6:B682,$B682),2),""))</f>
        <v/>
      </c>
      <c r="O682" s="46"/>
      <c r="P682" s="47"/>
      <c r="Q682" s="46"/>
      <c r="R682" s="46"/>
      <c r="S682" s="6" t="str">
        <f>IF($B682="","",IF(ISNA(MATCH($B682,账户名,0)),"※这个账户不在【参数设置】的账户档案里",IF($A682="","※没填日期，这一笔不会进任何月份的报表",IF(AND($G682&lt;&gt;"",$H682&lt;&gt;""),"※收入和支出不能同时填",IF(AND(N($G682)=0,N($H682)=0),"※收入和支出都没填",IF($E682="","※没填收支类别，分类报表会漏掉这一笔",IF(ISNA(MATCH($E682,类别表,0)),"※收支类别不在【参数设置】的清单里",IF($J682="","△"&amp;$D682&amp;" 还没填汇率，去【月度汇率】补上就自动算了",IF(YEAR($A682)&lt;&gt;管理年度,"△不是管理年度的单据，年报里看不到",IF(AND($F682="内部转账",$Q682=""),"△内部转账建议在「往来单位」写上对方账户",IF($M682&lt;0,"△这一笔之后该账户余额成负数了，核一下","")))))))))))</f>
        <v/>
      </c>
    </row>
    <row r="683" ht="16.5" spans="1:19">
      <c r="A683" s="45"/>
      <c r="B683" s="46"/>
      <c r="C683" s="12" t="str">
        <f>IF($B683="","",IFERROR(INDEX(账户银行,MATCH($B683,账户名,0)),""))</f>
        <v/>
      </c>
      <c r="D683" s="12" t="str">
        <f>IF($B683="","",IFERROR(INDEX(账户币种,MATCH($B683,账户名,0)),""))</f>
        <v/>
      </c>
      <c r="E683" s="47"/>
      <c r="F683" s="12" t="str">
        <f>IF($E683="","",IFERROR(INDEX(类别属性,MATCH($E683,类别表,0)),""))</f>
        <v/>
      </c>
      <c r="G683" s="48"/>
      <c r="H683" s="48"/>
      <c r="I683" s="49"/>
      <c r="J683" s="24" t="str">
        <f>IF(OR($A683="",$B683=""),"",IF($I683&lt;&gt;"",$I683,IF($D683=本位币,1,IFERROR(LOOKUP(2,1/((汇率月份&lt;=$A683)*(INDEX(记账汇率区,0,MATCH($D683,汇率币种头,0))&lt;&gt;"")),INDEX(记账汇率区,0,MATCH($D683,汇率币种头,0))),""))))</f>
        <v/>
      </c>
      <c r="K683" s="23" t="str">
        <f t="shared" si="20"/>
        <v/>
      </c>
      <c r="L683" s="23" t="str">
        <f t="shared" si="21"/>
        <v/>
      </c>
      <c r="M683" s="23" t="str">
        <f>IF($B683="","",ROUND(SUMIF(账户名,$B683,账户期初)+SUMIFS($K$6:K683,$B$6:B683,$B683),2))</f>
        <v/>
      </c>
      <c r="N683" s="23" t="str">
        <f>IF($B683="","",IFERROR(ROUND(INDEX(账户期初本位,MATCH($B683,账户名,0))+SUMIFS($L$6:L683,$B$6:B683,$B683),2),""))</f>
        <v/>
      </c>
      <c r="O683" s="46"/>
      <c r="P683" s="47"/>
      <c r="Q683" s="46"/>
      <c r="R683" s="46"/>
      <c r="S683" s="6" t="str">
        <f>IF($B683="","",IF(ISNA(MATCH($B683,账户名,0)),"※这个账户不在【参数设置】的账户档案里",IF($A683="","※没填日期，这一笔不会进任何月份的报表",IF(AND($G683&lt;&gt;"",$H683&lt;&gt;""),"※收入和支出不能同时填",IF(AND(N($G683)=0,N($H683)=0),"※收入和支出都没填",IF($E683="","※没填收支类别，分类报表会漏掉这一笔",IF(ISNA(MATCH($E683,类别表,0)),"※收支类别不在【参数设置】的清单里",IF($J683="","△"&amp;$D683&amp;" 还没填汇率，去【月度汇率】补上就自动算了",IF(YEAR($A683)&lt;&gt;管理年度,"△不是管理年度的单据，年报里看不到",IF(AND($F683="内部转账",$Q683=""),"△内部转账建议在「往来单位」写上对方账户",IF($M683&lt;0,"△这一笔之后该账户余额成负数了，核一下","")))))))))))</f>
        <v/>
      </c>
    </row>
    <row r="684" ht="16.5" spans="1:19">
      <c r="A684" s="45"/>
      <c r="B684" s="46"/>
      <c r="C684" s="12" t="str">
        <f>IF($B684="","",IFERROR(INDEX(账户银行,MATCH($B684,账户名,0)),""))</f>
        <v/>
      </c>
      <c r="D684" s="12" t="str">
        <f>IF($B684="","",IFERROR(INDEX(账户币种,MATCH($B684,账户名,0)),""))</f>
        <v/>
      </c>
      <c r="E684" s="47"/>
      <c r="F684" s="12" t="str">
        <f>IF($E684="","",IFERROR(INDEX(类别属性,MATCH($E684,类别表,0)),""))</f>
        <v/>
      </c>
      <c r="G684" s="48"/>
      <c r="H684" s="48"/>
      <c r="I684" s="49"/>
      <c r="J684" s="24" t="str">
        <f>IF(OR($A684="",$B684=""),"",IF($I684&lt;&gt;"",$I684,IF($D684=本位币,1,IFERROR(LOOKUP(2,1/((汇率月份&lt;=$A684)*(INDEX(记账汇率区,0,MATCH($D684,汇率币种头,0))&lt;&gt;"")),INDEX(记账汇率区,0,MATCH($D684,汇率币种头,0))),""))))</f>
        <v/>
      </c>
      <c r="K684" s="23" t="str">
        <f t="shared" si="20"/>
        <v/>
      </c>
      <c r="L684" s="23" t="str">
        <f t="shared" si="21"/>
        <v/>
      </c>
      <c r="M684" s="23" t="str">
        <f>IF($B684="","",ROUND(SUMIF(账户名,$B684,账户期初)+SUMIFS($K$6:K684,$B$6:B684,$B684),2))</f>
        <v/>
      </c>
      <c r="N684" s="23" t="str">
        <f>IF($B684="","",IFERROR(ROUND(INDEX(账户期初本位,MATCH($B684,账户名,0))+SUMIFS($L$6:L684,$B$6:B684,$B684),2),""))</f>
        <v/>
      </c>
      <c r="O684" s="46"/>
      <c r="P684" s="47"/>
      <c r="Q684" s="46"/>
      <c r="R684" s="46"/>
      <c r="S684" s="6" t="str">
        <f>IF($B684="","",IF(ISNA(MATCH($B684,账户名,0)),"※这个账户不在【参数设置】的账户档案里",IF($A684="","※没填日期，这一笔不会进任何月份的报表",IF(AND($G684&lt;&gt;"",$H684&lt;&gt;""),"※收入和支出不能同时填",IF(AND(N($G684)=0,N($H684)=0),"※收入和支出都没填",IF($E684="","※没填收支类别，分类报表会漏掉这一笔",IF(ISNA(MATCH($E684,类别表,0)),"※收支类别不在【参数设置】的清单里",IF($J684="","△"&amp;$D684&amp;" 还没填汇率，去【月度汇率】补上就自动算了",IF(YEAR($A684)&lt;&gt;管理年度,"△不是管理年度的单据，年报里看不到",IF(AND($F684="内部转账",$Q684=""),"△内部转账建议在「往来单位」写上对方账户",IF($M684&lt;0,"△这一笔之后该账户余额成负数了，核一下","")))))))))))</f>
        <v/>
      </c>
    </row>
    <row r="685" ht="16.5" spans="1:19">
      <c r="A685" s="45"/>
      <c r="B685" s="46"/>
      <c r="C685" s="12" t="str">
        <f>IF($B685="","",IFERROR(INDEX(账户银行,MATCH($B685,账户名,0)),""))</f>
        <v/>
      </c>
      <c r="D685" s="12" t="str">
        <f>IF($B685="","",IFERROR(INDEX(账户币种,MATCH($B685,账户名,0)),""))</f>
        <v/>
      </c>
      <c r="E685" s="47"/>
      <c r="F685" s="12" t="str">
        <f>IF($E685="","",IFERROR(INDEX(类别属性,MATCH($E685,类别表,0)),""))</f>
        <v/>
      </c>
      <c r="G685" s="48"/>
      <c r="H685" s="48"/>
      <c r="I685" s="49"/>
      <c r="J685" s="24" t="str">
        <f>IF(OR($A685="",$B685=""),"",IF($I685&lt;&gt;"",$I685,IF($D685=本位币,1,IFERROR(LOOKUP(2,1/((汇率月份&lt;=$A685)*(INDEX(记账汇率区,0,MATCH($D685,汇率币种头,0))&lt;&gt;"")),INDEX(记账汇率区,0,MATCH($D685,汇率币种头,0))),""))))</f>
        <v/>
      </c>
      <c r="K685" s="23" t="str">
        <f t="shared" si="20"/>
        <v/>
      </c>
      <c r="L685" s="23" t="str">
        <f t="shared" si="21"/>
        <v/>
      </c>
      <c r="M685" s="23" t="str">
        <f>IF($B685="","",ROUND(SUMIF(账户名,$B685,账户期初)+SUMIFS($K$6:K685,$B$6:B685,$B685),2))</f>
        <v/>
      </c>
      <c r="N685" s="23" t="str">
        <f>IF($B685="","",IFERROR(ROUND(INDEX(账户期初本位,MATCH($B685,账户名,0))+SUMIFS($L$6:L685,$B$6:B685,$B685),2),""))</f>
        <v/>
      </c>
      <c r="O685" s="46"/>
      <c r="P685" s="47"/>
      <c r="Q685" s="46"/>
      <c r="R685" s="46"/>
      <c r="S685" s="6" t="str">
        <f>IF($B685="","",IF(ISNA(MATCH($B685,账户名,0)),"※这个账户不在【参数设置】的账户档案里",IF($A685="","※没填日期，这一笔不会进任何月份的报表",IF(AND($G685&lt;&gt;"",$H685&lt;&gt;""),"※收入和支出不能同时填",IF(AND(N($G685)=0,N($H685)=0),"※收入和支出都没填",IF($E685="","※没填收支类别，分类报表会漏掉这一笔",IF(ISNA(MATCH($E685,类别表,0)),"※收支类别不在【参数设置】的清单里",IF($J685="","△"&amp;$D685&amp;" 还没填汇率，去【月度汇率】补上就自动算了",IF(YEAR($A685)&lt;&gt;管理年度,"△不是管理年度的单据，年报里看不到",IF(AND($F685="内部转账",$Q685=""),"△内部转账建议在「往来单位」写上对方账户",IF($M685&lt;0,"△这一笔之后该账户余额成负数了，核一下","")))))))))))</f>
        <v/>
      </c>
    </row>
    <row r="686" ht="16.5" spans="1:19">
      <c r="A686" s="45"/>
      <c r="B686" s="46"/>
      <c r="C686" s="12" t="str">
        <f>IF($B686="","",IFERROR(INDEX(账户银行,MATCH($B686,账户名,0)),""))</f>
        <v/>
      </c>
      <c r="D686" s="12" t="str">
        <f>IF($B686="","",IFERROR(INDEX(账户币种,MATCH($B686,账户名,0)),""))</f>
        <v/>
      </c>
      <c r="E686" s="47"/>
      <c r="F686" s="12" t="str">
        <f>IF($E686="","",IFERROR(INDEX(类别属性,MATCH($E686,类别表,0)),""))</f>
        <v/>
      </c>
      <c r="G686" s="48"/>
      <c r="H686" s="48"/>
      <c r="I686" s="49"/>
      <c r="J686" s="24" t="str">
        <f>IF(OR($A686="",$B686=""),"",IF($I686&lt;&gt;"",$I686,IF($D686=本位币,1,IFERROR(LOOKUP(2,1/((汇率月份&lt;=$A686)*(INDEX(记账汇率区,0,MATCH($D686,汇率币种头,0))&lt;&gt;"")),INDEX(记账汇率区,0,MATCH($D686,汇率币种头,0))),""))))</f>
        <v/>
      </c>
      <c r="K686" s="23" t="str">
        <f t="shared" si="20"/>
        <v/>
      </c>
      <c r="L686" s="23" t="str">
        <f t="shared" si="21"/>
        <v/>
      </c>
      <c r="M686" s="23" t="str">
        <f>IF($B686="","",ROUND(SUMIF(账户名,$B686,账户期初)+SUMIFS($K$6:K686,$B$6:B686,$B686),2))</f>
        <v/>
      </c>
      <c r="N686" s="23" t="str">
        <f>IF($B686="","",IFERROR(ROUND(INDEX(账户期初本位,MATCH($B686,账户名,0))+SUMIFS($L$6:L686,$B$6:B686,$B686),2),""))</f>
        <v/>
      </c>
      <c r="O686" s="46"/>
      <c r="P686" s="47"/>
      <c r="Q686" s="46"/>
      <c r="R686" s="46"/>
      <c r="S686" s="6" t="str">
        <f>IF($B686="","",IF(ISNA(MATCH($B686,账户名,0)),"※这个账户不在【参数设置】的账户档案里",IF($A686="","※没填日期，这一笔不会进任何月份的报表",IF(AND($G686&lt;&gt;"",$H686&lt;&gt;""),"※收入和支出不能同时填",IF(AND(N($G686)=0,N($H686)=0),"※收入和支出都没填",IF($E686="","※没填收支类别，分类报表会漏掉这一笔",IF(ISNA(MATCH($E686,类别表,0)),"※收支类别不在【参数设置】的清单里",IF($J686="","△"&amp;$D686&amp;" 还没填汇率，去【月度汇率】补上就自动算了",IF(YEAR($A686)&lt;&gt;管理年度,"△不是管理年度的单据，年报里看不到",IF(AND($F686="内部转账",$Q686=""),"△内部转账建议在「往来单位」写上对方账户",IF($M686&lt;0,"△这一笔之后该账户余额成负数了，核一下","")))))))))))</f>
        <v/>
      </c>
    </row>
    <row r="687" ht="16.5" spans="1:19">
      <c r="A687" s="45"/>
      <c r="B687" s="46"/>
      <c r="C687" s="12" t="str">
        <f>IF($B687="","",IFERROR(INDEX(账户银行,MATCH($B687,账户名,0)),""))</f>
        <v/>
      </c>
      <c r="D687" s="12" t="str">
        <f>IF($B687="","",IFERROR(INDEX(账户币种,MATCH($B687,账户名,0)),""))</f>
        <v/>
      </c>
      <c r="E687" s="47"/>
      <c r="F687" s="12" t="str">
        <f>IF($E687="","",IFERROR(INDEX(类别属性,MATCH($E687,类别表,0)),""))</f>
        <v/>
      </c>
      <c r="G687" s="48"/>
      <c r="H687" s="48"/>
      <c r="I687" s="49"/>
      <c r="J687" s="24" t="str">
        <f>IF(OR($A687="",$B687=""),"",IF($I687&lt;&gt;"",$I687,IF($D687=本位币,1,IFERROR(LOOKUP(2,1/((汇率月份&lt;=$A687)*(INDEX(记账汇率区,0,MATCH($D687,汇率币种头,0))&lt;&gt;"")),INDEX(记账汇率区,0,MATCH($D687,汇率币种头,0))),""))))</f>
        <v/>
      </c>
      <c r="K687" s="23" t="str">
        <f t="shared" si="20"/>
        <v/>
      </c>
      <c r="L687" s="23" t="str">
        <f t="shared" si="21"/>
        <v/>
      </c>
      <c r="M687" s="23" t="str">
        <f>IF($B687="","",ROUND(SUMIF(账户名,$B687,账户期初)+SUMIFS($K$6:K687,$B$6:B687,$B687),2))</f>
        <v/>
      </c>
      <c r="N687" s="23" t="str">
        <f>IF($B687="","",IFERROR(ROUND(INDEX(账户期初本位,MATCH($B687,账户名,0))+SUMIFS($L$6:L687,$B$6:B687,$B687),2),""))</f>
        <v/>
      </c>
      <c r="O687" s="46"/>
      <c r="P687" s="47"/>
      <c r="Q687" s="46"/>
      <c r="R687" s="46"/>
      <c r="S687" s="6" t="str">
        <f>IF($B687="","",IF(ISNA(MATCH($B687,账户名,0)),"※这个账户不在【参数设置】的账户档案里",IF($A687="","※没填日期，这一笔不会进任何月份的报表",IF(AND($G687&lt;&gt;"",$H687&lt;&gt;""),"※收入和支出不能同时填",IF(AND(N($G687)=0,N($H687)=0),"※收入和支出都没填",IF($E687="","※没填收支类别，分类报表会漏掉这一笔",IF(ISNA(MATCH($E687,类别表,0)),"※收支类别不在【参数设置】的清单里",IF($J687="","△"&amp;$D687&amp;" 还没填汇率，去【月度汇率】补上就自动算了",IF(YEAR($A687)&lt;&gt;管理年度,"△不是管理年度的单据，年报里看不到",IF(AND($F687="内部转账",$Q687=""),"△内部转账建议在「往来单位」写上对方账户",IF($M687&lt;0,"△这一笔之后该账户余额成负数了，核一下","")))))))))))</f>
        <v/>
      </c>
    </row>
    <row r="688" ht="16.5" spans="1:19">
      <c r="A688" s="45"/>
      <c r="B688" s="46"/>
      <c r="C688" s="12" t="str">
        <f>IF($B688="","",IFERROR(INDEX(账户银行,MATCH($B688,账户名,0)),""))</f>
        <v/>
      </c>
      <c r="D688" s="12" t="str">
        <f>IF($B688="","",IFERROR(INDEX(账户币种,MATCH($B688,账户名,0)),""))</f>
        <v/>
      </c>
      <c r="E688" s="47"/>
      <c r="F688" s="12" t="str">
        <f>IF($E688="","",IFERROR(INDEX(类别属性,MATCH($E688,类别表,0)),""))</f>
        <v/>
      </c>
      <c r="G688" s="48"/>
      <c r="H688" s="48"/>
      <c r="I688" s="49"/>
      <c r="J688" s="24" t="str">
        <f>IF(OR($A688="",$B688=""),"",IF($I688&lt;&gt;"",$I688,IF($D688=本位币,1,IFERROR(LOOKUP(2,1/((汇率月份&lt;=$A688)*(INDEX(记账汇率区,0,MATCH($D688,汇率币种头,0))&lt;&gt;"")),INDEX(记账汇率区,0,MATCH($D688,汇率币种头,0))),""))))</f>
        <v/>
      </c>
      <c r="K688" s="23" t="str">
        <f t="shared" si="20"/>
        <v/>
      </c>
      <c r="L688" s="23" t="str">
        <f t="shared" si="21"/>
        <v/>
      </c>
      <c r="M688" s="23" t="str">
        <f>IF($B688="","",ROUND(SUMIF(账户名,$B688,账户期初)+SUMIFS($K$6:K688,$B$6:B688,$B688),2))</f>
        <v/>
      </c>
      <c r="N688" s="23" t="str">
        <f>IF($B688="","",IFERROR(ROUND(INDEX(账户期初本位,MATCH($B688,账户名,0))+SUMIFS($L$6:L688,$B$6:B688,$B688),2),""))</f>
        <v/>
      </c>
      <c r="O688" s="46"/>
      <c r="P688" s="47"/>
      <c r="Q688" s="46"/>
      <c r="R688" s="46"/>
      <c r="S688" s="6" t="str">
        <f>IF($B688="","",IF(ISNA(MATCH($B688,账户名,0)),"※这个账户不在【参数设置】的账户档案里",IF($A688="","※没填日期，这一笔不会进任何月份的报表",IF(AND($G688&lt;&gt;"",$H688&lt;&gt;""),"※收入和支出不能同时填",IF(AND(N($G688)=0,N($H688)=0),"※收入和支出都没填",IF($E688="","※没填收支类别，分类报表会漏掉这一笔",IF(ISNA(MATCH($E688,类别表,0)),"※收支类别不在【参数设置】的清单里",IF($J688="","△"&amp;$D688&amp;" 还没填汇率，去【月度汇率】补上就自动算了",IF(YEAR($A688)&lt;&gt;管理年度,"△不是管理年度的单据，年报里看不到",IF(AND($F688="内部转账",$Q688=""),"△内部转账建议在「往来单位」写上对方账户",IF($M688&lt;0,"△这一笔之后该账户余额成负数了，核一下","")))))))))))</f>
        <v/>
      </c>
    </row>
    <row r="689" ht="16.5" spans="1:19">
      <c r="A689" s="45"/>
      <c r="B689" s="46"/>
      <c r="C689" s="12" t="str">
        <f>IF($B689="","",IFERROR(INDEX(账户银行,MATCH($B689,账户名,0)),""))</f>
        <v/>
      </c>
      <c r="D689" s="12" t="str">
        <f>IF($B689="","",IFERROR(INDEX(账户币种,MATCH($B689,账户名,0)),""))</f>
        <v/>
      </c>
      <c r="E689" s="47"/>
      <c r="F689" s="12" t="str">
        <f>IF($E689="","",IFERROR(INDEX(类别属性,MATCH($E689,类别表,0)),""))</f>
        <v/>
      </c>
      <c r="G689" s="48"/>
      <c r="H689" s="48"/>
      <c r="I689" s="49"/>
      <c r="J689" s="24" t="str">
        <f>IF(OR($A689="",$B689=""),"",IF($I689&lt;&gt;"",$I689,IF($D689=本位币,1,IFERROR(LOOKUP(2,1/((汇率月份&lt;=$A689)*(INDEX(记账汇率区,0,MATCH($D689,汇率币种头,0))&lt;&gt;"")),INDEX(记账汇率区,0,MATCH($D689,汇率币种头,0))),""))))</f>
        <v/>
      </c>
      <c r="K689" s="23" t="str">
        <f t="shared" si="20"/>
        <v/>
      </c>
      <c r="L689" s="23" t="str">
        <f t="shared" si="21"/>
        <v/>
      </c>
      <c r="M689" s="23" t="str">
        <f>IF($B689="","",ROUND(SUMIF(账户名,$B689,账户期初)+SUMIFS($K$6:K689,$B$6:B689,$B689),2))</f>
        <v/>
      </c>
      <c r="N689" s="23" t="str">
        <f>IF($B689="","",IFERROR(ROUND(INDEX(账户期初本位,MATCH($B689,账户名,0))+SUMIFS($L$6:L689,$B$6:B689,$B689),2),""))</f>
        <v/>
      </c>
      <c r="O689" s="46"/>
      <c r="P689" s="47"/>
      <c r="Q689" s="46"/>
      <c r="R689" s="46"/>
      <c r="S689" s="6" t="str">
        <f>IF($B689="","",IF(ISNA(MATCH($B689,账户名,0)),"※这个账户不在【参数设置】的账户档案里",IF($A689="","※没填日期，这一笔不会进任何月份的报表",IF(AND($G689&lt;&gt;"",$H689&lt;&gt;""),"※收入和支出不能同时填",IF(AND(N($G689)=0,N($H689)=0),"※收入和支出都没填",IF($E689="","※没填收支类别，分类报表会漏掉这一笔",IF(ISNA(MATCH($E689,类别表,0)),"※收支类别不在【参数设置】的清单里",IF($J689="","△"&amp;$D689&amp;" 还没填汇率，去【月度汇率】补上就自动算了",IF(YEAR($A689)&lt;&gt;管理年度,"△不是管理年度的单据，年报里看不到",IF(AND($F689="内部转账",$Q689=""),"△内部转账建议在「往来单位」写上对方账户",IF($M689&lt;0,"△这一笔之后该账户余额成负数了，核一下","")))))))))))</f>
        <v/>
      </c>
    </row>
    <row r="690" ht="16.5" spans="1:19">
      <c r="A690" s="45"/>
      <c r="B690" s="46"/>
      <c r="C690" s="12" t="str">
        <f>IF($B690="","",IFERROR(INDEX(账户银行,MATCH($B690,账户名,0)),""))</f>
        <v/>
      </c>
      <c r="D690" s="12" t="str">
        <f>IF($B690="","",IFERROR(INDEX(账户币种,MATCH($B690,账户名,0)),""))</f>
        <v/>
      </c>
      <c r="E690" s="47"/>
      <c r="F690" s="12" t="str">
        <f>IF($E690="","",IFERROR(INDEX(类别属性,MATCH($E690,类别表,0)),""))</f>
        <v/>
      </c>
      <c r="G690" s="48"/>
      <c r="H690" s="48"/>
      <c r="I690" s="49"/>
      <c r="J690" s="24" t="str">
        <f>IF(OR($A690="",$B690=""),"",IF($I690&lt;&gt;"",$I690,IF($D690=本位币,1,IFERROR(LOOKUP(2,1/((汇率月份&lt;=$A690)*(INDEX(记账汇率区,0,MATCH($D690,汇率币种头,0))&lt;&gt;"")),INDEX(记账汇率区,0,MATCH($D690,汇率币种头,0))),""))))</f>
        <v/>
      </c>
      <c r="K690" s="23" t="str">
        <f t="shared" si="20"/>
        <v/>
      </c>
      <c r="L690" s="23" t="str">
        <f t="shared" si="21"/>
        <v/>
      </c>
      <c r="M690" s="23" t="str">
        <f>IF($B690="","",ROUND(SUMIF(账户名,$B690,账户期初)+SUMIFS($K$6:K690,$B$6:B690,$B690),2))</f>
        <v/>
      </c>
      <c r="N690" s="23" t="str">
        <f>IF($B690="","",IFERROR(ROUND(INDEX(账户期初本位,MATCH($B690,账户名,0))+SUMIFS($L$6:L690,$B$6:B690,$B690),2),""))</f>
        <v/>
      </c>
      <c r="O690" s="46"/>
      <c r="P690" s="47"/>
      <c r="Q690" s="46"/>
      <c r="R690" s="46"/>
      <c r="S690" s="6" t="str">
        <f>IF($B690="","",IF(ISNA(MATCH($B690,账户名,0)),"※这个账户不在【参数设置】的账户档案里",IF($A690="","※没填日期，这一笔不会进任何月份的报表",IF(AND($G690&lt;&gt;"",$H690&lt;&gt;""),"※收入和支出不能同时填",IF(AND(N($G690)=0,N($H690)=0),"※收入和支出都没填",IF($E690="","※没填收支类别，分类报表会漏掉这一笔",IF(ISNA(MATCH($E690,类别表,0)),"※收支类别不在【参数设置】的清单里",IF($J690="","△"&amp;$D690&amp;" 还没填汇率，去【月度汇率】补上就自动算了",IF(YEAR($A690)&lt;&gt;管理年度,"△不是管理年度的单据，年报里看不到",IF(AND($F690="内部转账",$Q690=""),"△内部转账建议在「往来单位」写上对方账户",IF($M690&lt;0,"△这一笔之后该账户余额成负数了，核一下","")))))))))))</f>
        <v/>
      </c>
    </row>
    <row r="691" ht="16.5" spans="1:19">
      <c r="A691" s="45"/>
      <c r="B691" s="46"/>
      <c r="C691" s="12" t="str">
        <f>IF($B691="","",IFERROR(INDEX(账户银行,MATCH($B691,账户名,0)),""))</f>
        <v/>
      </c>
      <c r="D691" s="12" t="str">
        <f>IF($B691="","",IFERROR(INDEX(账户币种,MATCH($B691,账户名,0)),""))</f>
        <v/>
      </c>
      <c r="E691" s="47"/>
      <c r="F691" s="12" t="str">
        <f>IF($E691="","",IFERROR(INDEX(类别属性,MATCH($E691,类别表,0)),""))</f>
        <v/>
      </c>
      <c r="G691" s="48"/>
      <c r="H691" s="48"/>
      <c r="I691" s="49"/>
      <c r="J691" s="24" t="str">
        <f>IF(OR($A691="",$B691=""),"",IF($I691&lt;&gt;"",$I691,IF($D691=本位币,1,IFERROR(LOOKUP(2,1/((汇率月份&lt;=$A691)*(INDEX(记账汇率区,0,MATCH($D691,汇率币种头,0))&lt;&gt;"")),INDEX(记账汇率区,0,MATCH($D691,汇率币种头,0))),""))))</f>
        <v/>
      </c>
      <c r="K691" s="23" t="str">
        <f t="shared" si="20"/>
        <v/>
      </c>
      <c r="L691" s="23" t="str">
        <f t="shared" si="21"/>
        <v/>
      </c>
      <c r="M691" s="23" t="str">
        <f>IF($B691="","",ROUND(SUMIF(账户名,$B691,账户期初)+SUMIFS($K$6:K691,$B$6:B691,$B691),2))</f>
        <v/>
      </c>
      <c r="N691" s="23" t="str">
        <f>IF($B691="","",IFERROR(ROUND(INDEX(账户期初本位,MATCH($B691,账户名,0))+SUMIFS($L$6:L691,$B$6:B691,$B691),2),""))</f>
        <v/>
      </c>
      <c r="O691" s="46"/>
      <c r="P691" s="47"/>
      <c r="Q691" s="46"/>
      <c r="R691" s="46"/>
      <c r="S691" s="6" t="str">
        <f>IF($B691="","",IF(ISNA(MATCH($B691,账户名,0)),"※这个账户不在【参数设置】的账户档案里",IF($A691="","※没填日期，这一笔不会进任何月份的报表",IF(AND($G691&lt;&gt;"",$H691&lt;&gt;""),"※收入和支出不能同时填",IF(AND(N($G691)=0,N($H691)=0),"※收入和支出都没填",IF($E691="","※没填收支类别，分类报表会漏掉这一笔",IF(ISNA(MATCH($E691,类别表,0)),"※收支类别不在【参数设置】的清单里",IF($J691="","△"&amp;$D691&amp;" 还没填汇率，去【月度汇率】补上就自动算了",IF(YEAR($A691)&lt;&gt;管理年度,"△不是管理年度的单据，年报里看不到",IF(AND($F691="内部转账",$Q691=""),"△内部转账建议在「往来单位」写上对方账户",IF($M691&lt;0,"△这一笔之后该账户余额成负数了，核一下","")))))))))))</f>
        <v/>
      </c>
    </row>
    <row r="692" ht="16.5" spans="1:19">
      <c r="A692" s="45"/>
      <c r="B692" s="46"/>
      <c r="C692" s="12" t="str">
        <f>IF($B692="","",IFERROR(INDEX(账户银行,MATCH($B692,账户名,0)),""))</f>
        <v/>
      </c>
      <c r="D692" s="12" t="str">
        <f>IF($B692="","",IFERROR(INDEX(账户币种,MATCH($B692,账户名,0)),""))</f>
        <v/>
      </c>
      <c r="E692" s="47"/>
      <c r="F692" s="12" t="str">
        <f>IF($E692="","",IFERROR(INDEX(类别属性,MATCH($E692,类别表,0)),""))</f>
        <v/>
      </c>
      <c r="G692" s="48"/>
      <c r="H692" s="48"/>
      <c r="I692" s="49"/>
      <c r="J692" s="24" t="str">
        <f>IF(OR($A692="",$B692=""),"",IF($I692&lt;&gt;"",$I692,IF($D692=本位币,1,IFERROR(LOOKUP(2,1/((汇率月份&lt;=$A692)*(INDEX(记账汇率区,0,MATCH($D692,汇率币种头,0))&lt;&gt;"")),INDEX(记账汇率区,0,MATCH($D692,汇率币种头,0))),""))))</f>
        <v/>
      </c>
      <c r="K692" s="23" t="str">
        <f t="shared" si="20"/>
        <v/>
      </c>
      <c r="L692" s="23" t="str">
        <f t="shared" si="21"/>
        <v/>
      </c>
      <c r="M692" s="23" t="str">
        <f>IF($B692="","",ROUND(SUMIF(账户名,$B692,账户期初)+SUMIFS($K$6:K692,$B$6:B692,$B692),2))</f>
        <v/>
      </c>
      <c r="N692" s="23" t="str">
        <f>IF($B692="","",IFERROR(ROUND(INDEX(账户期初本位,MATCH($B692,账户名,0))+SUMIFS($L$6:L692,$B$6:B692,$B692),2),""))</f>
        <v/>
      </c>
      <c r="O692" s="46"/>
      <c r="P692" s="47"/>
      <c r="Q692" s="46"/>
      <c r="R692" s="46"/>
      <c r="S692" s="6" t="str">
        <f>IF($B692="","",IF(ISNA(MATCH($B692,账户名,0)),"※这个账户不在【参数设置】的账户档案里",IF($A692="","※没填日期，这一笔不会进任何月份的报表",IF(AND($G692&lt;&gt;"",$H692&lt;&gt;""),"※收入和支出不能同时填",IF(AND(N($G692)=0,N($H692)=0),"※收入和支出都没填",IF($E692="","※没填收支类别，分类报表会漏掉这一笔",IF(ISNA(MATCH($E692,类别表,0)),"※收支类别不在【参数设置】的清单里",IF($J692="","△"&amp;$D692&amp;" 还没填汇率，去【月度汇率】补上就自动算了",IF(YEAR($A692)&lt;&gt;管理年度,"△不是管理年度的单据，年报里看不到",IF(AND($F692="内部转账",$Q692=""),"△内部转账建议在「往来单位」写上对方账户",IF($M692&lt;0,"△这一笔之后该账户余额成负数了，核一下","")))))))))))</f>
        <v/>
      </c>
    </row>
    <row r="693" ht="16.5" spans="1:19">
      <c r="A693" s="45"/>
      <c r="B693" s="46"/>
      <c r="C693" s="12" t="str">
        <f>IF($B693="","",IFERROR(INDEX(账户银行,MATCH($B693,账户名,0)),""))</f>
        <v/>
      </c>
      <c r="D693" s="12" t="str">
        <f>IF($B693="","",IFERROR(INDEX(账户币种,MATCH($B693,账户名,0)),""))</f>
        <v/>
      </c>
      <c r="E693" s="47"/>
      <c r="F693" s="12" t="str">
        <f>IF($E693="","",IFERROR(INDEX(类别属性,MATCH($E693,类别表,0)),""))</f>
        <v/>
      </c>
      <c r="G693" s="48"/>
      <c r="H693" s="48"/>
      <c r="I693" s="49"/>
      <c r="J693" s="24" t="str">
        <f>IF(OR($A693="",$B693=""),"",IF($I693&lt;&gt;"",$I693,IF($D693=本位币,1,IFERROR(LOOKUP(2,1/((汇率月份&lt;=$A693)*(INDEX(记账汇率区,0,MATCH($D693,汇率币种头,0))&lt;&gt;"")),INDEX(记账汇率区,0,MATCH($D693,汇率币种头,0))),""))))</f>
        <v/>
      </c>
      <c r="K693" s="23" t="str">
        <f t="shared" si="20"/>
        <v/>
      </c>
      <c r="L693" s="23" t="str">
        <f t="shared" si="21"/>
        <v/>
      </c>
      <c r="M693" s="23" t="str">
        <f>IF($B693="","",ROUND(SUMIF(账户名,$B693,账户期初)+SUMIFS($K$6:K693,$B$6:B693,$B693),2))</f>
        <v/>
      </c>
      <c r="N693" s="23" t="str">
        <f>IF($B693="","",IFERROR(ROUND(INDEX(账户期初本位,MATCH($B693,账户名,0))+SUMIFS($L$6:L693,$B$6:B693,$B693),2),""))</f>
        <v/>
      </c>
      <c r="O693" s="46"/>
      <c r="P693" s="47"/>
      <c r="Q693" s="46"/>
      <c r="R693" s="46"/>
      <c r="S693" s="6" t="str">
        <f>IF($B693="","",IF(ISNA(MATCH($B693,账户名,0)),"※这个账户不在【参数设置】的账户档案里",IF($A693="","※没填日期，这一笔不会进任何月份的报表",IF(AND($G693&lt;&gt;"",$H693&lt;&gt;""),"※收入和支出不能同时填",IF(AND(N($G693)=0,N($H693)=0),"※收入和支出都没填",IF($E693="","※没填收支类别，分类报表会漏掉这一笔",IF(ISNA(MATCH($E693,类别表,0)),"※收支类别不在【参数设置】的清单里",IF($J693="","△"&amp;$D693&amp;" 还没填汇率，去【月度汇率】补上就自动算了",IF(YEAR($A693)&lt;&gt;管理年度,"△不是管理年度的单据，年报里看不到",IF(AND($F693="内部转账",$Q693=""),"△内部转账建议在「往来单位」写上对方账户",IF($M693&lt;0,"△这一笔之后该账户余额成负数了，核一下","")))))))))))</f>
        <v/>
      </c>
    </row>
    <row r="694" ht="16.5" spans="1:19">
      <c r="A694" s="45"/>
      <c r="B694" s="46"/>
      <c r="C694" s="12" t="str">
        <f>IF($B694="","",IFERROR(INDEX(账户银行,MATCH($B694,账户名,0)),""))</f>
        <v/>
      </c>
      <c r="D694" s="12" t="str">
        <f>IF($B694="","",IFERROR(INDEX(账户币种,MATCH($B694,账户名,0)),""))</f>
        <v/>
      </c>
      <c r="E694" s="47"/>
      <c r="F694" s="12" t="str">
        <f>IF($E694="","",IFERROR(INDEX(类别属性,MATCH($E694,类别表,0)),""))</f>
        <v/>
      </c>
      <c r="G694" s="48"/>
      <c r="H694" s="48"/>
      <c r="I694" s="49"/>
      <c r="J694" s="24" t="str">
        <f>IF(OR($A694="",$B694=""),"",IF($I694&lt;&gt;"",$I694,IF($D694=本位币,1,IFERROR(LOOKUP(2,1/((汇率月份&lt;=$A694)*(INDEX(记账汇率区,0,MATCH($D694,汇率币种头,0))&lt;&gt;"")),INDEX(记账汇率区,0,MATCH($D694,汇率币种头,0))),""))))</f>
        <v/>
      </c>
      <c r="K694" s="23" t="str">
        <f t="shared" si="20"/>
        <v/>
      </c>
      <c r="L694" s="23" t="str">
        <f t="shared" si="21"/>
        <v/>
      </c>
      <c r="M694" s="23" t="str">
        <f>IF($B694="","",ROUND(SUMIF(账户名,$B694,账户期初)+SUMIFS($K$6:K694,$B$6:B694,$B694),2))</f>
        <v/>
      </c>
      <c r="N694" s="23" t="str">
        <f>IF($B694="","",IFERROR(ROUND(INDEX(账户期初本位,MATCH($B694,账户名,0))+SUMIFS($L$6:L694,$B$6:B694,$B694),2),""))</f>
        <v/>
      </c>
      <c r="O694" s="46"/>
      <c r="P694" s="47"/>
      <c r="Q694" s="46"/>
      <c r="R694" s="46"/>
      <c r="S694" s="6" t="str">
        <f>IF($B694="","",IF(ISNA(MATCH($B694,账户名,0)),"※这个账户不在【参数设置】的账户档案里",IF($A694="","※没填日期，这一笔不会进任何月份的报表",IF(AND($G694&lt;&gt;"",$H694&lt;&gt;""),"※收入和支出不能同时填",IF(AND(N($G694)=0,N($H694)=0),"※收入和支出都没填",IF($E694="","※没填收支类别，分类报表会漏掉这一笔",IF(ISNA(MATCH($E694,类别表,0)),"※收支类别不在【参数设置】的清单里",IF($J694="","△"&amp;$D694&amp;" 还没填汇率，去【月度汇率】补上就自动算了",IF(YEAR($A694)&lt;&gt;管理年度,"△不是管理年度的单据，年报里看不到",IF(AND($F694="内部转账",$Q694=""),"△内部转账建议在「往来单位」写上对方账户",IF($M694&lt;0,"△这一笔之后该账户余额成负数了，核一下","")))))))))))</f>
        <v/>
      </c>
    </row>
    <row r="695" ht="16.5" spans="1:19">
      <c r="A695" s="45"/>
      <c r="B695" s="46"/>
      <c r="C695" s="12" t="str">
        <f>IF($B695="","",IFERROR(INDEX(账户银行,MATCH($B695,账户名,0)),""))</f>
        <v/>
      </c>
      <c r="D695" s="12" t="str">
        <f>IF($B695="","",IFERROR(INDEX(账户币种,MATCH($B695,账户名,0)),""))</f>
        <v/>
      </c>
      <c r="E695" s="47"/>
      <c r="F695" s="12" t="str">
        <f>IF($E695="","",IFERROR(INDEX(类别属性,MATCH($E695,类别表,0)),""))</f>
        <v/>
      </c>
      <c r="G695" s="48"/>
      <c r="H695" s="48"/>
      <c r="I695" s="49"/>
      <c r="J695" s="24" t="str">
        <f>IF(OR($A695="",$B695=""),"",IF($I695&lt;&gt;"",$I695,IF($D695=本位币,1,IFERROR(LOOKUP(2,1/((汇率月份&lt;=$A695)*(INDEX(记账汇率区,0,MATCH($D695,汇率币种头,0))&lt;&gt;"")),INDEX(记账汇率区,0,MATCH($D695,汇率币种头,0))),""))))</f>
        <v/>
      </c>
      <c r="K695" s="23" t="str">
        <f t="shared" si="20"/>
        <v/>
      </c>
      <c r="L695" s="23" t="str">
        <f t="shared" si="21"/>
        <v/>
      </c>
      <c r="M695" s="23" t="str">
        <f>IF($B695="","",ROUND(SUMIF(账户名,$B695,账户期初)+SUMIFS($K$6:K695,$B$6:B695,$B695),2))</f>
        <v/>
      </c>
      <c r="N695" s="23" t="str">
        <f>IF($B695="","",IFERROR(ROUND(INDEX(账户期初本位,MATCH($B695,账户名,0))+SUMIFS($L$6:L695,$B$6:B695,$B695),2),""))</f>
        <v/>
      </c>
      <c r="O695" s="46"/>
      <c r="P695" s="47"/>
      <c r="Q695" s="46"/>
      <c r="R695" s="46"/>
      <c r="S695" s="6" t="str">
        <f>IF($B695="","",IF(ISNA(MATCH($B695,账户名,0)),"※这个账户不在【参数设置】的账户档案里",IF($A695="","※没填日期，这一笔不会进任何月份的报表",IF(AND($G695&lt;&gt;"",$H695&lt;&gt;""),"※收入和支出不能同时填",IF(AND(N($G695)=0,N($H695)=0),"※收入和支出都没填",IF($E695="","※没填收支类别，分类报表会漏掉这一笔",IF(ISNA(MATCH($E695,类别表,0)),"※收支类别不在【参数设置】的清单里",IF($J695="","△"&amp;$D695&amp;" 还没填汇率，去【月度汇率】补上就自动算了",IF(YEAR($A695)&lt;&gt;管理年度,"△不是管理年度的单据，年报里看不到",IF(AND($F695="内部转账",$Q695=""),"△内部转账建议在「往来单位」写上对方账户",IF($M695&lt;0,"△这一笔之后该账户余额成负数了，核一下","")))))))))))</f>
        <v/>
      </c>
    </row>
    <row r="696" ht="16.5" spans="1:19">
      <c r="A696" s="45"/>
      <c r="B696" s="46"/>
      <c r="C696" s="12" t="str">
        <f>IF($B696="","",IFERROR(INDEX(账户银行,MATCH($B696,账户名,0)),""))</f>
        <v/>
      </c>
      <c r="D696" s="12" t="str">
        <f>IF($B696="","",IFERROR(INDEX(账户币种,MATCH($B696,账户名,0)),""))</f>
        <v/>
      </c>
      <c r="E696" s="47"/>
      <c r="F696" s="12" t="str">
        <f>IF($E696="","",IFERROR(INDEX(类别属性,MATCH($E696,类别表,0)),""))</f>
        <v/>
      </c>
      <c r="G696" s="48"/>
      <c r="H696" s="48"/>
      <c r="I696" s="49"/>
      <c r="J696" s="24" t="str">
        <f>IF(OR($A696="",$B696=""),"",IF($I696&lt;&gt;"",$I696,IF($D696=本位币,1,IFERROR(LOOKUP(2,1/((汇率月份&lt;=$A696)*(INDEX(记账汇率区,0,MATCH($D696,汇率币种头,0))&lt;&gt;"")),INDEX(记账汇率区,0,MATCH($D696,汇率币种头,0))),""))))</f>
        <v/>
      </c>
      <c r="K696" s="23" t="str">
        <f t="shared" si="20"/>
        <v/>
      </c>
      <c r="L696" s="23" t="str">
        <f t="shared" si="21"/>
        <v/>
      </c>
      <c r="M696" s="23" t="str">
        <f>IF($B696="","",ROUND(SUMIF(账户名,$B696,账户期初)+SUMIFS($K$6:K696,$B$6:B696,$B696),2))</f>
        <v/>
      </c>
      <c r="N696" s="23" t="str">
        <f>IF($B696="","",IFERROR(ROUND(INDEX(账户期初本位,MATCH($B696,账户名,0))+SUMIFS($L$6:L696,$B$6:B696,$B696),2),""))</f>
        <v/>
      </c>
      <c r="O696" s="46"/>
      <c r="P696" s="47"/>
      <c r="Q696" s="46"/>
      <c r="R696" s="46"/>
      <c r="S696" s="6" t="str">
        <f>IF($B696="","",IF(ISNA(MATCH($B696,账户名,0)),"※这个账户不在【参数设置】的账户档案里",IF($A696="","※没填日期，这一笔不会进任何月份的报表",IF(AND($G696&lt;&gt;"",$H696&lt;&gt;""),"※收入和支出不能同时填",IF(AND(N($G696)=0,N($H696)=0),"※收入和支出都没填",IF($E696="","※没填收支类别，分类报表会漏掉这一笔",IF(ISNA(MATCH($E696,类别表,0)),"※收支类别不在【参数设置】的清单里",IF($J696="","△"&amp;$D696&amp;" 还没填汇率，去【月度汇率】补上就自动算了",IF(YEAR($A696)&lt;&gt;管理年度,"△不是管理年度的单据，年报里看不到",IF(AND($F696="内部转账",$Q696=""),"△内部转账建议在「往来单位」写上对方账户",IF($M696&lt;0,"△这一笔之后该账户余额成负数了，核一下","")))))))))))</f>
        <v/>
      </c>
    </row>
    <row r="697" ht="16.5" spans="1:19">
      <c r="A697" s="45"/>
      <c r="B697" s="46"/>
      <c r="C697" s="12" t="str">
        <f>IF($B697="","",IFERROR(INDEX(账户银行,MATCH($B697,账户名,0)),""))</f>
        <v/>
      </c>
      <c r="D697" s="12" t="str">
        <f>IF($B697="","",IFERROR(INDEX(账户币种,MATCH($B697,账户名,0)),""))</f>
        <v/>
      </c>
      <c r="E697" s="47"/>
      <c r="F697" s="12" t="str">
        <f>IF($E697="","",IFERROR(INDEX(类别属性,MATCH($E697,类别表,0)),""))</f>
        <v/>
      </c>
      <c r="G697" s="48"/>
      <c r="H697" s="48"/>
      <c r="I697" s="49"/>
      <c r="J697" s="24" t="str">
        <f>IF(OR($A697="",$B697=""),"",IF($I697&lt;&gt;"",$I697,IF($D697=本位币,1,IFERROR(LOOKUP(2,1/((汇率月份&lt;=$A697)*(INDEX(记账汇率区,0,MATCH($D697,汇率币种头,0))&lt;&gt;"")),INDEX(记账汇率区,0,MATCH($D697,汇率币种头,0))),""))))</f>
        <v/>
      </c>
      <c r="K697" s="23" t="str">
        <f t="shared" si="20"/>
        <v/>
      </c>
      <c r="L697" s="23" t="str">
        <f t="shared" si="21"/>
        <v/>
      </c>
      <c r="M697" s="23" t="str">
        <f>IF($B697="","",ROUND(SUMIF(账户名,$B697,账户期初)+SUMIFS($K$6:K697,$B$6:B697,$B697),2))</f>
        <v/>
      </c>
      <c r="N697" s="23" t="str">
        <f>IF($B697="","",IFERROR(ROUND(INDEX(账户期初本位,MATCH($B697,账户名,0))+SUMIFS($L$6:L697,$B$6:B697,$B697),2),""))</f>
        <v/>
      </c>
      <c r="O697" s="46"/>
      <c r="P697" s="47"/>
      <c r="Q697" s="46"/>
      <c r="R697" s="46"/>
      <c r="S697" s="6" t="str">
        <f>IF($B697="","",IF(ISNA(MATCH($B697,账户名,0)),"※这个账户不在【参数设置】的账户档案里",IF($A697="","※没填日期，这一笔不会进任何月份的报表",IF(AND($G697&lt;&gt;"",$H697&lt;&gt;""),"※收入和支出不能同时填",IF(AND(N($G697)=0,N($H697)=0),"※收入和支出都没填",IF($E697="","※没填收支类别，分类报表会漏掉这一笔",IF(ISNA(MATCH($E697,类别表,0)),"※收支类别不在【参数设置】的清单里",IF($J697="","△"&amp;$D697&amp;" 还没填汇率，去【月度汇率】补上就自动算了",IF(YEAR($A697)&lt;&gt;管理年度,"△不是管理年度的单据，年报里看不到",IF(AND($F697="内部转账",$Q697=""),"△内部转账建议在「往来单位」写上对方账户",IF($M697&lt;0,"△这一笔之后该账户余额成负数了，核一下","")))))))))))</f>
        <v/>
      </c>
    </row>
    <row r="698" ht="16.5" spans="1:19">
      <c r="A698" s="45"/>
      <c r="B698" s="46"/>
      <c r="C698" s="12" t="str">
        <f>IF($B698="","",IFERROR(INDEX(账户银行,MATCH($B698,账户名,0)),""))</f>
        <v/>
      </c>
      <c r="D698" s="12" t="str">
        <f>IF($B698="","",IFERROR(INDEX(账户币种,MATCH($B698,账户名,0)),""))</f>
        <v/>
      </c>
      <c r="E698" s="47"/>
      <c r="F698" s="12" t="str">
        <f>IF($E698="","",IFERROR(INDEX(类别属性,MATCH($E698,类别表,0)),""))</f>
        <v/>
      </c>
      <c r="G698" s="48"/>
      <c r="H698" s="48"/>
      <c r="I698" s="49"/>
      <c r="J698" s="24" t="str">
        <f>IF(OR($A698="",$B698=""),"",IF($I698&lt;&gt;"",$I698,IF($D698=本位币,1,IFERROR(LOOKUP(2,1/((汇率月份&lt;=$A698)*(INDEX(记账汇率区,0,MATCH($D698,汇率币种头,0))&lt;&gt;"")),INDEX(记账汇率区,0,MATCH($D698,汇率币种头,0))),""))))</f>
        <v/>
      </c>
      <c r="K698" s="23" t="str">
        <f t="shared" si="20"/>
        <v/>
      </c>
      <c r="L698" s="23" t="str">
        <f t="shared" si="21"/>
        <v/>
      </c>
      <c r="M698" s="23" t="str">
        <f>IF($B698="","",ROUND(SUMIF(账户名,$B698,账户期初)+SUMIFS($K$6:K698,$B$6:B698,$B698),2))</f>
        <v/>
      </c>
      <c r="N698" s="23" t="str">
        <f>IF($B698="","",IFERROR(ROUND(INDEX(账户期初本位,MATCH($B698,账户名,0))+SUMIFS($L$6:L698,$B$6:B698,$B698),2),""))</f>
        <v/>
      </c>
      <c r="O698" s="46"/>
      <c r="P698" s="47"/>
      <c r="Q698" s="46"/>
      <c r="R698" s="46"/>
      <c r="S698" s="6" t="str">
        <f>IF($B698="","",IF(ISNA(MATCH($B698,账户名,0)),"※这个账户不在【参数设置】的账户档案里",IF($A698="","※没填日期，这一笔不会进任何月份的报表",IF(AND($G698&lt;&gt;"",$H698&lt;&gt;""),"※收入和支出不能同时填",IF(AND(N($G698)=0,N($H698)=0),"※收入和支出都没填",IF($E698="","※没填收支类别，分类报表会漏掉这一笔",IF(ISNA(MATCH($E698,类别表,0)),"※收支类别不在【参数设置】的清单里",IF($J698="","△"&amp;$D698&amp;" 还没填汇率，去【月度汇率】补上就自动算了",IF(YEAR($A698)&lt;&gt;管理年度,"△不是管理年度的单据，年报里看不到",IF(AND($F698="内部转账",$Q698=""),"△内部转账建议在「往来单位」写上对方账户",IF($M698&lt;0,"△这一笔之后该账户余额成负数了，核一下","")))))))))))</f>
        <v/>
      </c>
    </row>
    <row r="699" ht="16.5" spans="1:19">
      <c r="A699" s="45"/>
      <c r="B699" s="46"/>
      <c r="C699" s="12" t="str">
        <f>IF($B699="","",IFERROR(INDEX(账户银行,MATCH($B699,账户名,0)),""))</f>
        <v/>
      </c>
      <c r="D699" s="12" t="str">
        <f>IF($B699="","",IFERROR(INDEX(账户币种,MATCH($B699,账户名,0)),""))</f>
        <v/>
      </c>
      <c r="E699" s="47"/>
      <c r="F699" s="12" t="str">
        <f>IF($E699="","",IFERROR(INDEX(类别属性,MATCH($E699,类别表,0)),""))</f>
        <v/>
      </c>
      <c r="G699" s="48"/>
      <c r="H699" s="48"/>
      <c r="I699" s="49"/>
      <c r="J699" s="24" t="str">
        <f>IF(OR($A699="",$B699=""),"",IF($I699&lt;&gt;"",$I699,IF($D699=本位币,1,IFERROR(LOOKUP(2,1/((汇率月份&lt;=$A699)*(INDEX(记账汇率区,0,MATCH($D699,汇率币种头,0))&lt;&gt;"")),INDEX(记账汇率区,0,MATCH($D699,汇率币种头,0))),""))))</f>
        <v/>
      </c>
      <c r="K699" s="23" t="str">
        <f t="shared" si="20"/>
        <v/>
      </c>
      <c r="L699" s="23" t="str">
        <f t="shared" si="21"/>
        <v/>
      </c>
      <c r="M699" s="23" t="str">
        <f>IF($B699="","",ROUND(SUMIF(账户名,$B699,账户期初)+SUMIFS($K$6:K699,$B$6:B699,$B699),2))</f>
        <v/>
      </c>
      <c r="N699" s="23" t="str">
        <f>IF($B699="","",IFERROR(ROUND(INDEX(账户期初本位,MATCH($B699,账户名,0))+SUMIFS($L$6:L699,$B$6:B699,$B699),2),""))</f>
        <v/>
      </c>
      <c r="O699" s="46"/>
      <c r="P699" s="47"/>
      <c r="Q699" s="46"/>
      <c r="R699" s="46"/>
      <c r="S699" s="6" t="str">
        <f>IF($B699="","",IF(ISNA(MATCH($B699,账户名,0)),"※这个账户不在【参数设置】的账户档案里",IF($A699="","※没填日期，这一笔不会进任何月份的报表",IF(AND($G699&lt;&gt;"",$H699&lt;&gt;""),"※收入和支出不能同时填",IF(AND(N($G699)=0,N($H699)=0),"※收入和支出都没填",IF($E699="","※没填收支类别，分类报表会漏掉这一笔",IF(ISNA(MATCH($E699,类别表,0)),"※收支类别不在【参数设置】的清单里",IF($J699="","△"&amp;$D699&amp;" 还没填汇率，去【月度汇率】补上就自动算了",IF(YEAR($A699)&lt;&gt;管理年度,"△不是管理年度的单据，年报里看不到",IF(AND($F699="内部转账",$Q699=""),"△内部转账建议在「往来单位」写上对方账户",IF($M699&lt;0,"△这一笔之后该账户余额成负数了，核一下","")))))))))))</f>
        <v/>
      </c>
    </row>
    <row r="700" ht="16.5" spans="1:19">
      <c r="A700" s="45"/>
      <c r="B700" s="46"/>
      <c r="C700" s="12" t="str">
        <f>IF($B700="","",IFERROR(INDEX(账户银行,MATCH($B700,账户名,0)),""))</f>
        <v/>
      </c>
      <c r="D700" s="12" t="str">
        <f>IF($B700="","",IFERROR(INDEX(账户币种,MATCH($B700,账户名,0)),""))</f>
        <v/>
      </c>
      <c r="E700" s="47"/>
      <c r="F700" s="12" t="str">
        <f>IF($E700="","",IFERROR(INDEX(类别属性,MATCH($E700,类别表,0)),""))</f>
        <v/>
      </c>
      <c r="G700" s="48"/>
      <c r="H700" s="48"/>
      <c r="I700" s="49"/>
      <c r="J700" s="24" t="str">
        <f>IF(OR($A700="",$B700=""),"",IF($I700&lt;&gt;"",$I700,IF($D700=本位币,1,IFERROR(LOOKUP(2,1/((汇率月份&lt;=$A700)*(INDEX(记账汇率区,0,MATCH($D700,汇率币种头,0))&lt;&gt;"")),INDEX(记账汇率区,0,MATCH($D700,汇率币种头,0))),""))))</f>
        <v/>
      </c>
      <c r="K700" s="23" t="str">
        <f t="shared" si="20"/>
        <v/>
      </c>
      <c r="L700" s="23" t="str">
        <f t="shared" si="21"/>
        <v/>
      </c>
      <c r="M700" s="23" t="str">
        <f>IF($B700="","",ROUND(SUMIF(账户名,$B700,账户期初)+SUMIFS($K$6:K700,$B$6:B700,$B700),2))</f>
        <v/>
      </c>
      <c r="N700" s="23" t="str">
        <f>IF($B700="","",IFERROR(ROUND(INDEX(账户期初本位,MATCH($B700,账户名,0))+SUMIFS($L$6:L700,$B$6:B700,$B700),2),""))</f>
        <v/>
      </c>
      <c r="O700" s="46"/>
      <c r="P700" s="47"/>
      <c r="Q700" s="46"/>
      <c r="R700" s="46"/>
      <c r="S700" s="6" t="str">
        <f>IF($B700="","",IF(ISNA(MATCH($B700,账户名,0)),"※这个账户不在【参数设置】的账户档案里",IF($A700="","※没填日期，这一笔不会进任何月份的报表",IF(AND($G700&lt;&gt;"",$H700&lt;&gt;""),"※收入和支出不能同时填",IF(AND(N($G700)=0,N($H700)=0),"※收入和支出都没填",IF($E700="","※没填收支类别，分类报表会漏掉这一笔",IF(ISNA(MATCH($E700,类别表,0)),"※收支类别不在【参数设置】的清单里",IF($J700="","△"&amp;$D700&amp;" 还没填汇率，去【月度汇率】补上就自动算了",IF(YEAR($A700)&lt;&gt;管理年度,"△不是管理年度的单据，年报里看不到",IF(AND($F700="内部转账",$Q700=""),"△内部转账建议在「往来单位」写上对方账户",IF($M700&lt;0,"△这一笔之后该账户余额成负数了，核一下","")))))))))))</f>
        <v/>
      </c>
    </row>
    <row r="701" ht="16.5" spans="1:19">
      <c r="A701" s="45"/>
      <c r="B701" s="46"/>
      <c r="C701" s="12" t="str">
        <f>IF($B701="","",IFERROR(INDEX(账户银行,MATCH($B701,账户名,0)),""))</f>
        <v/>
      </c>
      <c r="D701" s="12" t="str">
        <f>IF($B701="","",IFERROR(INDEX(账户币种,MATCH($B701,账户名,0)),""))</f>
        <v/>
      </c>
      <c r="E701" s="47"/>
      <c r="F701" s="12" t="str">
        <f>IF($E701="","",IFERROR(INDEX(类别属性,MATCH($E701,类别表,0)),""))</f>
        <v/>
      </c>
      <c r="G701" s="48"/>
      <c r="H701" s="48"/>
      <c r="I701" s="49"/>
      <c r="J701" s="24" t="str">
        <f>IF(OR($A701="",$B701=""),"",IF($I701&lt;&gt;"",$I701,IF($D701=本位币,1,IFERROR(LOOKUP(2,1/((汇率月份&lt;=$A701)*(INDEX(记账汇率区,0,MATCH($D701,汇率币种头,0))&lt;&gt;"")),INDEX(记账汇率区,0,MATCH($D701,汇率币种头,0))),""))))</f>
        <v/>
      </c>
      <c r="K701" s="23" t="str">
        <f t="shared" si="20"/>
        <v/>
      </c>
      <c r="L701" s="23" t="str">
        <f t="shared" si="21"/>
        <v/>
      </c>
      <c r="M701" s="23" t="str">
        <f>IF($B701="","",ROUND(SUMIF(账户名,$B701,账户期初)+SUMIFS($K$6:K701,$B$6:B701,$B701),2))</f>
        <v/>
      </c>
      <c r="N701" s="23" t="str">
        <f>IF($B701="","",IFERROR(ROUND(INDEX(账户期初本位,MATCH($B701,账户名,0))+SUMIFS($L$6:L701,$B$6:B701,$B701),2),""))</f>
        <v/>
      </c>
      <c r="O701" s="46"/>
      <c r="P701" s="47"/>
      <c r="Q701" s="46"/>
      <c r="R701" s="46"/>
      <c r="S701" s="6" t="str">
        <f>IF($B701="","",IF(ISNA(MATCH($B701,账户名,0)),"※这个账户不在【参数设置】的账户档案里",IF($A701="","※没填日期，这一笔不会进任何月份的报表",IF(AND($G701&lt;&gt;"",$H701&lt;&gt;""),"※收入和支出不能同时填",IF(AND(N($G701)=0,N($H701)=0),"※收入和支出都没填",IF($E701="","※没填收支类别，分类报表会漏掉这一笔",IF(ISNA(MATCH($E701,类别表,0)),"※收支类别不在【参数设置】的清单里",IF($J701="","△"&amp;$D701&amp;" 还没填汇率，去【月度汇率】补上就自动算了",IF(YEAR($A701)&lt;&gt;管理年度,"△不是管理年度的单据，年报里看不到",IF(AND($F701="内部转账",$Q701=""),"△内部转账建议在「往来单位」写上对方账户",IF($M701&lt;0,"△这一笔之后该账户余额成负数了，核一下","")))))))))))</f>
        <v/>
      </c>
    </row>
    <row r="702" ht="16.5" spans="1:19">
      <c r="A702" s="45"/>
      <c r="B702" s="46"/>
      <c r="C702" s="12" t="str">
        <f>IF($B702="","",IFERROR(INDEX(账户银行,MATCH($B702,账户名,0)),""))</f>
        <v/>
      </c>
      <c r="D702" s="12" t="str">
        <f>IF($B702="","",IFERROR(INDEX(账户币种,MATCH($B702,账户名,0)),""))</f>
        <v/>
      </c>
      <c r="E702" s="47"/>
      <c r="F702" s="12" t="str">
        <f>IF($E702="","",IFERROR(INDEX(类别属性,MATCH($E702,类别表,0)),""))</f>
        <v/>
      </c>
      <c r="G702" s="48"/>
      <c r="H702" s="48"/>
      <c r="I702" s="49"/>
      <c r="J702" s="24" t="str">
        <f>IF(OR($A702="",$B702=""),"",IF($I702&lt;&gt;"",$I702,IF($D702=本位币,1,IFERROR(LOOKUP(2,1/((汇率月份&lt;=$A702)*(INDEX(记账汇率区,0,MATCH($D702,汇率币种头,0))&lt;&gt;"")),INDEX(记账汇率区,0,MATCH($D702,汇率币种头,0))),""))))</f>
        <v/>
      </c>
      <c r="K702" s="23" t="str">
        <f t="shared" si="20"/>
        <v/>
      </c>
      <c r="L702" s="23" t="str">
        <f t="shared" si="21"/>
        <v/>
      </c>
      <c r="M702" s="23" t="str">
        <f>IF($B702="","",ROUND(SUMIF(账户名,$B702,账户期初)+SUMIFS($K$6:K702,$B$6:B702,$B702),2))</f>
        <v/>
      </c>
      <c r="N702" s="23" t="str">
        <f>IF($B702="","",IFERROR(ROUND(INDEX(账户期初本位,MATCH($B702,账户名,0))+SUMIFS($L$6:L702,$B$6:B702,$B702),2),""))</f>
        <v/>
      </c>
      <c r="O702" s="46"/>
      <c r="P702" s="47"/>
      <c r="Q702" s="46"/>
      <c r="R702" s="46"/>
      <c r="S702" s="6" t="str">
        <f>IF($B702="","",IF(ISNA(MATCH($B702,账户名,0)),"※这个账户不在【参数设置】的账户档案里",IF($A702="","※没填日期，这一笔不会进任何月份的报表",IF(AND($G702&lt;&gt;"",$H702&lt;&gt;""),"※收入和支出不能同时填",IF(AND(N($G702)=0,N($H702)=0),"※收入和支出都没填",IF($E702="","※没填收支类别，分类报表会漏掉这一笔",IF(ISNA(MATCH($E702,类别表,0)),"※收支类别不在【参数设置】的清单里",IF($J702="","△"&amp;$D702&amp;" 还没填汇率，去【月度汇率】补上就自动算了",IF(YEAR($A702)&lt;&gt;管理年度,"△不是管理年度的单据，年报里看不到",IF(AND($F702="内部转账",$Q702=""),"△内部转账建议在「往来单位」写上对方账户",IF($M702&lt;0,"△这一笔之后该账户余额成负数了，核一下","")))))))))))</f>
        <v/>
      </c>
    </row>
    <row r="703" ht="16.5" spans="1:19">
      <c r="A703" s="45"/>
      <c r="B703" s="46"/>
      <c r="C703" s="12" t="str">
        <f>IF($B703="","",IFERROR(INDEX(账户银行,MATCH($B703,账户名,0)),""))</f>
        <v/>
      </c>
      <c r="D703" s="12" t="str">
        <f>IF($B703="","",IFERROR(INDEX(账户币种,MATCH($B703,账户名,0)),""))</f>
        <v/>
      </c>
      <c r="E703" s="47"/>
      <c r="F703" s="12" t="str">
        <f>IF($E703="","",IFERROR(INDEX(类别属性,MATCH($E703,类别表,0)),""))</f>
        <v/>
      </c>
      <c r="G703" s="48"/>
      <c r="H703" s="48"/>
      <c r="I703" s="49"/>
      <c r="J703" s="24" t="str">
        <f>IF(OR($A703="",$B703=""),"",IF($I703&lt;&gt;"",$I703,IF($D703=本位币,1,IFERROR(LOOKUP(2,1/((汇率月份&lt;=$A703)*(INDEX(记账汇率区,0,MATCH($D703,汇率币种头,0))&lt;&gt;"")),INDEX(记账汇率区,0,MATCH($D703,汇率币种头,0))),""))))</f>
        <v/>
      </c>
      <c r="K703" s="23" t="str">
        <f t="shared" si="20"/>
        <v/>
      </c>
      <c r="L703" s="23" t="str">
        <f t="shared" si="21"/>
        <v/>
      </c>
      <c r="M703" s="23" t="str">
        <f>IF($B703="","",ROUND(SUMIF(账户名,$B703,账户期初)+SUMIFS($K$6:K703,$B$6:B703,$B703),2))</f>
        <v/>
      </c>
      <c r="N703" s="23" t="str">
        <f>IF($B703="","",IFERROR(ROUND(INDEX(账户期初本位,MATCH($B703,账户名,0))+SUMIFS($L$6:L703,$B$6:B703,$B703),2),""))</f>
        <v/>
      </c>
      <c r="O703" s="46"/>
      <c r="P703" s="47"/>
      <c r="Q703" s="46"/>
      <c r="R703" s="46"/>
      <c r="S703" s="6" t="str">
        <f>IF($B703="","",IF(ISNA(MATCH($B703,账户名,0)),"※这个账户不在【参数设置】的账户档案里",IF($A703="","※没填日期，这一笔不会进任何月份的报表",IF(AND($G703&lt;&gt;"",$H703&lt;&gt;""),"※收入和支出不能同时填",IF(AND(N($G703)=0,N($H703)=0),"※收入和支出都没填",IF($E703="","※没填收支类别，分类报表会漏掉这一笔",IF(ISNA(MATCH($E703,类别表,0)),"※收支类别不在【参数设置】的清单里",IF($J703="","△"&amp;$D703&amp;" 还没填汇率，去【月度汇率】补上就自动算了",IF(YEAR($A703)&lt;&gt;管理年度,"△不是管理年度的单据，年报里看不到",IF(AND($F703="内部转账",$Q703=""),"△内部转账建议在「往来单位」写上对方账户",IF($M703&lt;0,"△这一笔之后该账户余额成负数了，核一下","")))))))))))</f>
        <v/>
      </c>
    </row>
    <row r="704" ht="16.5" spans="1:19">
      <c r="A704" s="45"/>
      <c r="B704" s="46"/>
      <c r="C704" s="12" t="str">
        <f>IF($B704="","",IFERROR(INDEX(账户银行,MATCH($B704,账户名,0)),""))</f>
        <v/>
      </c>
      <c r="D704" s="12" t="str">
        <f>IF($B704="","",IFERROR(INDEX(账户币种,MATCH($B704,账户名,0)),""))</f>
        <v/>
      </c>
      <c r="E704" s="47"/>
      <c r="F704" s="12" t="str">
        <f>IF($E704="","",IFERROR(INDEX(类别属性,MATCH($E704,类别表,0)),""))</f>
        <v/>
      </c>
      <c r="G704" s="48"/>
      <c r="H704" s="48"/>
      <c r="I704" s="49"/>
      <c r="J704" s="24" t="str">
        <f>IF(OR($A704="",$B704=""),"",IF($I704&lt;&gt;"",$I704,IF($D704=本位币,1,IFERROR(LOOKUP(2,1/((汇率月份&lt;=$A704)*(INDEX(记账汇率区,0,MATCH($D704,汇率币种头,0))&lt;&gt;"")),INDEX(记账汇率区,0,MATCH($D704,汇率币种头,0))),""))))</f>
        <v/>
      </c>
      <c r="K704" s="23" t="str">
        <f t="shared" si="20"/>
        <v/>
      </c>
      <c r="L704" s="23" t="str">
        <f t="shared" si="21"/>
        <v/>
      </c>
      <c r="M704" s="23" t="str">
        <f>IF($B704="","",ROUND(SUMIF(账户名,$B704,账户期初)+SUMIFS($K$6:K704,$B$6:B704,$B704),2))</f>
        <v/>
      </c>
      <c r="N704" s="23" t="str">
        <f>IF($B704="","",IFERROR(ROUND(INDEX(账户期初本位,MATCH($B704,账户名,0))+SUMIFS($L$6:L704,$B$6:B704,$B704),2),""))</f>
        <v/>
      </c>
      <c r="O704" s="46"/>
      <c r="P704" s="47"/>
      <c r="Q704" s="46"/>
      <c r="R704" s="46"/>
      <c r="S704" s="6" t="str">
        <f>IF($B704="","",IF(ISNA(MATCH($B704,账户名,0)),"※这个账户不在【参数设置】的账户档案里",IF($A704="","※没填日期，这一笔不会进任何月份的报表",IF(AND($G704&lt;&gt;"",$H704&lt;&gt;""),"※收入和支出不能同时填",IF(AND(N($G704)=0,N($H704)=0),"※收入和支出都没填",IF($E704="","※没填收支类别，分类报表会漏掉这一笔",IF(ISNA(MATCH($E704,类别表,0)),"※收支类别不在【参数设置】的清单里",IF($J704="","△"&amp;$D704&amp;" 还没填汇率，去【月度汇率】补上就自动算了",IF(YEAR($A704)&lt;&gt;管理年度,"△不是管理年度的单据，年报里看不到",IF(AND($F704="内部转账",$Q704=""),"△内部转账建议在「往来单位」写上对方账户",IF($M704&lt;0,"△这一笔之后该账户余额成负数了，核一下","")))))))))))</f>
        <v/>
      </c>
    </row>
    <row r="705" ht="16.5" spans="1:19">
      <c r="A705" s="45"/>
      <c r="B705" s="46"/>
      <c r="C705" s="12" t="str">
        <f>IF($B705="","",IFERROR(INDEX(账户银行,MATCH($B705,账户名,0)),""))</f>
        <v/>
      </c>
      <c r="D705" s="12" t="str">
        <f>IF($B705="","",IFERROR(INDEX(账户币种,MATCH($B705,账户名,0)),""))</f>
        <v/>
      </c>
      <c r="E705" s="47"/>
      <c r="F705" s="12" t="str">
        <f>IF($E705="","",IFERROR(INDEX(类别属性,MATCH($E705,类别表,0)),""))</f>
        <v/>
      </c>
      <c r="G705" s="48"/>
      <c r="H705" s="48"/>
      <c r="I705" s="49"/>
      <c r="J705" s="24" t="str">
        <f>IF(OR($A705="",$B705=""),"",IF($I705&lt;&gt;"",$I705,IF($D705=本位币,1,IFERROR(LOOKUP(2,1/((汇率月份&lt;=$A705)*(INDEX(记账汇率区,0,MATCH($D705,汇率币种头,0))&lt;&gt;"")),INDEX(记账汇率区,0,MATCH($D705,汇率币种头,0))),""))))</f>
        <v/>
      </c>
      <c r="K705" s="23" t="str">
        <f t="shared" si="20"/>
        <v/>
      </c>
      <c r="L705" s="23" t="str">
        <f t="shared" si="21"/>
        <v/>
      </c>
      <c r="M705" s="23" t="str">
        <f>IF($B705="","",ROUND(SUMIF(账户名,$B705,账户期初)+SUMIFS($K$6:K705,$B$6:B705,$B705),2))</f>
        <v/>
      </c>
      <c r="N705" s="23" t="str">
        <f>IF($B705="","",IFERROR(ROUND(INDEX(账户期初本位,MATCH($B705,账户名,0))+SUMIFS($L$6:L705,$B$6:B705,$B705),2),""))</f>
        <v/>
      </c>
      <c r="O705" s="46"/>
      <c r="P705" s="47"/>
      <c r="Q705" s="46"/>
      <c r="R705" s="46"/>
      <c r="S705" s="6" t="str">
        <f>IF($B705="","",IF(ISNA(MATCH($B705,账户名,0)),"※这个账户不在【参数设置】的账户档案里",IF($A705="","※没填日期，这一笔不会进任何月份的报表",IF(AND($G705&lt;&gt;"",$H705&lt;&gt;""),"※收入和支出不能同时填",IF(AND(N($G705)=0,N($H705)=0),"※收入和支出都没填",IF($E705="","※没填收支类别，分类报表会漏掉这一笔",IF(ISNA(MATCH($E705,类别表,0)),"※收支类别不在【参数设置】的清单里",IF($J705="","△"&amp;$D705&amp;" 还没填汇率，去【月度汇率】补上就自动算了",IF(YEAR($A705)&lt;&gt;管理年度,"△不是管理年度的单据，年报里看不到",IF(AND($F705="内部转账",$Q705=""),"△内部转账建议在「往来单位」写上对方账户",IF($M705&lt;0,"△这一笔之后该账户余额成负数了，核一下","")))))))))))</f>
        <v/>
      </c>
    </row>
    <row r="706" ht="16.5" spans="1:19">
      <c r="A706" s="45"/>
      <c r="B706" s="46"/>
      <c r="C706" s="12" t="str">
        <f>IF($B706="","",IFERROR(INDEX(账户银行,MATCH($B706,账户名,0)),""))</f>
        <v/>
      </c>
      <c r="D706" s="12" t="str">
        <f>IF($B706="","",IFERROR(INDEX(账户币种,MATCH($B706,账户名,0)),""))</f>
        <v/>
      </c>
      <c r="E706" s="47"/>
      <c r="F706" s="12" t="str">
        <f>IF($E706="","",IFERROR(INDEX(类别属性,MATCH($E706,类别表,0)),""))</f>
        <v/>
      </c>
      <c r="G706" s="48"/>
      <c r="H706" s="48"/>
      <c r="I706" s="49"/>
      <c r="J706" s="24" t="str">
        <f>IF(OR($A706="",$B706=""),"",IF($I706&lt;&gt;"",$I706,IF($D706=本位币,1,IFERROR(LOOKUP(2,1/((汇率月份&lt;=$A706)*(INDEX(记账汇率区,0,MATCH($D706,汇率币种头,0))&lt;&gt;"")),INDEX(记账汇率区,0,MATCH($D706,汇率币种头,0))),""))))</f>
        <v/>
      </c>
      <c r="K706" s="23" t="str">
        <f t="shared" si="20"/>
        <v/>
      </c>
      <c r="L706" s="23" t="str">
        <f t="shared" si="21"/>
        <v/>
      </c>
      <c r="M706" s="23" t="str">
        <f>IF($B706="","",ROUND(SUMIF(账户名,$B706,账户期初)+SUMIFS($K$6:K706,$B$6:B706,$B706),2))</f>
        <v/>
      </c>
      <c r="N706" s="23" t="str">
        <f>IF($B706="","",IFERROR(ROUND(INDEX(账户期初本位,MATCH($B706,账户名,0))+SUMIFS($L$6:L706,$B$6:B706,$B706),2),""))</f>
        <v/>
      </c>
      <c r="O706" s="46"/>
      <c r="P706" s="47"/>
      <c r="Q706" s="46"/>
      <c r="R706" s="46"/>
      <c r="S706" s="6" t="str">
        <f>IF($B706="","",IF(ISNA(MATCH($B706,账户名,0)),"※这个账户不在【参数设置】的账户档案里",IF($A706="","※没填日期，这一笔不会进任何月份的报表",IF(AND($G706&lt;&gt;"",$H706&lt;&gt;""),"※收入和支出不能同时填",IF(AND(N($G706)=0,N($H706)=0),"※收入和支出都没填",IF($E706="","※没填收支类别，分类报表会漏掉这一笔",IF(ISNA(MATCH($E706,类别表,0)),"※收支类别不在【参数设置】的清单里",IF($J706="","△"&amp;$D706&amp;" 还没填汇率，去【月度汇率】补上就自动算了",IF(YEAR($A706)&lt;&gt;管理年度,"△不是管理年度的单据，年报里看不到",IF(AND($F706="内部转账",$Q706=""),"△内部转账建议在「往来单位」写上对方账户",IF($M706&lt;0,"△这一笔之后该账户余额成负数了，核一下","")))))))))))</f>
        <v/>
      </c>
    </row>
    <row r="707" ht="16.5" spans="1:19">
      <c r="A707" s="45"/>
      <c r="B707" s="46"/>
      <c r="C707" s="12" t="str">
        <f>IF($B707="","",IFERROR(INDEX(账户银行,MATCH($B707,账户名,0)),""))</f>
        <v/>
      </c>
      <c r="D707" s="12" t="str">
        <f>IF($B707="","",IFERROR(INDEX(账户币种,MATCH($B707,账户名,0)),""))</f>
        <v/>
      </c>
      <c r="E707" s="47"/>
      <c r="F707" s="12" t="str">
        <f>IF($E707="","",IFERROR(INDEX(类别属性,MATCH($E707,类别表,0)),""))</f>
        <v/>
      </c>
      <c r="G707" s="48"/>
      <c r="H707" s="48"/>
      <c r="I707" s="49"/>
      <c r="J707" s="24" t="str">
        <f>IF(OR($A707="",$B707=""),"",IF($I707&lt;&gt;"",$I707,IF($D707=本位币,1,IFERROR(LOOKUP(2,1/((汇率月份&lt;=$A707)*(INDEX(记账汇率区,0,MATCH($D707,汇率币种头,0))&lt;&gt;"")),INDEX(记账汇率区,0,MATCH($D707,汇率币种头,0))),""))))</f>
        <v/>
      </c>
      <c r="K707" s="23" t="str">
        <f t="shared" si="20"/>
        <v/>
      </c>
      <c r="L707" s="23" t="str">
        <f t="shared" si="21"/>
        <v/>
      </c>
      <c r="M707" s="23" t="str">
        <f>IF($B707="","",ROUND(SUMIF(账户名,$B707,账户期初)+SUMIFS($K$6:K707,$B$6:B707,$B707),2))</f>
        <v/>
      </c>
      <c r="N707" s="23" t="str">
        <f>IF($B707="","",IFERROR(ROUND(INDEX(账户期初本位,MATCH($B707,账户名,0))+SUMIFS($L$6:L707,$B$6:B707,$B707),2),""))</f>
        <v/>
      </c>
      <c r="O707" s="46"/>
      <c r="P707" s="47"/>
      <c r="Q707" s="46"/>
      <c r="R707" s="46"/>
      <c r="S707" s="6" t="str">
        <f>IF($B707="","",IF(ISNA(MATCH($B707,账户名,0)),"※这个账户不在【参数设置】的账户档案里",IF($A707="","※没填日期，这一笔不会进任何月份的报表",IF(AND($G707&lt;&gt;"",$H707&lt;&gt;""),"※收入和支出不能同时填",IF(AND(N($G707)=0,N($H707)=0),"※收入和支出都没填",IF($E707="","※没填收支类别，分类报表会漏掉这一笔",IF(ISNA(MATCH($E707,类别表,0)),"※收支类别不在【参数设置】的清单里",IF($J707="","△"&amp;$D707&amp;" 还没填汇率，去【月度汇率】补上就自动算了",IF(YEAR($A707)&lt;&gt;管理年度,"△不是管理年度的单据，年报里看不到",IF(AND($F707="内部转账",$Q707=""),"△内部转账建议在「往来单位」写上对方账户",IF($M707&lt;0,"△这一笔之后该账户余额成负数了，核一下","")))))))))))</f>
        <v/>
      </c>
    </row>
    <row r="708" ht="16.5" spans="1:19">
      <c r="A708" s="45"/>
      <c r="B708" s="46"/>
      <c r="C708" s="12" t="str">
        <f>IF($B708="","",IFERROR(INDEX(账户银行,MATCH($B708,账户名,0)),""))</f>
        <v/>
      </c>
      <c r="D708" s="12" t="str">
        <f>IF($B708="","",IFERROR(INDEX(账户币种,MATCH($B708,账户名,0)),""))</f>
        <v/>
      </c>
      <c r="E708" s="47"/>
      <c r="F708" s="12" t="str">
        <f>IF($E708="","",IFERROR(INDEX(类别属性,MATCH($E708,类别表,0)),""))</f>
        <v/>
      </c>
      <c r="G708" s="48"/>
      <c r="H708" s="48"/>
      <c r="I708" s="49"/>
      <c r="J708" s="24" t="str">
        <f>IF(OR($A708="",$B708=""),"",IF($I708&lt;&gt;"",$I708,IF($D708=本位币,1,IFERROR(LOOKUP(2,1/((汇率月份&lt;=$A708)*(INDEX(记账汇率区,0,MATCH($D708,汇率币种头,0))&lt;&gt;"")),INDEX(记账汇率区,0,MATCH($D708,汇率币种头,0))),""))))</f>
        <v/>
      </c>
      <c r="K708" s="23" t="str">
        <f t="shared" si="20"/>
        <v/>
      </c>
      <c r="L708" s="23" t="str">
        <f t="shared" si="21"/>
        <v/>
      </c>
      <c r="M708" s="23" t="str">
        <f>IF($B708="","",ROUND(SUMIF(账户名,$B708,账户期初)+SUMIFS($K$6:K708,$B$6:B708,$B708),2))</f>
        <v/>
      </c>
      <c r="N708" s="23" t="str">
        <f>IF($B708="","",IFERROR(ROUND(INDEX(账户期初本位,MATCH($B708,账户名,0))+SUMIFS($L$6:L708,$B$6:B708,$B708),2),""))</f>
        <v/>
      </c>
      <c r="O708" s="46"/>
      <c r="P708" s="47"/>
      <c r="Q708" s="46"/>
      <c r="R708" s="46"/>
      <c r="S708" s="6" t="str">
        <f>IF($B708="","",IF(ISNA(MATCH($B708,账户名,0)),"※这个账户不在【参数设置】的账户档案里",IF($A708="","※没填日期，这一笔不会进任何月份的报表",IF(AND($G708&lt;&gt;"",$H708&lt;&gt;""),"※收入和支出不能同时填",IF(AND(N($G708)=0,N($H708)=0),"※收入和支出都没填",IF($E708="","※没填收支类别，分类报表会漏掉这一笔",IF(ISNA(MATCH($E708,类别表,0)),"※收支类别不在【参数设置】的清单里",IF($J708="","△"&amp;$D708&amp;" 还没填汇率，去【月度汇率】补上就自动算了",IF(YEAR($A708)&lt;&gt;管理年度,"△不是管理年度的单据，年报里看不到",IF(AND($F708="内部转账",$Q708=""),"△内部转账建议在「往来单位」写上对方账户",IF($M708&lt;0,"△这一笔之后该账户余额成负数了，核一下","")))))))))))</f>
        <v/>
      </c>
    </row>
    <row r="709" ht="16.5" spans="1:19">
      <c r="A709" s="45"/>
      <c r="B709" s="46"/>
      <c r="C709" s="12" t="str">
        <f>IF($B709="","",IFERROR(INDEX(账户银行,MATCH($B709,账户名,0)),""))</f>
        <v/>
      </c>
      <c r="D709" s="12" t="str">
        <f>IF($B709="","",IFERROR(INDEX(账户币种,MATCH($B709,账户名,0)),""))</f>
        <v/>
      </c>
      <c r="E709" s="47"/>
      <c r="F709" s="12" t="str">
        <f>IF($E709="","",IFERROR(INDEX(类别属性,MATCH($E709,类别表,0)),""))</f>
        <v/>
      </c>
      <c r="G709" s="48"/>
      <c r="H709" s="48"/>
      <c r="I709" s="49"/>
      <c r="J709" s="24" t="str">
        <f>IF(OR($A709="",$B709=""),"",IF($I709&lt;&gt;"",$I709,IF($D709=本位币,1,IFERROR(LOOKUP(2,1/((汇率月份&lt;=$A709)*(INDEX(记账汇率区,0,MATCH($D709,汇率币种头,0))&lt;&gt;"")),INDEX(记账汇率区,0,MATCH($D709,汇率币种头,0))),""))))</f>
        <v/>
      </c>
      <c r="K709" s="23" t="str">
        <f t="shared" si="20"/>
        <v/>
      </c>
      <c r="L709" s="23" t="str">
        <f t="shared" si="21"/>
        <v/>
      </c>
      <c r="M709" s="23" t="str">
        <f>IF($B709="","",ROUND(SUMIF(账户名,$B709,账户期初)+SUMIFS($K$6:K709,$B$6:B709,$B709),2))</f>
        <v/>
      </c>
      <c r="N709" s="23" t="str">
        <f>IF($B709="","",IFERROR(ROUND(INDEX(账户期初本位,MATCH($B709,账户名,0))+SUMIFS($L$6:L709,$B$6:B709,$B709),2),""))</f>
        <v/>
      </c>
      <c r="O709" s="46"/>
      <c r="P709" s="47"/>
      <c r="Q709" s="46"/>
      <c r="R709" s="46"/>
      <c r="S709" s="6" t="str">
        <f>IF($B709="","",IF(ISNA(MATCH($B709,账户名,0)),"※这个账户不在【参数设置】的账户档案里",IF($A709="","※没填日期，这一笔不会进任何月份的报表",IF(AND($G709&lt;&gt;"",$H709&lt;&gt;""),"※收入和支出不能同时填",IF(AND(N($G709)=0,N($H709)=0),"※收入和支出都没填",IF($E709="","※没填收支类别，分类报表会漏掉这一笔",IF(ISNA(MATCH($E709,类别表,0)),"※收支类别不在【参数设置】的清单里",IF($J709="","△"&amp;$D709&amp;" 还没填汇率，去【月度汇率】补上就自动算了",IF(YEAR($A709)&lt;&gt;管理年度,"△不是管理年度的单据，年报里看不到",IF(AND($F709="内部转账",$Q709=""),"△内部转账建议在「往来单位」写上对方账户",IF($M709&lt;0,"△这一笔之后该账户余额成负数了，核一下","")))))))))))</f>
        <v/>
      </c>
    </row>
    <row r="710" ht="16.5" spans="1:19">
      <c r="A710" s="45"/>
      <c r="B710" s="46"/>
      <c r="C710" s="12" t="str">
        <f>IF($B710="","",IFERROR(INDEX(账户银行,MATCH($B710,账户名,0)),""))</f>
        <v/>
      </c>
      <c r="D710" s="12" t="str">
        <f>IF($B710="","",IFERROR(INDEX(账户币种,MATCH($B710,账户名,0)),""))</f>
        <v/>
      </c>
      <c r="E710" s="47"/>
      <c r="F710" s="12" t="str">
        <f>IF($E710="","",IFERROR(INDEX(类别属性,MATCH($E710,类别表,0)),""))</f>
        <v/>
      </c>
      <c r="G710" s="48"/>
      <c r="H710" s="48"/>
      <c r="I710" s="49"/>
      <c r="J710" s="24" t="str">
        <f>IF(OR($A710="",$B710=""),"",IF($I710&lt;&gt;"",$I710,IF($D710=本位币,1,IFERROR(LOOKUP(2,1/((汇率月份&lt;=$A710)*(INDEX(记账汇率区,0,MATCH($D710,汇率币种头,0))&lt;&gt;"")),INDEX(记账汇率区,0,MATCH($D710,汇率币种头,0))),""))))</f>
        <v/>
      </c>
      <c r="K710" s="23" t="str">
        <f t="shared" ref="K710:K773" si="22">IF(AND($G710="",$H710=""),"",ROUND(N($G710)-N($H710),2))</f>
        <v/>
      </c>
      <c r="L710" s="23" t="str">
        <f t="shared" ref="L710:L773" si="23">IF(OR($K710="",$J710=""),"",ROUND($K710*$J710,2))</f>
        <v/>
      </c>
      <c r="M710" s="23" t="str">
        <f>IF($B710="","",ROUND(SUMIF(账户名,$B710,账户期初)+SUMIFS($K$6:K710,$B$6:B710,$B710),2))</f>
        <v/>
      </c>
      <c r="N710" s="23" t="str">
        <f>IF($B710="","",IFERROR(ROUND(INDEX(账户期初本位,MATCH($B710,账户名,0))+SUMIFS($L$6:L710,$B$6:B710,$B710),2),""))</f>
        <v/>
      </c>
      <c r="O710" s="46"/>
      <c r="P710" s="47"/>
      <c r="Q710" s="46"/>
      <c r="R710" s="46"/>
      <c r="S710" s="6" t="str">
        <f>IF($B710="","",IF(ISNA(MATCH($B710,账户名,0)),"※这个账户不在【参数设置】的账户档案里",IF($A710="","※没填日期，这一笔不会进任何月份的报表",IF(AND($G710&lt;&gt;"",$H710&lt;&gt;""),"※收入和支出不能同时填",IF(AND(N($G710)=0,N($H710)=0),"※收入和支出都没填",IF($E710="","※没填收支类别，分类报表会漏掉这一笔",IF(ISNA(MATCH($E710,类别表,0)),"※收支类别不在【参数设置】的清单里",IF($J710="","△"&amp;$D710&amp;" 还没填汇率，去【月度汇率】补上就自动算了",IF(YEAR($A710)&lt;&gt;管理年度,"△不是管理年度的单据，年报里看不到",IF(AND($F710="内部转账",$Q710=""),"△内部转账建议在「往来单位」写上对方账户",IF($M710&lt;0,"△这一笔之后该账户余额成负数了，核一下","")))))))))))</f>
        <v/>
      </c>
    </row>
    <row r="711" ht="16.5" spans="1:19">
      <c r="A711" s="45"/>
      <c r="B711" s="46"/>
      <c r="C711" s="12" t="str">
        <f>IF($B711="","",IFERROR(INDEX(账户银行,MATCH($B711,账户名,0)),""))</f>
        <v/>
      </c>
      <c r="D711" s="12" t="str">
        <f>IF($B711="","",IFERROR(INDEX(账户币种,MATCH($B711,账户名,0)),""))</f>
        <v/>
      </c>
      <c r="E711" s="47"/>
      <c r="F711" s="12" t="str">
        <f>IF($E711="","",IFERROR(INDEX(类别属性,MATCH($E711,类别表,0)),""))</f>
        <v/>
      </c>
      <c r="G711" s="48"/>
      <c r="H711" s="48"/>
      <c r="I711" s="49"/>
      <c r="J711" s="24" t="str">
        <f>IF(OR($A711="",$B711=""),"",IF($I711&lt;&gt;"",$I711,IF($D711=本位币,1,IFERROR(LOOKUP(2,1/((汇率月份&lt;=$A711)*(INDEX(记账汇率区,0,MATCH($D711,汇率币种头,0))&lt;&gt;"")),INDEX(记账汇率区,0,MATCH($D711,汇率币种头,0))),""))))</f>
        <v/>
      </c>
      <c r="K711" s="23" t="str">
        <f t="shared" si="22"/>
        <v/>
      </c>
      <c r="L711" s="23" t="str">
        <f t="shared" si="23"/>
        <v/>
      </c>
      <c r="M711" s="23" t="str">
        <f>IF($B711="","",ROUND(SUMIF(账户名,$B711,账户期初)+SUMIFS($K$6:K711,$B$6:B711,$B711),2))</f>
        <v/>
      </c>
      <c r="N711" s="23" t="str">
        <f>IF($B711="","",IFERROR(ROUND(INDEX(账户期初本位,MATCH($B711,账户名,0))+SUMIFS($L$6:L711,$B$6:B711,$B711),2),""))</f>
        <v/>
      </c>
      <c r="O711" s="46"/>
      <c r="P711" s="47"/>
      <c r="Q711" s="46"/>
      <c r="R711" s="46"/>
      <c r="S711" s="6" t="str">
        <f>IF($B711="","",IF(ISNA(MATCH($B711,账户名,0)),"※这个账户不在【参数设置】的账户档案里",IF($A711="","※没填日期，这一笔不会进任何月份的报表",IF(AND($G711&lt;&gt;"",$H711&lt;&gt;""),"※收入和支出不能同时填",IF(AND(N($G711)=0,N($H711)=0),"※收入和支出都没填",IF($E711="","※没填收支类别，分类报表会漏掉这一笔",IF(ISNA(MATCH($E711,类别表,0)),"※收支类别不在【参数设置】的清单里",IF($J711="","△"&amp;$D711&amp;" 还没填汇率，去【月度汇率】补上就自动算了",IF(YEAR($A711)&lt;&gt;管理年度,"△不是管理年度的单据，年报里看不到",IF(AND($F711="内部转账",$Q711=""),"△内部转账建议在「往来单位」写上对方账户",IF($M711&lt;0,"△这一笔之后该账户余额成负数了，核一下","")))))))))))</f>
        <v/>
      </c>
    </row>
    <row r="712" ht="16.5" spans="1:19">
      <c r="A712" s="45"/>
      <c r="B712" s="46"/>
      <c r="C712" s="12" t="str">
        <f>IF($B712="","",IFERROR(INDEX(账户银行,MATCH($B712,账户名,0)),""))</f>
        <v/>
      </c>
      <c r="D712" s="12" t="str">
        <f>IF($B712="","",IFERROR(INDEX(账户币种,MATCH($B712,账户名,0)),""))</f>
        <v/>
      </c>
      <c r="E712" s="47"/>
      <c r="F712" s="12" t="str">
        <f>IF($E712="","",IFERROR(INDEX(类别属性,MATCH($E712,类别表,0)),""))</f>
        <v/>
      </c>
      <c r="G712" s="48"/>
      <c r="H712" s="48"/>
      <c r="I712" s="49"/>
      <c r="J712" s="24" t="str">
        <f>IF(OR($A712="",$B712=""),"",IF($I712&lt;&gt;"",$I712,IF($D712=本位币,1,IFERROR(LOOKUP(2,1/((汇率月份&lt;=$A712)*(INDEX(记账汇率区,0,MATCH($D712,汇率币种头,0))&lt;&gt;"")),INDEX(记账汇率区,0,MATCH($D712,汇率币种头,0))),""))))</f>
        <v/>
      </c>
      <c r="K712" s="23" t="str">
        <f t="shared" si="22"/>
        <v/>
      </c>
      <c r="L712" s="23" t="str">
        <f t="shared" si="23"/>
        <v/>
      </c>
      <c r="M712" s="23" t="str">
        <f>IF($B712="","",ROUND(SUMIF(账户名,$B712,账户期初)+SUMIFS($K$6:K712,$B$6:B712,$B712),2))</f>
        <v/>
      </c>
      <c r="N712" s="23" t="str">
        <f>IF($B712="","",IFERROR(ROUND(INDEX(账户期初本位,MATCH($B712,账户名,0))+SUMIFS($L$6:L712,$B$6:B712,$B712),2),""))</f>
        <v/>
      </c>
      <c r="O712" s="46"/>
      <c r="P712" s="47"/>
      <c r="Q712" s="46"/>
      <c r="R712" s="46"/>
      <c r="S712" s="6" t="str">
        <f>IF($B712="","",IF(ISNA(MATCH($B712,账户名,0)),"※这个账户不在【参数设置】的账户档案里",IF($A712="","※没填日期，这一笔不会进任何月份的报表",IF(AND($G712&lt;&gt;"",$H712&lt;&gt;""),"※收入和支出不能同时填",IF(AND(N($G712)=0,N($H712)=0),"※收入和支出都没填",IF($E712="","※没填收支类别，分类报表会漏掉这一笔",IF(ISNA(MATCH($E712,类别表,0)),"※收支类别不在【参数设置】的清单里",IF($J712="","△"&amp;$D712&amp;" 还没填汇率，去【月度汇率】补上就自动算了",IF(YEAR($A712)&lt;&gt;管理年度,"△不是管理年度的单据，年报里看不到",IF(AND($F712="内部转账",$Q712=""),"△内部转账建议在「往来单位」写上对方账户",IF($M712&lt;0,"△这一笔之后该账户余额成负数了，核一下","")))))))))))</f>
        <v/>
      </c>
    </row>
    <row r="713" ht="16.5" spans="1:19">
      <c r="A713" s="45"/>
      <c r="B713" s="46"/>
      <c r="C713" s="12" t="str">
        <f>IF($B713="","",IFERROR(INDEX(账户银行,MATCH($B713,账户名,0)),""))</f>
        <v/>
      </c>
      <c r="D713" s="12" t="str">
        <f>IF($B713="","",IFERROR(INDEX(账户币种,MATCH($B713,账户名,0)),""))</f>
        <v/>
      </c>
      <c r="E713" s="47"/>
      <c r="F713" s="12" t="str">
        <f>IF($E713="","",IFERROR(INDEX(类别属性,MATCH($E713,类别表,0)),""))</f>
        <v/>
      </c>
      <c r="G713" s="48"/>
      <c r="H713" s="48"/>
      <c r="I713" s="49"/>
      <c r="J713" s="24" t="str">
        <f>IF(OR($A713="",$B713=""),"",IF($I713&lt;&gt;"",$I713,IF($D713=本位币,1,IFERROR(LOOKUP(2,1/((汇率月份&lt;=$A713)*(INDEX(记账汇率区,0,MATCH($D713,汇率币种头,0))&lt;&gt;"")),INDEX(记账汇率区,0,MATCH($D713,汇率币种头,0))),""))))</f>
        <v/>
      </c>
      <c r="K713" s="23" t="str">
        <f t="shared" si="22"/>
        <v/>
      </c>
      <c r="L713" s="23" t="str">
        <f t="shared" si="23"/>
        <v/>
      </c>
      <c r="M713" s="23" t="str">
        <f>IF($B713="","",ROUND(SUMIF(账户名,$B713,账户期初)+SUMIFS($K$6:K713,$B$6:B713,$B713),2))</f>
        <v/>
      </c>
      <c r="N713" s="23" t="str">
        <f>IF($B713="","",IFERROR(ROUND(INDEX(账户期初本位,MATCH($B713,账户名,0))+SUMIFS($L$6:L713,$B$6:B713,$B713),2),""))</f>
        <v/>
      </c>
      <c r="O713" s="46"/>
      <c r="P713" s="47"/>
      <c r="Q713" s="46"/>
      <c r="R713" s="46"/>
      <c r="S713" s="6" t="str">
        <f>IF($B713="","",IF(ISNA(MATCH($B713,账户名,0)),"※这个账户不在【参数设置】的账户档案里",IF($A713="","※没填日期，这一笔不会进任何月份的报表",IF(AND($G713&lt;&gt;"",$H713&lt;&gt;""),"※收入和支出不能同时填",IF(AND(N($G713)=0,N($H713)=0),"※收入和支出都没填",IF($E713="","※没填收支类别，分类报表会漏掉这一笔",IF(ISNA(MATCH($E713,类别表,0)),"※收支类别不在【参数设置】的清单里",IF($J713="","△"&amp;$D713&amp;" 还没填汇率，去【月度汇率】补上就自动算了",IF(YEAR($A713)&lt;&gt;管理年度,"△不是管理年度的单据，年报里看不到",IF(AND($F713="内部转账",$Q713=""),"△内部转账建议在「往来单位」写上对方账户",IF($M713&lt;0,"△这一笔之后该账户余额成负数了，核一下","")))))))))))</f>
        <v/>
      </c>
    </row>
    <row r="714" ht="16.5" spans="1:19">
      <c r="A714" s="45"/>
      <c r="B714" s="46"/>
      <c r="C714" s="12" t="str">
        <f>IF($B714="","",IFERROR(INDEX(账户银行,MATCH($B714,账户名,0)),""))</f>
        <v/>
      </c>
      <c r="D714" s="12" t="str">
        <f>IF($B714="","",IFERROR(INDEX(账户币种,MATCH($B714,账户名,0)),""))</f>
        <v/>
      </c>
      <c r="E714" s="47"/>
      <c r="F714" s="12" t="str">
        <f>IF($E714="","",IFERROR(INDEX(类别属性,MATCH($E714,类别表,0)),""))</f>
        <v/>
      </c>
      <c r="G714" s="48"/>
      <c r="H714" s="48"/>
      <c r="I714" s="49"/>
      <c r="J714" s="24" t="str">
        <f>IF(OR($A714="",$B714=""),"",IF($I714&lt;&gt;"",$I714,IF($D714=本位币,1,IFERROR(LOOKUP(2,1/((汇率月份&lt;=$A714)*(INDEX(记账汇率区,0,MATCH($D714,汇率币种头,0))&lt;&gt;"")),INDEX(记账汇率区,0,MATCH($D714,汇率币种头,0))),""))))</f>
        <v/>
      </c>
      <c r="K714" s="23" t="str">
        <f t="shared" si="22"/>
        <v/>
      </c>
      <c r="L714" s="23" t="str">
        <f t="shared" si="23"/>
        <v/>
      </c>
      <c r="M714" s="23" t="str">
        <f>IF($B714="","",ROUND(SUMIF(账户名,$B714,账户期初)+SUMIFS($K$6:K714,$B$6:B714,$B714),2))</f>
        <v/>
      </c>
      <c r="N714" s="23" t="str">
        <f>IF($B714="","",IFERROR(ROUND(INDEX(账户期初本位,MATCH($B714,账户名,0))+SUMIFS($L$6:L714,$B$6:B714,$B714),2),""))</f>
        <v/>
      </c>
      <c r="O714" s="46"/>
      <c r="P714" s="47"/>
      <c r="Q714" s="46"/>
      <c r="R714" s="46"/>
      <c r="S714" s="6" t="str">
        <f>IF($B714="","",IF(ISNA(MATCH($B714,账户名,0)),"※这个账户不在【参数设置】的账户档案里",IF($A714="","※没填日期，这一笔不会进任何月份的报表",IF(AND($G714&lt;&gt;"",$H714&lt;&gt;""),"※收入和支出不能同时填",IF(AND(N($G714)=0,N($H714)=0),"※收入和支出都没填",IF($E714="","※没填收支类别，分类报表会漏掉这一笔",IF(ISNA(MATCH($E714,类别表,0)),"※收支类别不在【参数设置】的清单里",IF($J714="","△"&amp;$D714&amp;" 还没填汇率，去【月度汇率】补上就自动算了",IF(YEAR($A714)&lt;&gt;管理年度,"△不是管理年度的单据，年报里看不到",IF(AND($F714="内部转账",$Q714=""),"△内部转账建议在「往来单位」写上对方账户",IF($M714&lt;0,"△这一笔之后该账户余额成负数了，核一下","")))))))))))</f>
        <v/>
      </c>
    </row>
    <row r="715" ht="16.5" spans="1:19">
      <c r="A715" s="45"/>
      <c r="B715" s="46"/>
      <c r="C715" s="12" t="str">
        <f>IF($B715="","",IFERROR(INDEX(账户银行,MATCH($B715,账户名,0)),""))</f>
        <v/>
      </c>
      <c r="D715" s="12" t="str">
        <f>IF($B715="","",IFERROR(INDEX(账户币种,MATCH($B715,账户名,0)),""))</f>
        <v/>
      </c>
      <c r="E715" s="47"/>
      <c r="F715" s="12" t="str">
        <f>IF($E715="","",IFERROR(INDEX(类别属性,MATCH($E715,类别表,0)),""))</f>
        <v/>
      </c>
      <c r="G715" s="48"/>
      <c r="H715" s="48"/>
      <c r="I715" s="49"/>
      <c r="J715" s="24" t="str">
        <f>IF(OR($A715="",$B715=""),"",IF($I715&lt;&gt;"",$I715,IF($D715=本位币,1,IFERROR(LOOKUP(2,1/((汇率月份&lt;=$A715)*(INDEX(记账汇率区,0,MATCH($D715,汇率币种头,0))&lt;&gt;"")),INDEX(记账汇率区,0,MATCH($D715,汇率币种头,0))),""))))</f>
        <v/>
      </c>
      <c r="K715" s="23" t="str">
        <f t="shared" si="22"/>
        <v/>
      </c>
      <c r="L715" s="23" t="str">
        <f t="shared" si="23"/>
        <v/>
      </c>
      <c r="M715" s="23" t="str">
        <f>IF($B715="","",ROUND(SUMIF(账户名,$B715,账户期初)+SUMIFS($K$6:K715,$B$6:B715,$B715),2))</f>
        <v/>
      </c>
      <c r="N715" s="23" t="str">
        <f>IF($B715="","",IFERROR(ROUND(INDEX(账户期初本位,MATCH($B715,账户名,0))+SUMIFS($L$6:L715,$B$6:B715,$B715),2),""))</f>
        <v/>
      </c>
      <c r="O715" s="46"/>
      <c r="P715" s="47"/>
      <c r="Q715" s="46"/>
      <c r="R715" s="46"/>
      <c r="S715" s="6" t="str">
        <f>IF($B715="","",IF(ISNA(MATCH($B715,账户名,0)),"※这个账户不在【参数设置】的账户档案里",IF($A715="","※没填日期，这一笔不会进任何月份的报表",IF(AND($G715&lt;&gt;"",$H715&lt;&gt;""),"※收入和支出不能同时填",IF(AND(N($G715)=0,N($H715)=0),"※收入和支出都没填",IF($E715="","※没填收支类别，分类报表会漏掉这一笔",IF(ISNA(MATCH($E715,类别表,0)),"※收支类别不在【参数设置】的清单里",IF($J715="","△"&amp;$D715&amp;" 还没填汇率，去【月度汇率】补上就自动算了",IF(YEAR($A715)&lt;&gt;管理年度,"△不是管理年度的单据，年报里看不到",IF(AND($F715="内部转账",$Q715=""),"△内部转账建议在「往来单位」写上对方账户",IF($M715&lt;0,"△这一笔之后该账户余额成负数了，核一下","")))))))))))</f>
        <v/>
      </c>
    </row>
    <row r="716" ht="16.5" spans="1:19">
      <c r="A716" s="45"/>
      <c r="B716" s="46"/>
      <c r="C716" s="12" t="str">
        <f>IF($B716="","",IFERROR(INDEX(账户银行,MATCH($B716,账户名,0)),""))</f>
        <v/>
      </c>
      <c r="D716" s="12" t="str">
        <f>IF($B716="","",IFERROR(INDEX(账户币种,MATCH($B716,账户名,0)),""))</f>
        <v/>
      </c>
      <c r="E716" s="47"/>
      <c r="F716" s="12" t="str">
        <f>IF($E716="","",IFERROR(INDEX(类别属性,MATCH($E716,类别表,0)),""))</f>
        <v/>
      </c>
      <c r="G716" s="48"/>
      <c r="H716" s="48"/>
      <c r="I716" s="49"/>
      <c r="J716" s="24" t="str">
        <f>IF(OR($A716="",$B716=""),"",IF($I716&lt;&gt;"",$I716,IF($D716=本位币,1,IFERROR(LOOKUP(2,1/((汇率月份&lt;=$A716)*(INDEX(记账汇率区,0,MATCH($D716,汇率币种头,0))&lt;&gt;"")),INDEX(记账汇率区,0,MATCH($D716,汇率币种头,0))),""))))</f>
        <v/>
      </c>
      <c r="K716" s="23" t="str">
        <f t="shared" si="22"/>
        <v/>
      </c>
      <c r="L716" s="23" t="str">
        <f t="shared" si="23"/>
        <v/>
      </c>
      <c r="M716" s="23" t="str">
        <f>IF($B716="","",ROUND(SUMIF(账户名,$B716,账户期初)+SUMIFS($K$6:K716,$B$6:B716,$B716),2))</f>
        <v/>
      </c>
      <c r="N716" s="23" t="str">
        <f>IF($B716="","",IFERROR(ROUND(INDEX(账户期初本位,MATCH($B716,账户名,0))+SUMIFS($L$6:L716,$B$6:B716,$B716),2),""))</f>
        <v/>
      </c>
      <c r="O716" s="46"/>
      <c r="P716" s="47"/>
      <c r="Q716" s="46"/>
      <c r="R716" s="46"/>
      <c r="S716" s="6" t="str">
        <f>IF($B716="","",IF(ISNA(MATCH($B716,账户名,0)),"※这个账户不在【参数设置】的账户档案里",IF($A716="","※没填日期，这一笔不会进任何月份的报表",IF(AND($G716&lt;&gt;"",$H716&lt;&gt;""),"※收入和支出不能同时填",IF(AND(N($G716)=0,N($H716)=0),"※收入和支出都没填",IF($E716="","※没填收支类别，分类报表会漏掉这一笔",IF(ISNA(MATCH($E716,类别表,0)),"※收支类别不在【参数设置】的清单里",IF($J716="","△"&amp;$D716&amp;" 还没填汇率，去【月度汇率】补上就自动算了",IF(YEAR($A716)&lt;&gt;管理年度,"△不是管理年度的单据，年报里看不到",IF(AND($F716="内部转账",$Q716=""),"△内部转账建议在「往来单位」写上对方账户",IF($M716&lt;0,"△这一笔之后该账户余额成负数了，核一下","")))))))))))</f>
        <v/>
      </c>
    </row>
    <row r="717" ht="16.5" spans="1:19">
      <c r="A717" s="45"/>
      <c r="B717" s="46"/>
      <c r="C717" s="12" t="str">
        <f>IF($B717="","",IFERROR(INDEX(账户银行,MATCH($B717,账户名,0)),""))</f>
        <v/>
      </c>
      <c r="D717" s="12" t="str">
        <f>IF($B717="","",IFERROR(INDEX(账户币种,MATCH($B717,账户名,0)),""))</f>
        <v/>
      </c>
      <c r="E717" s="47"/>
      <c r="F717" s="12" t="str">
        <f>IF($E717="","",IFERROR(INDEX(类别属性,MATCH($E717,类别表,0)),""))</f>
        <v/>
      </c>
      <c r="G717" s="48"/>
      <c r="H717" s="48"/>
      <c r="I717" s="49"/>
      <c r="J717" s="24" t="str">
        <f>IF(OR($A717="",$B717=""),"",IF($I717&lt;&gt;"",$I717,IF($D717=本位币,1,IFERROR(LOOKUP(2,1/((汇率月份&lt;=$A717)*(INDEX(记账汇率区,0,MATCH($D717,汇率币种头,0))&lt;&gt;"")),INDEX(记账汇率区,0,MATCH($D717,汇率币种头,0))),""))))</f>
        <v/>
      </c>
      <c r="K717" s="23" t="str">
        <f t="shared" si="22"/>
        <v/>
      </c>
      <c r="L717" s="23" t="str">
        <f t="shared" si="23"/>
        <v/>
      </c>
      <c r="M717" s="23" t="str">
        <f>IF($B717="","",ROUND(SUMIF(账户名,$B717,账户期初)+SUMIFS($K$6:K717,$B$6:B717,$B717),2))</f>
        <v/>
      </c>
      <c r="N717" s="23" t="str">
        <f>IF($B717="","",IFERROR(ROUND(INDEX(账户期初本位,MATCH($B717,账户名,0))+SUMIFS($L$6:L717,$B$6:B717,$B717),2),""))</f>
        <v/>
      </c>
      <c r="O717" s="46"/>
      <c r="P717" s="47"/>
      <c r="Q717" s="46"/>
      <c r="R717" s="46"/>
      <c r="S717" s="6" t="str">
        <f>IF($B717="","",IF(ISNA(MATCH($B717,账户名,0)),"※这个账户不在【参数设置】的账户档案里",IF($A717="","※没填日期，这一笔不会进任何月份的报表",IF(AND($G717&lt;&gt;"",$H717&lt;&gt;""),"※收入和支出不能同时填",IF(AND(N($G717)=0,N($H717)=0),"※收入和支出都没填",IF($E717="","※没填收支类别，分类报表会漏掉这一笔",IF(ISNA(MATCH($E717,类别表,0)),"※收支类别不在【参数设置】的清单里",IF($J717="","△"&amp;$D717&amp;" 还没填汇率，去【月度汇率】补上就自动算了",IF(YEAR($A717)&lt;&gt;管理年度,"△不是管理年度的单据，年报里看不到",IF(AND($F717="内部转账",$Q717=""),"△内部转账建议在「往来单位」写上对方账户",IF($M717&lt;0,"△这一笔之后该账户余额成负数了，核一下","")))))))))))</f>
        <v/>
      </c>
    </row>
    <row r="718" ht="16.5" spans="1:19">
      <c r="A718" s="45"/>
      <c r="B718" s="46"/>
      <c r="C718" s="12" t="str">
        <f>IF($B718="","",IFERROR(INDEX(账户银行,MATCH($B718,账户名,0)),""))</f>
        <v/>
      </c>
      <c r="D718" s="12" t="str">
        <f>IF($B718="","",IFERROR(INDEX(账户币种,MATCH($B718,账户名,0)),""))</f>
        <v/>
      </c>
      <c r="E718" s="47"/>
      <c r="F718" s="12" t="str">
        <f>IF($E718="","",IFERROR(INDEX(类别属性,MATCH($E718,类别表,0)),""))</f>
        <v/>
      </c>
      <c r="G718" s="48"/>
      <c r="H718" s="48"/>
      <c r="I718" s="49"/>
      <c r="J718" s="24" t="str">
        <f>IF(OR($A718="",$B718=""),"",IF($I718&lt;&gt;"",$I718,IF($D718=本位币,1,IFERROR(LOOKUP(2,1/((汇率月份&lt;=$A718)*(INDEX(记账汇率区,0,MATCH($D718,汇率币种头,0))&lt;&gt;"")),INDEX(记账汇率区,0,MATCH($D718,汇率币种头,0))),""))))</f>
        <v/>
      </c>
      <c r="K718" s="23" t="str">
        <f t="shared" si="22"/>
        <v/>
      </c>
      <c r="L718" s="23" t="str">
        <f t="shared" si="23"/>
        <v/>
      </c>
      <c r="M718" s="23" t="str">
        <f>IF($B718="","",ROUND(SUMIF(账户名,$B718,账户期初)+SUMIFS($K$6:K718,$B$6:B718,$B718),2))</f>
        <v/>
      </c>
      <c r="N718" s="23" t="str">
        <f>IF($B718="","",IFERROR(ROUND(INDEX(账户期初本位,MATCH($B718,账户名,0))+SUMIFS($L$6:L718,$B$6:B718,$B718),2),""))</f>
        <v/>
      </c>
      <c r="O718" s="46"/>
      <c r="P718" s="47"/>
      <c r="Q718" s="46"/>
      <c r="R718" s="46"/>
      <c r="S718" s="6" t="str">
        <f>IF($B718="","",IF(ISNA(MATCH($B718,账户名,0)),"※这个账户不在【参数设置】的账户档案里",IF($A718="","※没填日期，这一笔不会进任何月份的报表",IF(AND($G718&lt;&gt;"",$H718&lt;&gt;""),"※收入和支出不能同时填",IF(AND(N($G718)=0,N($H718)=0),"※收入和支出都没填",IF($E718="","※没填收支类别，分类报表会漏掉这一笔",IF(ISNA(MATCH($E718,类别表,0)),"※收支类别不在【参数设置】的清单里",IF($J718="","△"&amp;$D718&amp;" 还没填汇率，去【月度汇率】补上就自动算了",IF(YEAR($A718)&lt;&gt;管理年度,"△不是管理年度的单据，年报里看不到",IF(AND($F718="内部转账",$Q718=""),"△内部转账建议在「往来单位」写上对方账户",IF($M718&lt;0,"△这一笔之后该账户余额成负数了，核一下","")))))))))))</f>
        <v/>
      </c>
    </row>
    <row r="719" ht="16.5" spans="1:19">
      <c r="A719" s="45"/>
      <c r="B719" s="46"/>
      <c r="C719" s="12" t="str">
        <f>IF($B719="","",IFERROR(INDEX(账户银行,MATCH($B719,账户名,0)),""))</f>
        <v/>
      </c>
      <c r="D719" s="12" t="str">
        <f>IF($B719="","",IFERROR(INDEX(账户币种,MATCH($B719,账户名,0)),""))</f>
        <v/>
      </c>
      <c r="E719" s="47"/>
      <c r="F719" s="12" t="str">
        <f>IF($E719="","",IFERROR(INDEX(类别属性,MATCH($E719,类别表,0)),""))</f>
        <v/>
      </c>
      <c r="G719" s="48"/>
      <c r="H719" s="48"/>
      <c r="I719" s="49"/>
      <c r="J719" s="24" t="str">
        <f>IF(OR($A719="",$B719=""),"",IF($I719&lt;&gt;"",$I719,IF($D719=本位币,1,IFERROR(LOOKUP(2,1/((汇率月份&lt;=$A719)*(INDEX(记账汇率区,0,MATCH($D719,汇率币种头,0))&lt;&gt;"")),INDEX(记账汇率区,0,MATCH($D719,汇率币种头,0))),""))))</f>
        <v/>
      </c>
      <c r="K719" s="23" t="str">
        <f t="shared" si="22"/>
        <v/>
      </c>
      <c r="L719" s="23" t="str">
        <f t="shared" si="23"/>
        <v/>
      </c>
      <c r="M719" s="23" t="str">
        <f>IF($B719="","",ROUND(SUMIF(账户名,$B719,账户期初)+SUMIFS($K$6:K719,$B$6:B719,$B719),2))</f>
        <v/>
      </c>
      <c r="N719" s="23" t="str">
        <f>IF($B719="","",IFERROR(ROUND(INDEX(账户期初本位,MATCH($B719,账户名,0))+SUMIFS($L$6:L719,$B$6:B719,$B719),2),""))</f>
        <v/>
      </c>
      <c r="O719" s="46"/>
      <c r="P719" s="47"/>
      <c r="Q719" s="46"/>
      <c r="R719" s="46"/>
      <c r="S719" s="6" t="str">
        <f>IF($B719="","",IF(ISNA(MATCH($B719,账户名,0)),"※这个账户不在【参数设置】的账户档案里",IF($A719="","※没填日期，这一笔不会进任何月份的报表",IF(AND($G719&lt;&gt;"",$H719&lt;&gt;""),"※收入和支出不能同时填",IF(AND(N($G719)=0,N($H719)=0),"※收入和支出都没填",IF($E719="","※没填收支类别，分类报表会漏掉这一笔",IF(ISNA(MATCH($E719,类别表,0)),"※收支类别不在【参数设置】的清单里",IF($J719="","△"&amp;$D719&amp;" 还没填汇率，去【月度汇率】补上就自动算了",IF(YEAR($A719)&lt;&gt;管理年度,"△不是管理年度的单据，年报里看不到",IF(AND($F719="内部转账",$Q719=""),"△内部转账建议在「往来单位」写上对方账户",IF($M719&lt;0,"△这一笔之后该账户余额成负数了，核一下","")))))))))))</f>
        <v/>
      </c>
    </row>
    <row r="720" ht="16.5" spans="1:19">
      <c r="A720" s="45"/>
      <c r="B720" s="46"/>
      <c r="C720" s="12" t="str">
        <f>IF($B720="","",IFERROR(INDEX(账户银行,MATCH($B720,账户名,0)),""))</f>
        <v/>
      </c>
      <c r="D720" s="12" t="str">
        <f>IF($B720="","",IFERROR(INDEX(账户币种,MATCH($B720,账户名,0)),""))</f>
        <v/>
      </c>
      <c r="E720" s="47"/>
      <c r="F720" s="12" t="str">
        <f>IF($E720="","",IFERROR(INDEX(类别属性,MATCH($E720,类别表,0)),""))</f>
        <v/>
      </c>
      <c r="G720" s="48"/>
      <c r="H720" s="48"/>
      <c r="I720" s="49"/>
      <c r="J720" s="24" t="str">
        <f>IF(OR($A720="",$B720=""),"",IF($I720&lt;&gt;"",$I720,IF($D720=本位币,1,IFERROR(LOOKUP(2,1/((汇率月份&lt;=$A720)*(INDEX(记账汇率区,0,MATCH($D720,汇率币种头,0))&lt;&gt;"")),INDEX(记账汇率区,0,MATCH($D720,汇率币种头,0))),""))))</f>
        <v/>
      </c>
      <c r="K720" s="23" t="str">
        <f t="shared" si="22"/>
        <v/>
      </c>
      <c r="L720" s="23" t="str">
        <f t="shared" si="23"/>
        <v/>
      </c>
      <c r="M720" s="23" t="str">
        <f>IF($B720="","",ROUND(SUMIF(账户名,$B720,账户期初)+SUMIFS($K$6:K720,$B$6:B720,$B720),2))</f>
        <v/>
      </c>
      <c r="N720" s="23" t="str">
        <f>IF($B720="","",IFERROR(ROUND(INDEX(账户期初本位,MATCH($B720,账户名,0))+SUMIFS($L$6:L720,$B$6:B720,$B720),2),""))</f>
        <v/>
      </c>
      <c r="O720" s="46"/>
      <c r="P720" s="47"/>
      <c r="Q720" s="46"/>
      <c r="R720" s="46"/>
      <c r="S720" s="6" t="str">
        <f>IF($B720="","",IF(ISNA(MATCH($B720,账户名,0)),"※这个账户不在【参数设置】的账户档案里",IF($A720="","※没填日期，这一笔不会进任何月份的报表",IF(AND($G720&lt;&gt;"",$H720&lt;&gt;""),"※收入和支出不能同时填",IF(AND(N($G720)=0,N($H720)=0),"※收入和支出都没填",IF($E720="","※没填收支类别，分类报表会漏掉这一笔",IF(ISNA(MATCH($E720,类别表,0)),"※收支类别不在【参数设置】的清单里",IF($J720="","△"&amp;$D720&amp;" 还没填汇率，去【月度汇率】补上就自动算了",IF(YEAR($A720)&lt;&gt;管理年度,"△不是管理年度的单据，年报里看不到",IF(AND($F720="内部转账",$Q720=""),"△内部转账建议在「往来单位」写上对方账户",IF($M720&lt;0,"△这一笔之后该账户余额成负数了，核一下","")))))))))))</f>
        <v/>
      </c>
    </row>
    <row r="721" ht="16.5" spans="1:19">
      <c r="A721" s="45"/>
      <c r="B721" s="46"/>
      <c r="C721" s="12" t="str">
        <f>IF($B721="","",IFERROR(INDEX(账户银行,MATCH($B721,账户名,0)),""))</f>
        <v/>
      </c>
      <c r="D721" s="12" t="str">
        <f>IF($B721="","",IFERROR(INDEX(账户币种,MATCH($B721,账户名,0)),""))</f>
        <v/>
      </c>
      <c r="E721" s="47"/>
      <c r="F721" s="12" t="str">
        <f>IF($E721="","",IFERROR(INDEX(类别属性,MATCH($E721,类别表,0)),""))</f>
        <v/>
      </c>
      <c r="G721" s="48"/>
      <c r="H721" s="48"/>
      <c r="I721" s="49"/>
      <c r="J721" s="24" t="str">
        <f>IF(OR($A721="",$B721=""),"",IF($I721&lt;&gt;"",$I721,IF($D721=本位币,1,IFERROR(LOOKUP(2,1/((汇率月份&lt;=$A721)*(INDEX(记账汇率区,0,MATCH($D721,汇率币种头,0))&lt;&gt;"")),INDEX(记账汇率区,0,MATCH($D721,汇率币种头,0))),""))))</f>
        <v/>
      </c>
      <c r="K721" s="23" t="str">
        <f t="shared" si="22"/>
        <v/>
      </c>
      <c r="L721" s="23" t="str">
        <f t="shared" si="23"/>
        <v/>
      </c>
      <c r="M721" s="23" t="str">
        <f>IF($B721="","",ROUND(SUMIF(账户名,$B721,账户期初)+SUMIFS($K$6:K721,$B$6:B721,$B721),2))</f>
        <v/>
      </c>
      <c r="N721" s="23" t="str">
        <f>IF($B721="","",IFERROR(ROUND(INDEX(账户期初本位,MATCH($B721,账户名,0))+SUMIFS($L$6:L721,$B$6:B721,$B721),2),""))</f>
        <v/>
      </c>
      <c r="O721" s="46"/>
      <c r="P721" s="47"/>
      <c r="Q721" s="46"/>
      <c r="R721" s="46"/>
      <c r="S721" s="6" t="str">
        <f>IF($B721="","",IF(ISNA(MATCH($B721,账户名,0)),"※这个账户不在【参数设置】的账户档案里",IF($A721="","※没填日期，这一笔不会进任何月份的报表",IF(AND($G721&lt;&gt;"",$H721&lt;&gt;""),"※收入和支出不能同时填",IF(AND(N($G721)=0,N($H721)=0),"※收入和支出都没填",IF($E721="","※没填收支类别，分类报表会漏掉这一笔",IF(ISNA(MATCH($E721,类别表,0)),"※收支类别不在【参数设置】的清单里",IF($J721="","△"&amp;$D721&amp;" 还没填汇率，去【月度汇率】补上就自动算了",IF(YEAR($A721)&lt;&gt;管理年度,"△不是管理年度的单据，年报里看不到",IF(AND($F721="内部转账",$Q721=""),"△内部转账建议在「往来单位」写上对方账户",IF($M721&lt;0,"△这一笔之后该账户余额成负数了，核一下","")))))))))))</f>
        <v/>
      </c>
    </row>
    <row r="722" ht="16.5" spans="1:19">
      <c r="A722" s="45"/>
      <c r="B722" s="46"/>
      <c r="C722" s="12" t="str">
        <f>IF($B722="","",IFERROR(INDEX(账户银行,MATCH($B722,账户名,0)),""))</f>
        <v/>
      </c>
      <c r="D722" s="12" t="str">
        <f>IF($B722="","",IFERROR(INDEX(账户币种,MATCH($B722,账户名,0)),""))</f>
        <v/>
      </c>
      <c r="E722" s="47"/>
      <c r="F722" s="12" t="str">
        <f>IF($E722="","",IFERROR(INDEX(类别属性,MATCH($E722,类别表,0)),""))</f>
        <v/>
      </c>
      <c r="G722" s="48"/>
      <c r="H722" s="48"/>
      <c r="I722" s="49"/>
      <c r="J722" s="24" t="str">
        <f>IF(OR($A722="",$B722=""),"",IF($I722&lt;&gt;"",$I722,IF($D722=本位币,1,IFERROR(LOOKUP(2,1/((汇率月份&lt;=$A722)*(INDEX(记账汇率区,0,MATCH($D722,汇率币种头,0))&lt;&gt;"")),INDEX(记账汇率区,0,MATCH($D722,汇率币种头,0))),""))))</f>
        <v/>
      </c>
      <c r="K722" s="23" t="str">
        <f t="shared" si="22"/>
        <v/>
      </c>
      <c r="L722" s="23" t="str">
        <f t="shared" si="23"/>
        <v/>
      </c>
      <c r="M722" s="23" t="str">
        <f>IF($B722="","",ROUND(SUMIF(账户名,$B722,账户期初)+SUMIFS($K$6:K722,$B$6:B722,$B722),2))</f>
        <v/>
      </c>
      <c r="N722" s="23" t="str">
        <f>IF($B722="","",IFERROR(ROUND(INDEX(账户期初本位,MATCH($B722,账户名,0))+SUMIFS($L$6:L722,$B$6:B722,$B722),2),""))</f>
        <v/>
      </c>
      <c r="O722" s="46"/>
      <c r="P722" s="47"/>
      <c r="Q722" s="46"/>
      <c r="R722" s="46"/>
      <c r="S722" s="6" t="str">
        <f>IF($B722="","",IF(ISNA(MATCH($B722,账户名,0)),"※这个账户不在【参数设置】的账户档案里",IF($A722="","※没填日期，这一笔不会进任何月份的报表",IF(AND($G722&lt;&gt;"",$H722&lt;&gt;""),"※收入和支出不能同时填",IF(AND(N($G722)=0,N($H722)=0),"※收入和支出都没填",IF($E722="","※没填收支类别，分类报表会漏掉这一笔",IF(ISNA(MATCH($E722,类别表,0)),"※收支类别不在【参数设置】的清单里",IF($J722="","△"&amp;$D722&amp;" 还没填汇率，去【月度汇率】补上就自动算了",IF(YEAR($A722)&lt;&gt;管理年度,"△不是管理年度的单据，年报里看不到",IF(AND($F722="内部转账",$Q722=""),"△内部转账建议在「往来单位」写上对方账户",IF($M722&lt;0,"△这一笔之后该账户余额成负数了，核一下","")))))))))))</f>
        <v/>
      </c>
    </row>
    <row r="723" ht="16.5" spans="1:19">
      <c r="A723" s="45"/>
      <c r="B723" s="46"/>
      <c r="C723" s="12" t="str">
        <f>IF($B723="","",IFERROR(INDEX(账户银行,MATCH($B723,账户名,0)),""))</f>
        <v/>
      </c>
      <c r="D723" s="12" t="str">
        <f>IF($B723="","",IFERROR(INDEX(账户币种,MATCH($B723,账户名,0)),""))</f>
        <v/>
      </c>
      <c r="E723" s="47"/>
      <c r="F723" s="12" t="str">
        <f>IF($E723="","",IFERROR(INDEX(类别属性,MATCH($E723,类别表,0)),""))</f>
        <v/>
      </c>
      <c r="G723" s="48"/>
      <c r="H723" s="48"/>
      <c r="I723" s="49"/>
      <c r="J723" s="24" t="str">
        <f>IF(OR($A723="",$B723=""),"",IF($I723&lt;&gt;"",$I723,IF($D723=本位币,1,IFERROR(LOOKUP(2,1/((汇率月份&lt;=$A723)*(INDEX(记账汇率区,0,MATCH($D723,汇率币种头,0))&lt;&gt;"")),INDEX(记账汇率区,0,MATCH($D723,汇率币种头,0))),""))))</f>
        <v/>
      </c>
      <c r="K723" s="23" t="str">
        <f t="shared" si="22"/>
        <v/>
      </c>
      <c r="L723" s="23" t="str">
        <f t="shared" si="23"/>
        <v/>
      </c>
      <c r="M723" s="23" t="str">
        <f>IF($B723="","",ROUND(SUMIF(账户名,$B723,账户期初)+SUMIFS($K$6:K723,$B$6:B723,$B723),2))</f>
        <v/>
      </c>
      <c r="N723" s="23" t="str">
        <f>IF($B723="","",IFERROR(ROUND(INDEX(账户期初本位,MATCH($B723,账户名,0))+SUMIFS($L$6:L723,$B$6:B723,$B723),2),""))</f>
        <v/>
      </c>
      <c r="O723" s="46"/>
      <c r="P723" s="47"/>
      <c r="Q723" s="46"/>
      <c r="R723" s="46"/>
      <c r="S723" s="6" t="str">
        <f>IF($B723="","",IF(ISNA(MATCH($B723,账户名,0)),"※这个账户不在【参数设置】的账户档案里",IF($A723="","※没填日期，这一笔不会进任何月份的报表",IF(AND($G723&lt;&gt;"",$H723&lt;&gt;""),"※收入和支出不能同时填",IF(AND(N($G723)=0,N($H723)=0),"※收入和支出都没填",IF($E723="","※没填收支类别，分类报表会漏掉这一笔",IF(ISNA(MATCH($E723,类别表,0)),"※收支类别不在【参数设置】的清单里",IF($J723="","△"&amp;$D723&amp;" 还没填汇率，去【月度汇率】补上就自动算了",IF(YEAR($A723)&lt;&gt;管理年度,"△不是管理年度的单据，年报里看不到",IF(AND($F723="内部转账",$Q723=""),"△内部转账建议在「往来单位」写上对方账户",IF($M723&lt;0,"△这一笔之后该账户余额成负数了，核一下","")))))))))))</f>
        <v/>
      </c>
    </row>
    <row r="724" ht="16.5" spans="1:19">
      <c r="A724" s="45"/>
      <c r="B724" s="46"/>
      <c r="C724" s="12" t="str">
        <f>IF($B724="","",IFERROR(INDEX(账户银行,MATCH($B724,账户名,0)),""))</f>
        <v/>
      </c>
      <c r="D724" s="12" t="str">
        <f>IF($B724="","",IFERROR(INDEX(账户币种,MATCH($B724,账户名,0)),""))</f>
        <v/>
      </c>
      <c r="E724" s="47"/>
      <c r="F724" s="12" t="str">
        <f>IF($E724="","",IFERROR(INDEX(类别属性,MATCH($E724,类别表,0)),""))</f>
        <v/>
      </c>
      <c r="G724" s="48"/>
      <c r="H724" s="48"/>
      <c r="I724" s="49"/>
      <c r="J724" s="24" t="str">
        <f>IF(OR($A724="",$B724=""),"",IF($I724&lt;&gt;"",$I724,IF($D724=本位币,1,IFERROR(LOOKUP(2,1/((汇率月份&lt;=$A724)*(INDEX(记账汇率区,0,MATCH($D724,汇率币种头,0))&lt;&gt;"")),INDEX(记账汇率区,0,MATCH($D724,汇率币种头,0))),""))))</f>
        <v/>
      </c>
      <c r="K724" s="23" t="str">
        <f t="shared" si="22"/>
        <v/>
      </c>
      <c r="L724" s="23" t="str">
        <f t="shared" si="23"/>
        <v/>
      </c>
      <c r="M724" s="23" t="str">
        <f>IF($B724="","",ROUND(SUMIF(账户名,$B724,账户期初)+SUMIFS($K$6:K724,$B$6:B724,$B724),2))</f>
        <v/>
      </c>
      <c r="N724" s="23" t="str">
        <f>IF($B724="","",IFERROR(ROUND(INDEX(账户期初本位,MATCH($B724,账户名,0))+SUMIFS($L$6:L724,$B$6:B724,$B724),2),""))</f>
        <v/>
      </c>
      <c r="O724" s="46"/>
      <c r="P724" s="47"/>
      <c r="Q724" s="46"/>
      <c r="R724" s="46"/>
      <c r="S724" s="6" t="str">
        <f>IF($B724="","",IF(ISNA(MATCH($B724,账户名,0)),"※这个账户不在【参数设置】的账户档案里",IF($A724="","※没填日期，这一笔不会进任何月份的报表",IF(AND($G724&lt;&gt;"",$H724&lt;&gt;""),"※收入和支出不能同时填",IF(AND(N($G724)=0,N($H724)=0),"※收入和支出都没填",IF($E724="","※没填收支类别，分类报表会漏掉这一笔",IF(ISNA(MATCH($E724,类别表,0)),"※收支类别不在【参数设置】的清单里",IF($J724="","△"&amp;$D724&amp;" 还没填汇率，去【月度汇率】补上就自动算了",IF(YEAR($A724)&lt;&gt;管理年度,"△不是管理年度的单据，年报里看不到",IF(AND($F724="内部转账",$Q724=""),"△内部转账建议在「往来单位」写上对方账户",IF($M724&lt;0,"△这一笔之后该账户余额成负数了，核一下","")))))))))))</f>
        <v/>
      </c>
    </row>
    <row r="725" ht="16.5" spans="1:19">
      <c r="A725" s="45"/>
      <c r="B725" s="46"/>
      <c r="C725" s="12" t="str">
        <f>IF($B725="","",IFERROR(INDEX(账户银行,MATCH($B725,账户名,0)),""))</f>
        <v/>
      </c>
      <c r="D725" s="12" t="str">
        <f>IF($B725="","",IFERROR(INDEX(账户币种,MATCH($B725,账户名,0)),""))</f>
        <v/>
      </c>
      <c r="E725" s="47"/>
      <c r="F725" s="12" t="str">
        <f>IF($E725="","",IFERROR(INDEX(类别属性,MATCH($E725,类别表,0)),""))</f>
        <v/>
      </c>
      <c r="G725" s="48"/>
      <c r="H725" s="48"/>
      <c r="I725" s="49"/>
      <c r="J725" s="24" t="str">
        <f>IF(OR($A725="",$B725=""),"",IF($I725&lt;&gt;"",$I725,IF($D725=本位币,1,IFERROR(LOOKUP(2,1/((汇率月份&lt;=$A725)*(INDEX(记账汇率区,0,MATCH($D725,汇率币种头,0))&lt;&gt;"")),INDEX(记账汇率区,0,MATCH($D725,汇率币种头,0))),""))))</f>
        <v/>
      </c>
      <c r="K725" s="23" t="str">
        <f t="shared" si="22"/>
        <v/>
      </c>
      <c r="L725" s="23" t="str">
        <f t="shared" si="23"/>
        <v/>
      </c>
      <c r="M725" s="23" t="str">
        <f>IF($B725="","",ROUND(SUMIF(账户名,$B725,账户期初)+SUMIFS($K$6:K725,$B$6:B725,$B725),2))</f>
        <v/>
      </c>
      <c r="N725" s="23" t="str">
        <f>IF($B725="","",IFERROR(ROUND(INDEX(账户期初本位,MATCH($B725,账户名,0))+SUMIFS($L$6:L725,$B$6:B725,$B725),2),""))</f>
        <v/>
      </c>
      <c r="O725" s="46"/>
      <c r="P725" s="47"/>
      <c r="Q725" s="46"/>
      <c r="R725" s="46"/>
      <c r="S725" s="6" t="str">
        <f>IF($B725="","",IF(ISNA(MATCH($B725,账户名,0)),"※这个账户不在【参数设置】的账户档案里",IF($A725="","※没填日期，这一笔不会进任何月份的报表",IF(AND($G725&lt;&gt;"",$H725&lt;&gt;""),"※收入和支出不能同时填",IF(AND(N($G725)=0,N($H725)=0),"※收入和支出都没填",IF($E725="","※没填收支类别，分类报表会漏掉这一笔",IF(ISNA(MATCH($E725,类别表,0)),"※收支类别不在【参数设置】的清单里",IF($J725="","△"&amp;$D725&amp;" 还没填汇率，去【月度汇率】补上就自动算了",IF(YEAR($A725)&lt;&gt;管理年度,"△不是管理年度的单据，年报里看不到",IF(AND($F725="内部转账",$Q725=""),"△内部转账建议在「往来单位」写上对方账户",IF($M725&lt;0,"△这一笔之后该账户余额成负数了，核一下","")))))))))))</f>
        <v/>
      </c>
    </row>
    <row r="726" ht="16.5" spans="1:19">
      <c r="A726" s="45"/>
      <c r="B726" s="46"/>
      <c r="C726" s="12" t="str">
        <f>IF($B726="","",IFERROR(INDEX(账户银行,MATCH($B726,账户名,0)),""))</f>
        <v/>
      </c>
      <c r="D726" s="12" t="str">
        <f>IF($B726="","",IFERROR(INDEX(账户币种,MATCH($B726,账户名,0)),""))</f>
        <v/>
      </c>
      <c r="E726" s="47"/>
      <c r="F726" s="12" t="str">
        <f>IF($E726="","",IFERROR(INDEX(类别属性,MATCH($E726,类别表,0)),""))</f>
        <v/>
      </c>
      <c r="G726" s="48"/>
      <c r="H726" s="48"/>
      <c r="I726" s="49"/>
      <c r="J726" s="24" t="str">
        <f>IF(OR($A726="",$B726=""),"",IF($I726&lt;&gt;"",$I726,IF($D726=本位币,1,IFERROR(LOOKUP(2,1/((汇率月份&lt;=$A726)*(INDEX(记账汇率区,0,MATCH($D726,汇率币种头,0))&lt;&gt;"")),INDEX(记账汇率区,0,MATCH($D726,汇率币种头,0))),""))))</f>
        <v/>
      </c>
      <c r="K726" s="23" t="str">
        <f t="shared" si="22"/>
        <v/>
      </c>
      <c r="L726" s="23" t="str">
        <f t="shared" si="23"/>
        <v/>
      </c>
      <c r="M726" s="23" t="str">
        <f>IF($B726="","",ROUND(SUMIF(账户名,$B726,账户期初)+SUMIFS($K$6:K726,$B$6:B726,$B726),2))</f>
        <v/>
      </c>
      <c r="N726" s="23" t="str">
        <f>IF($B726="","",IFERROR(ROUND(INDEX(账户期初本位,MATCH($B726,账户名,0))+SUMIFS($L$6:L726,$B$6:B726,$B726),2),""))</f>
        <v/>
      </c>
      <c r="O726" s="46"/>
      <c r="P726" s="47"/>
      <c r="Q726" s="46"/>
      <c r="R726" s="46"/>
      <c r="S726" s="6" t="str">
        <f>IF($B726="","",IF(ISNA(MATCH($B726,账户名,0)),"※这个账户不在【参数设置】的账户档案里",IF($A726="","※没填日期，这一笔不会进任何月份的报表",IF(AND($G726&lt;&gt;"",$H726&lt;&gt;""),"※收入和支出不能同时填",IF(AND(N($G726)=0,N($H726)=0),"※收入和支出都没填",IF($E726="","※没填收支类别，分类报表会漏掉这一笔",IF(ISNA(MATCH($E726,类别表,0)),"※收支类别不在【参数设置】的清单里",IF($J726="","△"&amp;$D726&amp;" 还没填汇率，去【月度汇率】补上就自动算了",IF(YEAR($A726)&lt;&gt;管理年度,"△不是管理年度的单据，年报里看不到",IF(AND($F726="内部转账",$Q726=""),"△内部转账建议在「往来单位」写上对方账户",IF($M726&lt;0,"△这一笔之后该账户余额成负数了，核一下","")))))))))))</f>
        <v/>
      </c>
    </row>
    <row r="727" ht="16.5" spans="1:19">
      <c r="A727" s="45"/>
      <c r="B727" s="46"/>
      <c r="C727" s="12" t="str">
        <f>IF($B727="","",IFERROR(INDEX(账户银行,MATCH($B727,账户名,0)),""))</f>
        <v/>
      </c>
      <c r="D727" s="12" t="str">
        <f>IF($B727="","",IFERROR(INDEX(账户币种,MATCH($B727,账户名,0)),""))</f>
        <v/>
      </c>
      <c r="E727" s="47"/>
      <c r="F727" s="12" t="str">
        <f>IF($E727="","",IFERROR(INDEX(类别属性,MATCH($E727,类别表,0)),""))</f>
        <v/>
      </c>
      <c r="G727" s="48"/>
      <c r="H727" s="48"/>
      <c r="I727" s="49"/>
      <c r="J727" s="24" t="str">
        <f>IF(OR($A727="",$B727=""),"",IF($I727&lt;&gt;"",$I727,IF($D727=本位币,1,IFERROR(LOOKUP(2,1/((汇率月份&lt;=$A727)*(INDEX(记账汇率区,0,MATCH($D727,汇率币种头,0))&lt;&gt;"")),INDEX(记账汇率区,0,MATCH($D727,汇率币种头,0))),""))))</f>
        <v/>
      </c>
      <c r="K727" s="23" t="str">
        <f t="shared" si="22"/>
        <v/>
      </c>
      <c r="L727" s="23" t="str">
        <f t="shared" si="23"/>
        <v/>
      </c>
      <c r="M727" s="23" t="str">
        <f>IF($B727="","",ROUND(SUMIF(账户名,$B727,账户期初)+SUMIFS($K$6:K727,$B$6:B727,$B727),2))</f>
        <v/>
      </c>
      <c r="N727" s="23" t="str">
        <f>IF($B727="","",IFERROR(ROUND(INDEX(账户期初本位,MATCH($B727,账户名,0))+SUMIFS($L$6:L727,$B$6:B727,$B727),2),""))</f>
        <v/>
      </c>
      <c r="O727" s="46"/>
      <c r="P727" s="47"/>
      <c r="Q727" s="46"/>
      <c r="R727" s="46"/>
      <c r="S727" s="6" t="str">
        <f>IF($B727="","",IF(ISNA(MATCH($B727,账户名,0)),"※这个账户不在【参数设置】的账户档案里",IF($A727="","※没填日期，这一笔不会进任何月份的报表",IF(AND($G727&lt;&gt;"",$H727&lt;&gt;""),"※收入和支出不能同时填",IF(AND(N($G727)=0,N($H727)=0),"※收入和支出都没填",IF($E727="","※没填收支类别，分类报表会漏掉这一笔",IF(ISNA(MATCH($E727,类别表,0)),"※收支类别不在【参数设置】的清单里",IF($J727="","△"&amp;$D727&amp;" 还没填汇率，去【月度汇率】补上就自动算了",IF(YEAR($A727)&lt;&gt;管理年度,"△不是管理年度的单据，年报里看不到",IF(AND($F727="内部转账",$Q727=""),"△内部转账建议在「往来单位」写上对方账户",IF($M727&lt;0,"△这一笔之后该账户余额成负数了，核一下","")))))))))))</f>
        <v/>
      </c>
    </row>
    <row r="728" ht="16.5" spans="1:19">
      <c r="A728" s="45"/>
      <c r="B728" s="46"/>
      <c r="C728" s="12" t="str">
        <f>IF($B728="","",IFERROR(INDEX(账户银行,MATCH($B728,账户名,0)),""))</f>
        <v/>
      </c>
      <c r="D728" s="12" t="str">
        <f>IF($B728="","",IFERROR(INDEX(账户币种,MATCH($B728,账户名,0)),""))</f>
        <v/>
      </c>
      <c r="E728" s="47"/>
      <c r="F728" s="12" t="str">
        <f>IF($E728="","",IFERROR(INDEX(类别属性,MATCH($E728,类别表,0)),""))</f>
        <v/>
      </c>
      <c r="G728" s="48"/>
      <c r="H728" s="48"/>
      <c r="I728" s="49"/>
      <c r="J728" s="24" t="str">
        <f>IF(OR($A728="",$B728=""),"",IF($I728&lt;&gt;"",$I728,IF($D728=本位币,1,IFERROR(LOOKUP(2,1/((汇率月份&lt;=$A728)*(INDEX(记账汇率区,0,MATCH($D728,汇率币种头,0))&lt;&gt;"")),INDEX(记账汇率区,0,MATCH($D728,汇率币种头,0))),""))))</f>
        <v/>
      </c>
      <c r="K728" s="23" t="str">
        <f t="shared" si="22"/>
        <v/>
      </c>
      <c r="L728" s="23" t="str">
        <f t="shared" si="23"/>
        <v/>
      </c>
      <c r="M728" s="23" t="str">
        <f>IF($B728="","",ROUND(SUMIF(账户名,$B728,账户期初)+SUMIFS($K$6:K728,$B$6:B728,$B728),2))</f>
        <v/>
      </c>
      <c r="N728" s="23" t="str">
        <f>IF($B728="","",IFERROR(ROUND(INDEX(账户期初本位,MATCH($B728,账户名,0))+SUMIFS($L$6:L728,$B$6:B728,$B728),2),""))</f>
        <v/>
      </c>
      <c r="O728" s="46"/>
      <c r="P728" s="47"/>
      <c r="Q728" s="46"/>
      <c r="R728" s="46"/>
      <c r="S728" s="6" t="str">
        <f>IF($B728="","",IF(ISNA(MATCH($B728,账户名,0)),"※这个账户不在【参数设置】的账户档案里",IF($A728="","※没填日期，这一笔不会进任何月份的报表",IF(AND($G728&lt;&gt;"",$H728&lt;&gt;""),"※收入和支出不能同时填",IF(AND(N($G728)=0,N($H728)=0),"※收入和支出都没填",IF($E728="","※没填收支类别，分类报表会漏掉这一笔",IF(ISNA(MATCH($E728,类别表,0)),"※收支类别不在【参数设置】的清单里",IF($J728="","△"&amp;$D728&amp;" 还没填汇率，去【月度汇率】补上就自动算了",IF(YEAR($A728)&lt;&gt;管理年度,"△不是管理年度的单据，年报里看不到",IF(AND($F728="内部转账",$Q728=""),"△内部转账建议在「往来单位」写上对方账户",IF($M728&lt;0,"△这一笔之后该账户余额成负数了，核一下","")))))))))))</f>
        <v/>
      </c>
    </row>
    <row r="729" ht="16.5" spans="1:19">
      <c r="A729" s="45"/>
      <c r="B729" s="46"/>
      <c r="C729" s="12" t="str">
        <f>IF($B729="","",IFERROR(INDEX(账户银行,MATCH($B729,账户名,0)),""))</f>
        <v/>
      </c>
      <c r="D729" s="12" t="str">
        <f>IF($B729="","",IFERROR(INDEX(账户币种,MATCH($B729,账户名,0)),""))</f>
        <v/>
      </c>
      <c r="E729" s="47"/>
      <c r="F729" s="12" t="str">
        <f>IF($E729="","",IFERROR(INDEX(类别属性,MATCH($E729,类别表,0)),""))</f>
        <v/>
      </c>
      <c r="G729" s="48"/>
      <c r="H729" s="48"/>
      <c r="I729" s="49"/>
      <c r="J729" s="24" t="str">
        <f>IF(OR($A729="",$B729=""),"",IF($I729&lt;&gt;"",$I729,IF($D729=本位币,1,IFERROR(LOOKUP(2,1/((汇率月份&lt;=$A729)*(INDEX(记账汇率区,0,MATCH($D729,汇率币种头,0))&lt;&gt;"")),INDEX(记账汇率区,0,MATCH($D729,汇率币种头,0))),""))))</f>
        <v/>
      </c>
      <c r="K729" s="23" t="str">
        <f t="shared" si="22"/>
        <v/>
      </c>
      <c r="L729" s="23" t="str">
        <f t="shared" si="23"/>
        <v/>
      </c>
      <c r="M729" s="23" t="str">
        <f>IF($B729="","",ROUND(SUMIF(账户名,$B729,账户期初)+SUMIFS($K$6:K729,$B$6:B729,$B729),2))</f>
        <v/>
      </c>
      <c r="N729" s="23" t="str">
        <f>IF($B729="","",IFERROR(ROUND(INDEX(账户期初本位,MATCH($B729,账户名,0))+SUMIFS($L$6:L729,$B$6:B729,$B729),2),""))</f>
        <v/>
      </c>
      <c r="O729" s="46"/>
      <c r="P729" s="47"/>
      <c r="Q729" s="46"/>
      <c r="R729" s="46"/>
      <c r="S729" s="6" t="str">
        <f>IF($B729="","",IF(ISNA(MATCH($B729,账户名,0)),"※这个账户不在【参数设置】的账户档案里",IF($A729="","※没填日期，这一笔不会进任何月份的报表",IF(AND($G729&lt;&gt;"",$H729&lt;&gt;""),"※收入和支出不能同时填",IF(AND(N($G729)=0,N($H729)=0),"※收入和支出都没填",IF($E729="","※没填收支类别，分类报表会漏掉这一笔",IF(ISNA(MATCH($E729,类别表,0)),"※收支类别不在【参数设置】的清单里",IF($J729="","△"&amp;$D729&amp;" 还没填汇率，去【月度汇率】补上就自动算了",IF(YEAR($A729)&lt;&gt;管理年度,"△不是管理年度的单据，年报里看不到",IF(AND($F729="内部转账",$Q729=""),"△内部转账建议在「往来单位」写上对方账户",IF($M729&lt;0,"△这一笔之后该账户余额成负数了，核一下","")))))))))))</f>
        <v/>
      </c>
    </row>
    <row r="730" ht="16.5" spans="1:19">
      <c r="A730" s="45"/>
      <c r="B730" s="46"/>
      <c r="C730" s="12" t="str">
        <f>IF($B730="","",IFERROR(INDEX(账户银行,MATCH($B730,账户名,0)),""))</f>
        <v/>
      </c>
      <c r="D730" s="12" t="str">
        <f>IF($B730="","",IFERROR(INDEX(账户币种,MATCH($B730,账户名,0)),""))</f>
        <v/>
      </c>
      <c r="E730" s="47"/>
      <c r="F730" s="12" t="str">
        <f>IF($E730="","",IFERROR(INDEX(类别属性,MATCH($E730,类别表,0)),""))</f>
        <v/>
      </c>
      <c r="G730" s="48"/>
      <c r="H730" s="48"/>
      <c r="I730" s="49"/>
      <c r="J730" s="24" t="str">
        <f>IF(OR($A730="",$B730=""),"",IF($I730&lt;&gt;"",$I730,IF($D730=本位币,1,IFERROR(LOOKUP(2,1/((汇率月份&lt;=$A730)*(INDEX(记账汇率区,0,MATCH($D730,汇率币种头,0))&lt;&gt;"")),INDEX(记账汇率区,0,MATCH($D730,汇率币种头,0))),""))))</f>
        <v/>
      </c>
      <c r="K730" s="23" t="str">
        <f t="shared" si="22"/>
        <v/>
      </c>
      <c r="L730" s="23" t="str">
        <f t="shared" si="23"/>
        <v/>
      </c>
      <c r="M730" s="23" t="str">
        <f>IF($B730="","",ROUND(SUMIF(账户名,$B730,账户期初)+SUMIFS($K$6:K730,$B$6:B730,$B730),2))</f>
        <v/>
      </c>
      <c r="N730" s="23" t="str">
        <f>IF($B730="","",IFERROR(ROUND(INDEX(账户期初本位,MATCH($B730,账户名,0))+SUMIFS($L$6:L730,$B$6:B730,$B730),2),""))</f>
        <v/>
      </c>
      <c r="O730" s="46"/>
      <c r="P730" s="47"/>
      <c r="Q730" s="46"/>
      <c r="R730" s="46"/>
      <c r="S730" s="6" t="str">
        <f>IF($B730="","",IF(ISNA(MATCH($B730,账户名,0)),"※这个账户不在【参数设置】的账户档案里",IF($A730="","※没填日期，这一笔不会进任何月份的报表",IF(AND($G730&lt;&gt;"",$H730&lt;&gt;""),"※收入和支出不能同时填",IF(AND(N($G730)=0,N($H730)=0),"※收入和支出都没填",IF($E730="","※没填收支类别，分类报表会漏掉这一笔",IF(ISNA(MATCH($E730,类别表,0)),"※收支类别不在【参数设置】的清单里",IF($J730="","△"&amp;$D730&amp;" 还没填汇率，去【月度汇率】补上就自动算了",IF(YEAR($A730)&lt;&gt;管理年度,"△不是管理年度的单据，年报里看不到",IF(AND($F730="内部转账",$Q730=""),"△内部转账建议在「往来单位」写上对方账户",IF($M730&lt;0,"△这一笔之后该账户余额成负数了，核一下","")))))))))))</f>
        <v/>
      </c>
    </row>
    <row r="731" ht="16.5" spans="1:19">
      <c r="A731" s="45"/>
      <c r="B731" s="46"/>
      <c r="C731" s="12" t="str">
        <f>IF($B731="","",IFERROR(INDEX(账户银行,MATCH($B731,账户名,0)),""))</f>
        <v/>
      </c>
      <c r="D731" s="12" t="str">
        <f>IF($B731="","",IFERROR(INDEX(账户币种,MATCH($B731,账户名,0)),""))</f>
        <v/>
      </c>
      <c r="E731" s="47"/>
      <c r="F731" s="12" t="str">
        <f>IF($E731="","",IFERROR(INDEX(类别属性,MATCH($E731,类别表,0)),""))</f>
        <v/>
      </c>
      <c r="G731" s="48"/>
      <c r="H731" s="48"/>
      <c r="I731" s="49"/>
      <c r="J731" s="24" t="str">
        <f>IF(OR($A731="",$B731=""),"",IF($I731&lt;&gt;"",$I731,IF($D731=本位币,1,IFERROR(LOOKUP(2,1/((汇率月份&lt;=$A731)*(INDEX(记账汇率区,0,MATCH($D731,汇率币种头,0))&lt;&gt;"")),INDEX(记账汇率区,0,MATCH($D731,汇率币种头,0))),""))))</f>
        <v/>
      </c>
      <c r="K731" s="23" t="str">
        <f t="shared" si="22"/>
        <v/>
      </c>
      <c r="L731" s="23" t="str">
        <f t="shared" si="23"/>
        <v/>
      </c>
      <c r="M731" s="23" t="str">
        <f>IF($B731="","",ROUND(SUMIF(账户名,$B731,账户期初)+SUMIFS($K$6:K731,$B$6:B731,$B731),2))</f>
        <v/>
      </c>
      <c r="N731" s="23" t="str">
        <f>IF($B731="","",IFERROR(ROUND(INDEX(账户期初本位,MATCH($B731,账户名,0))+SUMIFS($L$6:L731,$B$6:B731,$B731),2),""))</f>
        <v/>
      </c>
      <c r="O731" s="46"/>
      <c r="P731" s="47"/>
      <c r="Q731" s="46"/>
      <c r="R731" s="46"/>
      <c r="S731" s="6" t="str">
        <f>IF($B731="","",IF(ISNA(MATCH($B731,账户名,0)),"※这个账户不在【参数设置】的账户档案里",IF($A731="","※没填日期，这一笔不会进任何月份的报表",IF(AND($G731&lt;&gt;"",$H731&lt;&gt;""),"※收入和支出不能同时填",IF(AND(N($G731)=0,N($H731)=0),"※收入和支出都没填",IF($E731="","※没填收支类别，分类报表会漏掉这一笔",IF(ISNA(MATCH($E731,类别表,0)),"※收支类别不在【参数设置】的清单里",IF($J731="","△"&amp;$D731&amp;" 还没填汇率，去【月度汇率】补上就自动算了",IF(YEAR($A731)&lt;&gt;管理年度,"△不是管理年度的单据，年报里看不到",IF(AND($F731="内部转账",$Q731=""),"△内部转账建议在「往来单位」写上对方账户",IF($M731&lt;0,"△这一笔之后该账户余额成负数了，核一下","")))))))))))</f>
        <v/>
      </c>
    </row>
    <row r="732" ht="16.5" spans="1:19">
      <c r="A732" s="45"/>
      <c r="B732" s="46"/>
      <c r="C732" s="12" t="str">
        <f>IF($B732="","",IFERROR(INDEX(账户银行,MATCH($B732,账户名,0)),""))</f>
        <v/>
      </c>
      <c r="D732" s="12" t="str">
        <f>IF($B732="","",IFERROR(INDEX(账户币种,MATCH($B732,账户名,0)),""))</f>
        <v/>
      </c>
      <c r="E732" s="47"/>
      <c r="F732" s="12" t="str">
        <f>IF($E732="","",IFERROR(INDEX(类别属性,MATCH($E732,类别表,0)),""))</f>
        <v/>
      </c>
      <c r="G732" s="48"/>
      <c r="H732" s="48"/>
      <c r="I732" s="49"/>
      <c r="J732" s="24" t="str">
        <f>IF(OR($A732="",$B732=""),"",IF($I732&lt;&gt;"",$I732,IF($D732=本位币,1,IFERROR(LOOKUP(2,1/((汇率月份&lt;=$A732)*(INDEX(记账汇率区,0,MATCH($D732,汇率币种头,0))&lt;&gt;"")),INDEX(记账汇率区,0,MATCH($D732,汇率币种头,0))),""))))</f>
        <v/>
      </c>
      <c r="K732" s="23" t="str">
        <f t="shared" si="22"/>
        <v/>
      </c>
      <c r="L732" s="23" t="str">
        <f t="shared" si="23"/>
        <v/>
      </c>
      <c r="M732" s="23" t="str">
        <f>IF($B732="","",ROUND(SUMIF(账户名,$B732,账户期初)+SUMIFS($K$6:K732,$B$6:B732,$B732),2))</f>
        <v/>
      </c>
      <c r="N732" s="23" t="str">
        <f>IF($B732="","",IFERROR(ROUND(INDEX(账户期初本位,MATCH($B732,账户名,0))+SUMIFS($L$6:L732,$B$6:B732,$B732),2),""))</f>
        <v/>
      </c>
      <c r="O732" s="46"/>
      <c r="P732" s="47"/>
      <c r="Q732" s="46"/>
      <c r="R732" s="46"/>
      <c r="S732" s="6" t="str">
        <f>IF($B732="","",IF(ISNA(MATCH($B732,账户名,0)),"※这个账户不在【参数设置】的账户档案里",IF($A732="","※没填日期，这一笔不会进任何月份的报表",IF(AND($G732&lt;&gt;"",$H732&lt;&gt;""),"※收入和支出不能同时填",IF(AND(N($G732)=0,N($H732)=0),"※收入和支出都没填",IF($E732="","※没填收支类别，分类报表会漏掉这一笔",IF(ISNA(MATCH($E732,类别表,0)),"※收支类别不在【参数设置】的清单里",IF($J732="","△"&amp;$D732&amp;" 还没填汇率，去【月度汇率】补上就自动算了",IF(YEAR($A732)&lt;&gt;管理年度,"△不是管理年度的单据，年报里看不到",IF(AND($F732="内部转账",$Q732=""),"△内部转账建议在「往来单位」写上对方账户",IF($M732&lt;0,"△这一笔之后该账户余额成负数了，核一下","")))))))))))</f>
        <v/>
      </c>
    </row>
    <row r="733" ht="16.5" spans="1:19">
      <c r="A733" s="45"/>
      <c r="B733" s="46"/>
      <c r="C733" s="12" t="str">
        <f>IF($B733="","",IFERROR(INDEX(账户银行,MATCH($B733,账户名,0)),""))</f>
        <v/>
      </c>
      <c r="D733" s="12" t="str">
        <f>IF($B733="","",IFERROR(INDEX(账户币种,MATCH($B733,账户名,0)),""))</f>
        <v/>
      </c>
      <c r="E733" s="47"/>
      <c r="F733" s="12" t="str">
        <f>IF($E733="","",IFERROR(INDEX(类别属性,MATCH($E733,类别表,0)),""))</f>
        <v/>
      </c>
      <c r="G733" s="48"/>
      <c r="H733" s="48"/>
      <c r="I733" s="49"/>
      <c r="J733" s="24" t="str">
        <f>IF(OR($A733="",$B733=""),"",IF($I733&lt;&gt;"",$I733,IF($D733=本位币,1,IFERROR(LOOKUP(2,1/((汇率月份&lt;=$A733)*(INDEX(记账汇率区,0,MATCH($D733,汇率币种头,0))&lt;&gt;"")),INDEX(记账汇率区,0,MATCH($D733,汇率币种头,0))),""))))</f>
        <v/>
      </c>
      <c r="K733" s="23" t="str">
        <f t="shared" si="22"/>
        <v/>
      </c>
      <c r="L733" s="23" t="str">
        <f t="shared" si="23"/>
        <v/>
      </c>
      <c r="M733" s="23" t="str">
        <f>IF($B733="","",ROUND(SUMIF(账户名,$B733,账户期初)+SUMIFS($K$6:K733,$B$6:B733,$B733),2))</f>
        <v/>
      </c>
      <c r="N733" s="23" t="str">
        <f>IF($B733="","",IFERROR(ROUND(INDEX(账户期初本位,MATCH($B733,账户名,0))+SUMIFS($L$6:L733,$B$6:B733,$B733),2),""))</f>
        <v/>
      </c>
      <c r="O733" s="46"/>
      <c r="P733" s="47"/>
      <c r="Q733" s="46"/>
      <c r="R733" s="46"/>
      <c r="S733" s="6" t="str">
        <f>IF($B733="","",IF(ISNA(MATCH($B733,账户名,0)),"※这个账户不在【参数设置】的账户档案里",IF($A733="","※没填日期，这一笔不会进任何月份的报表",IF(AND($G733&lt;&gt;"",$H733&lt;&gt;""),"※收入和支出不能同时填",IF(AND(N($G733)=0,N($H733)=0),"※收入和支出都没填",IF($E733="","※没填收支类别，分类报表会漏掉这一笔",IF(ISNA(MATCH($E733,类别表,0)),"※收支类别不在【参数设置】的清单里",IF($J733="","△"&amp;$D733&amp;" 还没填汇率，去【月度汇率】补上就自动算了",IF(YEAR($A733)&lt;&gt;管理年度,"△不是管理年度的单据，年报里看不到",IF(AND($F733="内部转账",$Q733=""),"△内部转账建议在「往来单位」写上对方账户",IF($M733&lt;0,"△这一笔之后该账户余额成负数了，核一下","")))))))))))</f>
        <v/>
      </c>
    </row>
    <row r="734" ht="16.5" spans="1:19">
      <c r="A734" s="45"/>
      <c r="B734" s="46"/>
      <c r="C734" s="12" t="str">
        <f>IF($B734="","",IFERROR(INDEX(账户银行,MATCH($B734,账户名,0)),""))</f>
        <v/>
      </c>
      <c r="D734" s="12" t="str">
        <f>IF($B734="","",IFERROR(INDEX(账户币种,MATCH($B734,账户名,0)),""))</f>
        <v/>
      </c>
      <c r="E734" s="47"/>
      <c r="F734" s="12" t="str">
        <f>IF($E734="","",IFERROR(INDEX(类别属性,MATCH($E734,类别表,0)),""))</f>
        <v/>
      </c>
      <c r="G734" s="48"/>
      <c r="H734" s="48"/>
      <c r="I734" s="49"/>
      <c r="J734" s="24" t="str">
        <f>IF(OR($A734="",$B734=""),"",IF($I734&lt;&gt;"",$I734,IF($D734=本位币,1,IFERROR(LOOKUP(2,1/((汇率月份&lt;=$A734)*(INDEX(记账汇率区,0,MATCH($D734,汇率币种头,0))&lt;&gt;"")),INDEX(记账汇率区,0,MATCH($D734,汇率币种头,0))),""))))</f>
        <v/>
      </c>
      <c r="K734" s="23" t="str">
        <f t="shared" si="22"/>
        <v/>
      </c>
      <c r="L734" s="23" t="str">
        <f t="shared" si="23"/>
        <v/>
      </c>
      <c r="M734" s="23" t="str">
        <f>IF($B734="","",ROUND(SUMIF(账户名,$B734,账户期初)+SUMIFS($K$6:K734,$B$6:B734,$B734),2))</f>
        <v/>
      </c>
      <c r="N734" s="23" t="str">
        <f>IF($B734="","",IFERROR(ROUND(INDEX(账户期初本位,MATCH($B734,账户名,0))+SUMIFS($L$6:L734,$B$6:B734,$B734),2),""))</f>
        <v/>
      </c>
      <c r="O734" s="46"/>
      <c r="P734" s="47"/>
      <c r="Q734" s="46"/>
      <c r="R734" s="46"/>
      <c r="S734" s="6" t="str">
        <f>IF($B734="","",IF(ISNA(MATCH($B734,账户名,0)),"※这个账户不在【参数设置】的账户档案里",IF($A734="","※没填日期，这一笔不会进任何月份的报表",IF(AND($G734&lt;&gt;"",$H734&lt;&gt;""),"※收入和支出不能同时填",IF(AND(N($G734)=0,N($H734)=0),"※收入和支出都没填",IF($E734="","※没填收支类别，分类报表会漏掉这一笔",IF(ISNA(MATCH($E734,类别表,0)),"※收支类别不在【参数设置】的清单里",IF($J734="","△"&amp;$D734&amp;" 还没填汇率，去【月度汇率】补上就自动算了",IF(YEAR($A734)&lt;&gt;管理年度,"△不是管理年度的单据，年报里看不到",IF(AND($F734="内部转账",$Q734=""),"△内部转账建议在「往来单位」写上对方账户",IF($M734&lt;0,"△这一笔之后该账户余额成负数了，核一下","")))))))))))</f>
        <v/>
      </c>
    </row>
    <row r="735" ht="16.5" spans="1:19">
      <c r="A735" s="45"/>
      <c r="B735" s="46"/>
      <c r="C735" s="12" t="str">
        <f>IF($B735="","",IFERROR(INDEX(账户银行,MATCH($B735,账户名,0)),""))</f>
        <v/>
      </c>
      <c r="D735" s="12" t="str">
        <f>IF($B735="","",IFERROR(INDEX(账户币种,MATCH($B735,账户名,0)),""))</f>
        <v/>
      </c>
      <c r="E735" s="47"/>
      <c r="F735" s="12" t="str">
        <f>IF($E735="","",IFERROR(INDEX(类别属性,MATCH($E735,类别表,0)),""))</f>
        <v/>
      </c>
      <c r="G735" s="48"/>
      <c r="H735" s="48"/>
      <c r="I735" s="49"/>
      <c r="J735" s="24" t="str">
        <f>IF(OR($A735="",$B735=""),"",IF($I735&lt;&gt;"",$I735,IF($D735=本位币,1,IFERROR(LOOKUP(2,1/((汇率月份&lt;=$A735)*(INDEX(记账汇率区,0,MATCH($D735,汇率币种头,0))&lt;&gt;"")),INDEX(记账汇率区,0,MATCH($D735,汇率币种头,0))),""))))</f>
        <v/>
      </c>
      <c r="K735" s="23" t="str">
        <f t="shared" si="22"/>
        <v/>
      </c>
      <c r="L735" s="23" t="str">
        <f t="shared" si="23"/>
        <v/>
      </c>
      <c r="M735" s="23" t="str">
        <f>IF($B735="","",ROUND(SUMIF(账户名,$B735,账户期初)+SUMIFS($K$6:K735,$B$6:B735,$B735),2))</f>
        <v/>
      </c>
      <c r="N735" s="23" t="str">
        <f>IF($B735="","",IFERROR(ROUND(INDEX(账户期初本位,MATCH($B735,账户名,0))+SUMIFS($L$6:L735,$B$6:B735,$B735),2),""))</f>
        <v/>
      </c>
      <c r="O735" s="46"/>
      <c r="P735" s="47"/>
      <c r="Q735" s="46"/>
      <c r="R735" s="46"/>
      <c r="S735" s="6" t="str">
        <f>IF($B735="","",IF(ISNA(MATCH($B735,账户名,0)),"※这个账户不在【参数设置】的账户档案里",IF($A735="","※没填日期，这一笔不会进任何月份的报表",IF(AND($G735&lt;&gt;"",$H735&lt;&gt;""),"※收入和支出不能同时填",IF(AND(N($G735)=0,N($H735)=0),"※收入和支出都没填",IF($E735="","※没填收支类别，分类报表会漏掉这一笔",IF(ISNA(MATCH($E735,类别表,0)),"※收支类别不在【参数设置】的清单里",IF($J735="","△"&amp;$D735&amp;" 还没填汇率，去【月度汇率】补上就自动算了",IF(YEAR($A735)&lt;&gt;管理年度,"△不是管理年度的单据，年报里看不到",IF(AND($F735="内部转账",$Q735=""),"△内部转账建议在「往来单位」写上对方账户",IF($M735&lt;0,"△这一笔之后该账户余额成负数了，核一下","")))))))))))</f>
        <v/>
      </c>
    </row>
    <row r="736" ht="16.5" spans="1:19">
      <c r="A736" s="45"/>
      <c r="B736" s="46"/>
      <c r="C736" s="12" t="str">
        <f>IF($B736="","",IFERROR(INDEX(账户银行,MATCH($B736,账户名,0)),""))</f>
        <v/>
      </c>
      <c r="D736" s="12" t="str">
        <f>IF($B736="","",IFERROR(INDEX(账户币种,MATCH($B736,账户名,0)),""))</f>
        <v/>
      </c>
      <c r="E736" s="47"/>
      <c r="F736" s="12" t="str">
        <f>IF($E736="","",IFERROR(INDEX(类别属性,MATCH($E736,类别表,0)),""))</f>
        <v/>
      </c>
      <c r="G736" s="48"/>
      <c r="H736" s="48"/>
      <c r="I736" s="49"/>
      <c r="J736" s="24" t="str">
        <f>IF(OR($A736="",$B736=""),"",IF($I736&lt;&gt;"",$I736,IF($D736=本位币,1,IFERROR(LOOKUP(2,1/((汇率月份&lt;=$A736)*(INDEX(记账汇率区,0,MATCH($D736,汇率币种头,0))&lt;&gt;"")),INDEX(记账汇率区,0,MATCH($D736,汇率币种头,0))),""))))</f>
        <v/>
      </c>
      <c r="K736" s="23" t="str">
        <f t="shared" si="22"/>
        <v/>
      </c>
      <c r="L736" s="23" t="str">
        <f t="shared" si="23"/>
        <v/>
      </c>
      <c r="M736" s="23" t="str">
        <f>IF($B736="","",ROUND(SUMIF(账户名,$B736,账户期初)+SUMIFS($K$6:K736,$B$6:B736,$B736),2))</f>
        <v/>
      </c>
      <c r="N736" s="23" t="str">
        <f>IF($B736="","",IFERROR(ROUND(INDEX(账户期初本位,MATCH($B736,账户名,0))+SUMIFS($L$6:L736,$B$6:B736,$B736),2),""))</f>
        <v/>
      </c>
      <c r="O736" s="46"/>
      <c r="P736" s="47"/>
      <c r="Q736" s="46"/>
      <c r="R736" s="46"/>
      <c r="S736" s="6" t="str">
        <f>IF($B736="","",IF(ISNA(MATCH($B736,账户名,0)),"※这个账户不在【参数设置】的账户档案里",IF($A736="","※没填日期，这一笔不会进任何月份的报表",IF(AND($G736&lt;&gt;"",$H736&lt;&gt;""),"※收入和支出不能同时填",IF(AND(N($G736)=0,N($H736)=0),"※收入和支出都没填",IF($E736="","※没填收支类别，分类报表会漏掉这一笔",IF(ISNA(MATCH($E736,类别表,0)),"※收支类别不在【参数设置】的清单里",IF($J736="","△"&amp;$D736&amp;" 还没填汇率，去【月度汇率】补上就自动算了",IF(YEAR($A736)&lt;&gt;管理年度,"△不是管理年度的单据，年报里看不到",IF(AND($F736="内部转账",$Q736=""),"△内部转账建议在「往来单位」写上对方账户",IF($M736&lt;0,"△这一笔之后该账户余额成负数了，核一下","")))))))))))</f>
        <v/>
      </c>
    </row>
    <row r="737" ht="16.5" spans="1:19">
      <c r="A737" s="45"/>
      <c r="B737" s="46"/>
      <c r="C737" s="12" t="str">
        <f>IF($B737="","",IFERROR(INDEX(账户银行,MATCH($B737,账户名,0)),""))</f>
        <v/>
      </c>
      <c r="D737" s="12" t="str">
        <f>IF($B737="","",IFERROR(INDEX(账户币种,MATCH($B737,账户名,0)),""))</f>
        <v/>
      </c>
      <c r="E737" s="47"/>
      <c r="F737" s="12" t="str">
        <f>IF($E737="","",IFERROR(INDEX(类别属性,MATCH($E737,类别表,0)),""))</f>
        <v/>
      </c>
      <c r="G737" s="48"/>
      <c r="H737" s="48"/>
      <c r="I737" s="49"/>
      <c r="J737" s="24" t="str">
        <f>IF(OR($A737="",$B737=""),"",IF($I737&lt;&gt;"",$I737,IF($D737=本位币,1,IFERROR(LOOKUP(2,1/((汇率月份&lt;=$A737)*(INDEX(记账汇率区,0,MATCH($D737,汇率币种头,0))&lt;&gt;"")),INDEX(记账汇率区,0,MATCH($D737,汇率币种头,0))),""))))</f>
        <v/>
      </c>
      <c r="K737" s="23" t="str">
        <f t="shared" si="22"/>
        <v/>
      </c>
      <c r="L737" s="23" t="str">
        <f t="shared" si="23"/>
        <v/>
      </c>
      <c r="M737" s="23" t="str">
        <f>IF($B737="","",ROUND(SUMIF(账户名,$B737,账户期初)+SUMIFS($K$6:K737,$B$6:B737,$B737),2))</f>
        <v/>
      </c>
      <c r="N737" s="23" t="str">
        <f>IF($B737="","",IFERROR(ROUND(INDEX(账户期初本位,MATCH($B737,账户名,0))+SUMIFS($L$6:L737,$B$6:B737,$B737),2),""))</f>
        <v/>
      </c>
      <c r="O737" s="46"/>
      <c r="P737" s="47"/>
      <c r="Q737" s="46"/>
      <c r="R737" s="46"/>
      <c r="S737" s="6" t="str">
        <f>IF($B737="","",IF(ISNA(MATCH($B737,账户名,0)),"※这个账户不在【参数设置】的账户档案里",IF($A737="","※没填日期，这一笔不会进任何月份的报表",IF(AND($G737&lt;&gt;"",$H737&lt;&gt;""),"※收入和支出不能同时填",IF(AND(N($G737)=0,N($H737)=0),"※收入和支出都没填",IF($E737="","※没填收支类别，分类报表会漏掉这一笔",IF(ISNA(MATCH($E737,类别表,0)),"※收支类别不在【参数设置】的清单里",IF($J737="","△"&amp;$D737&amp;" 还没填汇率，去【月度汇率】补上就自动算了",IF(YEAR($A737)&lt;&gt;管理年度,"△不是管理年度的单据，年报里看不到",IF(AND($F737="内部转账",$Q737=""),"△内部转账建议在「往来单位」写上对方账户",IF($M737&lt;0,"△这一笔之后该账户余额成负数了，核一下","")))))))))))</f>
        <v/>
      </c>
    </row>
    <row r="738" ht="16.5" spans="1:19">
      <c r="A738" s="45"/>
      <c r="B738" s="46"/>
      <c r="C738" s="12" t="str">
        <f>IF($B738="","",IFERROR(INDEX(账户银行,MATCH($B738,账户名,0)),""))</f>
        <v/>
      </c>
      <c r="D738" s="12" t="str">
        <f>IF($B738="","",IFERROR(INDEX(账户币种,MATCH($B738,账户名,0)),""))</f>
        <v/>
      </c>
      <c r="E738" s="47"/>
      <c r="F738" s="12" t="str">
        <f>IF($E738="","",IFERROR(INDEX(类别属性,MATCH($E738,类别表,0)),""))</f>
        <v/>
      </c>
      <c r="G738" s="48"/>
      <c r="H738" s="48"/>
      <c r="I738" s="49"/>
      <c r="J738" s="24" t="str">
        <f>IF(OR($A738="",$B738=""),"",IF($I738&lt;&gt;"",$I738,IF($D738=本位币,1,IFERROR(LOOKUP(2,1/((汇率月份&lt;=$A738)*(INDEX(记账汇率区,0,MATCH($D738,汇率币种头,0))&lt;&gt;"")),INDEX(记账汇率区,0,MATCH($D738,汇率币种头,0))),""))))</f>
        <v/>
      </c>
      <c r="K738" s="23" t="str">
        <f t="shared" si="22"/>
        <v/>
      </c>
      <c r="L738" s="23" t="str">
        <f t="shared" si="23"/>
        <v/>
      </c>
      <c r="M738" s="23" t="str">
        <f>IF($B738="","",ROUND(SUMIF(账户名,$B738,账户期初)+SUMIFS($K$6:K738,$B$6:B738,$B738),2))</f>
        <v/>
      </c>
      <c r="N738" s="23" t="str">
        <f>IF($B738="","",IFERROR(ROUND(INDEX(账户期初本位,MATCH($B738,账户名,0))+SUMIFS($L$6:L738,$B$6:B738,$B738),2),""))</f>
        <v/>
      </c>
      <c r="O738" s="46"/>
      <c r="P738" s="47"/>
      <c r="Q738" s="46"/>
      <c r="R738" s="46"/>
      <c r="S738" s="6" t="str">
        <f>IF($B738="","",IF(ISNA(MATCH($B738,账户名,0)),"※这个账户不在【参数设置】的账户档案里",IF($A738="","※没填日期，这一笔不会进任何月份的报表",IF(AND($G738&lt;&gt;"",$H738&lt;&gt;""),"※收入和支出不能同时填",IF(AND(N($G738)=0,N($H738)=0),"※收入和支出都没填",IF($E738="","※没填收支类别，分类报表会漏掉这一笔",IF(ISNA(MATCH($E738,类别表,0)),"※收支类别不在【参数设置】的清单里",IF($J738="","△"&amp;$D738&amp;" 还没填汇率，去【月度汇率】补上就自动算了",IF(YEAR($A738)&lt;&gt;管理年度,"△不是管理年度的单据，年报里看不到",IF(AND($F738="内部转账",$Q738=""),"△内部转账建议在「往来单位」写上对方账户",IF($M738&lt;0,"△这一笔之后该账户余额成负数了，核一下","")))))))))))</f>
        <v/>
      </c>
    </row>
    <row r="739" ht="16.5" spans="1:19">
      <c r="A739" s="45"/>
      <c r="B739" s="46"/>
      <c r="C739" s="12" t="str">
        <f>IF($B739="","",IFERROR(INDEX(账户银行,MATCH($B739,账户名,0)),""))</f>
        <v/>
      </c>
      <c r="D739" s="12" t="str">
        <f>IF($B739="","",IFERROR(INDEX(账户币种,MATCH($B739,账户名,0)),""))</f>
        <v/>
      </c>
      <c r="E739" s="47"/>
      <c r="F739" s="12" t="str">
        <f>IF($E739="","",IFERROR(INDEX(类别属性,MATCH($E739,类别表,0)),""))</f>
        <v/>
      </c>
      <c r="G739" s="48"/>
      <c r="H739" s="48"/>
      <c r="I739" s="49"/>
      <c r="J739" s="24" t="str">
        <f>IF(OR($A739="",$B739=""),"",IF($I739&lt;&gt;"",$I739,IF($D739=本位币,1,IFERROR(LOOKUP(2,1/((汇率月份&lt;=$A739)*(INDEX(记账汇率区,0,MATCH($D739,汇率币种头,0))&lt;&gt;"")),INDEX(记账汇率区,0,MATCH($D739,汇率币种头,0))),""))))</f>
        <v/>
      </c>
      <c r="K739" s="23" t="str">
        <f t="shared" si="22"/>
        <v/>
      </c>
      <c r="L739" s="23" t="str">
        <f t="shared" si="23"/>
        <v/>
      </c>
      <c r="M739" s="23" t="str">
        <f>IF($B739="","",ROUND(SUMIF(账户名,$B739,账户期初)+SUMIFS($K$6:K739,$B$6:B739,$B739),2))</f>
        <v/>
      </c>
      <c r="N739" s="23" t="str">
        <f>IF($B739="","",IFERROR(ROUND(INDEX(账户期初本位,MATCH($B739,账户名,0))+SUMIFS($L$6:L739,$B$6:B739,$B739),2),""))</f>
        <v/>
      </c>
      <c r="O739" s="46"/>
      <c r="P739" s="47"/>
      <c r="Q739" s="46"/>
      <c r="R739" s="46"/>
      <c r="S739" s="6" t="str">
        <f>IF($B739="","",IF(ISNA(MATCH($B739,账户名,0)),"※这个账户不在【参数设置】的账户档案里",IF($A739="","※没填日期，这一笔不会进任何月份的报表",IF(AND($G739&lt;&gt;"",$H739&lt;&gt;""),"※收入和支出不能同时填",IF(AND(N($G739)=0,N($H739)=0),"※收入和支出都没填",IF($E739="","※没填收支类别，分类报表会漏掉这一笔",IF(ISNA(MATCH($E739,类别表,0)),"※收支类别不在【参数设置】的清单里",IF($J739="","△"&amp;$D739&amp;" 还没填汇率，去【月度汇率】补上就自动算了",IF(YEAR($A739)&lt;&gt;管理年度,"△不是管理年度的单据，年报里看不到",IF(AND($F739="内部转账",$Q739=""),"△内部转账建议在「往来单位」写上对方账户",IF($M739&lt;0,"△这一笔之后该账户余额成负数了，核一下","")))))))))))</f>
        <v/>
      </c>
    </row>
    <row r="740" ht="16.5" spans="1:19">
      <c r="A740" s="45"/>
      <c r="B740" s="46"/>
      <c r="C740" s="12" t="str">
        <f>IF($B740="","",IFERROR(INDEX(账户银行,MATCH($B740,账户名,0)),""))</f>
        <v/>
      </c>
      <c r="D740" s="12" t="str">
        <f>IF($B740="","",IFERROR(INDEX(账户币种,MATCH($B740,账户名,0)),""))</f>
        <v/>
      </c>
      <c r="E740" s="47"/>
      <c r="F740" s="12" t="str">
        <f>IF($E740="","",IFERROR(INDEX(类别属性,MATCH($E740,类别表,0)),""))</f>
        <v/>
      </c>
      <c r="G740" s="48"/>
      <c r="H740" s="48"/>
      <c r="I740" s="49"/>
      <c r="J740" s="24" t="str">
        <f>IF(OR($A740="",$B740=""),"",IF($I740&lt;&gt;"",$I740,IF($D740=本位币,1,IFERROR(LOOKUP(2,1/((汇率月份&lt;=$A740)*(INDEX(记账汇率区,0,MATCH($D740,汇率币种头,0))&lt;&gt;"")),INDEX(记账汇率区,0,MATCH($D740,汇率币种头,0))),""))))</f>
        <v/>
      </c>
      <c r="K740" s="23" t="str">
        <f t="shared" si="22"/>
        <v/>
      </c>
      <c r="L740" s="23" t="str">
        <f t="shared" si="23"/>
        <v/>
      </c>
      <c r="M740" s="23" t="str">
        <f>IF($B740="","",ROUND(SUMIF(账户名,$B740,账户期初)+SUMIFS($K$6:K740,$B$6:B740,$B740),2))</f>
        <v/>
      </c>
      <c r="N740" s="23" t="str">
        <f>IF($B740="","",IFERROR(ROUND(INDEX(账户期初本位,MATCH($B740,账户名,0))+SUMIFS($L$6:L740,$B$6:B740,$B740),2),""))</f>
        <v/>
      </c>
      <c r="O740" s="46"/>
      <c r="P740" s="47"/>
      <c r="Q740" s="46"/>
      <c r="R740" s="46"/>
      <c r="S740" s="6" t="str">
        <f>IF($B740="","",IF(ISNA(MATCH($B740,账户名,0)),"※这个账户不在【参数设置】的账户档案里",IF($A740="","※没填日期，这一笔不会进任何月份的报表",IF(AND($G740&lt;&gt;"",$H740&lt;&gt;""),"※收入和支出不能同时填",IF(AND(N($G740)=0,N($H740)=0),"※收入和支出都没填",IF($E740="","※没填收支类别，分类报表会漏掉这一笔",IF(ISNA(MATCH($E740,类别表,0)),"※收支类别不在【参数设置】的清单里",IF($J740="","△"&amp;$D740&amp;" 还没填汇率，去【月度汇率】补上就自动算了",IF(YEAR($A740)&lt;&gt;管理年度,"△不是管理年度的单据，年报里看不到",IF(AND($F740="内部转账",$Q740=""),"△内部转账建议在「往来单位」写上对方账户",IF($M740&lt;0,"△这一笔之后该账户余额成负数了，核一下","")))))))))))</f>
        <v/>
      </c>
    </row>
    <row r="741" ht="16.5" spans="1:19">
      <c r="A741" s="45"/>
      <c r="B741" s="46"/>
      <c r="C741" s="12" t="str">
        <f>IF($B741="","",IFERROR(INDEX(账户银行,MATCH($B741,账户名,0)),""))</f>
        <v/>
      </c>
      <c r="D741" s="12" t="str">
        <f>IF($B741="","",IFERROR(INDEX(账户币种,MATCH($B741,账户名,0)),""))</f>
        <v/>
      </c>
      <c r="E741" s="47"/>
      <c r="F741" s="12" t="str">
        <f>IF($E741="","",IFERROR(INDEX(类别属性,MATCH($E741,类别表,0)),""))</f>
        <v/>
      </c>
      <c r="G741" s="48"/>
      <c r="H741" s="48"/>
      <c r="I741" s="49"/>
      <c r="J741" s="24" t="str">
        <f>IF(OR($A741="",$B741=""),"",IF($I741&lt;&gt;"",$I741,IF($D741=本位币,1,IFERROR(LOOKUP(2,1/((汇率月份&lt;=$A741)*(INDEX(记账汇率区,0,MATCH($D741,汇率币种头,0))&lt;&gt;"")),INDEX(记账汇率区,0,MATCH($D741,汇率币种头,0))),""))))</f>
        <v/>
      </c>
      <c r="K741" s="23" t="str">
        <f t="shared" si="22"/>
        <v/>
      </c>
      <c r="L741" s="23" t="str">
        <f t="shared" si="23"/>
        <v/>
      </c>
      <c r="M741" s="23" t="str">
        <f>IF($B741="","",ROUND(SUMIF(账户名,$B741,账户期初)+SUMIFS($K$6:K741,$B$6:B741,$B741),2))</f>
        <v/>
      </c>
      <c r="N741" s="23" t="str">
        <f>IF($B741="","",IFERROR(ROUND(INDEX(账户期初本位,MATCH($B741,账户名,0))+SUMIFS($L$6:L741,$B$6:B741,$B741),2),""))</f>
        <v/>
      </c>
      <c r="O741" s="46"/>
      <c r="P741" s="47"/>
      <c r="Q741" s="46"/>
      <c r="R741" s="46"/>
      <c r="S741" s="6" t="str">
        <f>IF($B741="","",IF(ISNA(MATCH($B741,账户名,0)),"※这个账户不在【参数设置】的账户档案里",IF($A741="","※没填日期，这一笔不会进任何月份的报表",IF(AND($G741&lt;&gt;"",$H741&lt;&gt;""),"※收入和支出不能同时填",IF(AND(N($G741)=0,N($H741)=0),"※收入和支出都没填",IF($E741="","※没填收支类别，分类报表会漏掉这一笔",IF(ISNA(MATCH($E741,类别表,0)),"※收支类别不在【参数设置】的清单里",IF($J741="","△"&amp;$D741&amp;" 还没填汇率，去【月度汇率】补上就自动算了",IF(YEAR($A741)&lt;&gt;管理年度,"△不是管理年度的单据，年报里看不到",IF(AND($F741="内部转账",$Q741=""),"△内部转账建议在「往来单位」写上对方账户",IF($M741&lt;0,"△这一笔之后该账户余额成负数了，核一下","")))))))))))</f>
        <v/>
      </c>
    </row>
    <row r="742" ht="16.5" spans="1:19">
      <c r="A742" s="45"/>
      <c r="B742" s="46"/>
      <c r="C742" s="12" t="str">
        <f>IF($B742="","",IFERROR(INDEX(账户银行,MATCH($B742,账户名,0)),""))</f>
        <v/>
      </c>
      <c r="D742" s="12" t="str">
        <f>IF($B742="","",IFERROR(INDEX(账户币种,MATCH($B742,账户名,0)),""))</f>
        <v/>
      </c>
      <c r="E742" s="47"/>
      <c r="F742" s="12" t="str">
        <f>IF($E742="","",IFERROR(INDEX(类别属性,MATCH($E742,类别表,0)),""))</f>
        <v/>
      </c>
      <c r="G742" s="48"/>
      <c r="H742" s="48"/>
      <c r="I742" s="49"/>
      <c r="J742" s="24" t="str">
        <f>IF(OR($A742="",$B742=""),"",IF($I742&lt;&gt;"",$I742,IF($D742=本位币,1,IFERROR(LOOKUP(2,1/((汇率月份&lt;=$A742)*(INDEX(记账汇率区,0,MATCH($D742,汇率币种头,0))&lt;&gt;"")),INDEX(记账汇率区,0,MATCH($D742,汇率币种头,0))),""))))</f>
        <v/>
      </c>
      <c r="K742" s="23" t="str">
        <f t="shared" si="22"/>
        <v/>
      </c>
      <c r="L742" s="23" t="str">
        <f t="shared" si="23"/>
        <v/>
      </c>
      <c r="M742" s="23" t="str">
        <f>IF($B742="","",ROUND(SUMIF(账户名,$B742,账户期初)+SUMIFS($K$6:K742,$B$6:B742,$B742),2))</f>
        <v/>
      </c>
      <c r="N742" s="23" t="str">
        <f>IF($B742="","",IFERROR(ROUND(INDEX(账户期初本位,MATCH($B742,账户名,0))+SUMIFS($L$6:L742,$B$6:B742,$B742),2),""))</f>
        <v/>
      </c>
      <c r="O742" s="46"/>
      <c r="P742" s="47"/>
      <c r="Q742" s="46"/>
      <c r="R742" s="46"/>
      <c r="S742" s="6" t="str">
        <f>IF($B742="","",IF(ISNA(MATCH($B742,账户名,0)),"※这个账户不在【参数设置】的账户档案里",IF($A742="","※没填日期，这一笔不会进任何月份的报表",IF(AND($G742&lt;&gt;"",$H742&lt;&gt;""),"※收入和支出不能同时填",IF(AND(N($G742)=0,N($H742)=0),"※收入和支出都没填",IF($E742="","※没填收支类别，分类报表会漏掉这一笔",IF(ISNA(MATCH($E742,类别表,0)),"※收支类别不在【参数设置】的清单里",IF($J742="","△"&amp;$D742&amp;" 还没填汇率，去【月度汇率】补上就自动算了",IF(YEAR($A742)&lt;&gt;管理年度,"△不是管理年度的单据，年报里看不到",IF(AND($F742="内部转账",$Q742=""),"△内部转账建议在「往来单位」写上对方账户",IF($M742&lt;0,"△这一笔之后该账户余额成负数了，核一下","")))))))))))</f>
        <v/>
      </c>
    </row>
    <row r="743" ht="16.5" spans="1:19">
      <c r="A743" s="45"/>
      <c r="B743" s="46"/>
      <c r="C743" s="12" t="str">
        <f>IF($B743="","",IFERROR(INDEX(账户银行,MATCH($B743,账户名,0)),""))</f>
        <v/>
      </c>
      <c r="D743" s="12" t="str">
        <f>IF($B743="","",IFERROR(INDEX(账户币种,MATCH($B743,账户名,0)),""))</f>
        <v/>
      </c>
      <c r="E743" s="47"/>
      <c r="F743" s="12" t="str">
        <f>IF($E743="","",IFERROR(INDEX(类别属性,MATCH($E743,类别表,0)),""))</f>
        <v/>
      </c>
      <c r="G743" s="48"/>
      <c r="H743" s="48"/>
      <c r="I743" s="49"/>
      <c r="J743" s="24" t="str">
        <f>IF(OR($A743="",$B743=""),"",IF($I743&lt;&gt;"",$I743,IF($D743=本位币,1,IFERROR(LOOKUP(2,1/((汇率月份&lt;=$A743)*(INDEX(记账汇率区,0,MATCH($D743,汇率币种头,0))&lt;&gt;"")),INDEX(记账汇率区,0,MATCH($D743,汇率币种头,0))),""))))</f>
        <v/>
      </c>
      <c r="K743" s="23" t="str">
        <f t="shared" si="22"/>
        <v/>
      </c>
      <c r="L743" s="23" t="str">
        <f t="shared" si="23"/>
        <v/>
      </c>
      <c r="M743" s="23" t="str">
        <f>IF($B743="","",ROUND(SUMIF(账户名,$B743,账户期初)+SUMIFS($K$6:K743,$B$6:B743,$B743),2))</f>
        <v/>
      </c>
      <c r="N743" s="23" t="str">
        <f>IF($B743="","",IFERROR(ROUND(INDEX(账户期初本位,MATCH($B743,账户名,0))+SUMIFS($L$6:L743,$B$6:B743,$B743),2),""))</f>
        <v/>
      </c>
      <c r="O743" s="46"/>
      <c r="P743" s="47"/>
      <c r="Q743" s="46"/>
      <c r="R743" s="46"/>
      <c r="S743" s="6" t="str">
        <f>IF($B743="","",IF(ISNA(MATCH($B743,账户名,0)),"※这个账户不在【参数设置】的账户档案里",IF($A743="","※没填日期，这一笔不会进任何月份的报表",IF(AND($G743&lt;&gt;"",$H743&lt;&gt;""),"※收入和支出不能同时填",IF(AND(N($G743)=0,N($H743)=0),"※收入和支出都没填",IF($E743="","※没填收支类别，分类报表会漏掉这一笔",IF(ISNA(MATCH($E743,类别表,0)),"※收支类别不在【参数设置】的清单里",IF($J743="","△"&amp;$D743&amp;" 还没填汇率，去【月度汇率】补上就自动算了",IF(YEAR($A743)&lt;&gt;管理年度,"△不是管理年度的单据，年报里看不到",IF(AND($F743="内部转账",$Q743=""),"△内部转账建议在「往来单位」写上对方账户",IF($M743&lt;0,"△这一笔之后该账户余额成负数了，核一下","")))))))))))</f>
        <v/>
      </c>
    </row>
    <row r="744" ht="16.5" spans="1:19">
      <c r="A744" s="45"/>
      <c r="B744" s="46"/>
      <c r="C744" s="12" t="str">
        <f>IF($B744="","",IFERROR(INDEX(账户银行,MATCH($B744,账户名,0)),""))</f>
        <v/>
      </c>
      <c r="D744" s="12" t="str">
        <f>IF($B744="","",IFERROR(INDEX(账户币种,MATCH($B744,账户名,0)),""))</f>
        <v/>
      </c>
      <c r="E744" s="47"/>
      <c r="F744" s="12" t="str">
        <f>IF($E744="","",IFERROR(INDEX(类别属性,MATCH($E744,类别表,0)),""))</f>
        <v/>
      </c>
      <c r="G744" s="48"/>
      <c r="H744" s="48"/>
      <c r="I744" s="49"/>
      <c r="J744" s="24" t="str">
        <f>IF(OR($A744="",$B744=""),"",IF($I744&lt;&gt;"",$I744,IF($D744=本位币,1,IFERROR(LOOKUP(2,1/((汇率月份&lt;=$A744)*(INDEX(记账汇率区,0,MATCH($D744,汇率币种头,0))&lt;&gt;"")),INDEX(记账汇率区,0,MATCH($D744,汇率币种头,0))),""))))</f>
        <v/>
      </c>
      <c r="K744" s="23" t="str">
        <f t="shared" si="22"/>
        <v/>
      </c>
      <c r="L744" s="23" t="str">
        <f t="shared" si="23"/>
        <v/>
      </c>
      <c r="M744" s="23" t="str">
        <f>IF($B744="","",ROUND(SUMIF(账户名,$B744,账户期初)+SUMIFS($K$6:K744,$B$6:B744,$B744),2))</f>
        <v/>
      </c>
      <c r="N744" s="23" t="str">
        <f>IF($B744="","",IFERROR(ROUND(INDEX(账户期初本位,MATCH($B744,账户名,0))+SUMIFS($L$6:L744,$B$6:B744,$B744),2),""))</f>
        <v/>
      </c>
      <c r="O744" s="46"/>
      <c r="P744" s="47"/>
      <c r="Q744" s="46"/>
      <c r="R744" s="46"/>
      <c r="S744" s="6" t="str">
        <f>IF($B744="","",IF(ISNA(MATCH($B744,账户名,0)),"※这个账户不在【参数设置】的账户档案里",IF($A744="","※没填日期，这一笔不会进任何月份的报表",IF(AND($G744&lt;&gt;"",$H744&lt;&gt;""),"※收入和支出不能同时填",IF(AND(N($G744)=0,N($H744)=0),"※收入和支出都没填",IF($E744="","※没填收支类别，分类报表会漏掉这一笔",IF(ISNA(MATCH($E744,类别表,0)),"※收支类别不在【参数设置】的清单里",IF($J744="","△"&amp;$D744&amp;" 还没填汇率，去【月度汇率】补上就自动算了",IF(YEAR($A744)&lt;&gt;管理年度,"△不是管理年度的单据，年报里看不到",IF(AND($F744="内部转账",$Q744=""),"△内部转账建议在「往来单位」写上对方账户",IF($M744&lt;0,"△这一笔之后该账户余额成负数了，核一下","")))))))))))</f>
        <v/>
      </c>
    </row>
    <row r="745" ht="16.5" spans="1:19">
      <c r="A745" s="45"/>
      <c r="B745" s="46"/>
      <c r="C745" s="12" t="str">
        <f>IF($B745="","",IFERROR(INDEX(账户银行,MATCH($B745,账户名,0)),""))</f>
        <v/>
      </c>
      <c r="D745" s="12" t="str">
        <f>IF($B745="","",IFERROR(INDEX(账户币种,MATCH($B745,账户名,0)),""))</f>
        <v/>
      </c>
      <c r="E745" s="47"/>
      <c r="F745" s="12" t="str">
        <f>IF($E745="","",IFERROR(INDEX(类别属性,MATCH($E745,类别表,0)),""))</f>
        <v/>
      </c>
      <c r="G745" s="48"/>
      <c r="H745" s="48"/>
      <c r="I745" s="49"/>
      <c r="J745" s="24" t="str">
        <f>IF(OR($A745="",$B745=""),"",IF($I745&lt;&gt;"",$I745,IF($D745=本位币,1,IFERROR(LOOKUP(2,1/((汇率月份&lt;=$A745)*(INDEX(记账汇率区,0,MATCH($D745,汇率币种头,0))&lt;&gt;"")),INDEX(记账汇率区,0,MATCH($D745,汇率币种头,0))),""))))</f>
        <v/>
      </c>
      <c r="K745" s="23" t="str">
        <f t="shared" si="22"/>
        <v/>
      </c>
      <c r="L745" s="23" t="str">
        <f t="shared" si="23"/>
        <v/>
      </c>
      <c r="M745" s="23" t="str">
        <f>IF($B745="","",ROUND(SUMIF(账户名,$B745,账户期初)+SUMIFS($K$6:K745,$B$6:B745,$B745),2))</f>
        <v/>
      </c>
      <c r="N745" s="23" t="str">
        <f>IF($B745="","",IFERROR(ROUND(INDEX(账户期初本位,MATCH($B745,账户名,0))+SUMIFS($L$6:L745,$B$6:B745,$B745),2),""))</f>
        <v/>
      </c>
      <c r="O745" s="46"/>
      <c r="P745" s="47"/>
      <c r="Q745" s="46"/>
      <c r="R745" s="46"/>
      <c r="S745" s="6" t="str">
        <f>IF($B745="","",IF(ISNA(MATCH($B745,账户名,0)),"※这个账户不在【参数设置】的账户档案里",IF($A745="","※没填日期，这一笔不会进任何月份的报表",IF(AND($G745&lt;&gt;"",$H745&lt;&gt;""),"※收入和支出不能同时填",IF(AND(N($G745)=0,N($H745)=0),"※收入和支出都没填",IF($E745="","※没填收支类别，分类报表会漏掉这一笔",IF(ISNA(MATCH($E745,类别表,0)),"※收支类别不在【参数设置】的清单里",IF($J745="","△"&amp;$D745&amp;" 还没填汇率，去【月度汇率】补上就自动算了",IF(YEAR($A745)&lt;&gt;管理年度,"△不是管理年度的单据，年报里看不到",IF(AND($F745="内部转账",$Q745=""),"△内部转账建议在「往来单位」写上对方账户",IF($M745&lt;0,"△这一笔之后该账户余额成负数了，核一下","")))))))))))</f>
        <v/>
      </c>
    </row>
    <row r="746" ht="16.5" spans="1:19">
      <c r="A746" s="45"/>
      <c r="B746" s="46"/>
      <c r="C746" s="12" t="str">
        <f>IF($B746="","",IFERROR(INDEX(账户银行,MATCH($B746,账户名,0)),""))</f>
        <v/>
      </c>
      <c r="D746" s="12" t="str">
        <f>IF($B746="","",IFERROR(INDEX(账户币种,MATCH($B746,账户名,0)),""))</f>
        <v/>
      </c>
      <c r="E746" s="47"/>
      <c r="F746" s="12" t="str">
        <f>IF($E746="","",IFERROR(INDEX(类别属性,MATCH($E746,类别表,0)),""))</f>
        <v/>
      </c>
      <c r="G746" s="48"/>
      <c r="H746" s="48"/>
      <c r="I746" s="49"/>
      <c r="J746" s="24" t="str">
        <f>IF(OR($A746="",$B746=""),"",IF($I746&lt;&gt;"",$I746,IF($D746=本位币,1,IFERROR(LOOKUP(2,1/((汇率月份&lt;=$A746)*(INDEX(记账汇率区,0,MATCH($D746,汇率币种头,0))&lt;&gt;"")),INDEX(记账汇率区,0,MATCH($D746,汇率币种头,0))),""))))</f>
        <v/>
      </c>
      <c r="K746" s="23" t="str">
        <f t="shared" si="22"/>
        <v/>
      </c>
      <c r="L746" s="23" t="str">
        <f t="shared" si="23"/>
        <v/>
      </c>
      <c r="M746" s="23" t="str">
        <f>IF($B746="","",ROUND(SUMIF(账户名,$B746,账户期初)+SUMIFS($K$6:K746,$B$6:B746,$B746),2))</f>
        <v/>
      </c>
      <c r="N746" s="23" t="str">
        <f>IF($B746="","",IFERROR(ROUND(INDEX(账户期初本位,MATCH($B746,账户名,0))+SUMIFS($L$6:L746,$B$6:B746,$B746),2),""))</f>
        <v/>
      </c>
      <c r="O746" s="46"/>
      <c r="P746" s="47"/>
      <c r="Q746" s="46"/>
      <c r="R746" s="46"/>
      <c r="S746" s="6" t="str">
        <f>IF($B746="","",IF(ISNA(MATCH($B746,账户名,0)),"※这个账户不在【参数设置】的账户档案里",IF($A746="","※没填日期，这一笔不会进任何月份的报表",IF(AND($G746&lt;&gt;"",$H746&lt;&gt;""),"※收入和支出不能同时填",IF(AND(N($G746)=0,N($H746)=0),"※收入和支出都没填",IF($E746="","※没填收支类别，分类报表会漏掉这一笔",IF(ISNA(MATCH($E746,类别表,0)),"※收支类别不在【参数设置】的清单里",IF($J746="","△"&amp;$D746&amp;" 还没填汇率，去【月度汇率】补上就自动算了",IF(YEAR($A746)&lt;&gt;管理年度,"△不是管理年度的单据，年报里看不到",IF(AND($F746="内部转账",$Q746=""),"△内部转账建议在「往来单位」写上对方账户",IF($M746&lt;0,"△这一笔之后该账户余额成负数了，核一下","")))))))))))</f>
        <v/>
      </c>
    </row>
    <row r="747" ht="16.5" spans="1:19">
      <c r="A747" s="45"/>
      <c r="B747" s="46"/>
      <c r="C747" s="12" t="str">
        <f>IF($B747="","",IFERROR(INDEX(账户银行,MATCH($B747,账户名,0)),""))</f>
        <v/>
      </c>
      <c r="D747" s="12" t="str">
        <f>IF($B747="","",IFERROR(INDEX(账户币种,MATCH($B747,账户名,0)),""))</f>
        <v/>
      </c>
      <c r="E747" s="47"/>
      <c r="F747" s="12" t="str">
        <f>IF($E747="","",IFERROR(INDEX(类别属性,MATCH($E747,类别表,0)),""))</f>
        <v/>
      </c>
      <c r="G747" s="48"/>
      <c r="H747" s="48"/>
      <c r="I747" s="49"/>
      <c r="J747" s="24" t="str">
        <f>IF(OR($A747="",$B747=""),"",IF($I747&lt;&gt;"",$I747,IF($D747=本位币,1,IFERROR(LOOKUP(2,1/((汇率月份&lt;=$A747)*(INDEX(记账汇率区,0,MATCH($D747,汇率币种头,0))&lt;&gt;"")),INDEX(记账汇率区,0,MATCH($D747,汇率币种头,0))),""))))</f>
        <v/>
      </c>
      <c r="K747" s="23" t="str">
        <f t="shared" si="22"/>
        <v/>
      </c>
      <c r="L747" s="23" t="str">
        <f t="shared" si="23"/>
        <v/>
      </c>
      <c r="M747" s="23" t="str">
        <f>IF($B747="","",ROUND(SUMIF(账户名,$B747,账户期初)+SUMIFS($K$6:K747,$B$6:B747,$B747),2))</f>
        <v/>
      </c>
      <c r="N747" s="23" t="str">
        <f>IF($B747="","",IFERROR(ROUND(INDEX(账户期初本位,MATCH($B747,账户名,0))+SUMIFS($L$6:L747,$B$6:B747,$B747),2),""))</f>
        <v/>
      </c>
      <c r="O747" s="46"/>
      <c r="P747" s="47"/>
      <c r="Q747" s="46"/>
      <c r="R747" s="46"/>
      <c r="S747" s="6" t="str">
        <f>IF($B747="","",IF(ISNA(MATCH($B747,账户名,0)),"※这个账户不在【参数设置】的账户档案里",IF($A747="","※没填日期，这一笔不会进任何月份的报表",IF(AND($G747&lt;&gt;"",$H747&lt;&gt;""),"※收入和支出不能同时填",IF(AND(N($G747)=0,N($H747)=0),"※收入和支出都没填",IF($E747="","※没填收支类别，分类报表会漏掉这一笔",IF(ISNA(MATCH($E747,类别表,0)),"※收支类别不在【参数设置】的清单里",IF($J747="","△"&amp;$D747&amp;" 还没填汇率，去【月度汇率】补上就自动算了",IF(YEAR($A747)&lt;&gt;管理年度,"△不是管理年度的单据，年报里看不到",IF(AND($F747="内部转账",$Q747=""),"△内部转账建议在「往来单位」写上对方账户",IF($M747&lt;0,"△这一笔之后该账户余额成负数了，核一下","")))))))))))</f>
        <v/>
      </c>
    </row>
    <row r="748" ht="16.5" spans="1:19">
      <c r="A748" s="45"/>
      <c r="B748" s="46"/>
      <c r="C748" s="12" t="str">
        <f>IF($B748="","",IFERROR(INDEX(账户银行,MATCH($B748,账户名,0)),""))</f>
        <v/>
      </c>
      <c r="D748" s="12" t="str">
        <f>IF($B748="","",IFERROR(INDEX(账户币种,MATCH($B748,账户名,0)),""))</f>
        <v/>
      </c>
      <c r="E748" s="47"/>
      <c r="F748" s="12" t="str">
        <f>IF($E748="","",IFERROR(INDEX(类别属性,MATCH($E748,类别表,0)),""))</f>
        <v/>
      </c>
      <c r="G748" s="48"/>
      <c r="H748" s="48"/>
      <c r="I748" s="49"/>
      <c r="J748" s="24" t="str">
        <f>IF(OR($A748="",$B748=""),"",IF($I748&lt;&gt;"",$I748,IF($D748=本位币,1,IFERROR(LOOKUP(2,1/((汇率月份&lt;=$A748)*(INDEX(记账汇率区,0,MATCH($D748,汇率币种头,0))&lt;&gt;"")),INDEX(记账汇率区,0,MATCH($D748,汇率币种头,0))),""))))</f>
        <v/>
      </c>
      <c r="K748" s="23" t="str">
        <f t="shared" si="22"/>
        <v/>
      </c>
      <c r="L748" s="23" t="str">
        <f t="shared" si="23"/>
        <v/>
      </c>
      <c r="M748" s="23" t="str">
        <f>IF($B748="","",ROUND(SUMIF(账户名,$B748,账户期初)+SUMIFS($K$6:K748,$B$6:B748,$B748),2))</f>
        <v/>
      </c>
      <c r="N748" s="23" t="str">
        <f>IF($B748="","",IFERROR(ROUND(INDEX(账户期初本位,MATCH($B748,账户名,0))+SUMIFS($L$6:L748,$B$6:B748,$B748),2),""))</f>
        <v/>
      </c>
      <c r="O748" s="46"/>
      <c r="P748" s="47"/>
      <c r="Q748" s="46"/>
      <c r="R748" s="46"/>
      <c r="S748" s="6" t="str">
        <f>IF($B748="","",IF(ISNA(MATCH($B748,账户名,0)),"※这个账户不在【参数设置】的账户档案里",IF($A748="","※没填日期，这一笔不会进任何月份的报表",IF(AND($G748&lt;&gt;"",$H748&lt;&gt;""),"※收入和支出不能同时填",IF(AND(N($G748)=0,N($H748)=0),"※收入和支出都没填",IF($E748="","※没填收支类别，分类报表会漏掉这一笔",IF(ISNA(MATCH($E748,类别表,0)),"※收支类别不在【参数设置】的清单里",IF($J748="","△"&amp;$D748&amp;" 还没填汇率，去【月度汇率】补上就自动算了",IF(YEAR($A748)&lt;&gt;管理年度,"△不是管理年度的单据，年报里看不到",IF(AND($F748="内部转账",$Q748=""),"△内部转账建议在「往来单位」写上对方账户",IF($M748&lt;0,"△这一笔之后该账户余额成负数了，核一下","")))))))))))</f>
        <v/>
      </c>
    </row>
    <row r="749" ht="16.5" spans="1:19">
      <c r="A749" s="45"/>
      <c r="B749" s="46"/>
      <c r="C749" s="12" t="str">
        <f>IF($B749="","",IFERROR(INDEX(账户银行,MATCH($B749,账户名,0)),""))</f>
        <v/>
      </c>
      <c r="D749" s="12" t="str">
        <f>IF($B749="","",IFERROR(INDEX(账户币种,MATCH($B749,账户名,0)),""))</f>
        <v/>
      </c>
      <c r="E749" s="47"/>
      <c r="F749" s="12" t="str">
        <f>IF($E749="","",IFERROR(INDEX(类别属性,MATCH($E749,类别表,0)),""))</f>
        <v/>
      </c>
      <c r="G749" s="48"/>
      <c r="H749" s="48"/>
      <c r="I749" s="49"/>
      <c r="J749" s="24" t="str">
        <f>IF(OR($A749="",$B749=""),"",IF($I749&lt;&gt;"",$I749,IF($D749=本位币,1,IFERROR(LOOKUP(2,1/((汇率月份&lt;=$A749)*(INDEX(记账汇率区,0,MATCH($D749,汇率币种头,0))&lt;&gt;"")),INDEX(记账汇率区,0,MATCH($D749,汇率币种头,0))),""))))</f>
        <v/>
      </c>
      <c r="K749" s="23" t="str">
        <f t="shared" si="22"/>
        <v/>
      </c>
      <c r="L749" s="23" t="str">
        <f t="shared" si="23"/>
        <v/>
      </c>
      <c r="M749" s="23" t="str">
        <f>IF($B749="","",ROUND(SUMIF(账户名,$B749,账户期初)+SUMIFS($K$6:K749,$B$6:B749,$B749),2))</f>
        <v/>
      </c>
      <c r="N749" s="23" t="str">
        <f>IF($B749="","",IFERROR(ROUND(INDEX(账户期初本位,MATCH($B749,账户名,0))+SUMIFS($L$6:L749,$B$6:B749,$B749),2),""))</f>
        <v/>
      </c>
      <c r="O749" s="46"/>
      <c r="P749" s="47"/>
      <c r="Q749" s="46"/>
      <c r="R749" s="46"/>
      <c r="S749" s="6" t="str">
        <f>IF($B749="","",IF(ISNA(MATCH($B749,账户名,0)),"※这个账户不在【参数设置】的账户档案里",IF($A749="","※没填日期，这一笔不会进任何月份的报表",IF(AND($G749&lt;&gt;"",$H749&lt;&gt;""),"※收入和支出不能同时填",IF(AND(N($G749)=0,N($H749)=0),"※收入和支出都没填",IF($E749="","※没填收支类别，分类报表会漏掉这一笔",IF(ISNA(MATCH($E749,类别表,0)),"※收支类别不在【参数设置】的清单里",IF($J749="","△"&amp;$D749&amp;" 还没填汇率，去【月度汇率】补上就自动算了",IF(YEAR($A749)&lt;&gt;管理年度,"△不是管理年度的单据，年报里看不到",IF(AND($F749="内部转账",$Q749=""),"△内部转账建议在「往来单位」写上对方账户",IF($M749&lt;0,"△这一笔之后该账户余额成负数了，核一下","")))))))))))</f>
        <v/>
      </c>
    </row>
    <row r="750" ht="16.5" spans="1:19">
      <c r="A750" s="45"/>
      <c r="B750" s="46"/>
      <c r="C750" s="12" t="str">
        <f>IF($B750="","",IFERROR(INDEX(账户银行,MATCH($B750,账户名,0)),""))</f>
        <v/>
      </c>
      <c r="D750" s="12" t="str">
        <f>IF($B750="","",IFERROR(INDEX(账户币种,MATCH($B750,账户名,0)),""))</f>
        <v/>
      </c>
      <c r="E750" s="47"/>
      <c r="F750" s="12" t="str">
        <f>IF($E750="","",IFERROR(INDEX(类别属性,MATCH($E750,类别表,0)),""))</f>
        <v/>
      </c>
      <c r="G750" s="48"/>
      <c r="H750" s="48"/>
      <c r="I750" s="49"/>
      <c r="J750" s="24" t="str">
        <f>IF(OR($A750="",$B750=""),"",IF($I750&lt;&gt;"",$I750,IF($D750=本位币,1,IFERROR(LOOKUP(2,1/((汇率月份&lt;=$A750)*(INDEX(记账汇率区,0,MATCH($D750,汇率币种头,0))&lt;&gt;"")),INDEX(记账汇率区,0,MATCH($D750,汇率币种头,0))),""))))</f>
        <v/>
      </c>
      <c r="K750" s="23" t="str">
        <f t="shared" si="22"/>
        <v/>
      </c>
      <c r="L750" s="23" t="str">
        <f t="shared" si="23"/>
        <v/>
      </c>
      <c r="M750" s="23" t="str">
        <f>IF($B750="","",ROUND(SUMIF(账户名,$B750,账户期初)+SUMIFS($K$6:K750,$B$6:B750,$B750),2))</f>
        <v/>
      </c>
      <c r="N750" s="23" t="str">
        <f>IF($B750="","",IFERROR(ROUND(INDEX(账户期初本位,MATCH($B750,账户名,0))+SUMIFS($L$6:L750,$B$6:B750,$B750),2),""))</f>
        <v/>
      </c>
      <c r="O750" s="46"/>
      <c r="P750" s="47"/>
      <c r="Q750" s="46"/>
      <c r="R750" s="46"/>
      <c r="S750" s="6" t="str">
        <f>IF($B750="","",IF(ISNA(MATCH($B750,账户名,0)),"※这个账户不在【参数设置】的账户档案里",IF($A750="","※没填日期，这一笔不会进任何月份的报表",IF(AND($G750&lt;&gt;"",$H750&lt;&gt;""),"※收入和支出不能同时填",IF(AND(N($G750)=0,N($H750)=0),"※收入和支出都没填",IF($E750="","※没填收支类别，分类报表会漏掉这一笔",IF(ISNA(MATCH($E750,类别表,0)),"※收支类别不在【参数设置】的清单里",IF($J750="","△"&amp;$D750&amp;" 还没填汇率，去【月度汇率】补上就自动算了",IF(YEAR($A750)&lt;&gt;管理年度,"△不是管理年度的单据，年报里看不到",IF(AND($F750="内部转账",$Q750=""),"△内部转账建议在「往来单位」写上对方账户",IF($M750&lt;0,"△这一笔之后该账户余额成负数了，核一下","")))))))))))</f>
        <v/>
      </c>
    </row>
    <row r="751" ht="16.5" spans="1:19">
      <c r="A751" s="45"/>
      <c r="B751" s="46"/>
      <c r="C751" s="12" t="str">
        <f>IF($B751="","",IFERROR(INDEX(账户银行,MATCH($B751,账户名,0)),""))</f>
        <v/>
      </c>
      <c r="D751" s="12" t="str">
        <f>IF($B751="","",IFERROR(INDEX(账户币种,MATCH($B751,账户名,0)),""))</f>
        <v/>
      </c>
      <c r="E751" s="47"/>
      <c r="F751" s="12" t="str">
        <f>IF($E751="","",IFERROR(INDEX(类别属性,MATCH($E751,类别表,0)),""))</f>
        <v/>
      </c>
      <c r="G751" s="48"/>
      <c r="H751" s="48"/>
      <c r="I751" s="49"/>
      <c r="J751" s="24" t="str">
        <f>IF(OR($A751="",$B751=""),"",IF($I751&lt;&gt;"",$I751,IF($D751=本位币,1,IFERROR(LOOKUP(2,1/((汇率月份&lt;=$A751)*(INDEX(记账汇率区,0,MATCH($D751,汇率币种头,0))&lt;&gt;"")),INDEX(记账汇率区,0,MATCH($D751,汇率币种头,0))),""))))</f>
        <v/>
      </c>
      <c r="K751" s="23" t="str">
        <f t="shared" si="22"/>
        <v/>
      </c>
      <c r="L751" s="23" t="str">
        <f t="shared" si="23"/>
        <v/>
      </c>
      <c r="M751" s="23" t="str">
        <f>IF($B751="","",ROUND(SUMIF(账户名,$B751,账户期初)+SUMIFS($K$6:K751,$B$6:B751,$B751),2))</f>
        <v/>
      </c>
      <c r="N751" s="23" t="str">
        <f>IF($B751="","",IFERROR(ROUND(INDEX(账户期初本位,MATCH($B751,账户名,0))+SUMIFS($L$6:L751,$B$6:B751,$B751),2),""))</f>
        <v/>
      </c>
      <c r="O751" s="46"/>
      <c r="P751" s="47"/>
      <c r="Q751" s="46"/>
      <c r="R751" s="46"/>
      <c r="S751" s="6" t="str">
        <f>IF($B751="","",IF(ISNA(MATCH($B751,账户名,0)),"※这个账户不在【参数设置】的账户档案里",IF($A751="","※没填日期，这一笔不会进任何月份的报表",IF(AND($G751&lt;&gt;"",$H751&lt;&gt;""),"※收入和支出不能同时填",IF(AND(N($G751)=0,N($H751)=0),"※收入和支出都没填",IF($E751="","※没填收支类别，分类报表会漏掉这一笔",IF(ISNA(MATCH($E751,类别表,0)),"※收支类别不在【参数设置】的清单里",IF($J751="","△"&amp;$D751&amp;" 还没填汇率，去【月度汇率】补上就自动算了",IF(YEAR($A751)&lt;&gt;管理年度,"△不是管理年度的单据，年报里看不到",IF(AND($F751="内部转账",$Q751=""),"△内部转账建议在「往来单位」写上对方账户",IF($M751&lt;0,"△这一笔之后该账户余额成负数了，核一下","")))))))))))</f>
        <v/>
      </c>
    </row>
    <row r="752" ht="16.5" spans="1:19">
      <c r="A752" s="45"/>
      <c r="B752" s="46"/>
      <c r="C752" s="12" t="str">
        <f>IF($B752="","",IFERROR(INDEX(账户银行,MATCH($B752,账户名,0)),""))</f>
        <v/>
      </c>
      <c r="D752" s="12" t="str">
        <f>IF($B752="","",IFERROR(INDEX(账户币种,MATCH($B752,账户名,0)),""))</f>
        <v/>
      </c>
      <c r="E752" s="47"/>
      <c r="F752" s="12" t="str">
        <f>IF($E752="","",IFERROR(INDEX(类别属性,MATCH($E752,类别表,0)),""))</f>
        <v/>
      </c>
      <c r="G752" s="48"/>
      <c r="H752" s="48"/>
      <c r="I752" s="49"/>
      <c r="J752" s="24" t="str">
        <f>IF(OR($A752="",$B752=""),"",IF($I752&lt;&gt;"",$I752,IF($D752=本位币,1,IFERROR(LOOKUP(2,1/((汇率月份&lt;=$A752)*(INDEX(记账汇率区,0,MATCH($D752,汇率币种头,0))&lt;&gt;"")),INDEX(记账汇率区,0,MATCH($D752,汇率币种头,0))),""))))</f>
        <v/>
      </c>
      <c r="K752" s="23" t="str">
        <f t="shared" si="22"/>
        <v/>
      </c>
      <c r="L752" s="23" t="str">
        <f t="shared" si="23"/>
        <v/>
      </c>
      <c r="M752" s="23" t="str">
        <f>IF($B752="","",ROUND(SUMIF(账户名,$B752,账户期初)+SUMIFS($K$6:K752,$B$6:B752,$B752),2))</f>
        <v/>
      </c>
      <c r="N752" s="23" t="str">
        <f>IF($B752="","",IFERROR(ROUND(INDEX(账户期初本位,MATCH($B752,账户名,0))+SUMIFS($L$6:L752,$B$6:B752,$B752),2),""))</f>
        <v/>
      </c>
      <c r="O752" s="46"/>
      <c r="P752" s="47"/>
      <c r="Q752" s="46"/>
      <c r="R752" s="46"/>
      <c r="S752" s="6" t="str">
        <f>IF($B752="","",IF(ISNA(MATCH($B752,账户名,0)),"※这个账户不在【参数设置】的账户档案里",IF($A752="","※没填日期，这一笔不会进任何月份的报表",IF(AND($G752&lt;&gt;"",$H752&lt;&gt;""),"※收入和支出不能同时填",IF(AND(N($G752)=0,N($H752)=0),"※收入和支出都没填",IF($E752="","※没填收支类别，分类报表会漏掉这一笔",IF(ISNA(MATCH($E752,类别表,0)),"※收支类别不在【参数设置】的清单里",IF($J752="","△"&amp;$D752&amp;" 还没填汇率，去【月度汇率】补上就自动算了",IF(YEAR($A752)&lt;&gt;管理年度,"△不是管理年度的单据，年报里看不到",IF(AND($F752="内部转账",$Q752=""),"△内部转账建议在「往来单位」写上对方账户",IF($M752&lt;0,"△这一笔之后该账户余额成负数了，核一下","")))))))))))</f>
        <v/>
      </c>
    </row>
    <row r="753" ht="16.5" spans="1:19">
      <c r="A753" s="45"/>
      <c r="B753" s="46"/>
      <c r="C753" s="12" t="str">
        <f>IF($B753="","",IFERROR(INDEX(账户银行,MATCH($B753,账户名,0)),""))</f>
        <v/>
      </c>
      <c r="D753" s="12" t="str">
        <f>IF($B753="","",IFERROR(INDEX(账户币种,MATCH($B753,账户名,0)),""))</f>
        <v/>
      </c>
      <c r="E753" s="47"/>
      <c r="F753" s="12" t="str">
        <f>IF($E753="","",IFERROR(INDEX(类别属性,MATCH($E753,类别表,0)),""))</f>
        <v/>
      </c>
      <c r="G753" s="48"/>
      <c r="H753" s="48"/>
      <c r="I753" s="49"/>
      <c r="J753" s="24" t="str">
        <f>IF(OR($A753="",$B753=""),"",IF($I753&lt;&gt;"",$I753,IF($D753=本位币,1,IFERROR(LOOKUP(2,1/((汇率月份&lt;=$A753)*(INDEX(记账汇率区,0,MATCH($D753,汇率币种头,0))&lt;&gt;"")),INDEX(记账汇率区,0,MATCH($D753,汇率币种头,0))),""))))</f>
        <v/>
      </c>
      <c r="K753" s="23" t="str">
        <f t="shared" si="22"/>
        <v/>
      </c>
      <c r="L753" s="23" t="str">
        <f t="shared" si="23"/>
        <v/>
      </c>
      <c r="M753" s="23" t="str">
        <f>IF($B753="","",ROUND(SUMIF(账户名,$B753,账户期初)+SUMIFS($K$6:K753,$B$6:B753,$B753),2))</f>
        <v/>
      </c>
      <c r="N753" s="23" t="str">
        <f>IF($B753="","",IFERROR(ROUND(INDEX(账户期初本位,MATCH($B753,账户名,0))+SUMIFS($L$6:L753,$B$6:B753,$B753),2),""))</f>
        <v/>
      </c>
      <c r="O753" s="46"/>
      <c r="P753" s="47"/>
      <c r="Q753" s="46"/>
      <c r="R753" s="46"/>
      <c r="S753" s="6" t="str">
        <f>IF($B753="","",IF(ISNA(MATCH($B753,账户名,0)),"※这个账户不在【参数设置】的账户档案里",IF($A753="","※没填日期，这一笔不会进任何月份的报表",IF(AND($G753&lt;&gt;"",$H753&lt;&gt;""),"※收入和支出不能同时填",IF(AND(N($G753)=0,N($H753)=0),"※收入和支出都没填",IF($E753="","※没填收支类别，分类报表会漏掉这一笔",IF(ISNA(MATCH($E753,类别表,0)),"※收支类别不在【参数设置】的清单里",IF($J753="","△"&amp;$D753&amp;" 还没填汇率，去【月度汇率】补上就自动算了",IF(YEAR($A753)&lt;&gt;管理年度,"△不是管理年度的单据，年报里看不到",IF(AND($F753="内部转账",$Q753=""),"△内部转账建议在「往来单位」写上对方账户",IF($M753&lt;0,"△这一笔之后该账户余额成负数了，核一下","")))))))))))</f>
        <v/>
      </c>
    </row>
    <row r="754" ht="16.5" spans="1:19">
      <c r="A754" s="45"/>
      <c r="B754" s="46"/>
      <c r="C754" s="12" t="str">
        <f>IF($B754="","",IFERROR(INDEX(账户银行,MATCH($B754,账户名,0)),""))</f>
        <v/>
      </c>
      <c r="D754" s="12" t="str">
        <f>IF($B754="","",IFERROR(INDEX(账户币种,MATCH($B754,账户名,0)),""))</f>
        <v/>
      </c>
      <c r="E754" s="47"/>
      <c r="F754" s="12" t="str">
        <f>IF($E754="","",IFERROR(INDEX(类别属性,MATCH($E754,类别表,0)),""))</f>
        <v/>
      </c>
      <c r="G754" s="48"/>
      <c r="H754" s="48"/>
      <c r="I754" s="49"/>
      <c r="J754" s="24" t="str">
        <f>IF(OR($A754="",$B754=""),"",IF($I754&lt;&gt;"",$I754,IF($D754=本位币,1,IFERROR(LOOKUP(2,1/((汇率月份&lt;=$A754)*(INDEX(记账汇率区,0,MATCH($D754,汇率币种头,0))&lt;&gt;"")),INDEX(记账汇率区,0,MATCH($D754,汇率币种头,0))),""))))</f>
        <v/>
      </c>
      <c r="K754" s="23" t="str">
        <f t="shared" si="22"/>
        <v/>
      </c>
      <c r="L754" s="23" t="str">
        <f t="shared" si="23"/>
        <v/>
      </c>
      <c r="M754" s="23" t="str">
        <f>IF($B754="","",ROUND(SUMIF(账户名,$B754,账户期初)+SUMIFS($K$6:K754,$B$6:B754,$B754),2))</f>
        <v/>
      </c>
      <c r="N754" s="23" t="str">
        <f>IF($B754="","",IFERROR(ROUND(INDEX(账户期初本位,MATCH($B754,账户名,0))+SUMIFS($L$6:L754,$B$6:B754,$B754),2),""))</f>
        <v/>
      </c>
      <c r="O754" s="46"/>
      <c r="P754" s="47"/>
      <c r="Q754" s="46"/>
      <c r="R754" s="46"/>
      <c r="S754" s="6" t="str">
        <f>IF($B754="","",IF(ISNA(MATCH($B754,账户名,0)),"※这个账户不在【参数设置】的账户档案里",IF($A754="","※没填日期，这一笔不会进任何月份的报表",IF(AND($G754&lt;&gt;"",$H754&lt;&gt;""),"※收入和支出不能同时填",IF(AND(N($G754)=0,N($H754)=0),"※收入和支出都没填",IF($E754="","※没填收支类别，分类报表会漏掉这一笔",IF(ISNA(MATCH($E754,类别表,0)),"※收支类别不在【参数设置】的清单里",IF($J754="","△"&amp;$D754&amp;" 还没填汇率，去【月度汇率】补上就自动算了",IF(YEAR($A754)&lt;&gt;管理年度,"△不是管理年度的单据，年报里看不到",IF(AND($F754="内部转账",$Q754=""),"△内部转账建议在「往来单位」写上对方账户",IF($M754&lt;0,"△这一笔之后该账户余额成负数了，核一下","")))))))))))</f>
        <v/>
      </c>
    </row>
    <row r="755" ht="16.5" spans="1:19">
      <c r="A755" s="45"/>
      <c r="B755" s="46"/>
      <c r="C755" s="12" t="str">
        <f>IF($B755="","",IFERROR(INDEX(账户银行,MATCH($B755,账户名,0)),""))</f>
        <v/>
      </c>
      <c r="D755" s="12" t="str">
        <f>IF($B755="","",IFERROR(INDEX(账户币种,MATCH($B755,账户名,0)),""))</f>
        <v/>
      </c>
      <c r="E755" s="47"/>
      <c r="F755" s="12" t="str">
        <f>IF($E755="","",IFERROR(INDEX(类别属性,MATCH($E755,类别表,0)),""))</f>
        <v/>
      </c>
      <c r="G755" s="48"/>
      <c r="H755" s="48"/>
      <c r="I755" s="49"/>
      <c r="J755" s="24" t="str">
        <f>IF(OR($A755="",$B755=""),"",IF($I755&lt;&gt;"",$I755,IF($D755=本位币,1,IFERROR(LOOKUP(2,1/((汇率月份&lt;=$A755)*(INDEX(记账汇率区,0,MATCH($D755,汇率币种头,0))&lt;&gt;"")),INDEX(记账汇率区,0,MATCH($D755,汇率币种头,0))),""))))</f>
        <v/>
      </c>
      <c r="K755" s="23" t="str">
        <f t="shared" si="22"/>
        <v/>
      </c>
      <c r="L755" s="23" t="str">
        <f t="shared" si="23"/>
        <v/>
      </c>
      <c r="M755" s="23" t="str">
        <f>IF($B755="","",ROUND(SUMIF(账户名,$B755,账户期初)+SUMIFS($K$6:K755,$B$6:B755,$B755),2))</f>
        <v/>
      </c>
      <c r="N755" s="23" t="str">
        <f>IF($B755="","",IFERROR(ROUND(INDEX(账户期初本位,MATCH($B755,账户名,0))+SUMIFS($L$6:L755,$B$6:B755,$B755),2),""))</f>
        <v/>
      </c>
      <c r="O755" s="46"/>
      <c r="P755" s="47"/>
      <c r="Q755" s="46"/>
      <c r="R755" s="46"/>
      <c r="S755" s="6" t="str">
        <f>IF($B755="","",IF(ISNA(MATCH($B755,账户名,0)),"※这个账户不在【参数设置】的账户档案里",IF($A755="","※没填日期，这一笔不会进任何月份的报表",IF(AND($G755&lt;&gt;"",$H755&lt;&gt;""),"※收入和支出不能同时填",IF(AND(N($G755)=0,N($H755)=0),"※收入和支出都没填",IF($E755="","※没填收支类别，分类报表会漏掉这一笔",IF(ISNA(MATCH($E755,类别表,0)),"※收支类别不在【参数设置】的清单里",IF($J755="","△"&amp;$D755&amp;" 还没填汇率，去【月度汇率】补上就自动算了",IF(YEAR($A755)&lt;&gt;管理年度,"△不是管理年度的单据，年报里看不到",IF(AND($F755="内部转账",$Q755=""),"△内部转账建议在「往来单位」写上对方账户",IF($M755&lt;0,"△这一笔之后该账户余额成负数了，核一下","")))))))))))</f>
        <v/>
      </c>
    </row>
    <row r="756" ht="16.5" spans="1:19">
      <c r="A756" s="45"/>
      <c r="B756" s="46"/>
      <c r="C756" s="12" t="str">
        <f>IF($B756="","",IFERROR(INDEX(账户银行,MATCH($B756,账户名,0)),""))</f>
        <v/>
      </c>
      <c r="D756" s="12" t="str">
        <f>IF($B756="","",IFERROR(INDEX(账户币种,MATCH($B756,账户名,0)),""))</f>
        <v/>
      </c>
      <c r="E756" s="47"/>
      <c r="F756" s="12" t="str">
        <f>IF($E756="","",IFERROR(INDEX(类别属性,MATCH($E756,类别表,0)),""))</f>
        <v/>
      </c>
      <c r="G756" s="48"/>
      <c r="H756" s="48"/>
      <c r="I756" s="49"/>
      <c r="J756" s="24" t="str">
        <f>IF(OR($A756="",$B756=""),"",IF($I756&lt;&gt;"",$I756,IF($D756=本位币,1,IFERROR(LOOKUP(2,1/((汇率月份&lt;=$A756)*(INDEX(记账汇率区,0,MATCH($D756,汇率币种头,0))&lt;&gt;"")),INDEX(记账汇率区,0,MATCH($D756,汇率币种头,0))),""))))</f>
        <v/>
      </c>
      <c r="K756" s="23" t="str">
        <f t="shared" si="22"/>
        <v/>
      </c>
      <c r="L756" s="23" t="str">
        <f t="shared" si="23"/>
        <v/>
      </c>
      <c r="M756" s="23" t="str">
        <f>IF($B756="","",ROUND(SUMIF(账户名,$B756,账户期初)+SUMIFS($K$6:K756,$B$6:B756,$B756),2))</f>
        <v/>
      </c>
      <c r="N756" s="23" t="str">
        <f>IF($B756="","",IFERROR(ROUND(INDEX(账户期初本位,MATCH($B756,账户名,0))+SUMIFS($L$6:L756,$B$6:B756,$B756),2),""))</f>
        <v/>
      </c>
      <c r="O756" s="46"/>
      <c r="P756" s="47"/>
      <c r="Q756" s="46"/>
      <c r="R756" s="46"/>
      <c r="S756" s="6" t="str">
        <f>IF($B756="","",IF(ISNA(MATCH($B756,账户名,0)),"※这个账户不在【参数设置】的账户档案里",IF($A756="","※没填日期，这一笔不会进任何月份的报表",IF(AND($G756&lt;&gt;"",$H756&lt;&gt;""),"※收入和支出不能同时填",IF(AND(N($G756)=0,N($H756)=0),"※收入和支出都没填",IF($E756="","※没填收支类别，分类报表会漏掉这一笔",IF(ISNA(MATCH($E756,类别表,0)),"※收支类别不在【参数设置】的清单里",IF($J756="","△"&amp;$D756&amp;" 还没填汇率，去【月度汇率】补上就自动算了",IF(YEAR($A756)&lt;&gt;管理年度,"△不是管理年度的单据，年报里看不到",IF(AND($F756="内部转账",$Q756=""),"△内部转账建议在「往来单位」写上对方账户",IF($M756&lt;0,"△这一笔之后该账户余额成负数了，核一下","")))))))))))</f>
        <v/>
      </c>
    </row>
    <row r="757" ht="16.5" spans="1:19">
      <c r="A757" s="45"/>
      <c r="B757" s="46"/>
      <c r="C757" s="12" t="str">
        <f>IF($B757="","",IFERROR(INDEX(账户银行,MATCH($B757,账户名,0)),""))</f>
        <v/>
      </c>
      <c r="D757" s="12" t="str">
        <f>IF($B757="","",IFERROR(INDEX(账户币种,MATCH($B757,账户名,0)),""))</f>
        <v/>
      </c>
      <c r="E757" s="47"/>
      <c r="F757" s="12" t="str">
        <f>IF($E757="","",IFERROR(INDEX(类别属性,MATCH($E757,类别表,0)),""))</f>
        <v/>
      </c>
      <c r="G757" s="48"/>
      <c r="H757" s="48"/>
      <c r="I757" s="49"/>
      <c r="J757" s="24" t="str">
        <f>IF(OR($A757="",$B757=""),"",IF($I757&lt;&gt;"",$I757,IF($D757=本位币,1,IFERROR(LOOKUP(2,1/((汇率月份&lt;=$A757)*(INDEX(记账汇率区,0,MATCH($D757,汇率币种头,0))&lt;&gt;"")),INDEX(记账汇率区,0,MATCH($D757,汇率币种头,0))),""))))</f>
        <v/>
      </c>
      <c r="K757" s="23" t="str">
        <f t="shared" si="22"/>
        <v/>
      </c>
      <c r="L757" s="23" t="str">
        <f t="shared" si="23"/>
        <v/>
      </c>
      <c r="M757" s="23" t="str">
        <f>IF($B757="","",ROUND(SUMIF(账户名,$B757,账户期初)+SUMIFS($K$6:K757,$B$6:B757,$B757),2))</f>
        <v/>
      </c>
      <c r="N757" s="23" t="str">
        <f>IF($B757="","",IFERROR(ROUND(INDEX(账户期初本位,MATCH($B757,账户名,0))+SUMIFS($L$6:L757,$B$6:B757,$B757),2),""))</f>
        <v/>
      </c>
      <c r="O757" s="46"/>
      <c r="P757" s="47"/>
      <c r="Q757" s="46"/>
      <c r="R757" s="46"/>
      <c r="S757" s="6" t="str">
        <f>IF($B757="","",IF(ISNA(MATCH($B757,账户名,0)),"※这个账户不在【参数设置】的账户档案里",IF($A757="","※没填日期，这一笔不会进任何月份的报表",IF(AND($G757&lt;&gt;"",$H757&lt;&gt;""),"※收入和支出不能同时填",IF(AND(N($G757)=0,N($H757)=0),"※收入和支出都没填",IF($E757="","※没填收支类别，分类报表会漏掉这一笔",IF(ISNA(MATCH($E757,类别表,0)),"※收支类别不在【参数设置】的清单里",IF($J757="","△"&amp;$D757&amp;" 还没填汇率，去【月度汇率】补上就自动算了",IF(YEAR($A757)&lt;&gt;管理年度,"△不是管理年度的单据，年报里看不到",IF(AND($F757="内部转账",$Q757=""),"△内部转账建议在「往来单位」写上对方账户",IF($M757&lt;0,"△这一笔之后该账户余额成负数了，核一下","")))))))))))</f>
        <v/>
      </c>
    </row>
    <row r="758" ht="16.5" spans="1:19">
      <c r="A758" s="45"/>
      <c r="B758" s="46"/>
      <c r="C758" s="12" t="str">
        <f>IF($B758="","",IFERROR(INDEX(账户银行,MATCH($B758,账户名,0)),""))</f>
        <v/>
      </c>
      <c r="D758" s="12" t="str">
        <f>IF($B758="","",IFERROR(INDEX(账户币种,MATCH($B758,账户名,0)),""))</f>
        <v/>
      </c>
      <c r="E758" s="47"/>
      <c r="F758" s="12" t="str">
        <f>IF($E758="","",IFERROR(INDEX(类别属性,MATCH($E758,类别表,0)),""))</f>
        <v/>
      </c>
      <c r="G758" s="48"/>
      <c r="H758" s="48"/>
      <c r="I758" s="49"/>
      <c r="J758" s="24" t="str">
        <f>IF(OR($A758="",$B758=""),"",IF($I758&lt;&gt;"",$I758,IF($D758=本位币,1,IFERROR(LOOKUP(2,1/((汇率月份&lt;=$A758)*(INDEX(记账汇率区,0,MATCH($D758,汇率币种头,0))&lt;&gt;"")),INDEX(记账汇率区,0,MATCH($D758,汇率币种头,0))),""))))</f>
        <v/>
      </c>
      <c r="K758" s="23" t="str">
        <f t="shared" si="22"/>
        <v/>
      </c>
      <c r="L758" s="23" t="str">
        <f t="shared" si="23"/>
        <v/>
      </c>
      <c r="M758" s="23" t="str">
        <f>IF($B758="","",ROUND(SUMIF(账户名,$B758,账户期初)+SUMIFS($K$6:K758,$B$6:B758,$B758),2))</f>
        <v/>
      </c>
      <c r="N758" s="23" t="str">
        <f>IF($B758="","",IFERROR(ROUND(INDEX(账户期初本位,MATCH($B758,账户名,0))+SUMIFS($L$6:L758,$B$6:B758,$B758),2),""))</f>
        <v/>
      </c>
      <c r="O758" s="46"/>
      <c r="P758" s="47"/>
      <c r="Q758" s="46"/>
      <c r="R758" s="46"/>
      <c r="S758" s="6" t="str">
        <f>IF($B758="","",IF(ISNA(MATCH($B758,账户名,0)),"※这个账户不在【参数设置】的账户档案里",IF($A758="","※没填日期，这一笔不会进任何月份的报表",IF(AND($G758&lt;&gt;"",$H758&lt;&gt;""),"※收入和支出不能同时填",IF(AND(N($G758)=0,N($H758)=0),"※收入和支出都没填",IF($E758="","※没填收支类别，分类报表会漏掉这一笔",IF(ISNA(MATCH($E758,类别表,0)),"※收支类别不在【参数设置】的清单里",IF($J758="","△"&amp;$D758&amp;" 还没填汇率，去【月度汇率】补上就自动算了",IF(YEAR($A758)&lt;&gt;管理年度,"△不是管理年度的单据，年报里看不到",IF(AND($F758="内部转账",$Q758=""),"△内部转账建议在「往来单位」写上对方账户",IF($M758&lt;0,"△这一笔之后该账户余额成负数了，核一下","")))))))))))</f>
        <v/>
      </c>
    </row>
    <row r="759" ht="16.5" spans="1:19">
      <c r="A759" s="45"/>
      <c r="B759" s="46"/>
      <c r="C759" s="12" t="str">
        <f>IF($B759="","",IFERROR(INDEX(账户银行,MATCH($B759,账户名,0)),""))</f>
        <v/>
      </c>
      <c r="D759" s="12" t="str">
        <f>IF($B759="","",IFERROR(INDEX(账户币种,MATCH($B759,账户名,0)),""))</f>
        <v/>
      </c>
      <c r="E759" s="47"/>
      <c r="F759" s="12" t="str">
        <f>IF($E759="","",IFERROR(INDEX(类别属性,MATCH($E759,类别表,0)),""))</f>
        <v/>
      </c>
      <c r="G759" s="48"/>
      <c r="H759" s="48"/>
      <c r="I759" s="49"/>
      <c r="J759" s="24" t="str">
        <f>IF(OR($A759="",$B759=""),"",IF($I759&lt;&gt;"",$I759,IF($D759=本位币,1,IFERROR(LOOKUP(2,1/((汇率月份&lt;=$A759)*(INDEX(记账汇率区,0,MATCH($D759,汇率币种头,0))&lt;&gt;"")),INDEX(记账汇率区,0,MATCH($D759,汇率币种头,0))),""))))</f>
        <v/>
      </c>
      <c r="K759" s="23" t="str">
        <f t="shared" si="22"/>
        <v/>
      </c>
      <c r="L759" s="23" t="str">
        <f t="shared" si="23"/>
        <v/>
      </c>
      <c r="M759" s="23" t="str">
        <f>IF($B759="","",ROUND(SUMIF(账户名,$B759,账户期初)+SUMIFS($K$6:K759,$B$6:B759,$B759),2))</f>
        <v/>
      </c>
      <c r="N759" s="23" t="str">
        <f>IF($B759="","",IFERROR(ROUND(INDEX(账户期初本位,MATCH($B759,账户名,0))+SUMIFS($L$6:L759,$B$6:B759,$B759),2),""))</f>
        <v/>
      </c>
      <c r="O759" s="46"/>
      <c r="P759" s="47"/>
      <c r="Q759" s="46"/>
      <c r="R759" s="46"/>
      <c r="S759" s="6" t="str">
        <f>IF($B759="","",IF(ISNA(MATCH($B759,账户名,0)),"※这个账户不在【参数设置】的账户档案里",IF($A759="","※没填日期，这一笔不会进任何月份的报表",IF(AND($G759&lt;&gt;"",$H759&lt;&gt;""),"※收入和支出不能同时填",IF(AND(N($G759)=0,N($H759)=0),"※收入和支出都没填",IF($E759="","※没填收支类别，分类报表会漏掉这一笔",IF(ISNA(MATCH($E759,类别表,0)),"※收支类别不在【参数设置】的清单里",IF($J759="","△"&amp;$D759&amp;" 还没填汇率，去【月度汇率】补上就自动算了",IF(YEAR($A759)&lt;&gt;管理年度,"△不是管理年度的单据，年报里看不到",IF(AND($F759="内部转账",$Q759=""),"△内部转账建议在「往来单位」写上对方账户",IF($M759&lt;0,"△这一笔之后该账户余额成负数了，核一下","")))))))))))</f>
        <v/>
      </c>
    </row>
    <row r="760" ht="16.5" spans="1:19">
      <c r="A760" s="45"/>
      <c r="B760" s="46"/>
      <c r="C760" s="12" t="str">
        <f>IF($B760="","",IFERROR(INDEX(账户银行,MATCH($B760,账户名,0)),""))</f>
        <v/>
      </c>
      <c r="D760" s="12" t="str">
        <f>IF($B760="","",IFERROR(INDEX(账户币种,MATCH($B760,账户名,0)),""))</f>
        <v/>
      </c>
      <c r="E760" s="47"/>
      <c r="F760" s="12" t="str">
        <f>IF($E760="","",IFERROR(INDEX(类别属性,MATCH($E760,类别表,0)),""))</f>
        <v/>
      </c>
      <c r="G760" s="48"/>
      <c r="H760" s="48"/>
      <c r="I760" s="49"/>
      <c r="J760" s="24" t="str">
        <f>IF(OR($A760="",$B760=""),"",IF($I760&lt;&gt;"",$I760,IF($D760=本位币,1,IFERROR(LOOKUP(2,1/((汇率月份&lt;=$A760)*(INDEX(记账汇率区,0,MATCH($D760,汇率币种头,0))&lt;&gt;"")),INDEX(记账汇率区,0,MATCH($D760,汇率币种头,0))),""))))</f>
        <v/>
      </c>
      <c r="K760" s="23" t="str">
        <f t="shared" si="22"/>
        <v/>
      </c>
      <c r="L760" s="23" t="str">
        <f t="shared" si="23"/>
        <v/>
      </c>
      <c r="M760" s="23" t="str">
        <f>IF($B760="","",ROUND(SUMIF(账户名,$B760,账户期初)+SUMIFS($K$6:K760,$B$6:B760,$B760),2))</f>
        <v/>
      </c>
      <c r="N760" s="23" t="str">
        <f>IF($B760="","",IFERROR(ROUND(INDEX(账户期初本位,MATCH($B760,账户名,0))+SUMIFS($L$6:L760,$B$6:B760,$B760),2),""))</f>
        <v/>
      </c>
      <c r="O760" s="46"/>
      <c r="P760" s="47"/>
      <c r="Q760" s="46"/>
      <c r="R760" s="46"/>
      <c r="S760" s="6" t="str">
        <f>IF($B760="","",IF(ISNA(MATCH($B760,账户名,0)),"※这个账户不在【参数设置】的账户档案里",IF($A760="","※没填日期，这一笔不会进任何月份的报表",IF(AND($G760&lt;&gt;"",$H760&lt;&gt;""),"※收入和支出不能同时填",IF(AND(N($G760)=0,N($H760)=0),"※收入和支出都没填",IF($E760="","※没填收支类别，分类报表会漏掉这一笔",IF(ISNA(MATCH($E760,类别表,0)),"※收支类别不在【参数设置】的清单里",IF($J760="","△"&amp;$D760&amp;" 还没填汇率，去【月度汇率】补上就自动算了",IF(YEAR($A760)&lt;&gt;管理年度,"△不是管理年度的单据，年报里看不到",IF(AND($F760="内部转账",$Q760=""),"△内部转账建议在「往来单位」写上对方账户",IF($M760&lt;0,"△这一笔之后该账户余额成负数了，核一下","")))))))))))</f>
        <v/>
      </c>
    </row>
    <row r="761" ht="16.5" spans="1:19">
      <c r="A761" s="45"/>
      <c r="B761" s="46"/>
      <c r="C761" s="12" t="str">
        <f>IF($B761="","",IFERROR(INDEX(账户银行,MATCH($B761,账户名,0)),""))</f>
        <v/>
      </c>
      <c r="D761" s="12" t="str">
        <f>IF($B761="","",IFERROR(INDEX(账户币种,MATCH($B761,账户名,0)),""))</f>
        <v/>
      </c>
      <c r="E761" s="47"/>
      <c r="F761" s="12" t="str">
        <f>IF($E761="","",IFERROR(INDEX(类别属性,MATCH($E761,类别表,0)),""))</f>
        <v/>
      </c>
      <c r="G761" s="48"/>
      <c r="H761" s="48"/>
      <c r="I761" s="49"/>
      <c r="J761" s="24" t="str">
        <f>IF(OR($A761="",$B761=""),"",IF($I761&lt;&gt;"",$I761,IF($D761=本位币,1,IFERROR(LOOKUP(2,1/((汇率月份&lt;=$A761)*(INDEX(记账汇率区,0,MATCH($D761,汇率币种头,0))&lt;&gt;"")),INDEX(记账汇率区,0,MATCH($D761,汇率币种头,0))),""))))</f>
        <v/>
      </c>
      <c r="K761" s="23" t="str">
        <f t="shared" si="22"/>
        <v/>
      </c>
      <c r="L761" s="23" t="str">
        <f t="shared" si="23"/>
        <v/>
      </c>
      <c r="M761" s="23" t="str">
        <f>IF($B761="","",ROUND(SUMIF(账户名,$B761,账户期初)+SUMIFS($K$6:K761,$B$6:B761,$B761),2))</f>
        <v/>
      </c>
      <c r="N761" s="23" t="str">
        <f>IF($B761="","",IFERROR(ROUND(INDEX(账户期初本位,MATCH($B761,账户名,0))+SUMIFS($L$6:L761,$B$6:B761,$B761),2),""))</f>
        <v/>
      </c>
      <c r="O761" s="46"/>
      <c r="P761" s="47"/>
      <c r="Q761" s="46"/>
      <c r="R761" s="46"/>
      <c r="S761" s="6" t="str">
        <f>IF($B761="","",IF(ISNA(MATCH($B761,账户名,0)),"※这个账户不在【参数设置】的账户档案里",IF($A761="","※没填日期，这一笔不会进任何月份的报表",IF(AND($G761&lt;&gt;"",$H761&lt;&gt;""),"※收入和支出不能同时填",IF(AND(N($G761)=0,N($H761)=0),"※收入和支出都没填",IF($E761="","※没填收支类别，分类报表会漏掉这一笔",IF(ISNA(MATCH($E761,类别表,0)),"※收支类别不在【参数设置】的清单里",IF($J761="","△"&amp;$D761&amp;" 还没填汇率，去【月度汇率】补上就自动算了",IF(YEAR($A761)&lt;&gt;管理年度,"△不是管理年度的单据，年报里看不到",IF(AND($F761="内部转账",$Q761=""),"△内部转账建议在「往来单位」写上对方账户",IF($M761&lt;0,"△这一笔之后该账户余额成负数了，核一下","")))))))))))</f>
        <v/>
      </c>
    </row>
    <row r="762" ht="16.5" spans="1:19">
      <c r="A762" s="45"/>
      <c r="B762" s="46"/>
      <c r="C762" s="12" t="str">
        <f>IF($B762="","",IFERROR(INDEX(账户银行,MATCH($B762,账户名,0)),""))</f>
        <v/>
      </c>
      <c r="D762" s="12" t="str">
        <f>IF($B762="","",IFERROR(INDEX(账户币种,MATCH($B762,账户名,0)),""))</f>
        <v/>
      </c>
      <c r="E762" s="47"/>
      <c r="F762" s="12" t="str">
        <f>IF($E762="","",IFERROR(INDEX(类别属性,MATCH($E762,类别表,0)),""))</f>
        <v/>
      </c>
      <c r="G762" s="48"/>
      <c r="H762" s="48"/>
      <c r="I762" s="49"/>
      <c r="J762" s="24" t="str">
        <f>IF(OR($A762="",$B762=""),"",IF($I762&lt;&gt;"",$I762,IF($D762=本位币,1,IFERROR(LOOKUP(2,1/((汇率月份&lt;=$A762)*(INDEX(记账汇率区,0,MATCH($D762,汇率币种头,0))&lt;&gt;"")),INDEX(记账汇率区,0,MATCH($D762,汇率币种头,0))),""))))</f>
        <v/>
      </c>
      <c r="K762" s="23" t="str">
        <f t="shared" si="22"/>
        <v/>
      </c>
      <c r="L762" s="23" t="str">
        <f t="shared" si="23"/>
        <v/>
      </c>
      <c r="M762" s="23" t="str">
        <f>IF($B762="","",ROUND(SUMIF(账户名,$B762,账户期初)+SUMIFS($K$6:K762,$B$6:B762,$B762),2))</f>
        <v/>
      </c>
      <c r="N762" s="23" t="str">
        <f>IF($B762="","",IFERROR(ROUND(INDEX(账户期初本位,MATCH($B762,账户名,0))+SUMIFS($L$6:L762,$B$6:B762,$B762),2),""))</f>
        <v/>
      </c>
      <c r="O762" s="46"/>
      <c r="P762" s="47"/>
      <c r="Q762" s="46"/>
      <c r="R762" s="46"/>
      <c r="S762" s="6" t="str">
        <f>IF($B762="","",IF(ISNA(MATCH($B762,账户名,0)),"※这个账户不在【参数设置】的账户档案里",IF($A762="","※没填日期，这一笔不会进任何月份的报表",IF(AND($G762&lt;&gt;"",$H762&lt;&gt;""),"※收入和支出不能同时填",IF(AND(N($G762)=0,N($H762)=0),"※收入和支出都没填",IF($E762="","※没填收支类别，分类报表会漏掉这一笔",IF(ISNA(MATCH($E762,类别表,0)),"※收支类别不在【参数设置】的清单里",IF($J762="","△"&amp;$D762&amp;" 还没填汇率，去【月度汇率】补上就自动算了",IF(YEAR($A762)&lt;&gt;管理年度,"△不是管理年度的单据，年报里看不到",IF(AND($F762="内部转账",$Q762=""),"△内部转账建议在「往来单位」写上对方账户",IF($M762&lt;0,"△这一笔之后该账户余额成负数了，核一下","")))))))))))</f>
        <v/>
      </c>
    </row>
    <row r="763" ht="16.5" spans="1:19">
      <c r="A763" s="45"/>
      <c r="B763" s="46"/>
      <c r="C763" s="12" t="str">
        <f>IF($B763="","",IFERROR(INDEX(账户银行,MATCH($B763,账户名,0)),""))</f>
        <v/>
      </c>
      <c r="D763" s="12" t="str">
        <f>IF($B763="","",IFERROR(INDEX(账户币种,MATCH($B763,账户名,0)),""))</f>
        <v/>
      </c>
      <c r="E763" s="47"/>
      <c r="F763" s="12" t="str">
        <f>IF($E763="","",IFERROR(INDEX(类别属性,MATCH($E763,类别表,0)),""))</f>
        <v/>
      </c>
      <c r="G763" s="48"/>
      <c r="H763" s="48"/>
      <c r="I763" s="49"/>
      <c r="J763" s="24" t="str">
        <f>IF(OR($A763="",$B763=""),"",IF($I763&lt;&gt;"",$I763,IF($D763=本位币,1,IFERROR(LOOKUP(2,1/((汇率月份&lt;=$A763)*(INDEX(记账汇率区,0,MATCH($D763,汇率币种头,0))&lt;&gt;"")),INDEX(记账汇率区,0,MATCH($D763,汇率币种头,0))),""))))</f>
        <v/>
      </c>
      <c r="K763" s="23" t="str">
        <f t="shared" si="22"/>
        <v/>
      </c>
      <c r="L763" s="23" t="str">
        <f t="shared" si="23"/>
        <v/>
      </c>
      <c r="M763" s="23" t="str">
        <f>IF($B763="","",ROUND(SUMIF(账户名,$B763,账户期初)+SUMIFS($K$6:K763,$B$6:B763,$B763),2))</f>
        <v/>
      </c>
      <c r="N763" s="23" t="str">
        <f>IF($B763="","",IFERROR(ROUND(INDEX(账户期初本位,MATCH($B763,账户名,0))+SUMIFS($L$6:L763,$B$6:B763,$B763),2),""))</f>
        <v/>
      </c>
      <c r="O763" s="46"/>
      <c r="P763" s="47"/>
      <c r="Q763" s="46"/>
      <c r="R763" s="46"/>
      <c r="S763" s="6" t="str">
        <f>IF($B763="","",IF(ISNA(MATCH($B763,账户名,0)),"※这个账户不在【参数设置】的账户档案里",IF($A763="","※没填日期，这一笔不会进任何月份的报表",IF(AND($G763&lt;&gt;"",$H763&lt;&gt;""),"※收入和支出不能同时填",IF(AND(N($G763)=0,N($H763)=0),"※收入和支出都没填",IF($E763="","※没填收支类别，分类报表会漏掉这一笔",IF(ISNA(MATCH($E763,类别表,0)),"※收支类别不在【参数设置】的清单里",IF($J763="","△"&amp;$D763&amp;" 还没填汇率，去【月度汇率】补上就自动算了",IF(YEAR($A763)&lt;&gt;管理年度,"△不是管理年度的单据，年报里看不到",IF(AND($F763="内部转账",$Q763=""),"△内部转账建议在「往来单位」写上对方账户",IF($M763&lt;0,"△这一笔之后该账户余额成负数了，核一下","")))))))))))</f>
        <v/>
      </c>
    </row>
    <row r="764" ht="16.5" spans="1:19">
      <c r="A764" s="45"/>
      <c r="B764" s="46"/>
      <c r="C764" s="12" t="str">
        <f>IF($B764="","",IFERROR(INDEX(账户银行,MATCH($B764,账户名,0)),""))</f>
        <v/>
      </c>
      <c r="D764" s="12" t="str">
        <f>IF($B764="","",IFERROR(INDEX(账户币种,MATCH($B764,账户名,0)),""))</f>
        <v/>
      </c>
      <c r="E764" s="47"/>
      <c r="F764" s="12" t="str">
        <f>IF($E764="","",IFERROR(INDEX(类别属性,MATCH($E764,类别表,0)),""))</f>
        <v/>
      </c>
      <c r="G764" s="48"/>
      <c r="H764" s="48"/>
      <c r="I764" s="49"/>
      <c r="J764" s="24" t="str">
        <f>IF(OR($A764="",$B764=""),"",IF($I764&lt;&gt;"",$I764,IF($D764=本位币,1,IFERROR(LOOKUP(2,1/((汇率月份&lt;=$A764)*(INDEX(记账汇率区,0,MATCH($D764,汇率币种头,0))&lt;&gt;"")),INDEX(记账汇率区,0,MATCH($D764,汇率币种头,0))),""))))</f>
        <v/>
      </c>
      <c r="K764" s="23" t="str">
        <f t="shared" si="22"/>
        <v/>
      </c>
      <c r="L764" s="23" t="str">
        <f t="shared" si="23"/>
        <v/>
      </c>
      <c r="M764" s="23" t="str">
        <f>IF($B764="","",ROUND(SUMIF(账户名,$B764,账户期初)+SUMIFS($K$6:K764,$B$6:B764,$B764),2))</f>
        <v/>
      </c>
      <c r="N764" s="23" t="str">
        <f>IF($B764="","",IFERROR(ROUND(INDEX(账户期初本位,MATCH($B764,账户名,0))+SUMIFS($L$6:L764,$B$6:B764,$B764),2),""))</f>
        <v/>
      </c>
      <c r="O764" s="46"/>
      <c r="P764" s="47"/>
      <c r="Q764" s="46"/>
      <c r="R764" s="46"/>
      <c r="S764" s="6" t="str">
        <f>IF($B764="","",IF(ISNA(MATCH($B764,账户名,0)),"※这个账户不在【参数设置】的账户档案里",IF($A764="","※没填日期，这一笔不会进任何月份的报表",IF(AND($G764&lt;&gt;"",$H764&lt;&gt;""),"※收入和支出不能同时填",IF(AND(N($G764)=0,N($H764)=0),"※收入和支出都没填",IF($E764="","※没填收支类别，分类报表会漏掉这一笔",IF(ISNA(MATCH($E764,类别表,0)),"※收支类别不在【参数设置】的清单里",IF($J764="","△"&amp;$D764&amp;" 还没填汇率，去【月度汇率】补上就自动算了",IF(YEAR($A764)&lt;&gt;管理年度,"△不是管理年度的单据，年报里看不到",IF(AND($F764="内部转账",$Q764=""),"△内部转账建议在「往来单位」写上对方账户",IF($M764&lt;0,"△这一笔之后该账户余额成负数了，核一下","")))))))))))</f>
        <v/>
      </c>
    </row>
    <row r="765" ht="16.5" spans="1:19">
      <c r="A765" s="45"/>
      <c r="B765" s="46"/>
      <c r="C765" s="12" t="str">
        <f>IF($B765="","",IFERROR(INDEX(账户银行,MATCH($B765,账户名,0)),""))</f>
        <v/>
      </c>
      <c r="D765" s="12" t="str">
        <f>IF($B765="","",IFERROR(INDEX(账户币种,MATCH($B765,账户名,0)),""))</f>
        <v/>
      </c>
      <c r="E765" s="47"/>
      <c r="F765" s="12" t="str">
        <f>IF($E765="","",IFERROR(INDEX(类别属性,MATCH($E765,类别表,0)),""))</f>
        <v/>
      </c>
      <c r="G765" s="48"/>
      <c r="H765" s="48"/>
      <c r="I765" s="49"/>
      <c r="J765" s="24" t="str">
        <f>IF(OR($A765="",$B765=""),"",IF($I765&lt;&gt;"",$I765,IF($D765=本位币,1,IFERROR(LOOKUP(2,1/((汇率月份&lt;=$A765)*(INDEX(记账汇率区,0,MATCH($D765,汇率币种头,0))&lt;&gt;"")),INDEX(记账汇率区,0,MATCH($D765,汇率币种头,0))),""))))</f>
        <v/>
      </c>
      <c r="K765" s="23" t="str">
        <f t="shared" si="22"/>
        <v/>
      </c>
      <c r="L765" s="23" t="str">
        <f t="shared" si="23"/>
        <v/>
      </c>
      <c r="M765" s="23" t="str">
        <f>IF($B765="","",ROUND(SUMIF(账户名,$B765,账户期初)+SUMIFS($K$6:K765,$B$6:B765,$B765),2))</f>
        <v/>
      </c>
      <c r="N765" s="23" t="str">
        <f>IF($B765="","",IFERROR(ROUND(INDEX(账户期初本位,MATCH($B765,账户名,0))+SUMIFS($L$6:L765,$B$6:B765,$B765),2),""))</f>
        <v/>
      </c>
      <c r="O765" s="46"/>
      <c r="P765" s="47"/>
      <c r="Q765" s="46"/>
      <c r="R765" s="46"/>
      <c r="S765" s="6" t="str">
        <f>IF($B765="","",IF(ISNA(MATCH($B765,账户名,0)),"※这个账户不在【参数设置】的账户档案里",IF($A765="","※没填日期，这一笔不会进任何月份的报表",IF(AND($G765&lt;&gt;"",$H765&lt;&gt;""),"※收入和支出不能同时填",IF(AND(N($G765)=0,N($H765)=0),"※收入和支出都没填",IF($E765="","※没填收支类别，分类报表会漏掉这一笔",IF(ISNA(MATCH($E765,类别表,0)),"※收支类别不在【参数设置】的清单里",IF($J765="","△"&amp;$D765&amp;" 还没填汇率，去【月度汇率】补上就自动算了",IF(YEAR($A765)&lt;&gt;管理年度,"△不是管理年度的单据，年报里看不到",IF(AND($F765="内部转账",$Q765=""),"△内部转账建议在「往来单位」写上对方账户",IF($M765&lt;0,"△这一笔之后该账户余额成负数了，核一下","")))))))))))</f>
        <v/>
      </c>
    </row>
    <row r="766" ht="16.5" spans="1:19">
      <c r="A766" s="45"/>
      <c r="B766" s="46"/>
      <c r="C766" s="12" t="str">
        <f>IF($B766="","",IFERROR(INDEX(账户银行,MATCH($B766,账户名,0)),""))</f>
        <v/>
      </c>
      <c r="D766" s="12" t="str">
        <f>IF($B766="","",IFERROR(INDEX(账户币种,MATCH($B766,账户名,0)),""))</f>
        <v/>
      </c>
      <c r="E766" s="47"/>
      <c r="F766" s="12" t="str">
        <f>IF($E766="","",IFERROR(INDEX(类别属性,MATCH($E766,类别表,0)),""))</f>
        <v/>
      </c>
      <c r="G766" s="48"/>
      <c r="H766" s="48"/>
      <c r="I766" s="49"/>
      <c r="J766" s="24" t="str">
        <f>IF(OR($A766="",$B766=""),"",IF($I766&lt;&gt;"",$I766,IF($D766=本位币,1,IFERROR(LOOKUP(2,1/((汇率月份&lt;=$A766)*(INDEX(记账汇率区,0,MATCH($D766,汇率币种头,0))&lt;&gt;"")),INDEX(记账汇率区,0,MATCH($D766,汇率币种头,0))),""))))</f>
        <v/>
      </c>
      <c r="K766" s="23" t="str">
        <f t="shared" si="22"/>
        <v/>
      </c>
      <c r="L766" s="23" t="str">
        <f t="shared" si="23"/>
        <v/>
      </c>
      <c r="M766" s="23" t="str">
        <f>IF($B766="","",ROUND(SUMIF(账户名,$B766,账户期初)+SUMIFS($K$6:K766,$B$6:B766,$B766),2))</f>
        <v/>
      </c>
      <c r="N766" s="23" t="str">
        <f>IF($B766="","",IFERROR(ROUND(INDEX(账户期初本位,MATCH($B766,账户名,0))+SUMIFS($L$6:L766,$B$6:B766,$B766),2),""))</f>
        <v/>
      </c>
      <c r="O766" s="46"/>
      <c r="P766" s="47"/>
      <c r="Q766" s="46"/>
      <c r="R766" s="46"/>
      <c r="S766" s="6" t="str">
        <f>IF($B766="","",IF(ISNA(MATCH($B766,账户名,0)),"※这个账户不在【参数设置】的账户档案里",IF($A766="","※没填日期，这一笔不会进任何月份的报表",IF(AND($G766&lt;&gt;"",$H766&lt;&gt;""),"※收入和支出不能同时填",IF(AND(N($G766)=0,N($H766)=0),"※收入和支出都没填",IF($E766="","※没填收支类别，分类报表会漏掉这一笔",IF(ISNA(MATCH($E766,类别表,0)),"※收支类别不在【参数设置】的清单里",IF($J766="","△"&amp;$D766&amp;" 还没填汇率，去【月度汇率】补上就自动算了",IF(YEAR($A766)&lt;&gt;管理年度,"△不是管理年度的单据，年报里看不到",IF(AND($F766="内部转账",$Q766=""),"△内部转账建议在「往来单位」写上对方账户",IF($M766&lt;0,"△这一笔之后该账户余额成负数了，核一下","")))))))))))</f>
        <v/>
      </c>
    </row>
    <row r="767" ht="16.5" spans="1:19">
      <c r="A767" s="45"/>
      <c r="B767" s="46"/>
      <c r="C767" s="12" t="str">
        <f>IF($B767="","",IFERROR(INDEX(账户银行,MATCH($B767,账户名,0)),""))</f>
        <v/>
      </c>
      <c r="D767" s="12" t="str">
        <f>IF($B767="","",IFERROR(INDEX(账户币种,MATCH($B767,账户名,0)),""))</f>
        <v/>
      </c>
      <c r="E767" s="47"/>
      <c r="F767" s="12" t="str">
        <f>IF($E767="","",IFERROR(INDEX(类别属性,MATCH($E767,类别表,0)),""))</f>
        <v/>
      </c>
      <c r="G767" s="48"/>
      <c r="H767" s="48"/>
      <c r="I767" s="49"/>
      <c r="J767" s="24" t="str">
        <f>IF(OR($A767="",$B767=""),"",IF($I767&lt;&gt;"",$I767,IF($D767=本位币,1,IFERROR(LOOKUP(2,1/((汇率月份&lt;=$A767)*(INDEX(记账汇率区,0,MATCH($D767,汇率币种头,0))&lt;&gt;"")),INDEX(记账汇率区,0,MATCH($D767,汇率币种头,0))),""))))</f>
        <v/>
      </c>
      <c r="K767" s="23" t="str">
        <f t="shared" si="22"/>
        <v/>
      </c>
      <c r="L767" s="23" t="str">
        <f t="shared" si="23"/>
        <v/>
      </c>
      <c r="M767" s="23" t="str">
        <f>IF($B767="","",ROUND(SUMIF(账户名,$B767,账户期初)+SUMIFS($K$6:K767,$B$6:B767,$B767),2))</f>
        <v/>
      </c>
      <c r="N767" s="23" t="str">
        <f>IF($B767="","",IFERROR(ROUND(INDEX(账户期初本位,MATCH($B767,账户名,0))+SUMIFS($L$6:L767,$B$6:B767,$B767),2),""))</f>
        <v/>
      </c>
      <c r="O767" s="46"/>
      <c r="P767" s="47"/>
      <c r="Q767" s="46"/>
      <c r="R767" s="46"/>
      <c r="S767" s="6" t="str">
        <f>IF($B767="","",IF(ISNA(MATCH($B767,账户名,0)),"※这个账户不在【参数设置】的账户档案里",IF($A767="","※没填日期，这一笔不会进任何月份的报表",IF(AND($G767&lt;&gt;"",$H767&lt;&gt;""),"※收入和支出不能同时填",IF(AND(N($G767)=0,N($H767)=0),"※收入和支出都没填",IF($E767="","※没填收支类别，分类报表会漏掉这一笔",IF(ISNA(MATCH($E767,类别表,0)),"※收支类别不在【参数设置】的清单里",IF($J767="","△"&amp;$D767&amp;" 还没填汇率，去【月度汇率】补上就自动算了",IF(YEAR($A767)&lt;&gt;管理年度,"△不是管理年度的单据，年报里看不到",IF(AND($F767="内部转账",$Q767=""),"△内部转账建议在「往来单位」写上对方账户",IF($M767&lt;0,"△这一笔之后该账户余额成负数了，核一下","")))))))))))</f>
        <v/>
      </c>
    </row>
    <row r="768" ht="16.5" spans="1:19">
      <c r="A768" s="45"/>
      <c r="B768" s="46"/>
      <c r="C768" s="12" t="str">
        <f>IF($B768="","",IFERROR(INDEX(账户银行,MATCH($B768,账户名,0)),""))</f>
        <v/>
      </c>
      <c r="D768" s="12" t="str">
        <f>IF($B768="","",IFERROR(INDEX(账户币种,MATCH($B768,账户名,0)),""))</f>
        <v/>
      </c>
      <c r="E768" s="47"/>
      <c r="F768" s="12" t="str">
        <f>IF($E768="","",IFERROR(INDEX(类别属性,MATCH($E768,类别表,0)),""))</f>
        <v/>
      </c>
      <c r="G768" s="48"/>
      <c r="H768" s="48"/>
      <c r="I768" s="49"/>
      <c r="J768" s="24" t="str">
        <f>IF(OR($A768="",$B768=""),"",IF($I768&lt;&gt;"",$I768,IF($D768=本位币,1,IFERROR(LOOKUP(2,1/((汇率月份&lt;=$A768)*(INDEX(记账汇率区,0,MATCH($D768,汇率币种头,0))&lt;&gt;"")),INDEX(记账汇率区,0,MATCH($D768,汇率币种头,0))),""))))</f>
        <v/>
      </c>
      <c r="K768" s="23" t="str">
        <f t="shared" si="22"/>
        <v/>
      </c>
      <c r="L768" s="23" t="str">
        <f t="shared" si="23"/>
        <v/>
      </c>
      <c r="M768" s="23" t="str">
        <f>IF($B768="","",ROUND(SUMIF(账户名,$B768,账户期初)+SUMIFS($K$6:K768,$B$6:B768,$B768),2))</f>
        <v/>
      </c>
      <c r="N768" s="23" t="str">
        <f>IF($B768="","",IFERROR(ROUND(INDEX(账户期初本位,MATCH($B768,账户名,0))+SUMIFS($L$6:L768,$B$6:B768,$B768),2),""))</f>
        <v/>
      </c>
      <c r="O768" s="46"/>
      <c r="P768" s="47"/>
      <c r="Q768" s="46"/>
      <c r="R768" s="46"/>
      <c r="S768" s="6" t="str">
        <f>IF($B768="","",IF(ISNA(MATCH($B768,账户名,0)),"※这个账户不在【参数设置】的账户档案里",IF($A768="","※没填日期，这一笔不会进任何月份的报表",IF(AND($G768&lt;&gt;"",$H768&lt;&gt;""),"※收入和支出不能同时填",IF(AND(N($G768)=0,N($H768)=0),"※收入和支出都没填",IF($E768="","※没填收支类别，分类报表会漏掉这一笔",IF(ISNA(MATCH($E768,类别表,0)),"※收支类别不在【参数设置】的清单里",IF($J768="","△"&amp;$D768&amp;" 还没填汇率，去【月度汇率】补上就自动算了",IF(YEAR($A768)&lt;&gt;管理年度,"△不是管理年度的单据，年报里看不到",IF(AND($F768="内部转账",$Q768=""),"△内部转账建议在「往来单位」写上对方账户",IF($M768&lt;0,"△这一笔之后该账户余额成负数了，核一下","")))))))))))</f>
        <v/>
      </c>
    </row>
    <row r="769" ht="16.5" spans="1:19">
      <c r="A769" s="45"/>
      <c r="B769" s="46"/>
      <c r="C769" s="12" t="str">
        <f>IF($B769="","",IFERROR(INDEX(账户银行,MATCH($B769,账户名,0)),""))</f>
        <v/>
      </c>
      <c r="D769" s="12" t="str">
        <f>IF($B769="","",IFERROR(INDEX(账户币种,MATCH($B769,账户名,0)),""))</f>
        <v/>
      </c>
      <c r="E769" s="47"/>
      <c r="F769" s="12" t="str">
        <f>IF($E769="","",IFERROR(INDEX(类别属性,MATCH($E769,类别表,0)),""))</f>
        <v/>
      </c>
      <c r="G769" s="48"/>
      <c r="H769" s="48"/>
      <c r="I769" s="49"/>
      <c r="J769" s="24" t="str">
        <f>IF(OR($A769="",$B769=""),"",IF($I769&lt;&gt;"",$I769,IF($D769=本位币,1,IFERROR(LOOKUP(2,1/((汇率月份&lt;=$A769)*(INDEX(记账汇率区,0,MATCH($D769,汇率币种头,0))&lt;&gt;"")),INDEX(记账汇率区,0,MATCH($D769,汇率币种头,0))),""))))</f>
        <v/>
      </c>
      <c r="K769" s="23" t="str">
        <f t="shared" si="22"/>
        <v/>
      </c>
      <c r="L769" s="23" t="str">
        <f t="shared" si="23"/>
        <v/>
      </c>
      <c r="M769" s="23" t="str">
        <f>IF($B769="","",ROUND(SUMIF(账户名,$B769,账户期初)+SUMIFS($K$6:K769,$B$6:B769,$B769),2))</f>
        <v/>
      </c>
      <c r="N769" s="23" t="str">
        <f>IF($B769="","",IFERROR(ROUND(INDEX(账户期初本位,MATCH($B769,账户名,0))+SUMIFS($L$6:L769,$B$6:B769,$B769),2),""))</f>
        <v/>
      </c>
      <c r="O769" s="46"/>
      <c r="P769" s="47"/>
      <c r="Q769" s="46"/>
      <c r="R769" s="46"/>
      <c r="S769" s="6" t="str">
        <f>IF($B769="","",IF(ISNA(MATCH($B769,账户名,0)),"※这个账户不在【参数设置】的账户档案里",IF($A769="","※没填日期，这一笔不会进任何月份的报表",IF(AND($G769&lt;&gt;"",$H769&lt;&gt;""),"※收入和支出不能同时填",IF(AND(N($G769)=0,N($H769)=0),"※收入和支出都没填",IF($E769="","※没填收支类别，分类报表会漏掉这一笔",IF(ISNA(MATCH($E769,类别表,0)),"※收支类别不在【参数设置】的清单里",IF($J769="","△"&amp;$D769&amp;" 还没填汇率，去【月度汇率】补上就自动算了",IF(YEAR($A769)&lt;&gt;管理年度,"△不是管理年度的单据，年报里看不到",IF(AND($F769="内部转账",$Q769=""),"△内部转账建议在「往来单位」写上对方账户",IF($M769&lt;0,"△这一笔之后该账户余额成负数了，核一下","")))))))))))</f>
        <v/>
      </c>
    </row>
    <row r="770" ht="16.5" spans="1:19">
      <c r="A770" s="45"/>
      <c r="B770" s="46"/>
      <c r="C770" s="12" t="str">
        <f>IF($B770="","",IFERROR(INDEX(账户银行,MATCH($B770,账户名,0)),""))</f>
        <v/>
      </c>
      <c r="D770" s="12" t="str">
        <f>IF($B770="","",IFERROR(INDEX(账户币种,MATCH($B770,账户名,0)),""))</f>
        <v/>
      </c>
      <c r="E770" s="47"/>
      <c r="F770" s="12" t="str">
        <f>IF($E770="","",IFERROR(INDEX(类别属性,MATCH($E770,类别表,0)),""))</f>
        <v/>
      </c>
      <c r="G770" s="48"/>
      <c r="H770" s="48"/>
      <c r="I770" s="49"/>
      <c r="J770" s="24" t="str">
        <f>IF(OR($A770="",$B770=""),"",IF($I770&lt;&gt;"",$I770,IF($D770=本位币,1,IFERROR(LOOKUP(2,1/((汇率月份&lt;=$A770)*(INDEX(记账汇率区,0,MATCH($D770,汇率币种头,0))&lt;&gt;"")),INDEX(记账汇率区,0,MATCH($D770,汇率币种头,0))),""))))</f>
        <v/>
      </c>
      <c r="K770" s="23" t="str">
        <f t="shared" si="22"/>
        <v/>
      </c>
      <c r="L770" s="23" t="str">
        <f t="shared" si="23"/>
        <v/>
      </c>
      <c r="M770" s="23" t="str">
        <f>IF($B770="","",ROUND(SUMIF(账户名,$B770,账户期初)+SUMIFS($K$6:K770,$B$6:B770,$B770),2))</f>
        <v/>
      </c>
      <c r="N770" s="23" t="str">
        <f>IF($B770="","",IFERROR(ROUND(INDEX(账户期初本位,MATCH($B770,账户名,0))+SUMIFS($L$6:L770,$B$6:B770,$B770),2),""))</f>
        <v/>
      </c>
      <c r="O770" s="46"/>
      <c r="P770" s="47"/>
      <c r="Q770" s="46"/>
      <c r="R770" s="46"/>
      <c r="S770" s="6" t="str">
        <f>IF($B770="","",IF(ISNA(MATCH($B770,账户名,0)),"※这个账户不在【参数设置】的账户档案里",IF($A770="","※没填日期，这一笔不会进任何月份的报表",IF(AND($G770&lt;&gt;"",$H770&lt;&gt;""),"※收入和支出不能同时填",IF(AND(N($G770)=0,N($H770)=0),"※收入和支出都没填",IF($E770="","※没填收支类别，分类报表会漏掉这一笔",IF(ISNA(MATCH($E770,类别表,0)),"※收支类别不在【参数设置】的清单里",IF($J770="","△"&amp;$D770&amp;" 还没填汇率，去【月度汇率】补上就自动算了",IF(YEAR($A770)&lt;&gt;管理年度,"△不是管理年度的单据，年报里看不到",IF(AND($F770="内部转账",$Q770=""),"△内部转账建议在「往来单位」写上对方账户",IF($M770&lt;0,"△这一笔之后该账户余额成负数了，核一下","")))))))))))</f>
        <v/>
      </c>
    </row>
    <row r="771" ht="16.5" spans="1:19">
      <c r="A771" s="45"/>
      <c r="B771" s="46"/>
      <c r="C771" s="12" t="str">
        <f>IF($B771="","",IFERROR(INDEX(账户银行,MATCH($B771,账户名,0)),""))</f>
        <v/>
      </c>
      <c r="D771" s="12" t="str">
        <f>IF($B771="","",IFERROR(INDEX(账户币种,MATCH($B771,账户名,0)),""))</f>
        <v/>
      </c>
      <c r="E771" s="47"/>
      <c r="F771" s="12" t="str">
        <f>IF($E771="","",IFERROR(INDEX(类别属性,MATCH($E771,类别表,0)),""))</f>
        <v/>
      </c>
      <c r="G771" s="48"/>
      <c r="H771" s="48"/>
      <c r="I771" s="49"/>
      <c r="J771" s="24" t="str">
        <f>IF(OR($A771="",$B771=""),"",IF($I771&lt;&gt;"",$I771,IF($D771=本位币,1,IFERROR(LOOKUP(2,1/((汇率月份&lt;=$A771)*(INDEX(记账汇率区,0,MATCH($D771,汇率币种头,0))&lt;&gt;"")),INDEX(记账汇率区,0,MATCH($D771,汇率币种头,0))),""))))</f>
        <v/>
      </c>
      <c r="K771" s="23" t="str">
        <f t="shared" si="22"/>
        <v/>
      </c>
      <c r="L771" s="23" t="str">
        <f t="shared" si="23"/>
        <v/>
      </c>
      <c r="M771" s="23" t="str">
        <f>IF($B771="","",ROUND(SUMIF(账户名,$B771,账户期初)+SUMIFS($K$6:K771,$B$6:B771,$B771),2))</f>
        <v/>
      </c>
      <c r="N771" s="23" t="str">
        <f>IF($B771="","",IFERROR(ROUND(INDEX(账户期初本位,MATCH($B771,账户名,0))+SUMIFS($L$6:L771,$B$6:B771,$B771),2),""))</f>
        <v/>
      </c>
      <c r="O771" s="46"/>
      <c r="P771" s="47"/>
      <c r="Q771" s="46"/>
      <c r="R771" s="46"/>
      <c r="S771" s="6" t="str">
        <f>IF($B771="","",IF(ISNA(MATCH($B771,账户名,0)),"※这个账户不在【参数设置】的账户档案里",IF($A771="","※没填日期，这一笔不会进任何月份的报表",IF(AND($G771&lt;&gt;"",$H771&lt;&gt;""),"※收入和支出不能同时填",IF(AND(N($G771)=0,N($H771)=0),"※收入和支出都没填",IF($E771="","※没填收支类别，分类报表会漏掉这一笔",IF(ISNA(MATCH($E771,类别表,0)),"※收支类别不在【参数设置】的清单里",IF($J771="","△"&amp;$D771&amp;" 还没填汇率，去【月度汇率】补上就自动算了",IF(YEAR($A771)&lt;&gt;管理年度,"△不是管理年度的单据，年报里看不到",IF(AND($F771="内部转账",$Q771=""),"△内部转账建议在「往来单位」写上对方账户",IF($M771&lt;0,"△这一笔之后该账户余额成负数了，核一下","")))))))))))</f>
        <v/>
      </c>
    </row>
    <row r="772" ht="16.5" spans="1:19">
      <c r="A772" s="45"/>
      <c r="B772" s="46"/>
      <c r="C772" s="12" t="str">
        <f>IF($B772="","",IFERROR(INDEX(账户银行,MATCH($B772,账户名,0)),""))</f>
        <v/>
      </c>
      <c r="D772" s="12" t="str">
        <f>IF($B772="","",IFERROR(INDEX(账户币种,MATCH($B772,账户名,0)),""))</f>
        <v/>
      </c>
      <c r="E772" s="47"/>
      <c r="F772" s="12" t="str">
        <f>IF($E772="","",IFERROR(INDEX(类别属性,MATCH($E772,类别表,0)),""))</f>
        <v/>
      </c>
      <c r="G772" s="48"/>
      <c r="H772" s="48"/>
      <c r="I772" s="49"/>
      <c r="J772" s="24" t="str">
        <f>IF(OR($A772="",$B772=""),"",IF($I772&lt;&gt;"",$I772,IF($D772=本位币,1,IFERROR(LOOKUP(2,1/((汇率月份&lt;=$A772)*(INDEX(记账汇率区,0,MATCH($D772,汇率币种头,0))&lt;&gt;"")),INDEX(记账汇率区,0,MATCH($D772,汇率币种头,0))),""))))</f>
        <v/>
      </c>
      <c r="K772" s="23" t="str">
        <f t="shared" si="22"/>
        <v/>
      </c>
      <c r="L772" s="23" t="str">
        <f t="shared" si="23"/>
        <v/>
      </c>
      <c r="M772" s="23" t="str">
        <f>IF($B772="","",ROUND(SUMIF(账户名,$B772,账户期初)+SUMIFS($K$6:K772,$B$6:B772,$B772),2))</f>
        <v/>
      </c>
      <c r="N772" s="23" t="str">
        <f>IF($B772="","",IFERROR(ROUND(INDEX(账户期初本位,MATCH($B772,账户名,0))+SUMIFS($L$6:L772,$B$6:B772,$B772),2),""))</f>
        <v/>
      </c>
      <c r="O772" s="46"/>
      <c r="P772" s="47"/>
      <c r="Q772" s="46"/>
      <c r="R772" s="46"/>
      <c r="S772" s="6" t="str">
        <f>IF($B772="","",IF(ISNA(MATCH($B772,账户名,0)),"※这个账户不在【参数设置】的账户档案里",IF($A772="","※没填日期，这一笔不会进任何月份的报表",IF(AND($G772&lt;&gt;"",$H772&lt;&gt;""),"※收入和支出不能同时填",IF(AND(N($G772)=0,N($H772)=0),"※收入和支出都没填",IF($E772="","※没填收支类别，分类报表会漏掉这一笔",IF(ISNA(MATCH($E772,类别表,0)),"※收支类别不在【参数设置】的清单里",IF($J772="","△"&amp;$D772&amp;" 还没填汇率，去【月度汇率】补上就自动算了",IF(YEAR($A772)&lt;&gt;管理年度,"△不是管理年度的单据，年报里看不到",IF(AND($F772="内部转账",$Q772=""),"△内部转账建议在「往来单位」写上对方账户",IF($M772&lt;0,"△这一笔之后该账户余额成负数了，核一下","")))))))))))</f>
        <v/>
      </c>
    </row>
    <row r="773" ht="16.5" spans="1:19">
      <c r="A773" s="45"/>
      <c r="B773" s="46"/>
      <c r="C773" s="12" t="str">
        <f>IF($B773="","",IFERROR(INDEX(账户银行,MATCH($B773,账户名,0)),""))</f>
        <v/>
      </c>
      <c r="D773" s="12" t="str">
        <f>IF($B773="","",IFERROR(INDEX(账户币种,MATCH($B773,账户名,0)),""))</f>
        <v/>
      </c>
      <c r="E773" s="47"/>
      <c r="F773" s="12" t="str">
        <f>IF($E773="","",IFERROR(INDEX(类别属性,MATCH($E773,类别表,0)),""))</f>
        <v/>
      </c>
      <c r="G773" s="48"/>
      <c r="H773" s="48"/>
      <c r="I773" s="49"/>
      <c r="J773" s="24" t="str">
        <f>IF(OR($A773="",$B773=""),"",IF($I773&lt;&gt;"",$I773,IF($D773=本位币,1,IFERROR(LOOKUP(2,1/((汇率月份&lt;=$A773)*(INDEX(记账汇率区,0,MATCH($D773,汇率币种头,0))&lt;&gt;"")),INDEX(记账汇率区,0,MATCH($D773,汇率币种头,0))),""))))</f>
        <v/>
      </c>
      <c r="K773" s="23" t="str">
        <f t="shared" si="22"/>
        <v/>
      </c>
      <c r="L773" s="23" t="str">
        <f t="shared" si="23"/>
        <v/>
      </c>
      <c r="M773" s="23" t="str">
        <f>IF($B773="","",ROUND(SUMIF(账户名,$B773,账户期初)+SUMIFS($K$6:K773,$B$6:B773,$B773),2))</f>
        <v/>
      </c>
      <c r="N773" s="23" t="str">
        <f>IF($B773="","",IFERROR(ROUND(INDEX(账户期初本位,MATCH($B773,账户名,0))+SUMIFS($L$6:L773,$B$6:B773,$B773),2),""))</f>
        <v/>
      </c>
      <c r="O773" s="46"/>
      <c r="P773" s="47"/>
      <c r="Q773" s="46"/>
      <c r="R773" s="46"/>
      <c r="S773" s="6" t="str">
        <f>IF($B773="","",IF(ISNA(MATCH($B773,账户名,0)),"※这个账户不在【参数设置】的账户档案里",IF($A773="","※没填日期，这一笔不会进任何月份的报表",IF(AND($G773&lt;&gt;"",$H773&lt;&gt;""),"※收入和支出不能同时填",IF(AND(N($G773)=0,N($H773)=0),"※收入和支出都没填",IF($E773="","※没填收支类别，分类报表会漏掉这一笔",IF(ISNA(MATCH($E773,类别表,0)),"※收支类别不在【参数设置】的清单里",IF($J773="","△"&amp;$D773&amp;" 还没填汇率，去【月度汇率】补上就自动算了",IF(YEAR($A773)&lt;&gt;管理年度,"△不是管理年度的单据，年报里看不到",IF(AND($F773="内部转账",$Q773=""),"△内部转账建议在「往来单位」写上对方账户",IF($M773&lt;0,"△这一笔之后该账户余额成负数了，核一下","")))))))))))</f>
        <v/>
      </c>
    </row>
    <row r="774" ht="16.5" spans="1:19">
      <c r="A774" s="45"/>
      <c r="B774" s="46"/>
      <c r="C774" s="12" t="str">
        <f>IF($B774="","",IFERROR(INDEX(账户银行,MATCH($B774,账户名,0)),""))</f>
        <v/>
      </c>
      <c r="D774" s="12" t="str">
        <f>IF($B774="","",IFERROR(INDEX(账户币种,MATCH($B774,账户名,0)),""))</f>
        <v/>
      </c>
      <c r="E774" s="47"/>
      <c r="F774" s="12" t="str">
        <f>IF($E774="","",IFERROR(INDEX(类别属性,MATCH($E774,类别表,0)),""))</f>
        <v/>
      </c>
      <c r="G774" s="48"/>
      <c r="H774" s="48"/>
      <c r="I774" s="49"/>
      <c r="J774" s="24" t="str">
        <f>IF(OR($A774="",$B774=""),"",IF($I774&lt;&gt;"",$I774,IF($D774=本位币,1,IFERROR(LOOKUP(2,1/((汇率月份&lt;=$A774)*(INDEX(记账汇率区,0,MATCH($D774,汇率币种头,0))&lt;&gt;"")),INDEX(记账汇率区,0,MATCH($D774,汇率币种头,0))),""))))</f>
        <v/>
      </c>
      <c r="K774" s="23" t="str">
        <f t="shared" ref="K774:K837" si="24">IF(AND($G774="",$H774=""),"",ROUND(N($G774)-N($H774),2))</f>
        <v/>
      </c>
      <c r="L774" s="23" t="str">
        <f t="shared" ref="L774:L837" si="25">IF(OR($K774="",$J774=""),"",ROUND($K774*$J774,2))</f>
        <v/>
      </c>
      <c r="M774" s="23" t="str">
        <f>IF($B774="","",ROUND(SUMIF(账户名,$B774,账户期初)+SUMIFS($K$6:K774,$B$6:B774,$B774),2))</f>
        <v/>
      </c>
      <c r="N774" s="23" t="str">
        <f>IF($B774="","",IFERROR(ROUND(INDEX(账户期初本位,MATCH($B774,账户名,0))+SUMIFS($L$6:L774,$B$6:B774,$B774),2),""))</f>
        <v/>
      </c>
      <c r="O774" s="46"/>
      <c r="P774" s="47"/>
      <c r="Q774" s="46"/>
      <c r="R774" s="46"/>
      <c r="S774" s="6" t="str">
        <f>IF($B774="","",IF(ISNA(MATCH($B774,账户名,0)),"※这个账户不在【参数设置】的账户档案里",IF($A774="","※没填日期，这一笔不会进任何月份的报表",IF(AND($G774&lt;&gt;"",$H774&lt;&gt;""),"※收入和支出不能同时填",IF(AND(N($G774)=0,N($H774)=0),"※收入和支出都没填",IF($E774="","※没填收支类别，分类报表会漏掉这一笔",IF(ISNA(MATCH($E774,类别表,0)),"※收支类别不在【参数设置】的清单里",IF($J774="","△"&amp;$D774&amp;" 还没填汇率，去【月度汇率】补上就自动算了",IF(YEAR($A774)&lt;&gt;管理年度,"△不是管理年度的单据，年报里看不到",IF(AND($F774="内部转账",$Q774=""),"△内部转账建议在「往来单位」写上对方账户",IF($M774&lt;0,"△这一笔之后该账户余额成负数了，核一下","")))))))))))</f>
        <v/>
      </c>
    </row>
    <row r="775" ht="16.5" spans="1:19">
      <c r="A775" s="45"/>
      <c r="B775" s="46"/>
      <c r="C775" s="12" t="str">
        <f>IF($B775="","",IFERROR(INDEX(账户银行,MATCH($B775,账户名,0)),""))</f>
        <v/>
      </c>
      <c r="D775" s="12" t="str">
        <f>IF($B775="","",IFERROR(INDEX(账户币种,MATCH($B775,账户名,0)),""))</f>
        <v/>
      </c>
      <c r="E775" s="47"/>
      <c r="F775" s="12" t="str">
        <f>IF($E775="","",IFERROR(INDEX(类别属性,MATCH($E775,类别表,0)),""))</f>
        <v/>
      </c>
      <c r="G775" s="48"/>
      <c r="H775" s="48"/>
      <c r="I775" s="49"/>
      <c r="J775" s="24" t="str">
        <f>IF(OR($A775="",$B775=""),"",IF($I775&lt;&gt;"",$I775,IF($D775=本位币,1,IFERROR(LOOKUP(2,1/((汇率月份&lt;=$A775)*(INDEX(记账汇率区,0,MATCH($D775,汇率币种头,0))&lt;&gt;"")),INDEX(记账汇率区,0,MATCH($D775,汇率币种头,0))),""))))</f>
        <v/>
      </c>
      <c r="K775" s="23" t="str">
        <f t="shared" si="24"/>
        <v/>
      </c>
      <c r="L775" s="23" t="str">
        <f t="shared" si="25"/>
        <v/>
      </c>
      <c r="M775" s="23" t="str">
        <f>IF($B775="","",ROUND(SUMIF(账户名,$B775,账户期初)+SUMIFS($K$6:K775,$B$6:B775,$B775),2))</f>
        <v/>
      </c>
      <c r="N775" s="23" t="str">
        <f>IF($B775="","",IFERROR(ROUND(INDEX(账户期初本位,MATCH($B775,账户名,0))+SUMIFS($L$6:L775,$B$6:B775,$B775),2),""))</f>
        <v/>
      </c>
      <c r="O775" s="46"/>
      <c r="P775" s="47"/>
      <c r="Q775" s="46"/>
      <c r="R775" s="46"/>
      <c r="S775" s="6" t="str">
        <f>IF($B775="","",IF(ISNA(MATCH($B775,账户名,0)),"※这个账户不在【参数设置】的账户档案里",IF($A775="","※没填日期，这一笔不会进任何月份的报表",IF(AND($G775&lt;&gt;"",$H775&lt;&gt;""),"※收入和支出不能同时填",IF(AND(N($G775)=0,N($H775)=0),"※收入和支出都没填",IF($E775="","※没填收支类别，分类报表会漏掉这一笔",IF(ISNA(MATCH($E775,类别表,0)),"※收支类别不在【参数设置】的清单里",IF($J775="","△"&amp;$D775&amp;" 还没填汇率，去【月度汇率】补上就自动算了",IF(YEAR($A775)&lt;&gt;管理年度,"△不是管理年度的单据，年报里看不到",IF(AND($F775="内部转账",$Q775=""),"△内部转账建议在「往来单位」写上对方账户",IF($M775&lt;0,"△这一笔之后该账户余额成负数了，核一下","")))))))))))</f>
        <v/>
      </c>
    </row>
    <row r="776" ht="16.5" spans="1:19">
      <c r="A776" s="45"/>
      <c r="B776" s="46"/>
      <c r="C776" s="12" t="str">
        <f>IF($B776="","",IFERROR(INDEX(账户银行,MATCH($B776,账户名,0)),""))</f>
        <v/>
      </c>
      <c r="D776" s="12" t="str">
        <f>IF($B776="","",IFERROR(INDEX(账户币种,MATCH($B776,账户名,0)),""))</f>
        <v/>
      </c>
      <c r="E776" s="47"/>
      <c r="F776" s="12" t="str">
        <f>IF($E776="","",IFERROR(INDEX(类别属性,MATCH($E776,类别表,0)),""))</f>
        <v/>
      </c>
      <c r="G776" s="48"/>
      <c r="H776" s="48"/>
      <c r="I776" s="49"/>
      <c r="J776" s="24" t="str">
        <f>IF(OR($A776="",$B776=""),"",IF($I776&lt;&gt;"",$I776,IF($D776=本位币,1,IFERROR(LOOKUP(2,1/((汇率月份&lt;=$A776)*(INDEX(记账汇率区,0,MATCH($D776,汇率币种头,0))&lt;&gt;"")),INDEX(记账汇率区,0,MATCH($D776,汇率币种头,0))),""))))</f>
        <v/>
      </c>
      <c r="K776" s="23" t="str">
        <f t="shared" si="24"/>
        <v/>
      </c>
      <c r="L776" s="23" t="str">
        <f t="shared" si="25"/>
        <v/>
      </c>
      <c r="M776" s="23" t="str">
        <f>IF($B776="","",ROUND(SUMIF(账户名,$B776,账户期初)+SUMIFS($K$6:K776,$B$6:B776,$B776),2))</f>
        <v/>
      </c>
      <c r="N776" s="23" t="str">
        <f>IF($B776="","",IFERROR(ROUND(INDEX(账户期初本位,MATCH($B776,账户名,0))+SUMIFS($L$6:L776,$B$6:B776,$B776),2),""))</f>
        <v/>
      </c>
      <c r="O776" s="46"/>
      <c r="P776" s="47"/>
      <c r="Q776" s="46"/>
      <c r="R776" s="46"/>
      <c r="S776" s="6" t="str">
        <f>IF($B776="","",IF(ISNA(MATCH($B776,账户名,0)),"※这个账户不在【参数设置】的账户档案里",IF($A776="","※没填日期，这一笔不会进任何月份的报表",IF(AND($G776&lt;&gt;"",$H776&lt;&gt;""),"※收入和支出不能同时填",IF(AND(N($G776)=0,N($H776)=0),"※收入和支出都没填",IF($E776="","※没填收支类别，分类报表会漏掉这一笔",IF(ISNA(MATCH($E776,类别表,0)),"※收支类别不在【参数设置】的清单里",IF($J776="","△"&amp;$D776&amp;" 还没填汇率，去【月度汇率】补上就自动算了",IF(YEAR($A776)&lt;&gt;管理年度,"△不是管理年度的单据，年报里看不到",IF(AND($F776="内部转账",$Q776=""),"△内部转账建议在「往来单位」写上对方账户",IF($M776&lt;0,"△这一笔之后该账户余额成负数了，核一下","")))))))))))</f>
        <v/>
      </c>
    </row>
    <row r="777" ht="16.5" spans="1:19">
      <c r="A777" s="45"/>
      <c r="B777" s="46"/>
      <c r="C777" s="12" t="str">
        <f>IF($B777="","",IFERROR(INDEX(账户银行,MATCH($B777,账户名,0)),""))</f>
        <v/>
      </c>
      <c r="D777" s="12" t="str">
        <f>IF($B777="","",IFERROR(INDEX(账户币种,MATCH($B777,账户名,0)),""))</f>
        <v/>
      </c>
      <c r="E777" s="47"/>
      <c r="F777" s="12" t="str">
        <f>IF($E777="","",IFERROR(INDEX(类别属性,MATCH($E777,类别表,0)),""))</f>
        <v/>
      </c>
      <c r="G777" s="48"/>
      <c r="H777" s="48"/>
      <c r="I777" s="49"/>
      <c r="J777" s="24" t="str">
        <f>IF(OR($A777="",$B777=""),"",IF($I777&lt;&gt;"",$I777,IF($D777=本位币,1,IFERROR(LOOKUP(2,1/((汇率月份&lt;=$A777)*(INDEX(记账汇率区,0,MATCH($D777,汇率币种头,0))&lt;&gt;"")),INDEX(记账汇率区,0,MATCH($D777,汇率币种头,0))),""))))</f>
        <v/>
      </c>
      <c r="K777" s="23" t="str">
        <f t="shared" si="24"/>
        <v/>
      </c>
      <c r="L777" s="23" t="str">
        <f t="shared" si="25"/>
        <v/>
      </c>
      <c r="M777" s="23" t="str">
        <f>IF($B777="","",ROUND(SUMIF(账户名,$B777,账户期初)+SUMIFS($K$6:K777,$B$6:B777,$B777),2))</f>
        <v/>
      </c>
      <c r="N777" s="23" t="str">
        <f>IF($B777="","",IFERROR(ROUND(INDEX(账户期初本位,MATCH($B777,账户名,0))+SUMIFS($L$6:L777,$B$6:B777,$B777),2),""))</f>
        <v/>
      </c>
      <c r="O777" s="46"/>
      <c r="P777" s="47"/>
      <c r="Q777" s="46"/>
      <c r="R777" s="46"/>
      <c r="S777" s="6" t="str">
        <f>IF($B777="","",IF(ISNA(MATCH($B777,账户名,0)),"※这个账户不在【参数设置】的账户档案里",IF($A777="","※没填日期，这一笔不会进任何月份的报表",IF(AND($G777&lt;&gt;"",$H777&lt;&gt;""),"※收入和支出不能同时填",IF(AND(N($G777)=0,N($H777)=0),"※收入和支出都没填",IF($E777="","※没填收支类别，分类报表会漏掉这一笔",IF(ISNA(MATCH($E777,类别表,0)),"※收支类别不在【参数设置】的清单里",IF($J777="","△"&amp;$D777&amp;" 还没填汇率，去【月度汇率】补上就自动算了",IF(YEAR($A777)&lt;&gt;管理年度,"△不是管理年度的单据，年报里看不到",IF(AND($F777="内部转账",$Q777=""),"△内部转账建议在「往来单位」写上对方账户",IF($M777&lt;0,"△这一笔之后该账户余额成负数了，核一下","")))))))))))</f>
        <v/>
      </c>
    </row>
    <row r="778" ht="16.5" spans="1:19">
      <c r="A778" s="45"/>
      <c r="B778" s="46"/>
      <c r="C778" s="12" t="str">
        <f>IF($B778="","",IFERROR(INDEX(账户银行,MATCH($B778,账户名,0)),""))</f>
        <v/>
      </c>
      <c r="D778" s="12" t="str">
        <f>IF($B778="","",IFERROR(INDEX(账户币种,MATCH($B778,账户名,0)),""))</f>
        <v/>
      </c>
      <c r="E778" s="47"/>
      <c r="F778" s="12" t="str">
        <f>IF($E778="","",IFERROR(INDEX(类别属性,MATCH($E778,类别表,0)),""))</f>
        <v/>
      </c>
      <c r="G778" s="48"/>
      <c r="H778" s="48"/>
      <c r="I778" s="49"/>
      <c r="J778" s="24" t="str">
        <f>IF(OR($A778="",$B778=""),"",IF($I778&lt;&gt;"",$I778,IF($D778=本位币,1,IFERROR(LOOKUP(2,1/((汇率月份&lt;=$A778)*(INDEX(记账汇率区,0,MATCH($D778,汇率币种头,0))&lt;&gt;"")),INDEX(记账汇率区,0,MATCH($D778,汇率币种头,0))),""))))</f>
        <v/>
      </c>
      <c r="K778" s="23" t="str">
        <f t="shared" si="24"/>
        <v/>
      </c>
      <c r="L778" s="23" t="str">
        <f t="shared" si="25"/>
        <v/>
      </c>
      <c r="M778" s="23" t="str">
        <f>IF($B778="","",ROUND(SUMIF(账户名,$B778,账户期初)+SUMIFS($K$6:K778,$B$6:B778,$B778),2))</f>
        <v/>
      </c>
      <c r="N778" s="23" t="str">
        <f>IF($B778="","",IFERROR(ROUND(INDEX(账户期初本位,MATCH($B778,账户名,0))+SUMIFS($L$6:L778,$B$6:B778,$B778),2),""))</f>
        <v/>
      </c>
      <c r="O778" s="46"/>
      <c r="P778" s="47"/>
      <c r="Q778" s="46"/>
      <c r="R778" s="46"/>
      <c r="S778" s="6" t="str">
        <f>IF($B778="","",IF(ISNA(MATCH($B778,账户名,0)),"※这个账户不在【参数设置】的账户档案里",IF($A778="","※没填日期，这一笔不会进任何月份的报表",IF(AND($G778&lt;&gt;"",$H778&lt;&gt;""),"※收入和支出不能同时填",IF(AND(N($G778)=0,N($H778)=0),"※收入和支出都没填",IF($E778="","※没填收支类别，分类报表会漏掉这一笔",IF(ISNA(MATCH($E778,类别表,0)),"※收支类别不在【参数设置】的清单里",IF($J778="","△"&amp;$D778&amp;" 还没填汇率，去【月度汇率】补上就自动算了",IF(YEAR($A778)&lt;&gt;管理年度,"△不是管理年度的单据，年报里看不到",IF(AND($F778="内部转账",$Q778=""),"△内部转账建议在「往来单位」写上对方账户",IF($M778&lt;0,"△这一笔之后该账户余额成负数了，核一下","")))))))))))</f>
        <v/>
      </c>
    </row>
    <row r="779" ht="16.5" spans="1:19">
      <c r="A779" s="45"/>
      <c r="B779" s="46"/>
      <c r="C779" s="12" t="str">
        <f>IF($B779="","",IFERROR(INDEX(账户银行,MATCH($B779,账户名,0)),""))</f>
        <v/>
      </c>
      <c r="D779" s="12" t="str">
        <f>IF($B779="","",IFERROR(INDEX(账户币种,MATCH($B779,账户名,0)),""))</f>
        <v/>
      </c>
      <c r="E779" s="47"/>
      <c r="F779" s="12" t="str">
        <f>IF($E779="","",IFERROR(INDEX(类别属性,MATCH($E779,类别表,0)),""))</f>
        <v/>
      </c>
      <c r="G779" s="48"/>
      <c r="H779" s="48"/>
      <c r="I779" s="49"/>
      <c r="J779" s="24" t="str">
        <f>IF(OR($A779="",$B779=""),"",IF($I779&lt;&gt;"",$I779,IF($D779=本位币,1,IFERROR(LOOKUP(2,1/((汇率月份&lt;=$A779)*(INDEX(记账汇率区,0,MATCH($D779,汇率币种头,0))&lt;&gt;"")),INDEX(记账汇率区,0,MATCH($D779,汇率币种头,0))),""))))</f>
        <v/>
      </c>
      <c r="K779" s="23" t="str">
        <f t="shared" si="24"/>
        <v/>
      </c>
      <c r="L779" s="23" t="str">
        <f t="shared" si="25"/>
        <v/>
      </c>
      <c r="M779" s="23" t="str">
        <f>IF($B779="","",ROUND(SUMIF(账户名,$B779,账户期初)+SUMIFS($K$6:K779,$B$6:B779,$B779),2))</f>
        <v/>
      </c>
      <c r="N779" s="23" t="str">
        <f>IF($B779="","",IFERROR(ROUND(INDEX(账户期初本位,MATCH($B779,账户名,0))+SUMIFS($L$6:L779,$B$6:B779,$B779),2),""))</f>
        <v/>
      </c>
      <c r="O779" s="46"/>
      <c r="P779" s="47"/>
      <c r="Q779" s="46"/>
      <c r="R779" s="46"/>
      <c r="S779" s="6" t="str">
        <f>IF($B779="","",IF(ISNA(MATCH($B779,账户名,0)),"※这个账户不在【参数设置】的账户档案里",IF($A779="","※没填日期，这一笔不会进任何月份的报表",IF(AND($G779&lt;&gt;"",$H779&lt;&gt;""),"※收入和支出不能同时填",IF(AND(N($G779)=0,N($H779)=0),"※收入和支出都没填",IF($E779="","※没填收支类别，分类报表会漏掉这一笔",IF(ISNA(MATCH($E779,类别表,0)),"※收支类别不在【参数设置】的清单里",IF($J779="","△"&amp;$D779&amp;" 还没填汇率，去【月度汇率】补上就自动算了",IF(YEAR($A779)&lt;&gt;管理年度,"△不是管理年度的单据，年报里看不到",IF(AND($F779="内部转账",$Q779=""),"△内部转账建议在「往来单位」写上对方账户",IF($M779&lt;0,"△这一笔之后该账户余额成负数了，核一下","")))))))))))</f>
        <v/>
      </c>
    </row>
    <row r="780" ht="16.5" spans="1:19">
      <c r="A780" s="45"/>
      <c r="B780" s="46"/>
      <c r="C780" s="12" t="str">
        <f>IF($B780="","",IFERROR(INDEX(账户银行,MATCH($B780,账户名,0)),""))</f>
        <v/>
      </c>
      <c r="D780" s="12" t="str">
        <f>IF($B780="","",IFERROR(INDEX(账户币种,MATCH($B780,账户名,0)),""))</f>
        <v/>
      </c>
      <c r="E780" s="47"/>
      <c r="F780" s="12" t="str">
        <f>IF($E780="","",IFERROR(INDEX(类别属性,MATCH($E780,类别表,0)),""))</f>
        <v/>
      </c>
      <c r="G780" s="48"/>
      <c r="H780" s="48"/>
      <c r="I780" s="49"/>
      <c r="J780" s="24" t="str">
        <f>IF(OR($A780="",$B780=""),"",IF($I780&lt;&gt;"",$I780,IF($D780=本位币,1,IFERROR(LOOKUP(2,1/((汇率月份&lt;=$A780)*(INDEX(记账汇率区,0,MATCH($D780,汇率币种头,0))&lt;&gt;"")),INDEX(记账汇率区,0,MATCH($D780,汇率币种头,0))),""))))</f>
        <v/>
      </c>
      <c r="K780" s="23" t="str">
        <f t="shared" si="24"/>
        <v/>
      </c>
      <c r="L780" s="23" t="str">
        <f t="shared" si="25"/>
        <v/>
      </c>
      <c r="M780" s="23" t="str">
        <f>IF($B780="","",ROUND(SUMIF(账户名,$B780,账户期初)+SUMIFS($K$6:K780,$B$6:B780,$B780),2))</f>
        <v/>
      </c>
      <c r="N780" s="23" t="str">
        <f>IF($B780="","",IFERROR(ROUND(INDEX(账户期初本位,MATCH($B780,账户名,0))+SUMIFS($L$6:L780,$B$6:B780,$B780),2),""))</f>
        <v/>
      </c>
      <c r="O780" s="46"/>
      <c r="P780" s="47"/>
      <c r="Q780" s="46"/>
      <c r="R780" s="46"/>
      <c r="S780" s="6" t="str">
        <f>IF($B780="","",IF(ISNA(MATCH($B780,账户名,0)),"※这个账户不在【参数设置】的账户档案里",IF($A780="","※没填日期，这一笔不会进任何月份的报表",IF(AND($G780&lt;&gt;"",$H780&lt;&gt;""),"※收入和支出不能同时填",IF(AND(N($G780)=0,N($H780)=0),"※收入和支出都没填",IF($E780="","※没填收支类别，分类报表会漏掉这一笔",IF(ISNA(MATCH($E780,类别表,0)),"※收支类别不在【参数设置】的清单里",IF($J780="","△"&amp;$D780&amp;" 还没填汇率，去【月度汇率】补上就自动算了",IF(YEAR($A780)&lt;&gt;管理年度,"△不是管理年度的单据，年报里看不到",IF(AND($F780="内部转账",$Q780=""),"△内部转账建议在「往来单位」写上对方账户",IF($M780&lt;0,"△这一笔之后该账户余额成负数了，核一下","")))))))))))</f>
        <v/>
      </c>
    </row>
    <row r="781" ht="16.5" spans="1:19">
      <c r="A781" s="45"/>
      <c r="B781" s="46"/>
      <c r="C781" s="12" t="str">
        <f>IF($B781="","",IFERROR(INDEX(账户银行,MATCH($B781,账户名,0)),""))</f>
        <v/>
      </c>
      <c r="D781" s="12" t="str">
        <f>IF($B781="","",IFERROR(INDEX(账户币种,MATCH($B781,账户名,0)),""))</f>
        <v/>
      </c>
      <c r="E781" s="47"/>
      <c r="F781" s="12" t="str">
        <f>IF($E781="","",IFERROR(INDEX(类别属性,MATCH($E781,类别表,0)),""))</f>
        <v/>
      </c>
      <c r="G781" s="48"/>
      <c r="H781" s="48"/>
      <c r="I781" s="49"/>
      <c r="J781" s="24" t="str">
        <f>IF(OR($A781="",$B781=""),"",IF($I781&lt;&gt;"",$I781,IF($D781=本位币,1,IFERROR(LOOKUP(2,1/((汇率月份&lt;=$A781)*(INDEX(记账汇率区,0,MATCH($D781,汇率币种头,0))&lt;&gt;"")),INDEX(记账汇率区,0,MATCH($D781,汇率币种头,0))),""))))</f>
        <v/>
      </c>
      <c r="K781" s="23" t="str">
        <f t="shared" si="24"/>
        <v/>
      </c>
      <c r="L781" s="23" t="str">
        <f t="shared" si="25"/>
        <v/>
      </c>
      <c r="M781" s="23" t="str">
        <f>IF($B781="","",ROUND(SUMIF(账户名,$B781,账户期初)+SUMIFS($K$6:K781,$B$6:B781,$B781),2))</f>
        <v/>
      </c>
      <c r="N781" s="23" t="str">
        <f>IF($B781="","",IFERROR(ROUND(INDEX(账户期初本位,MATCH($B781,账户名,0))+SUMIFS($L$6:L781,$B$6:B781,$B781),2),""))</f>
        <v/>
      </c>
      <c r="O781" s="46"/>
      <c r="P781" s="47"/>
      <c r="Q781" s="46"/>
      <c r="R781" s="46"/>
      <c r="S781" s="6" t="str">
        <f>IF($B781="","",IF(ISNA(MATCH($B781,账户名,0)),"※这个账户不在【参数设置】的账户档案里",IF($A781="","※没填日期，这一笔不会进任何月份的报表",IF(AND($G781&lt;&gt;"",$H781&lt;&gt;""),"※收入和支出不能同时填",IF(AND(N($G781)=0,N($H781)=0),"※收入和支出都没填",IF($E781="","※没填收支类别，分类报表会漏掉这一笔",IF(ISNA(MATCH($E781,类别表,0)),"※收支类别不在【参数设置】的清单里",IF($J781="","△"&amp;$D781&amp;" 还没填汇率，去【月度汇率】补上就自动算了",IF(YEAR($A781)&lt;&gt;管理年度,"△不是管理年度的单据，年报里看不到",IF(AND($F781="内部转账",$Q781=""),"△内部转账建议在「往来单位」写上对方账户",IF($M781&lt;0,"△这一笔之后该账户余额成负数了，核一下","")))))))))))</f>
        <v/>
      </c>
    </row>
    <row r="782" ht="16.5" spans="1:19">
      <c r="A782" s="45"/>
      <c r="B782" s="46"/>
      <c r="C782" s="12" t="str">
        <f>IF($B782="","",IFERROR(INDEX(账户银行,MATCH($B782,账户名,0)),""))</f>
        <v/>
      </c>
      <c r="D782" s="12" t="str">
        <f>IF($B782="","",IFERROR(INDEX(账户币种,MATCH($B782,账户名,0)),""))</f>
        <v/>
      </c>
      <c r="E782" s="47"/>
      <c r="F782" s="12" t="str">
        <f>IF($E782="","",IFERROR(INDEX(类别属性,MATCH($E782,类别表,0)),""))</f>
        <v/>
      </c>
      <c r="G782" s="48"/>
      <c r="H782" s="48"/>
      <c r="I782" s="49"/>
      <c r="J782" s="24" t="str">
        <f>IF(OR($A782="",$B782=""),"",IF($I782&lt;&gt;"",$I782,IF($D782=本位币,1,IFERROR(LOOKUP(2,1/((汇率月份&lt;=$A782)*(INDEX(记账汇率区,0,MATCH($D782,汇率币种头,0))&lt;&gt;"")),INDEX(记账汇率区,0,MATCH($D782,汇率币种头,0))),""))))</f>
        <v/>
      </c>
      <c r="K782" s="23" t="str">
        <f t="shared" si="24"/>
        <v/>
      </c>
      <c r="L782" s="23" t="str">
        <f t="shared" si="25"/>
        <v/>
      </c>
      <c r="M782" s="23" t="str">
        <f>IF($B782="","",ROUND(SUMIF(账户名,$B782,账户期初)+SUMIFS($K$6:K782,$B$6:B782,$B782),2))</f>
        <v/>
      </c>
      <c r="N782" s="23" t="str">
        <f>IF($B782="","",IFERROR(ROUND(INDEX(账户期初本位,MATCH($B782,账户名,0))+SUMIFS($L$6:L782,$B$6:B782,$B782),2),""))</f>
        <v/>
      </c>
      <c r="O782" s="46"/>
      <c r="P782" s="47"/>
      <c r="Q782" s="46"/>
      <c r="R782" s="46"/>
      <c r="S782" s="6" t="str">
        <f>IF($B782="","",IF(ISNA(MATCH($B782,账户名,0)),"※这个账户不在【参数设置】的账户档案里",IF($A782="","※没填日期，这一笔不会进任何月份的报表",IF(AND($G782&lt;&gt;"",$H782&lt;&gt;""),"※收入和支出不能同时填",IF(AND(N($G782)=0,N($H782)=0),"※收入和支出都没填",IF($E782="","※没填收支类别，分类报表会漏掉这一笔",IF(ISNA(MATCH($E782,类别表,0)),"※收支类别不在【参数设置】的清单里",IF($J782="","△"&amp;$D782&amp;" 还没填汇率，去【月度汇率】补上就自动算了",IF(YEAR($A782)&lt;&gt;管理年度,"△不是管理年度的单据，年报里看不到",IF(AND($F782="内部转账",$Q782=""),"△内部转账建议在「往来单位」写上对方账户",IF($M782&lt;0,"△这一笔之后该账户余额成负数了，核一下","")))))))))))</f>
        <v/>
      </c>
    </row>
    <row r="783" ht="16.5" spans="1:19">
      <c r="A783" s="45"/>
      <c r="B783" s="46"/>
      <c r="C783" s="12" t="str">
        <f>IF($B783="","",IFERROR(INDEX(账户银行,MATCH($B783,账户名,0)),""))</f>
        <v/>
      </c>
      <c r="D783" s="12" t="str">
        <f>IF($B783="","",IFERROR(INDEX(账户币种,MATCH($B783,账户名,0)),""))</f>
        <v/>
      </c>
      <c r="E783" s="47"/>
      <c r="F783" s="12" t="str">
        <f>IF($E783="","",IFERROR(INDEX(类别属性,MATCH($E783,类别表,0)),""))</f>
        <v/>
      </c>
      <c r="G783" s="48"/>
      <c r="H783" s="48"/>
      <c r="I783" s="49"/>
      <c r="J783" s="24" t="str">
        <f>IF(OR($A783="",$B783=""),"",IF($I783&lt;&gt;"",$I783,IF($D783=本位币,1,IFERROR(LOOKUP(2,1/((汇率月份&lt;=$A783)*(INDEX(记账汇率区,0,MATCH($D783,汇率币种头,0))&lt;&gt;"")),INDEX(记账汇率区,0,MATCH($D783,汇率币种头,0))),""))))</f>
        <v/>
      </c>
      <c r="K783" s="23" t="str">
        <f t="shared" si="24"/>
        <v/>
      </c>
      <c r="L783" s="23" t="str">
        <f t="shared" si="25"/>
        <v/>
      </c>
      <c r="M783" s="23" t="str">
        <f>IF($B783="","",ROUND(SUMIF(账户名,$B783,账户期初)+SUMIFS($K$6:K783,$B$6:B783,$B783),2))</f>
        <v/>
      </c>
      <c r="N783" s="23" t="str">
        <f>IF($B783="","",IFERROR(ROUND(INDEX(账户期初本位,MATCH($B783,账户名,0))+SUMIFS($L$6:L783,$B$6:B783,$B783),2),""))</f>
        <v/>
      </c>
      <c r="O783" s="46"/>
      <c r="P783" s="47"/>
      <c r="Q783" s="46"/>
      <c r="R783" s="46"/>
      <c r="S783" s="6" t="str">
        <f>IF($B783="","",IF(ISNA(MATCH($B783,账户名,0)),"※这个账户不在【参数设置】的账户档案里",IF($A783="","※没填日期，这一笔不会进任何月份的报表",IF(AND($G783&lt;&gt;"",$H783&lt;&gt;""),"※收入和支出不能同时填",IF(AND(N($G783)=0,N($H783)=0),"※收入和支出都没填",IF($E783="","※没填收支类别，分类报表会漏掉这一笔",IF(ISNA(MATCH($E783,类别表,0)),"※收支类别不在【参数设置】的清单里",IF($J783="","△"&amp;$D783&amp;" 还没填汇率，去【月度汇率】补上就自动算了",IF(YEAR($A783)&lt;&gt;管理年度,"△不是管理年度的单据，年报里看不到",IF(AND($F783="内部转账",$Q783=""),"△内部转账建议在「往来单位」写上对方账户",IF($M783&lt;0,"△这一笔之后该账户余额成负数了，核一下","")))))))))))</f>
        <v/>
      </c>
    </row>
    <row r="784" ht="16.5" spans="1:19">
      <c r="A784" s="45"/>
      <c r="B784" s="46"/>
      <c r="C784" s="12" t="str">
        <f>IF($B784="","",IFERROR(INDEX(账户银行,MATCH($B784,账户名,0)),""))</f>
        <v/>
      </c>
      <c r="D784" s="12" t="str">
        <f>IF($B784="","",IFERROR(INDEX(账户币种,MATCH($B784,账户名,0)),""))</f>
        <v/>
      </c>
      <c r="E784" s="47"/>
      <c r="F784" s="12" t="str">
        <f>IF($E784="","",IFERROR(INDEX(类别属性,MATCH($E784,类别表,0)),""))</f>
        <v/>
      </c>
      <c r="G784" s="48"/>
      <c r="H784" s="48"/>
      <c r="I784" s="49"/>
      <c r="J784" s="24" t="str">
        <f>IF(OR($A784="",$B784=""),"",IF($I784&lt;&gt;"",$I784,IF($D784=本位币,1,IFERROR(LOOKUP(2,1/((汇率月份&lt;=$A784)*(INDEX(记账汇率区,0,MATCH($D784,汇率币种头,0))&lt;&gt;"")),INDEX(记账汇率区,0,MATCH($D784,汇率币种头,0))),""))))</f>
        <v/>
      </c>
      <c r="K784" s="23" t="str">
        <f t="shared" si="24"/>
        <v/>
      </c>
      <c r="L784" s="23" t="str">
        <f t="shared" si="25"/>
        <v/>
      </c>
      <c r="M784" s="23" t="str">
        <f>IF($B784="","",ROUND(SUMIF(账户名,$B784,账户期初)+SUMIFS($K$6:K784,$B$6:B784,$B784),2))</f>
        <v/>
      </c>
      <c r="N784" s="23" t="str">
        <f>IF($B784="","",IFERROR(ROUND(INDEX(账户期初本位,MATCH($B784,账户名,0))+SUMIFS($L$6:L784,$B$6:B784,$B784),2),""))</f>
        <v/>
      </c>
      <c r="O784" s="46"/>
      <c r="P784" s="47"/>
      <c r="Q784" s="46"/>
      <c r="R784" s="46"/>
      <c r="S784" s="6" t="str">
        <f>IF($B784="","",IF(ISNA(MATCH($B784,账户名,0)),"※这个账户不在【参数设置】的账户档案里",IF($A784="","※没填日期，这一笔不会进任何月份的报表",IF(AND($G784&lt;&gt;"",$H784&lt;&gt;""),"※收入和支出不能同时填",IF(AND(N($G784)=0,N($H784)=0),"※收入和支出都没填",IF($E784="","※没填收支类别，分类报表会漏掉这一笔",IF(ISNA(MATCH($E784,类别表,0)),"※收支类别不在【参数设置】的清单里",IF($J784="","△"&amp;$D784&amp;" 还没填汇率，去【月度汇率】补上就自动算了",IF(YEAR($A784)&lt;&gt;管理年度,"△不是管理年度的单据，年报里看不到",IF(AND($F784="内部转账",$Q784=""),"△内部转账建议在「往来单位」写上对方账户",IF($M784&lt;0,"△这一笔之后该账户余额成负数了，核一下","")))))))))))</f>
        <v/>
      </c>
    </row>
    <row r="785" ht="16.5" spans="1:19">
      <c r="A785" s="45"/>
      <c r="B785" s="46"/>
      <c r="C785" s="12" t="str">
        <f>IF($B785="","",IFERROR(INDEX(账户银行,MATCH($B785,账户名,0)),""))</f>
        <v/>
      </c>
      <c r="D785" s="12" t="str">
        <f>IF($B785="","",IFERROR(INDEX(账户币种,MATCH($B785,账户名,0)),""))</f>
        <v/>
      </c>
      <c r="E785" s="47"/>
      <c r="F785" s="12" t="str">
        <f>IF($E785="","",IFERROR(INDEX(类别属性,MATCH($E785,类别表,0)),""))</f>
        <v/>
      </c>
      <c r="G785" s="48"/>
      <c r="H785" s="48"/>
      <c r="I785" s="49"/>
      <c r="J785" s="24" t="str">
        <f>IF(OR($A785="",$B785=""),"",IF($I785&lt;&gt;"",$I785,IF($D785=本位币,1,IFERROR(LOOKUP(2,1/((汇率月份&lt;=$A785)*(INDEX(记账汇率区,0,MATCH($D785,汇率币种头,0))&lt;&gt;"")),INDEX(记账汇率区,0,MATCH($D785,汇率币种头,0))),""))))</f>
        <v/>
      </c>
      <c r="K785" s="23" t="str">
        <f t="shared" si="24"/>
        <v/>
      </c>
      <c r="L785" s="23" t="str">
        <f t="shared" si="25"/>
        <v/>
      </c>
      <c r="M785" s="23" t="str">
        <f>IF($B785="","",ROUND(SUMIF(账户名,$B785,账户期初)+SUMIFS($K$6:K785,$B$6:B785,$B785),2))</f>
        <v/>
      </c>
      <c r="N785" s="23" t="str">
        <f>IF($B785="","",IFERROR(ROUND(INDEX(账户期初本位,MATCH($B785,账户名,0))+SUMIFS($L$6:L785,$B$6:B785,$B785),2),""))</f>
        <v/>
      </c>
      <c r="O785" s="46"/>
      <c r="P785" s="47"/>
      <c r="Q785" s="46"/>
      <c r="R785" s="46"/>
      <c r="S785" s="6" t="str">
        <f>IF($B785="","",IF(ISNA(MATCH($B785,账户名,0)),"※这个账户不在【参数设置】的账户档案里",IF($A785="","※没填日期，这一笔不会进任何月份的报表",IF(AND($G785&lt;&gt;"",$H785&lt;&gt;""),"※收入和支出不能同时填",IF(AND(N($G785)=0,N($H785)=0),"※收入和支出都没填",IF($E785="","※没填收支类别，分类报表会漏掉这一笔",IF(ISNA(MATCH($E785,类别表,0)),"※收支类别不在【参数设置】的清单里",IF($J785="","△"&amp;$D785&amp;" 还没填汇率，去【月度汇率】补上就自动算了",IF(YEAR($A785)&lt;&gt;管理年度,"△不是管理年度的单据，年报里看不到",IF(AND($F785="内部转账",$Q785=""),"△内部转账建议在「往来单位」写上对方账户",IF($M785&lt;0,"△这一笔之后该账户余额成负数了，核一下","")))))))))))</f>
        <v/>
      </c>
    </row>
    <row r="786" ht="16.5" spans="1:19">
      <c r="A786" s="45"/>
      <c r="B786" s="46"/>
      <c r="C786" s="12" t="str">
        <f>IF($B786="","",IFERROR(INDEX(账户银行,MATCH($B786,账户名,0)),""))</f>
        <v/>
      </c>
      <c r="D786" s="12" t="str">
        <f>IF($B786="","",IFERROR(INDEX(账户币种,MATCH($B786,账户名,0)),""))</f>
        <v/>
      </c>
      <c r="E786" s="47"/>
      <c r="F786" s="12" t="str">
        <f>IF($E786="","",IFERROR(INDEX(类别属性,MATCH($E786,类别表,0)),""))</f>
        <v/>
      </c>
      <c r="G786" s="48"/>
      <c r="H786" s="48"/>
      <c r="I786" s="49"/>
      <c r="J786" s="24" t="str">
        <f>IF(OR($A786="",$B786=""),"",IF($I786&lt;&gt;"",$I786,IF($D786=本位币,1,IFERROR(LOOKUP(2,1/((汇率月份&lt;=$A786)*(INDEX(记账汇率区,0,MATCH($D786,汇率币种头,0))&lt;&gt;"")),INDEX(记账汇率区,0,MATCH($D786,汇率币种头,0))),""))))</f>
        <v/>
      </c>
      <c r="K786" s="23" t="str">
        <f t="shared" si="24"/>
        <v/>
      </c>
      <c r="L786" s="23" t="str">
        <f t="shared" si="25"/>
        <v/>
      </c>
      <c r="M786" s="23" t="str">
        <f>IF($B786="","",ROUND(SUMIF(账户名,$B786,账户期初)+SUMIFS($K$6:K786,$B$6:B786,$B786),2))</f>
        <v/>
      </c>
      <c r="N786" s="23" t="str">
        <f>IF($B786="","",IFERROR(ROUND(INDEX(账户期初本位,MATCH($B786,账户名,0))+SUMIFS($L$6:L786,$B$6:B786,$B786),2),""))</f>
        <v/>
      </c>
      <c r="O786" s="46"/>
      <c r="P786" s="47"/>
      <c r="Q786" s="46"/>
      <c r="R786" s="46"/>
      <c r="S786" s="6" t="str">
        <f>IF($B786="","",IF(ISNA(MATCH($B786,账户名,0)),"※这个账户不在【参数设置】的账户档案里",IF($A786="","※没填日期，这一笔不会进任何月份的报表",IF(AND($G786&lt;&gt;"",$H786&lt;&gt;""),"※收入和支出不能同时填",IF(AND(N($G786)=0,N($H786)=0),"※收入和支出都没填",IF($E786="","※没填收支类别，分类报表会漏掉这一笔",IF(ISNA(MATCH($E786,类别表,0)),"※收支类别不在【参数设置】的清单里",IF($J786="","△"&amp;$D786&amp;" 还没填汇率，去【月度汇率】补上就自动算了",IF(YEAR($A786)&lt;&gt;管理年度,"△不是管理年度的单据，年报里看不到",IF(AND($F786="内部转账",$Q786=""),"△内部转账建议在「往来单位」写上对方账户",IF($M786&lt;0,"△这一笔之后该账户余额成负数了，核一下","")))))))))))</f>
        <v/>
      </c>
    </row>
    <row r="787" ht="16.5" spans="1:19">
      <c r="A787" s="45"/>
      <c r="B787" s="46"/>
      <c r="C787" s="12" t="str">
        <f>IF($B787="","",IFERROR(INDEX(账户银行,MATCH($B787,账户名,0)),""))</f>
        <v/>
      </c>
      <c r="D787" s="12" t="str">
        <f>IF($B787="","",IFERROR(INDEX(账户币种,MATCH($B787,账户名,0)),""))</f>
        <v/>
      </c>
      <c r="E787" s="47"/>
      <c r="F787" s="12" t="str">
        <f>IF($E787="","",IFERROR(INDEX(类别属性,MATCH($E787,类别表,0)),""))</f>
        <v/>
      </c>
      <c r="G787" s="48"/>
      <c r="H787" s="48"/>
      <c r="I787" s="49"/>
      <c r="J787" s="24" t="str">
        <f>IF(OR($A787="",$B787=""),"",IF($I787&lt;&gt;"",$I787,IF($D787=本位币,1,IFERROR(LOOKUP(2,1/((汇率月份&lt;=$A787)*(INDEX(记账汇率区,0,MATCH($D787,汇率币种头,0))&lt;&gt;"")),INDEX(记账汇率区,0,MATCH($D787,汇率币种头,0))),""))))</f>
        <v/>
      </c>
      <c r="K787" s="23" t="str">
        <f t="shared" si="24"/>
        <v/>
      </c>
      <c r="L787" s="23" t="str">
        <f t="shared" si="25"/>
        <v/>
      </c>
      <c r="M787" s="23" t="str">
        <f>IF($B787="","",ROUND(SUMIF(账户名,$B787,账户期初)+SUMIFS($K$6:K787,$B$6:B787,$B787),2))</f>
        <v/>
      </c>
      <c r="N787" s="23" t="str">
        <f>IF($B787="","",IFERROR(ROUND(INDEX(账户期初本位,MATCH($B787,账户名,0))+SUMIFS($L$6:L787,$B$6:B787,$B787),2),""))</f>
        <v/>
      </c>
      <c r="O787" s="46"/>
      <c r="P787" s="47"/>
      <c r="Q787" s="46"/>
      <c r="R787" s="46"/>
      <c r="S787" s="6" t="str">
        <f>IF($B787="","",IF(ISNA(MATCH($B787,账户名,0)),"※这个账户不在【参数设置】的账户档案里",IF($A787="","※没填日期，这一笔不会进任何月份的报表",IF(AND($G787&lt;&gt;"",$H787&lt;&gt;""),"※收入和支出不能同时填",IF(AND(N($G787)=0,N($H787)=0),"※收入和支出都没填",IF($E787="","※没填收支类别，分类报表会漏掉这一笔",IF(ISNA(MATCH($E787,类别表,0)),"※收支类别不在【参数设置】的清单里",IF($J787="","△"&amp;$D787&amp;" 还没填汇率，去【月度汇率】补上就自动算了",IF(YEAR($A787)&lt;&gt;管理年度,"△不是管理年度的单据，年报里看不到",IF(AND($F787="内部转账",$Q787=""),"△内部转账建议在「往来单位」写上对方账户",IF($M787&lt;0,"△这一笔之后该账户余额成负数了，核一下","")))))))))))</f>
        <v/>
      </c>
    </row>
    <row r="788" ht="16.5" spans="1:19">
      <c r="A788" s="45"/>
      <c r="B788" s="46"/>
      <c r="C788" s="12" t="str">
        <f>IF($B788="","",IFERROR(INDEX(账户银行,MATCH($B788,账户名,0)),""))</f>
        <v/>
      </c>
      <c r="D788" s="12" t="str">
        <f>IF($B788="","",IFERROR(INDEX(账户币种,MATCH($B788,账户名,0)),""))</f>
        <v/>
      </c>
      <c r="E788" s="47"/>
      <c r="F788" s="12" t="str">
        <f>IF($E788="","",IFERROR(INDEX(类别属性,MATCH($E788,类别表,0)),""))</f>
        <v/>
      </c>
      <c r="G788" s="48"/>
      <c r="H788" s="48"/>
      <c r="I788" s="49"/>
      <c r="J788" s="24" t="str">
        <f>IF(OR($A788="",$B788=""),"",IF($I788&lt;&gt;"",$I788,IF($D788=本位币,1,IFERROR(LOOKUP(2,1/((汇率月份&lt;=$A788)*(INDEX(记账汇率区,0,MATCH($D788,汇率币种头,0))&lt;&gt;"")),INDEX(记账汇率区,0,MATCH($D788,汇率币种头,0))),""))))</f>
        <v/>
      </c>
      <c r="K788" s="23" t="str">
        <f t="shared" si="24"/>
        <v/>
      </c>
      <c r="L788" s="23" t="str">
        <f t="shared" si="25"/>
        <v/>
      </c>
      <c r="M788" s="23" t="str">
        <f>IF($B788="","",ROUND(SUMIF(账户名,$B788,账户期初)+SUMIFS($K$6:K788,$B$6:B788,$B788),2))</f>
        <v/>
      </c>
      <c r="N788" s="23" t="str">
        <f>IF($B788="","",IFERROR(ROUND(INDEX(账户期初本位,MATCH($B788,账户名,0))+SUMIFS($L$6:L788,$B$6:B788,$B788),2),""))</f>
        <v/>
      </c>
      <c r="O788" s="46"/>
      <c r="P788" s="47"/>
      <c r="Q788" s="46"/>
      <c r="R788" s="46"/>
      <c r="S788" s="6" t="str">
        <f>IF($B788="","",IF(ISNA(MATCH($B788,账户名,0)),"※这个账户不在【参数设置】的账户档案里",IF($A788="","※没填日期，这一笔不会进任何月份的报表",IF(AND($G788&lt;&gt;"",$H788&lt;&gt;""),"※收入和支出不能同时填",IF(AND(N($G788)=0,N($H788)=0),"※收入和支出都没填",IF($E788="","※没填收支类别，分类报表会漏掉这一笔",IF(ISNA(MATCH($E788,类别表,0)),"※收支类别不在【参数设置】的清单里",IF($J788="","△"&amp;$D788&amp;" 还没填汇率，去【月度汇率】补上就自动算了",IF(YEAR($A788)&lt;&gt;管理年度,"△不是管理年度的单据，年报里看不到",IF(AND($F788="内部转账",$Q788=""),"△内部转账建议在「往来单位」写上对方账户",IF($M788&lt;0,"△这一笔之后该账户余额成负数了，核一下","")))))))))))</f>
        <v/>
      </c>
    </row>
    <row r="789" ht="16.5" spans="1:19">
      <c r="A789" s="45"/>
      <c r="B789" s="46"/>
      <c r="C789" s="12" t="str">
        <f>IF($B789="","",IFERROR(INDEX(账户银行,MATCH($B789,账户名,0)),""))</f>
        <v/>
      </c>
      <c r="D789" s="12" t="str">
        <f>IF($B789="","",IFERROR(INDEX(账户币种,MATCH($B789,账户名,0)),""))</f>
        <v/>
      </c>
      <c r="E789" s="47"/>
      <c r="F789" s="12" t="str">
        <f>IF($E789="","",IFERROR(INDEX(类别属性,MATCH($E789,类别表,0)),""))</f>
        <v/>
      </c>
      <c r="G789" s="48"/>
      <c r="H789" s="48"/>
      <c r="I789" s="49"/>
      <c r="J789" s="24" t="str">
        <f>IF(OR($A789="",$B789=""),"",IF($I789&lt;&gt;"",$I789,IF($D789=本位币,1,IFERROR(LOOKUP(2,1/((汇率月份&lt;=$A789)*(INDEX(记账汇率区,0,MATCH($D789,汇率币种头,0))&lt;&gt;"")),INDEX(记账汇率区,0,MATCH($D789,汇率币种头,0))),""))))</f>
        <v/>
      </c>
      <c r="K789" s="23" t="str">
        <f t="shared" si="24"/>
        <v/>
      </c>
      <c r="L789" s="23" t="str">
        <f t="shared" si="25"/>
        <v/>
      </c>
      <c r="M789" s="23" t="str">
        <f>IF($B789="","",ROUND(SUMIF(账户名,$B789,账户期初)+SUMIFS($K$6:K789,$B$6:B789,$B789),2))</f>
        <v/>
      </c>
      <c r="N789" s="23" t="str">
        <f>IF($B789="","",IFERROR(ROUND(INDEX(账户期初本位,MATCH($B789,账户名,0))+SUMIFS($L$6:L789,$B$6:B789,$B789),2),""))</f>
        <v/>
      </c>
      <c r="O789" s="46"/>
      <c r="P789" s="47"/>
      <c r="Q789" s="46"/>
      <c r="R789" s="46"/>
      <c r="S789" s="6" t="str">
        <f>IF($B789="","",IF(ISNA(MATCH($B789,账户名,0)),"※这个账户不在【参数设置】的账户档案里",IF($A789="","※没填日期，这一笔不会进任何月份的报表",IF(AND($G789&lt;&gt;"",$H789&lt;&gt;""),"※收入和支出不能同时填",IF(AND(N($G789)=0,N($H789)=0),"※收入和支出都没填",IF($E789="","※没填收支类别，分类报表会漏掉这一笔",IF(ISNA(MATCH($E789,类别表,0)),"※收支类别不在【参数设置】的清单里",IF($J789="","△"&amp;$D789&amp;" 还没填汇率，去【月度汇率】补上就自动算了",IF(YEAR($A789)&lt;&gt;管理年度,"△不是管理年度的单据，年报里看不到",IF(AND($F789="内部转账",$Q789=""),"△内部转账建议在「往来单位」写上对方账户",IF($M789&lt;0,"△这一笔之后该账户余额成负数了，核一下","")))))))))))</f>
        <v/>
      </c>
    </row>
    <row r="790" ht="16.5" spans="1:19">
      <c r="A790" s="45"/>
      <c r="B790" s="46"/>
      <c r="C790" s="12" t="str">
        <f>IF($B790="","",IFERROR(INDEX(账户银行,MATCH($B790,账户名,0)),""))</f>
        <v/>
      </c>
      <c r="D790" s="12" t="str">
        <f>IF($B790="","",IFERROR(INDEX(账户币种,MATCH($B790,账户名,0)),""))</f>
        <v/>
      </c>
      <c r="E790" s="47"/>
      <c r="F790" s="12" t="str">
        <f>IF($E790="","",IFERROR(INDEX(类别属性,MATCH($E790,类别表,0)),""))</f>
        <v/>
      </c>
      <c r="G790" s="48"/>
      <c r="H790" s="48"/>
      <c r="I790" s="49"/>
      <c r="J790" s="24" t="str">
        <f>IF(OR($A790="",$B790=""),"",IF($I790&lt;&gt;"",$I790,IF($D790=本位币,1,IFERROR(LOOKUP(2,1/((汇率月份&lt;=$A790)*(INDEX(记账汇率区,0,MATCH($D790,汇率币种头,0))&lt;&gt;"")),INDEX(记账汇率区,0,MATCH($D790,汇率币种头,0))),""))))</f>
        <v/>
      </c>
      <c r="K790" s="23" t="str">
        <f t="shared" si="24"/>
        <v/>
      </c>
      <c r="L790" s="23" t="str">
        <f t="shared" si="25"/>
        <v/>
      </c>
      <c r="M790" s="23" t="str">
        <f>IF($B790="","",ROUND(SUMIF(账户名,$B790,账户期初)+SUMIFS($K$6:K790,$B$6:B790,$B790),2))</f>
        <v/>
      </c>
      <c r="N790" s="23" t="str">
        <f>IF($B790="","",IFERROR(ROUND(INDEX(账户期初本位,MATCH($B790,账户名,0))+SUMIFS($L$6:L790,$B$6:B790,$B790),2),""))</f>
        <v/>
      </c>
      <c r="O790" s="46"/>
      <c r="P790" s="47"/>
      <c r="Q790" s="46"/>
      <c r="R790" s="46"/>
      <c r="S790" s="6" t="str">
        <f>IF($B790="","",IF(ISNA(MATCH($B790,账户名,0)),"※这个账户不在【参数设置】的账户档案里",IF($A790="","※没填日期，这一笔不会进任何月份的报表",IF(AND($G790&lt;&gt;"",$H790&lt;&gt;""),"※收入和支出不能同时填",IF(AND(N($G790)=0,N($H790)=0),"※收入和支出都没填",IF($E790="","※没填收支类别，分类报表会漏掉这一笔",IF(ISNA(MATCH($E790,类别表,0)),"※收支类别不在【参数设置】的清单里",IF($J790="","△"&amp;$D790&amp;" 还没填汇率，去【月度汇率】补上就自动算了",IF(YEAR($A790)&lt;&gt;管理年度,"△不是管理年度的单据，年报里看不到",IF(AND($F790="内部转账",$Q790=""),"△内部转账建议在「往来单位」写上对方账户",IF($M790&lt;0,"△这一笔之后该账户余额成负数了，核一下","")))))))))))</f>
        <v/>
      </c>
    </row>
    <row r="791" ht="16.5" spans="1:19">
      <c r="A791" s="45"/>
      <c r="B791" s="46"/>
      <c r="C791" s="12" t="str">
        <f>IF($B791="","",IFERROR(INDEX(账户银行,MATCH($B791,账户名,0)),""))</f>
        <v/>
      </c>
      <c r="D791" s="12" t="str">
        <f>IF($B791="","",IFERROR(INDEX(账户币种,MATCH($B791,账户名,0)),""))</f>
        <v/>
      </c>
      <c r="E791" s="47"/>
      <c r="F791" s="12" t="str">
        <f>IF($E791="","",IFERROR(INDEX(类别属性,MATCH($E791,类别表,0)),""))</f>
        <v/>
      </c>
      <c r="G791" s="48"/>
      <c r="H791" s="48"/>
      <c r="I791" s="49"/>
      <c r="J791" s="24" t="str">
        <f>IF(OR($A791="",$B791=""),"",IF($I791&lt;&gt;"",$I791,IF($D791=本位币,1,IFERROR(LOOKUP(2,1/((汇率月份&lt;=$A791)*(INDEX(记账汇率区,0,MATCH($D791,汇率币种头,0))&lt;&gt;"")),INDEX(记账汇率区,0,MATCH($D791,汇率币种头,0))),""))))</f>
        <v/>
      </c>
      <c r="K791" s="23" t="str">
        <f t="shared" si="24"/>
        <v/>
      </c>
      <c r="L791" s="23" t="str">
        <f t="shared" si="25"/>
        <v/>
      </c>
      <c r="M791" s="23" t="str">
        <f>IF($B791="","",ROUND(SUMIF(账户名,$B791,账户期初)+SUMIFS($K$6:K791,$B$6:B791,$B791),2))</f>
        <v/>
      </c>
      <c r="N791" s="23" t="str">
        <f>IF($B791="","",IFERROR(ROUND(INDEX(账户期初本位,MATCH($B791,账户名,0))+SUMIFS($L$6:L791,$B$6:B791,$B791),2),""))</f>
        <v/>
      </c>
      <c r="O791" s="46"/>
      <c r="P791" s="47"/>
      <c r="Q791" s="46"/>
      <c r="R791" s="46"/>
      <c r="S791" s="6" t="str">
        <f>IF($B791="","",IF(ISNA(MATCH($B791,账户名,0)),"※这个账户不在【参数设置】的账户档案里",IF($A791="","※没填日期，这一笔不会进任何月份的报表",IF(AND($G791&lt;&gt;"",$H791&lt;&gt;""),"※收入和支出不能同时填",IF(AND(N($G791)=0,N($H791)=0),"※收入和支出都没填",IF($E791="","※没填收支类别，分类报表会漏掉这一笔",IF(ISNA(MATCH($E791,类别表,0)),"※收支类别不在【参数设置】的清单里",IF($J791="","△"&amp;$D791&amp;" 还没填汇率，去【月度汇率】补上就自动算了",IF(YEAR($A791)&lt;&gt;管理年度,"△不是管理年度的单据，年报里看不到",IF(AND($F791="内部转账",$Q791=""),"△内部转账建议在「往来单位」写上对方账户",IF($M791&lt;0,"△这一笔之后该账户余额成负数了，核一下","")))))))))))</f>
        <v/>
      </c>
    </row>
    <row r="792" ht="16.5" spans="1:19">
      <c r="A792" s="45"/>
      <c r="B792" s="46"/>
      <c r="C792" s="12" t="str">
        <f>IF($B792="","",IFERROR(INDEX(账户银行,MATCH($B792,账户名,0)),""))</f>
        <v/>
      </c>
      <c r="D792" s="12" t="str">
        <f>IF($B792="","",IFERROR(INDEX(账户币种,MATCH($B792,账户名,0)),""))</f>
        <v/>
      </c>
      <c r="E792" s="47"/>
      <c r="F792" s="12" t="str">
        <f>IF($E792="","",IFERROR(INDEX(类别属性,MATCH($E792,类别表,0)),""))</f>
        <v/>
      </c>
      <c r="G792" s="48"/>
      <c r="H792" s="48"/>
      <c r="I792" s="49"/>
      <c r="J792" s="24" t="str">
        <f>IF(OR($A792="",$B792=""),"",IF($I792&lt;&gt;"",$I792,IF($D792=本位币,1,IFERROR(LOOKUP(2,1/((汇率月份&lt;=$A792)*(INDEX(记账汇率区,0,MATCH($D792,汇率币种头,0))&lt;&gt;"")),INDEX(记账汇率区,0,MATCH($D792,汇率币种头,0))),""))))</f>
        <v/>
      </c>
      <c r="K792" s="23" t="str">
        <f t="shared" si="24"/>
        <v/>
      </c>
      <c r="L792" s="23" t="str">
        <f t="shared" si="25"/>
        <v/>
      </c>
      <c r="M792" s="23" t="str">
        <f>IF($B792="","",ROUND(SUMIF(账户名,$B792,账户期初)+SUMIFS($K$6:K792,$B$6:B792,$B792),2))</f>
        <v/>
      </c>
      <c r="N792" s="23" t="str">
        <f>IF($B792="","",IFERROR(ROUND(INDEX(账户期初本位,MATCH($B792,账户名,0))+SUMIFS($L$6:L792,$B$6:B792,$B792),2),""))</f>
        <v/>
      </c>
      <c r="O792" s="46"/>
      <c r="P792" s="47"/>
      <c r="Q792" s="46"/>
      <c r="R792" s="46"/>
      <c r="S792" s="6" t="str">
        <f>IF($B792="","",IF(ISNA(MATCH($B792,账户名,0)),"※这个账户不在【参数设置】的账户档案里",IF($A792="","※没填日期，这一笔不会进任何月份的报表",IF(AND($G792&lt;&gt;"",$H792&lt;&gt;""),"※收入和支出不能同时填",IF(AND(N($G792)=0,N($H792)=0),"※收入和支出都没填",IF($E792="","※没填收支类别，分类报表会漏掉这一笔",IF(ISNA(MATCH($E792,类别表,0)),"※收支类别不在【参数设置】的清单里",IF($J792="","△"&amp;$D792&amp;" 还没填汇率，去【月度汇率】补上就自动算了",IF(YEAR($A792)&lt;&gt;管理年度,"△不是管理年度的单据，年报里看不到",IF(AND($F792="内部转账",$Q792=""),"△内部转账建议在「往来单位」写上对方账户",IF($M792&lt;0,"△这一笔之后该账户余额成负数了，核一下","")))))))))))</f>
        <v/>
      </c>
    </row>
    <row r="793" ht="16.5" spans="1:19">
      <c r="A793" s="45"/>
      <c r="B793" s="46"/>
      <c r="C793" s="12" t="str">
        <f>IF($B793="","",IFERROR(INDEX(账户银行,MATCH($B793,账户名,0)),""))</f>
        <v/>
      </c>
      <c r="D793" s="12" t="str">
        <f>IF($B793="","",IFERROR(INDEX(账户币种,MATCH($B793,账户名,0)),""))</f>
        <v/>
      </c>
      <c r="E793" s="47"/>
      <c r="F793" s="12" t="str">
        <f>IF($E793="","",IFERROR(INDEX(类别属性,MATCH($E793,类别表,0)),""))</f>
        <v/>
      </c>
      <c r="G793" s="48"/>
      <c r="H793" s="48"/>
      <c r="I793" s="49"/>
      <c r="J793" s="24" t="str">
        <f>IF(OR($A793="",$B793=""),"",IF($I793&lt;&gt;"",$I793,IF($D793=本位币,1,IFERROR(LOOKUP(2,1/((汇率月份&lt;=$A793)*(INDEX(记账汇率区,0,MATCH($D793,汇率币种头,0))&lt;&gt;"")),INDEX(记账汇率区,0,MATCH($D793,汇率币种头,0))),""))))</f>
        <v/>
      </c>
      <c r="K793" s="23" t="str">
        <f t="shared" si="24"/>
        <v/>
      </c>
      <c r="L793" s="23" t="str">
        <f t="shared" si="25"/>
        <v/>
      </c>
      <c r="M793" s="23" t="str">
        <f>IF($B793="","",ROUND(SUMIF(账户名,$B793,账户期初)+SUMIFS($K$6:K793,$B$6:B793,$B793),2))</f>
        <v/>
      </c>
      <c r="N793" s="23" t="str">
        <f>IF($B793="","",IFERROR(ROUND(INDEX(账户期初本位,MATCH($B793,账户名,0))+SUMIFS($L$6:L793,$B$6:B793,$B793),2),""))</f>
        <v/>
      </c>
      <c r="O793" s="46"/>
      <c r="P793" s="47"/>
      <c r="Q793" s="46"/>
      <c r="R793" s="46"/>
      <c r="S793" s="6" t="str">
        <f>IF($B793="","",IF(ISNA(MATCH($B793,账户名,0)),"※这个账户不在【参数设置】的账户档案里",IF($A793="","※没填日期，这一笔不会进任何月份的报表",IF(AND($G793&lt;&gt;"",$H793&lt;&gt;""),"※收入和支出不能同时填",IF(AND(N($G793)=0,N($H793)=0),"※收入和支出都没填",IF($E793="","※没填收支类别，分类报表会漏掉这一笔",IF(ISNA(MATCH($E793,类别表,0)),"※收支类别不在【参数设置】的清单里",IF($J793="","△"&amp;$D793&amp;" 还没填汇率，去【月度汇率】补上就自动算了",IF(YEAR($A793)&lt;&gt;管理年度,"△不是管理年度的单据，年报里看不到",IF(AND($F793="内部转账",$Q793=""),"△内部转账建议在「往来单位」写上对方账户",IF($M793&lt;0,"△这一笔之后该账户余额成负数了，核一下","")))))))))))</f>
        <v/>
      </c>
    </row>
    <row r="794" ht="16.5" spans="1:19">
      <c r="A794" s="45"/>
      <c r="B794" s="46"/>
      <c r="C794" s="12" t="str">
        <f>IF($B794="","",IFERROR(INDEX(账户银行,MATCH($B794,账户名,0)),""))</f>
        <v/>
      </c>
      <c r="D794" s="12" t="str">
        <f>IF($B794="","",IFERROR(INDEX(账户币种,MATCH($B794,账户名,0)),""))</f>
        <v/>
      </c>
      <c r="E794" s="47"/>
      <c r="F794" s="12" t="str">
        <f>IF($E794="","",IFERROR(INDEX(类别属性,MATCH($E794,类别表,0)),""))</f>
        <v/>
      </c>
      <c r="G794" s="48"/>
      <c r="H794" s="48"/>
      <c r="I794" s="49"/>
      <c r="J794" s="24" t="str">
        <f>IF(OR($A794="",$B794=""),"",IF($I794&lt;&gt;"",$I794,IF($D794=本位币,1,IFERROR(LOOKUP(2,1/((汇率月份&lt;=$A794)*(INDEX(记账汇率区,0,MATCH($D794,汇率币种头,0))&lt;&gt;"")),INDEX(记账汇率区,0,MATCH($D794,汇率币种头,0))),""))))</f>
        <v/>
      </c>
      <c r="K794" s="23" t="str">
        <f t="shared" si="24"/>
        <v/>
      </c>
      <c r="L794" s="23" t="str">
        <f t="shared" si="25"/>
        <v/>
      </c>
      <c r="M794" s="23" t="str">
        <f>IF($B794="","",ROUND(SUMIF(账户名,$B794,账户期初)+SUMIFS($K$6:K794,$B$6:B794,$B794),2))</f>
        <v/>
      </c>
      <c r="N794" s="23" t="str">
        <f>IF($B794="","",IFERROR(ROUND(INDEX(账户期初本位,MATCH($B794,账户名,0))+SUMIFS($L$6:L794,$B$6:B794,$B794),2),""))</f>
        <v/>
      </c>
      <c r="O794" s="46"/>
      <c r="P794" s="47"/>
      <c r="Q794" s="46"/>
      <c r="R794" s="46"/>
      <c r="S794" s="6" t="str">
        <f>IF($B794="","",IF(ISNA(MATCH($B794,账户名,0)),"※这个账户不在【参数设置】的账户档案里",IF($A794="","※没填日期，这一笔不会进任何月份的报表",IF(AND($G794&lt;&gt;"",$H794&lt;&gt;""),"※收入和支出不能同时填",IF(AND(N($G794)=0,N($H794)=0),"※收入和支出都没填",IF($E794="","※没填收支类别，分类报表会漏掉这一笔",IF(ISNA(MATCH($E794,类别表,0)),"※收支类别不在【参数设置】的清单里",IF($J794="","△"&amp;$D794&amp;" 还没填汇率，去【月度汇率】补上就自动算了",IF(YEAR($A794)&lt;&gt;管理年度,"△不是管理年度的单据，年报里看不到",IF(AND($F794="内部转账",$Q794=""),"△内部转账建议在「往来单位」写上对方账户",IF($M794&lt;0,"△这一笔之后该账户余额成负数了，核一下","")))))))))))</f>
        <v/>
      </c>
    </row>
    <row r="795" ht="16.5" spans="1:19">
      <c r="A795" s="45"/>
      <c r="B795" s="46"/>
      <c r="C795" s="12" t="str">
        <f>IF($B795="","",IFERROR(INDEX(账户银行,MATCH($B795,账户名,0)),""))</f>
        <v/>
      </c>
      <c r="D795" s="12" t="str">
        <f>IF($B795="","",IFERROR(INDEX(账户币种,MATCH($B795,账户名,0)),""))</f>
        <v/>
      </c>
      <c r="E795" s="47"/>
      <c r="F795" s="12" t="str">
        <f>IF($E795="","",IFERROR(INDEX(类别属性,MATCH($E795,类别表,0)),""))</f>
        <v/>
      </c>
      <c r="G795" s="48"/>
      <c r="H795" s="48"/>
      <c r="I795" s="49"/>
      <c r="J795" s="24" t="str">
        <f>IF(OR($A795="",$B795=""),"",IF($I795&lt;&gt;"",$I795,IF($D795=本位币,1,IFERROR(LOOKUP(2,1/((汇率月份&lt;=$A795)*(INDEX(记账汇率区,0,MATCH($D795,汇率币种头,0))&lt;&gt;"")),INDEX(记账汇率区,0,MATCH($D795,汇率币种头,0))),""))))</f>
        <v/>
      </c>
      <c r="K795" s="23" t="str">
        <f t="shared" si="24"/>
        <v/>
      </c>
      <c r="L795" s="23" t="str">
        <f t="shared" si="25"/>
        <v/>
      </c>
      <c r="M795" s="23" t="str">
        <f>IF($B795="","",ROUND(SUMIF(账户名,$B795,账户期初)+SUMIFS($K$6:K795,$B$6:B795,$B795),2))</f>
        <v/>
      </c>
      <c r="N795" s="23" t="str">
        <f>IF($B795="","",IFERROR(ROUND(INDEX(账户期初本位,MATCH($B795,账户名,0))+SUMIFS($L$6:L795,$B$6:B795,$B795),2),""))</f>
        <v/>
      </c>
      <c r="O795" s="46"/>
      <c r="P795" s="47"/>
      <c r="Q795" s="46"/>
      <c r="R795" s="46"/>
      <c r="S795" s="6" t="str">
        <f>IF($B795="","",IF(ISNA(MATCH($B795,账户名,0)),"※这个账户不在【参数设置】的账户档案里",IF($A795="","※没填日期，这一笔不会进任何月份的报表",IF(AND($G795&lt;&gt;"",$H795&lt;&gt;""),"※收入和支出不能同时填",IF(AND(N($G795)=0,N($H795)=0),"※收入和支出都没填",IF($E795="","※没填收支类别，分类报表会漏掉这一笔",IF(ISNA(MATCH($E795,类别表,0)),"※收支类别不在【参数设置】的清单里",IF($J795="","△"&amp;$D795&amp;" 还没填汇率，去【月度汇率】补上就自动算了",IF(YEAR($A795)&lt;&gt;管理年度,"△不是管理年度的单据，年报里看不到",IF(AND($F795="内部转账",$Q795=""),"△内部转账建议在「往来单位」写上对方账户",IF($M795&lt;0,"△这一笔之后该账户余额成负数了，核一下","")))))))))))</f>
        <v/>
      </c>
    </row>
    <row r="796" ht="16.5" spans="1:19">
      <c r="A796" s="45"/>
      <c r="B796" s="46"/>
      <c r="C796" s="12" t="str">
        <f>IF($B796="","",IFERROR(INDEX(账户银行,MATCH($B796,账户名,0)),""))</f>
        <v/>
      </c>
      <c r="D796" s="12" t="str">
        <f>IF($B796="","",IFERROR(INDEX(账户币种,MATCH($B796,账户名,0)),""))</f>
        <v/>
      </c>
      <c r="E796" s="47"/>
      <c r="F796" s="12" t="str">
        <f>IF($E796="","",IFERROR(INDEX(类别属性,MATCH($E796,类别表,0)),""))</f>
        <v/>
      </c>
      <c r="G796" s="48"/>
      <c r="H796" s="48"/>
      <c r="I796" s="49"/>
      <c r="J796" s="24" t="str">
        <f>IF(OR($A796="",$B796=""),"",IF($I796&lt;&gt;"",$I796,IF($D796=本位币,1,IFERROR(LOOKUP(2,1/((汇率月份&lt;=$A796)*(INDEX(记账汇率区,0,MATCH($D796,汇率币种头,0))&lt;&gt;"")),INDEX(记账汇率区,0,MATCH($D796,汇率币种头,0))),""))))</f>
        <v/>
      </c>
      <c r="K796" s="23" t="str">
        <f t="shared" si="24"/>
        <v/>
      </c>
      <c r="L796" s="23" t="str">
        <f t="shared" si="25"/>
        <v/>
      </c>
      <c r="M796" s="23" t="str">
        <f>IF($B796="","",ROUND(SUMIF(账户名,$B796,账户期初)+SUMIFS($K$6:K796,$B$6:B796,$B796),2))</f>
        <v/>
      </c>
      <c r="N796" s="23" t="str">
        <f>IF($B796="","",IFERROR(ROUND(INDEX(账户期初本位,MATCH($B796,账户名,0))+SUMIFS($L$6:L796,$B$6:B796,$B796),2),""))</f>
        <v/>
      </c>
      <c r="O796" s="46"/>
      <c r="P796" s="47"/>
      <c r="Q796" s="46"/>
      <c r="R796" s="46"/>
      <c r="S796" s="6" t="str">
        <f>IF($B796="","",IF(ISNA(MATCH($B796,账户名,0)),"※这个账户不在【参数设置】的账户档案里",IF($A796="","※没填日期，这一笔不会进任何月份的报表",IF(AND($G796&lt;&gt;"",$H796&lt;&gt;""),"※收入和支出不能同时填",IF(AND(N($G796)=0,N($H796)=0),"※收入和支出都没填",IF($E796="","※没填收支类别，分类报表会漏掉这一笔",IF(ISNA(MATCH($E796,类别表,0)),"※收支类别不在【参数设置】的清单里",IF($J796="","△"&amp;$D796&amp;" 还没填汇率，去【月度汇率】补上就自动算了",IF(YEAR($A796)&lt;&gt;管理年度,"△不是管理年度的单据，年报里看不到",IF(AND($F796="内部转账",$Q796=""),"△内部转账建议在「往来单位」写上对方账户",IF($M796&lt;0,"△这一笔之后该账户余额成负数了，核一下","")))))))))))</f>
        <v/>
      </c>
    </row>
    <row r="797" ht="16.5" spans="1:19">
      <c r="A797" s="45"/>
      <c r="B797" s="46"/>
      <c r="C797" s="12" t="str">
        <f>IF($B797="","",IFERROR(INDEX(账户银行,MATCH($B797,账户名,0)),""))</f>
        <v/>
      </c>
      <c r="D797" s="12" t="str">
        <f>IF($B797="","",IFERROR(INDEX(账户币种,MATCH($B797,账户名,0)),""))</f>
        <v/>
      </c>
      <c r="E797" s="47"/>
      <c r="F797" s="12" t="str">
        <f>IF($E797="","",IFERROR(INDEX(类别属性,MATCH($E797,类别表,0)),""))</f>
        <v/>
      </c>
      <c r="G797" s="48"/>
      <c r="H797" s="48"/>
      <c r="I797" s="49"/>
      <c r="J797" s="24" t="str">
        <f>IF(OR($A797="",$B797=""),"",IF($I797&lt;&gt;"",$I797,IF($D797=本位币,1,IFERROR(LOOKUP(2,1/((汇率月份&lt;=$A797)*(INDEX(记账汇率区,0,MATCH($D797,汇率币种头,0))&lt;&gt;"")),INDEX(记账汇率区,0,MATCH($D797,汇率币种头,0))),""))))</f>
        <v/>
      </c>
      <c r="K797" s="23" t="str">
        <f t="shared" si="24"/>
        <v/>
      </c>
      <c r="L797" s="23" t="str">
        <f t="shared" si="25"/>
        <v/>
      </c>
      <c r="M797" s="23" t="str">
        <f>IF($B797="","",ROUND(SUMIF(账户名,$B797,账户期初)+SUMIFS($K$6:K797,$B$6:B797,$B797),2))</f>
        <v/>
      </c>
      <c r="N797" s="23" t="str">
        <f>IF($B797="","",IFERROR(ROUND(INDEX(账户期初本位,MATCH($B797,账户名,0))+SUMIFS($L$6:L797,$B$6:B797,$B797),2),""))</f>
        <v/>
      </c>
      <c r="O797" s="46"/>
      <c r="P797" s="47"/>
      <c r="Q797" s="46"/>
      <c r="R797" s="46"/>
      <c r="S797" s="6" t="str">
        <f>IF($B797="","",IF(ISNA(MATCH($B797,账户名,0)),"※这个账户不在【参数设置】的账户档案里",IF($A797="","※没填日期，这一笔不会进任何月份的报表",IF(AND($G797&lt;&gt;"",$H797&lt;&gt;""),"※收入和支出不能同时填",IF(AND(N($G797)=0,N($H797)=0),"※收入和支出都没填",IF($E797="","※没填收支类别，分类报表会漏掉这一笔",IF(ISNA(MATCH($E797,类别表,0)),"※收支类别不在【参数设置】的清单里",IF($J797="","△"&amp;$D797&amp;" 还没填汇率，去【月度汇率】补上就自动算了",IF(YEAR($A797)&lt;&gt;管理年度,"△不是管理年度的单据，年报里看不到",IF(AND($F797="内部转账",$Q797=""),"△内部转账建议在「往来单位」写上对方账户",IF($M797&lt;0,"△这一笔之后该账户余额成负数了，核一下","")))))))))))</f>
        <v/>
      </c>
    </row>
    <row r="798" ht="16.5" spans="1:19">
      <c r="A798" s="45"/>
      <c r="B798" s="46"/>
      <c r="C798" s="12" t="str">
        <f>IF($B798="","",IFERROR(INDEX(账户银行,MATCH($B798,账户名,0)),""))</f>
        <v/>
      </c>
      <c r="D798" s="12" t="str">
        <f>IF($B798="","",IFERROR(INDEX(账户币种,MATCH($B798,账户名,0)),""))</f>
        <v/>
      </c>
      <c r="E798" s="47"/>
      <c r="F798" s="12" t="str">
        <f>IF($E798="","",IFERROR(INDEX(类别属性,MATCH($E798,类别表,0)),""))</f>
        <v/>
      </c>
      <c r="G798" s="48"/>
      <c r="H798" s="48"/>
      <c r="I798" s="49"/>
      <c r="J798" s="24" t="str">
        <f>IF(OR($A798="",$B798=""),"",IF($I798&lt;&gt;"",$I798,IF($D798=本位币,1,IFERROR(LOOKUP(2,1/((汇率月份&lt;=$A798)*(INDEX(记账汇率区,0,MATCH($D798,汇率币种头,0))&lt;&gt;"")),INDEX(记账汇率区,0,MATCH($D798,汇率币种头,0))),""))))</f>
        <v/>
      </c>
      <c r="K798" s="23" t="str">
        <f t="shared" si="24"/>
        <v/>
      </c>
      <c r="L798" s="23" t="str">
        <f t="shared" si="25"/>
        <v/>
      </c>
      <c r="M798" s="23" t="str">
        <f>IF($B798="","",ROUND(SUMIF(账户名,$B798,账户期初)+SUMIFS($K$6:K798,$B$6:B798,$B798),2))</f>
        <v/>
      </c>
      <c r="N798" s="23" t="str">
        <f>IF($B798="","",IFERROR(ROUND(INDEX(账户期初本位,MATCH($B798,账户名,0))+SUMIFS($L$6:L798,$B$6:B798,$B798),2),""))</f>
        <v/>
      </c>
      <c r="O798" s="46"/>
      <c r="P798" s="47"/>
      <c r="Q798" s="46"/>
      <c r="R798" s="46"/>
      <c r="S798" s="6" t="str">
        <f>IF($B798="","",IF(ISNA(MATCH($B798,账户名,0)),"※这个账户不在【参数设置】的账户档案里",IF($A798="","※没填日期，这一笔不会进任何月份的报表",IF(AND($G798&lt;&gt;"",$H798&lt;&gt;""),"※收入和支出不能同时填",IF(AND(N($G798)=0,N($H798)=0),"※收入和支出都没填",IF($E798="","※没填收支类别，分类报表会漏掉这一笔",IF(ISNA(MATCH($E798,类别表,0)),"※收支类别不在【参数设置】的清单里",IF($J798="","△"&amp;$D798&amp;" 还没填汇率，去【月度汇率】补上就自动算了",IF(YEAR($A798)&lt;&gt;管理年度,"△不是管理年度的单据，年报里看不到",IF(AND($F798="内部转账",$Q798=""),"△内部转账建议在「往来单位」写上对方账户",IF($M798&lt;0,"△这一笔之后该账户余额成负数了，核一下","")))))))))))</f>
        <v/>
      </c>
    </row>
    <row r="799" ht="16.5" spans="1:19">
      <c r="A799" s="45"/>
      <c r="B799" s="46"/>
      <c r="C799" s="12" t="str">
        <f>IF($B799="","",IFERROR(INDEX(账户银行,MATCH($B799,账户名,0)),""))</f>
        <v/>
      </c>
      <c r="D799" s="12" t="str">
        <f>IF($B799="","",IFERROR(INDEX(账户币种,MATCH($B799,账户名,0)),""))</f>
        <v/>
      </c>
      <c r="E799" s="47"/>
      <c r="F799" s="12" t="str">
        <f>IF($E799="","",IFERROR(INDEX(类别属性,MATCH($E799,类别表,0)),""))</f>
        <v/>
      </c>
      <c r="G799" s="48"/>
      <c r="H799" s="48"/>
      <c r="I799" s="49"/>
      <c r="J799" s="24" t="str">
        <f>IF(OR($A799="",$B799=""),"",IF($I799&lt;&gt;"",$I799,IF($D799=本位币,1,IFERROR(LOOKUP(2,1/((汇率月份&lt;=$A799)*(INDEX(记账汇率区,0,MATCH($D799,汇率币种头,0))&lt;&gt;"")),INDEX(记账汇率区,0,MATCH($D799,汇率币种头,0))),""))))</f>
        <v/>
      </c>
      <c r="K799" s="23" t="str">
        <f t="shared" si="24"/>
        <v/>
      </c>
      <c r="L799" s="23" t="str">
        <f t="shared" si="25"/>
        <v/>
      </c>
      <c r="M799" s="23" t="str">
        <f>IF($B799="","",ROUND(SUMIF(账户名,$B799,账户期初)+SUMIFS($K$6:K799,$B$6:B799,$B799),2))</f>
        <v/>
      </c>
      <c r="N799" s="23" t="str">
        <f>IF($B799="","",IFERROR(ROUND(INDEX(账户期初本位,MATCH($B799,账户名,0))+SUMIFS($L$6:L799,$B$6:B799,$B799),2),""))</f>
        <v/>
      </c>
      <c r="O799" s="46"/>
      <c r="P799" s="47"/>
      <c r="Q799" s="46"/>
      <c r="R799" s="46"/>
      <c r="S799" s="6" t="str">
        <f>IF($B799="","",IF(ISNA(MATCH($B799,账户名,0)),"※这个账户不在【参数设置】的账户档案里",IF($A799="","※没填日期，这一笔不会进任何月份的报表",IF(AND($G799&lt;&gt;"",$H799&lt;&gt;""),"※收入和支出不能同时填",IF(AND(N($G799)=0,N($H799)=0),"※收入和支出都没填",IF($E799="","※没填收支类别，分类报表会漏掉这一笔",IF(ISNA(MATCH($E799,类别表,0)),"※收支类别不在【参数设置】的清单里",IF($J799="","△"&amp;$D799&amp;" 还没填汇率，去【月度汇率】补上就自动算了",IF(YEAR($A799)&lt;&gt;管理年度,"△不是管理年度的单据，年报里看不到",IF(AND($F799="内部转账",$Q799=""),"△内部转账建议在「往来单位」写上对方账户",IF($M799&lt;0,"△这一笔之后该账户余额成负数了，核一下","")))))))))))</f>
        <v/>
      </c>
    </row>
    <row r="800" ht="16.5" spans="1:19">
      <c r="A800" s="45"/>
      <c r="B800" s="46"/>
      <c r="C800" s="12" t="str">
        <f>IF($B800="","",IFERROR(INDEX(账户银行,MATCH($B800,账户名,0)),""))</f>
        <v/>
      </c>
      <c r="D800" s="12" t="str">
        <f>IF($B800="","",IFERROR(INDEX(账户币种,MATCH($B800,账户名,0)),""))</f>
        <v/>
      </c>
      <c r="E800" s="47"/>
      <c r="F800" s="12" t="str">
        <f>IF($E800="","",IFERROR(INDEX(类别属性,MATCH($E800,类别表,0)),""))</f>
        <v/>
      </c>
      <c r="G800" s="48"/>
      <c r="H800" s="48"/>
      <c r="I800" s="49"/>
      <c r="J800" s="24" t="str">
        <f>IF(OR($A800="",$B800=""),"",IF($I800&lt;&gt;"",$I800,IF($D800=本位币,1,IFERROR(LOOKUP(2,1/((汇率月份&lt;=$A800)*(INDEX(记账汇率区,0,MATCH($D800,汇率币种头,0))&lt;&gt;"")),INDEX(记账汇率区,0,MATCH($D800,汇率币种头,0))),""))))</f>
        <v/>
      </c>
      <c r="K800" s="23" t="str">
        <f t="shared" si="24"/>
        <v/>
      </c>
      <c r="L800" s="23" t="str">
        <f t="shared" si="25"/>
        <v/>
      </c>
      <c r="M800" s="23" t="str">
        <f>IF($B800="","",ROUND(SUMIF(账户名,$B800,账户期初)+SUMIFS($K$6:K800,$B$6:B800,$B800),2))</f>
        <v/>
      </c>
      <c r="N800" s="23" t="str">
        <f>IF($B800="","",IFERROR(ROUND(INDEX(账户期初本位,MATCH($B800,账户名,0))+SUMIFS($L$6:L800,$B$6:B800,$B800),2),""))</f>
        <v/>
      </c>
      <c r="O800" s="46"/>
      <c r="P800" s="47"/>
      <c r="Q800" s="46"/>
      <c r="R800" s="46"/>
      <c r="S800" s="6" t="str">
        <f>IF($B800="","",IF(ISNA(MATCH($B800,账户名,0)),"※这个账户不在【参数设置】的账户档案里",IF($A800="","※没填日期，这一笔不会进任何月份的报表",IF(AND($G800&lt;&gt;"",$H800&lt;&gt;""),"※收入和支出不能同时填",IF(AND(N($G800)=0,N($H800)=0),"※收入和支出都没填",IF($E800="","※没填收支类别，分类报表会漏掉这一笔",IF(ISNA(MATCH($E800,类别表,0)),"※收支类别不在【参数设置】的清单里",IF($J800="","△"&amp;$D800&amp;" 还没填汇率，去【月度汇率】补上就自动算了",IF(YEAR($A800)&lt;&gt;管理年度,"△不是管理年度的单据，年报里看不到",IF(AND($F800="内部转账",$Q800=""),"△内部转账建议在「往来单位」写上对方账户",IF($M800&lt;0,"△这一笔之后该账户余额成负数了，核一下","")))))))))))</f>
        <v/>
      </c>
    </row>
    <row r="801" ht="16.5" spans="1:19">
      <c r="A801" s="45"/>
      <c r="B801" s="46"/>
      <c r="C801" s="12" t="str">
        <f>IF($B801="","",IFERROR(INDEX(账户银行,MATCH($B801,账户名,0)),""))</f>
        <v/>
      </c>
      <c r="D801" s="12" t="str">
        <f>IF($B801="","",IFERROR(INDEX(账户币种,MATCH($B801,账户名,0)),""))</f>
        <v/>
      </c>
      <c r="E801" s="47"/>
      <c r="F801" s="12" t="str">
        <f>IF($E801="","",IFERROR(INDEX(类别属性,MATCH($E801,类别表,0)),""))</f>
        <v/>
      </c>
      <c r="G801" s="48"/>
      <c r="H801" s="48"/>
      <c r="I801" s="49"/>
      <c r="J801" s="24" t="str">
        <f>IF(OR($A801="",$B801=""),"",IF($I801&lt;&gt;"",$I801,IF($D801=本位币,1,IFERROR(LOOKUP(2,1/((汇率月份&lt;=$A801)*(INDEX(记账汇率区,0,MATCH($D801,汇率币种头,0))&lt;&gt;"")),INDEX(记账汇率区,0,MATCH($D801,汇率币种头,0))),""))))</f>
        <v/>
      </c>
      <c r="K801" s="23" t="str">
        <f t="shared" si="24"/>
        <v/>
      </c>
      <c r="L801" s="23" t="str">
        <f t="shared" si="25"/>
        <v/>
      </c>
      <c r="M801" s="23" t="str">
        <f>IF($B801="","",ROUND(SUMIF(账户名,$B801,账户期初)+SUMIFS($K$6:K801,$B$6:B801,$B801),2))</f>
        <v/>
      </c>
      <c r="N801" s="23" t="str">
        <f>IF($B801="","",IFERROR(ROUND(INDEX(账户期初本位,MATCH($B801,账户名,0))+SUMIFS($L$6:L801,$B$6:B801,$B801),2),""))</f>
        <v/>
      </c>
      <c r="O801" s="46"/>
      <c r="P801" s="47"/>
      <c r="Q801" s="46"/>
      <c r="R801" s="46"/>
      <c r="S801" s="6" t="str">
        <f>IF($B801="","",IF(ISNA(MATCH($B801,账户名,0)),"※这个账户不在【参数设置】的账户档案里",IF($A801="","※没填日期，这一笔不会进任何月份的报表",IF(AND($G801&lt;&gt;"",$H801&lt;&gt;""),"※收入和支出不能同时填",IF(AND(N($G801)=0,N($H801)=0),"※收入和支出都没填",IF($E801="","※没填收支类别，分类报表会漏掉这一笔",IF(ISNA(MATCH($E801,类别表,0)),"※收支类别不在【参数设置】的清单里",IF($J801="","△"&amp;$D801&amp;" 还没填汇率，去【月度汇率】补上就自动算了",IF(YEAR($A801)&lt;&gt;管理年度,"△不是管理年度的单据，年报里看不到",IF(AND($F801="内部转账",$Q801=""),"△内部转账建议在「往来单位」写上对方账户",IF($M801&lt;0,"△这一笔之后该账户余额成负数了，核一下","")))))))))))</f>
        <v/>
      </c>
    </row>
    <row r="802" ht="16.5" spans="1:19">
      <c r="A802" s="45"/>
      <c r="B802" s="46"/>
      <c r="C802" s="12" t="str">
        <f>IF($B802="","",IFERROR(INDEX(账户银行,MATCH($B802,账户名,0)),""))</f>
        <v/>
      </c>
      <c r="D802" s="12" t="str">
        <f>IF($B802="","",IFERROR(INDEX(账户币种,MATCH($B802,账户名,0)),""))</f>
        <v/>
      </c>
      <c r="E802" s="47"/>
      <c r="F802" s="12" t="str">
        <f>IF($E802="","",IFERROR(INDEX(类别属性,MATCH($E802,类别表,0)),""))</f>
        <v/>
      </c>
      <c r="G802" s="48"/>
      <c r="H802" s="48"/>
      <c r="I802" s="49"/>
      <c r="J802" s="24" t="str">
        <f>IF(OR($A802="",$B802=""),"",IF($I802&lt;&gt;"",$I802,IF($D802=本位币,1,IFERROR(LOOKUP(2,1/((汇率月份&lt;=$A802)*(INDEX(记账汇率区,0,MATCH($D802,汇率币种头,0))&lt;&gt;"")),INDEX(记账汇率区,0,MATCH($D802,汇率币种头,0))),""))))</f>
        <v/>
      </c>
      <c r="K802" s="23" t="str">
        <f t="shared" si="24"/>
        <v/>
      </c>
      <c r="L802" s="23" t="str">
        <f t="shared" si="25"/>
        <v/>
      </c>
      <c r="M802" s="23" t="str">
        <f>IF($B802="","",ROUND(SUMIF(账户名,$B802,账户期初)+SUMIFS($K$6:K802,$B$6:B802,$B802),2))</f>
        <v/>
      </c>
      <c r="N802" s="23" t="str">
        <f>IF($B802="","",IFERROR(ROUND(INDEX(账户期初本位,MATCH($B802,账户名,0))+SUMIFS($L$6:L802,$B$6:B802,$B802),2),""))</f>
        <v/>
      </c>
      <c r="O802" s="46"/>
      <c r="P802" s="47"/>
      <c r="Q802" s="46"/>
      <c r="R802" s="46"/>
      <c r="S802" s="6" t="str">
        <f>IF($B802="","",IF(ISNA(MATCH($B802,账户名,0)),"※这个账户不在【参数设置】的账户档案里",IF($A802="","※没填日期，这一笔不会进任何月份的报表",IF(AND($G802&lt;&gt;"",$H802&lt;&gt;""),"※收入和支出不能同时填",IF(AND(N($G802)=0,N($H802)=0),"※收入和支出都没填",IF($E802="","※没填收支类别，分类报表会漏掉这一笔",IF(ISNA(MATCH($E802,类别表,0)),"※收支类别不在【参数设置】的清单里",IF($J802="","△"&amp;$D802&amp;" 还没填汇率，去【月度汇率】补上就自动算了",IF(YEAR($A802)&lt;&gt;管理年度,"△不是管理年度的单据，年报里看不到",IF(AND($F802="内部转账",$Q802=""),"△内部转账建议在「往来单位」写上对方账户",IF($M802&lt;0,"△这一笔之后该账户余额成负数了，核一下","")))))))))))</f>
        <v/>
      </c>
    </row>
    <row r="803" ht="16.5" spans="1:19">
      <c r="A803" s="45"/>
      <c r="B803" s="46"/>
      <c r="C803" s="12" t="str">
        <f>IF($B803="","",IFERROR(INDEX(账户银行,MATCH($B803,账户名,0)),""))</f>
        <v/>
      </c>
      <c r="D803" s="12" t="str">
        <f>IF($B803="","",IFERROR(INDEX(账户币种,MATCH($B803,账户名,0)),""))</f>
        <v/>
      </c>
      <c r="E803" s="47"/>
      <c r="F803" s="12" t="str">
        <f>IF($E803="","",IFERROR(INDEX(类别属性,MATCH($E803,类别表,0)),""))</f>
        <v/>
      </c>
      <c r="G803" s="48"/>
      <c r="H803" s="48"/>
      <c r="I803" s="49"/>
      <c r="J803" s="24" t="str">
        <f>IF(OR($A803="",$B803=""),"",IF($I803&lt;&gt;"",$I803,IF($D803=本位币,1,IFERROR(LOOKUP(2,1/((汇率月份&lt;=$A803)*(INDEX(记账汇率区,0,MATCH($D803,汇率币种头,0))&lt;&gt;"")),INDEX(记账汇率区,0,MATCH($D803,汇率币种头,0))),""))))</f>
        <v/>
      </c>
      <c r="K803" s="23" t="str">
        <f t="shared" si="24"/>
        <v/>
      </c>
      <c r="L803" s="23" t="str">
        <f t="shared" si="25"/>
        <v/>
      </c>
      <c r="M803" s="23" t="str">
        <f>IF($B803="","",ROUND(SUMIF(账户名,$B803,账户期初)+SUMIFS($K$6:K803,$B$6:B803,$B803),2))</f>
        <v/>
      </c>
      <c r="N803" s="23" t="str">
        <f>IF($B803="","",IFERROR(ROUND(INDEX(账户期初本位,MATCH($B803,账户名,0))+SUMIFS($L$6:L803,$B$6:B803,$B803),2),""))</f>
        <v/>
      </c>
      <c r="O803" s="46"/>
      <c r="P803" s="47"/>
      <c r="Q803" s="46"/>
      <c r="R803" s="46"/>
      <c r="S803" s="6" t="str">
        <f>IF($B803="","",IF(ISNA(MATCH($B803,账户名,0)),"※这个账户不在【参数设置】的账户档案里",IF($A803="","※没填日期，这一笔不会进任何月份的报表",IF(AND($G803&lt;&gt;"",$H803&lt;&gt;""),"※收入和支出不能同时填",IF(AND(N($G803)=0,N($H803)=0),"※收入和支出都没填",IF($E803="","※没填收支类别，分类报表会漏掉这一笔",IF(ISNA(MATCH($E803,类别表,0)),"※收支类别不在【参数设置】的清单里",IF($J803="","△"&amp;$D803&amp;" 还没填汇率，去【月度汇率】补上就自动算了",IF(YEAR($A803)&lt;&gt;管理年度,"△不是管理年度的单据，年报里看不到",IF(AND($F803="内部转账",$Q803=""),"△内部转账建议在「往来单位」写上对方账户",IF($M803&lt;0,"△这一笔之后该账户余额成负数了，核一下","")))))))))))</f>
        <v/>
      </c>
    </row>
    <row r="804" ht="16.5" spans="1:19">
      <c r="A804" s="45"/>
      <c r="B804" s="46"/>
      <c r="C804" s="12" t="str">
        <f>IF($B804="","",IFERROR(INDEX(账户银行,MATCH($B804,账户名,0)),""))</f>
        <v/>
      </c>
      <c r="D804" s="12" t="str">
        <f>IF($B804="","",IFERROR(INDEX(账户币种,MATCH($B804,账户名,0)),""))</f>
        <v/>
      </c>
      <c r="E804" s="47"/>
      <c r="F804" s="12" t="str">
        <f>IF($E804="","",IFERROR(INDEX(类别属性,MATCH($E804,类别表,0)),""))</f>
        <v/>
      </c>
      <c r="G804" s="48"/>
      <c r="H804" s="48"/>
      <c r="I804" s="49"/>
      <c r="J804" s="24" t="str">
        <f>IF(OR($A804="",$B804=""),"",IF($I804&lt;&gt;"",$I804,IF($D804=本位币,1,IFERROR(LOOKUP(2,1/((汇率月份&lt;=$A804)*(INDEX(记账汇率区,0,MATCH($D804,汇率币种头,0))&lt;&gt;"")),INDEX(记账汇率区,0,MATCH($D804,汇率币种头,0))),""))))</f>
        <v/>
      </c>
      <c r="K804" s="23" t="str">
        <f t="shared" si="24"/>
        <v/>
      </c>
      <c r="L804" s="23" t="str">
        <f t="shared" si="25"/>
        <v/>
      </c>
      <c r="M804" s="23" t="str">
        <f>IF($B804="","",ROUND(SUMIF(账户名,$B804,账户期初)+SUMIFS($K$6:K804,$B$6:B804,$B804),2))</f>
        <v/>
      </c>
      <c r="N804" s="23" t="str">
        <f>IF($B804="","",IFERROR(ROUND(INDEX(账户期初本位,MATCH($B804,账户名,0))+SUMIFS($L$6:L804,$B$6:B804,$B804),2),""))</f>
        <v/>
      </c>
      <c r="O804" s="46"/>
      <c r="P804" s="47"/>
      <c r="Q804" s="46"/>
      <c r="R804" s="46"/>
      <c r="S804" s="6" t="str">
        <f>IF($B804="","",IF(ISNA(MATCH($B804,账户名,0)),"※这个账户不在【参数设置】的账户档案里",IF($A804="","※没填日期，这一笔不会进任何月份的报表",IF(AND($G804&lt;&gt;"",$H804&lt;&gt;""),"※收入和支出不能同时填",IF(AND(N($G804)=0,N($H804)=0),"※收入和支出都没填",IF($E804="","※没填收支类别，分类报表会漏掉这一笔",IF(ISNA(MATCH($E804,类别表,0)),"※收支类别不在【参数设置】的清单里",IF($J804="","△"&amp;$D804&amp;" 还没填汇率，去【月度汇率】补上就自动算了",IF(YEAR($A804)&lt;&gt;管理年度,"△不是管理年度的单据，年报里看不到",IF(AND($F804="内部转账",$Q804=""),"△内部转账建议在「往来单位」写上对方账户",IF($M804&lt;0,"△这一笔之后该账户余额成负数了，核一下","")))))))))))</f>
        <v/>
      </c>
    </row>
    <row r="805" ht="16.5" spans="1:19">
      <c r="A805" s="45"/>
      <c r="B805" s="46"/>
      <c r="C805" s="12" t="str">
        <f>IF($B805="","",IFERROR(INDEX(账户银行,MATCH($B805,账户名,0)),""))</f>
        <v/>
      </c>
      <c r="D805" s="12" t="str">
        <f>IF($B805="","",IFERROR(INDEX(账户币种,MATCH($B805,账户名,0)),""))</f>
        <v/>
      </c>
      <c r="E805" s="47"/>
      <c r="F805" s="12" t="str">
        <f>IF($E805="","",IFERROR(INDEX(类别属性,MATCH($E805,类别表,0)),""))</f>
        <v/>
      </c>
      <c r="G805" s="48"/>
      <c r="H805" s="48"/>
      <c r="I805" s="49"/>
      <c r="J805" s="24" t="str">
        <f>IF(OR($A805="",$B805=""),"",IF($I805&lt;&gt;"",$I805,IF($D805=本位币,1,IFERROR(LOOKUP(2,1/((汇率月份&lt;=$A805)*(INDEX(记账汇率区,0,MATCH($D805,汇率币种头,0))&lt;&gt;"")),INDEX(记账汇率区,0,MATCH($D805,汇率币种头,0))),""))))</f>
        <v/>
      </c>
      <c r="K805" s="23" t="str">
        <f t="shared" si="24"/>
        <v/>
      </c>
      <c r="L805" s="23" t="str">
        <f t="shared" si="25"/>
        <v/>
      </c>
      <c r="M805" s="23" t="str">
        <f>IF($B805="","",ROUND(SUMIF(账户名,$B805,账户期初)+SUMIFS($K$6:K805,$B$6:B805,$B805),2))</f>
        <v/>
      </c>
      <c r="N805" s="23" t="str">
        <f>IF($B805="","",IFERROR(ROUND(INDEX(账户期初本位,MATCH($B805,账户名,0))+SUMIFS($L$6:L805,$B$6:B805,$B805),2),""))</f>
        <v/>
      </c>
      <c r="O805" s="46"/>
      <c r="P805" s="47"/>
      <c r="Q805" s="46"/>
      <c r="R805" s="46"/>
      <c r="S805" s="6" t="str">
        <f>IF($B805="","",IF(ISNA(MATCH($B805,账户名,0)),"※这个账户不在【参数设置】的账户档案里",IF($A805="","※没填日期，这一笔不会进任何月份的报表",IF(AND($G805&lt;&gt;"",$H805&lt;&gt;""),"※收入和支出不能同时填",IF(AND(N($G805)=0,N($H805)=0),"※收入和支出都没填",IF($E805="","※没填收支类别，分类报表会漏掉这一笔",IF(ISNA(MATCH($E805,类别表,0)),"※收支类别不在【参数设置】的清单里",IF($J805="","△"&amp;$D805&amp;" 还没填汇率，去【月度汇率】补上就自动算了",IF(YEAR($A805)&lt;&gt;管理年度,"△不是管理年度的单据，年报里看不到",IF(AND($F805="内部转账",$Q805=""),"△内部转账建议在「往来单位」写上对方账户",IF($M805&lt;0,"△这一笔之后该账户余额成负数了，核一下","")))))))))))</f>
        <v/>
      </c>
    </row>
    <row r="806" ht="16.5" spans="1:19">
      <c r="A806" s="45"/>
      <c r="B806" s="46"/>
      <c r="C806" s="12" t="str">
        <f>IF($B806="","",IFERROR(INDEX(账户银行,MATCH($B806,账户名,0)),""))</f>
        <v/>
      </c>
      <c r="D806" s="12" t="str">
        <f>IF($B806="","",IFERROR(INDEX(账户币种,MATCH($B806,账户名,0)),""))</f>
        <v/>
      </c>
      <c r="E806" s="47"/>
      <c r="F806" s="12" t="str">
        <f>IF($E806="","",IFERROR(INDEX(类别属性,MATCH($E806,类别表,0)),""))</f>
        <v/>
      </c>
      <c r="G806" s="48"/>
      <c r="H806" s="48"/>
      <c r="I806" s="49"/>
      <c r="J806" s="24" t="str">
        <f>IF(OR($A806="",$B806=""),"",IF($I806&lt;&gt;"",$I806,IF($D806=本位币,1,IFERROR(LOOKUP(2,1/((汇率月份&lt;=$A806)*(INDEX(记账汇率区,0,MATCH($D806,汇率币种头,0))&lt;&gt;"")),INDEX(记账汇率区,0,MATCH($D806,汇率币种头,0))),""))))</f>
        <v/>
      </c>
      <c r="K806" s="23" t="str">
        <f t="shared" si="24"/>
        <v/>
      </c>
      <c r="L806" s="23" t="str">
        <f t="shared" si="25"/>
        <v/>
      </c>
      <c r="M806" s="23" t="str">
        <f>IF($B806="","",ROUND(SUMIF(账户名,$B806,账户期初)+SUMIFS($K$6:K806,$B$6:B806,$B806),2))</f>
        <v/>
      </c>
      <c r="N806" s="23" t="str">
        <f>IF($B806="","",IFERROR(ROUND(INDEX(账户期初本位,MATCH($B806,账户名,0))+SUMIFS($L$6:L806,$B$6:B806,$B806),2),""))</f>
        <v/>
      </c>
      <c r="O806" s="46"/>
      <c r="P806" s="47"/>
      <c r="Q806" s="46"/>
      <c r="R806" s="46"/>
      <c r="S806" s="6" t="str">
        <f>IF($B806="","",IF(ISNA(MATCH($B806,账户名,0)),"※这个账户不在【参数设置】的账户档案里",IF($A806="","※没填日期，这一笔不会进任何月份的报表",IF(AND($G806&lt;&gt;"",$H806&lt;&gt;""),"※收入和支出不能同时填",IF(AND(N($G806)=0,N($H806)=0),"※收入和支出都没填",IF($E806="","※没填收支类别，分类报表会漏掉这一笔",IF(ISNA(MATCH($E806,类别表,0)),"※收支类别不在【参数设置】的清单里",IF($J806="","△"&amp;$D806&amp;" 还没填汇率，去【月度汇率】补上就自动算了",IF(YEAR($A806)&lt;&gt;管理年度,"△不是管理年度的单据，年报里看不到",IF(AND($F806="内部转账",$Q806=""),"△内部转账建议在「往来单位」写上对方账户",IF($M806&lt;0,"△这一笔之后该账户余额成负数了，核一下","")))))))))))</f>
        <v/>
      </c>
    </row>
    <row r="807" ht="16.5" spans="1:19">
      <c r="A807" s="45"/>
      <c r="B807" s="46"/>
      <c r="C807" s="12" t="str">
        <f>IF($B807="","",IFERROR(INDEX(账户银行,MATCH($B807,账户名,0)),""))</f>
        <v/>
      </c>
      <c r="D807" s="12" t="str">
        <f>IF($B807="","",IFERROR(INDEX(账户币种,MATCH($B807,账户名,0)),""))</f>
        <v/>
      </c>
      <c r="E807" s="47"/>
      <c r="F807" s="12" t="str">
        <f>IF($E807="","",IFERROR(INDEX(类别属性,MATCH($E807,类别表,0)),""))</f>
        <v/>
      </c>
      <c r="G807" s="48"/>
      <c r="H807" s="48"/>
      <c r="I807" s="49"/>
      <c r="J807" s="24" t="str">
        <f>IF(OR($A807="",$B807=""),"",IF($I807&lt;&gt;"",$I807,IF($D807=本位币,1,IFERROR(LOOKUP(2,1/((汇率月份&lt;=$A807)*(INDEX(记账汇率区,0,MATCH($D807,汇率币种头,0))&lt;&gt;"")),INDEX(记账汇率区,0,MATCH($D807,汇率币种头,0))),""))))</f>
        <v/>
      </c>
      <c r="K807" s="23" t="str">
        <f t="shared" si="24"/>
        <v/>
      </c>
      <c r="L807" s="23" t="str">
        <f t="shared" si="25"/>
        <v/>
      </c>
      <c r="M807" s="23" t="str">
        <f>IF($B807="","",ROUND(SUMIF(账户名,$B807,账户期初)+SUMIFS($K$6:K807,$B$6:B807,$B807),2))</f>
        <v/>
      </c>
      <c r="N807" s="23" t="str">
        <f>IF($B807="","",IFERROR(ROUND(INDEX(账户期初本位,MATCH($B807,账户名,0))+SUMIFS($L$6:L807,$B$6:B807,$B807),2),""))</f>
        <v/>
      </c>
      <c r="O807" s="46"/>
      <c r="P807" s="47"/>
      <c r="Q807" s="46"/>
      <c r="R807" s="46"/>
      <c r="S807" s="6" t="str">
        <f>IF($B807="","",IF(ISNA(MATCH($B807,账户名,0)),"※这个账户不在【参数设置】的账户档案里",IF($A807="","※没填日期，这一笔不会进任何月份的报表",IF(AND($G807&lt;&gt;"",$H807&lt;&gt;""),"※收入和支出不能同时填",IF(AND(N($G807)=0,N($H807)=0),"※收入和支出都没填",IF($E807="","※没填收支类别，分类报表会漏掉这一笔",IF(ISNA(MATCH($E807,类别表,0)),"※收支类别不在【参数设置】的清单里",IF($J807="","△"&amp;$D807&amp;" 还没填汇率，去【月度汇率】补上就自动算了",IF(YEAR($A807)&lt;&gt;管理年度,"△不是管理年度的单据，年报里看不到",IF(AND($F807="内部转账",$Q807=""),"△内部转账建议在「往来单位」写上对方账户",IF($M807&lt;0,"△这一笔之后该账户余额成负数了，核一下","")))))))))))</f>
        <v/>
      </c>
    </row>
    <row r="808" ht="16.5" spans="1:19">
      <c r="A808" s="45"/>
      <c r="B808" s="46"/>
      <c r="C808" s="12" t="str">
        <f>IF($B808="","",IFERROR(INDEX(账户银行,MATCH($B808,账户名,0)),""))</f>
        <v/>
      </c>
      <c r="D808" s="12" t="str">
        <f>IF($B808="","",IFERROR(INDEX(账户币种,MATCH($B808,账户名,0)),""))</f>
        <v/>
      </c>
      <c r="E808" s="47"/>
      <c r="F808" s="12" t="str">
        <f>IF($E808="","",IFERROR(INDEX(类别属性,MATCH($E808,类别表,0)),""))</f>
        <v/>
      </c>
      <c r="G808" s="48"/>
      <c r="H808" s="48"/>
      <c r="I808" s="49"/>
      <c r="J808" s="24" t="str">
        <f>IF(OR($A808="",$B808=""),"",IF($I808&lt;&gt;"",$I808,IF($D808=本位币,1,IFERROR(LOOKUP(2,1/((汇率月份&lt;=$A808)*(INDEX(记账汇率区,0,MATCH($D808,汇率币种头,0))&lt;&gt;"")),INDEX(记账汇率区,0,MATCH($D808,汇率币种头,0))),""))))</f>
        <v/>
      </c>
      <c r="K808" s="23" t="str">
        <f t="shared" si="24"/>
        <v/>
      </c>
      <c r="L808" s="23" t="str">
        <f t="shared" si="25"/>
        <v/>
      </c>
      <c r="M808" s="23" t="str">
        <f>IF($B808="","",ROUND(SUMIF(账户名,$B808,账户期初)+SUMIFS($K$6:K808,$B$6:B808,$B808),2))</f>
        <v/>
      </c>
      <c r="N808" s="23" t="str">
        <f>IF($B808="","",IFERROR(ROUND(INDEX(账户期初本位,MATCH($B808,账户名,0))+SUMIFS($L$6:L808,$B$6:B808,$B808),2),""))</f>
        <v/>
      </c>
      <c r="O808" s="46"/>
      <c r="P808" s="47"/>
      <c r="Q808" s="46"/>
      <c r="R808" s="46"/>
      <c r="S808" s="6" t="str">
        <f>IF($B808="","",IF(ISNA(MATCH($B808,账户名,0)),"※这个账户不在【参数设置】的账户档案里",IF($A808="","※没填日期，这一笔不会进任何月份的报表",IF(AND($G808&lt;&gt;"",$H808&lt;&gt;""),"※收入和支出不能同时填",IF(AND(N($G808)=0,N($H808)=0),"※收入和支出都没填",IF($E808="","※没填收支类别，分类报表会漏掉这一笔",IF(ISNA(MATCH($E808,类别表,0)),"※收支类别不在【参数设置】的清单里",IF($J808="","△"&amp;$D808&amp;" 还没填汇率，去【月度汇率】补上就自动算了",IF(YEAR($A808)&lt;&gt;管理年度,"△不是管理年度的单据，年报里看不到",IF(AND($F808="内部转账",$Q808=""),"△内部转账建议在「往来单位」写上对方账户",IF($M808&lt;0,"△这一笔之后该账户余额成负数了，核一下","")))))))))))</f>
        <v/>
      </c>
    </row>
    <row r="809" ht="16.5" spans="1:19">
      <c r="A809" s="45"/>
      <c r="B809" s="46"/>
      <c r="C809" s="12" t="str">
        <f>IF($B809="","",IFERROR(INDEX(账户银行,MATCH($B809,账户名,0)),""))</f>
        <v/>
      </c>
      <c r="D809" s="12" t="str">
        <f>IF($B809="","",IFERROR(INDEX(账户币种,MATCH($B809,账户名,0)),""))</f>
        <v/>
      </c>
      <c r="E809" s="47"/>
      <c r="F809" s="12" t="str">
        <f>IF($E809="","",IFERROR(INDEX(类别属性,MATCH($E809,类别表,0)),""))</f>
        <v/>
      </c>
      <c r="G809" s="48"/>
      <c r="H809" s="48"/>
      <c r="I809" s="49"/>
      <c r="J809" s="24" t="str">
        <f>IF(OR($A809="",$B809=""),"",IF($I809&lt;&gt;"",$I809,IF($D809=本位币,1,IFERROR(LOOKUP(2,1/((汇率月份&lt;=$A809)*(INDEX(记账汇率区,0,MATCH($D809,汇率币种头,0))&lt;&gt;"")),INDEX(记账汇率区,0,MATCH($D809,汇率币种头,0))),""))))</f>
        <v/>
      </c>
      <c r="K809" s="23" t="str">
        <f t="shared" si="24"/>
        <v/>
      </c>
      <c r="L809" s="23" t="str">
        <f t="shared" si="25"/>
        <v/>
      </c>
      <c r="M809" s="23" t="str">
        <f>IF($B809="","",ROUND(SUMIF(账户名,$B809,账户期初)+SUMIFS($K$6:K809,$B$6:B809,$B809),2))</f>
        <v/>
      </c>
      <c r="N809" s="23" t="str">
        <f>IF($B809="","",IFERROR(ROUND(INDEX(账户期初本位,MATCH($B809,账户名,0))+SUMIFS($L$6:L809,$B$6:B809,$B809),2),""))</f>
        <v/>
      </c>
      <c r="O809" s="46"/>
      <c r="P809" s="47"/>
      <c r="Q809" s="46"/>
      <c r="R809" s="46"/>
      <c r="S809" s="6" t="str">
        <f>IF($B809="","",IF(ISNA(MATCH($B809,账户名,0)),"※这个账户不在【参数设置】的账户档案里",IF($A809="","※没填日期，这一笔不会进任何月份的报表",IF(AND($G809&lt;&gt;"",$H809&lt;&gt;""),"※收入和支出不能同时填",IF(AND(N($G809)=0,N($H809)=0),"※收入和支出都没填",IF($E809="","※没填收支类别，分类报表会漏掉这一笔",IF(ISNA(MATCH($E809,类别表,0)),"※收支类别不在【参数设置】的清单里",IF($J809="","△"&amp;$D809&amp;" 还没填汇率，去【月度汇率】补上就自动算了",IF(YEAR($A809)&lt;&gt;管理年度,"△不是管理年度的单据，年报里看不到",IF(AND($F809="内部转账",$Q809=""),"△内部转账建议在「往来单位」写上对方账户",IF($M809&lt;0,"△这一笔之后该账户余额成负数了，核一下","")))))))))))</f>
        <v/>
      </c>
    </row>
    <row r="810" ht="16.5" spans="1:19">
      <c r="A810" s="45"/>
      <c r="B810" s="46"/>
      <c r="C810" s="12" t="str">
        <f>IF($B810="","",IFERROR(INDEX(账户银行,MATCH($B810,账户名,0)),""))</f>
        <v/>
      </c>
      <c r="D810" s="12" t="str">
        <f>IF($B810="","",IFERROR(INDEX(账户币种,MATCH($B810,账户名,0)),""))</f>
        <v/>
      </c>
      <c r="E810" s="47"/>
      <c r="F810" s="12" t="str">
        <f>IF($E810="","",IFERROR(INDEX(类别属性,MATCH($E810,类别表,0)),""))</f>
        <v/>
      </c>
      <c r="G810" s="48"/>
      <c r="H810" s="48"/>
      <c r="I810" s="49"/>
      <c r="J810" s="24" t="str">
        <f>IF(OR($A810="",$B810=""),"",IF($I810&lt;&gt;"",$I810,IF($D810=本位币,1,IFERROR(LOOKUP(2,1/((汇率月份&lt;=$A810)*(INDEX(记账汇率区,0,MATCH($D810,汇率币种头,0))&lt;&gt;"")),INDEX(记账汇率区,0,MATCH($D810,汇率币种头,0))),""))))</f>
        <v/>
      </c>
      <c r="K810" s="23" t="str">
        <f t="shared" si="24"/>
        <v/>
      </c>
      <c r="L810" s="23" t="str">
        <f t="shared" si="25"/>
        <v/>
      </c>
      <c r="M810" s="23" t="str">
        <f>IF($B810="","",ROUND(SUMIF(账户名,$B810,账户期初)+SUMIFS($K$6:K810,$B$6:B810,$B810),2))</f>
        <v/>
      </c>
      <c r="N810" s="23" t="str">
        <f>IF($B810="","",IFERROR(ROUND(INDEX(账户期初本位,MATCH($B810,账户名,0))+SUMIFS($L$6:L810,$B$6:B810,$B810),2),""))</f>
        <v/>
      </c>
      <c r="O810" s="46"/>
      <c r="P810" s="47"/>
      <c r="Q810" s="46"/>
      <c r="R810" s="46"/>
      <c r="S810" s="6" t="str">
        <f>IF($B810="","",IF(ISNA(MATCH($B810,账户名,0)),"※这个账户不在【参数设置】的账户档案里",IF($A810="","※没填日期，这一笔不会进任何月份的报表",IF(AND($G810&lt;&gt;"",$H810&lt;&gt;""),"※收入和支出不能同时填",IF(AND(N($G810)=0,N($H810)=0),"※收入和支出都没填",IF($E810="","※没填收支类别，分类报表会漏掉这一笔",IF(ISNA(MATCH($E810,类别表,0)),"※收支类别不在【参数设置】的清单里",IF($J810="","△"&amp;$D810&amp;" 还没填汇率，去【月度汇率】补上就自动算了",IF(YEAR($A810)&lt;&gt;管理年度,"△不是管理年度的单据，年报里看不到",IF(AND($F810="内部转账",$Q810=""),"△内部转账建议在「往来单位」写上对方账户",IF($M810&lt;0,"△这一笔之后该账户余额成负数了，核一下","")))))))))))</f>
        <v/>
      </c>
    </row>
    <row r="811" ht="16.5" spans="1:19">
      <c r="A811" s="45"/>
      <c r="B811" s="46"/>
      <c r="C811" s="12" t="str">
        <f>IF($B811="","",IFERROR(INDEX(账户银行,MATCH($B811,账户名,0)),""))</f>
        <v/>
      </c>
      <c r="D811" s="12" t="str">
        <f>IF($B811="","",IFERROR(INDEX(账户币种,MATCH($B811,账户名,0)),""))</f>
        <v/>
      </c>
      <c r="E811" s="47"/>
      <c r="F811" s="12" t="str">
        <f>IF($E811="","",IFERROR(INDEX(类别属性,MATCH($E811,类别表,0)),""))</f>
        <v/>
      </c>
      <c r="G811" s="48"/>
      <c r="H811" s="48"/>
      <c r="I811" s="49"/>
      <c r="J811" s="24" t="str">
        <f>IF(OR($A811="",$B811=""),"",IF($I811&lt;&gt;"",$I811,IF($D811=本位币,1,IFERROR(LOOKUP(2,1/((汇率月份&lt;=$A811)*(INDEX(记账汇率区,0,MATCH($D811,汇率币种头,0))&lt;&gt;"")),INDEX(记账汇率区,0,MATCH($D811,汇率币种头,0))),""))))</f>
        <v/>
      </c>
      <c r="K811" s="23" t="str">
        <f t="shared" si="24"/>
        <v/>
      </c>
      <c r="L811" s="23" t="str">
        <f t="shared" si="25"/>
        <v/>
      </c>
      <c r="M811" s="23" t="str">
        <f>IF($B811="","",ROUND(SUMIF(账户名,$B811,账户期初)+SUMIFS($K$6:K811,$B$6:B811,$B811),2))</f>
        <v/>
      </c>
      <c r="N811" s="23" t="str">
        <f>IF($B811="","",IFERROR(ROUND(INDEX(账户期初本位,MATCH($B811,账户名,0))+SUMIFS($L$6:L811,$B$6:B811,$B811),2),""))</f>
        <v/>
      </c>
      <c r="O811" s="46"/>
      <c r="P811" s="47"/>
      <c r="Q811" s="46"/>
      <c r="R811" s="46"/>
      <c r="S811" s="6" t="str">
        <f>IF($B811="","",IF(ISNA(MATCH($B811,账户名,0)),"※这个账户不在【参数设置】的账户档案里",IF($A811="","※没填日期，这一笔不会进任何月份的报表",IF(AND($G811&lt;&gt;"",$H811&lt;&gt;""),"※收入和支出不能同时填",IF(AND(N($G811)=0,N($H811)=0),"※收入和支出都没填",IF($E811="","※没填收支类别，分类报表会漏掉这一笔",IF(ISNA(MATCH($E811,类别表,0)),"※收支类别不在【参数设置】的清单里",IF($J811="","△"&amp;$D811&amp;" 还没填汇率，去【月度汇率】补上就自动算了",IF(YEAR($A811)&lt;&gt;管理年度,"△不是管理年度的单据，年报里看不到",IF(AND($F811="内部转账",$Q811=""),"△内部转账建议在「往来单位」写上对方账户",IF($M811&lt;0,"△这一笔之后该账户余额成负数了，核一下","")))))))))))</f>
        <v/>
      </c>
    </row>
    <row r="812" ht="16.5" spans="1:19">
      <c r="A812" s="45"/>
      <c r="B812" s="46"/>
      <c r="C812" s="12" t="str">
        <f>IF($B812="","",IFERROR(INDEX(账户银行,MATCH($B812,账户名,0)),""))</f>
        <v/>
      </c>
      <c r="D812" s="12" t="str">
        <f>IF($B812="","",IFERROR(INDEX(账户币种,MATCH($B812,账户名,0)),""))</f>
        <v/>
      </c>
      <c r="E812" s="47"/>
      <c r="F812" s="12" t="str">
        <f>IF($E812="","",IFERROR(INDEX(类别属性,MATCH($E812,类别表,0)),""))</f>
        <v/>
      </c>
      <c r="G812" s="48"/>
      <c r="H812" s="48"/>
      <c r="I812" s="49"/>
      <c r="J812" s="24" t="str">
        <f>IF(OR($A812="",$B812=""),"",IF($I812&lt;&gt;"",$I812,IF($D812=本位币,1,IFERROR(LOOKUP(2,1/((汇率月份&lt;=$A812)*(INDEX(记账汇率区,0,MATCH($D812,汇率币种头,0))&lt;&gt;"")),INDEX(记账汇率区,0,MATCH($D812,汇率币种头,0))),""))))</f>
        <v/>
      </c>
      <c r="K812" s="23" t="str">
        <f t="shared" si="24"/>
        <v/>
      </c>
      <c r="L812" s="23" t="str">
        <f t="shared" si="25"/>
        <v/>
      </c>
      <c r="M812" s="23" t="str">
        <f>IF($B812="","",ROUND(SUMIF(账户名,$B812,账户期初)+SUMIFS($K$6:K812,$B$6:B812,$B812),2))</f>
        <v/>
      </c>
      <c r="N812" s="23" t="str">
        <f>IF($B812="","",IFERROR(ROUND(INDEX(账户期初本位,MATCH($B812,账户名,0))+SUMIFS($L$6:L812,$B$6:B812,$B812),2),""))</f>
        <v/>
      </c>
      <c r="O812" s="46"/>
      <c r="P812" s="47"/>
      <c r="Q812" s="46"/>
      <c r="R812" s="46"/>
      <c r="S812" s="6" t="str">
        <f>IF($B812="","",IF(ISNA(MATCH($B812,账户名,0)),"※这个账户不在【参数设置】的账户档案里",IF($A812="","※没填日期，这一笔不会进任何月份的报表",IF(AND($G812&lt;&gt;"",$H812&lt;&gt;""),"※收入和支出不能同时填",IF(AND(N($G812)=0,N($H812)=0),"※收入和支出都没填",IF($E812="","※没填收支类别，分类报表会漏掉这一笔",IF(ISNA(MATCH($E812,类别表,0)),"※收支类别不在【参数设置】的清单里",IF($J812="","△"&amp;$D812&amp;" 还没填汇率，去【月度汇率】补上就自动算了",IF(YEAR($A812)&lt;&gt;管理年度,"△不是管理年度的单据，年报里看不到",IF(AND($F812="内部转账",$Q812=""),"△内部转账建议在「往来单位」写上对方账户",IF($M812&lt;0,"△这一笔之后该账户余额成负数了，核一下","")))))))))))</f>
        <v/>
      </c>
    </row>
    <row r="813" ht="16.5" spans="1:19">
      <c r="A813" s="45"/>
      <c r="B813" s="46"/>
      <c r="C813" s="12" t="str">
        <f>IF($B813="","",IFERROR(INDEX(账户银行,MATCH($B813,账户名,0)),""))</f>
        <v/>
      </c>
      <c r="D813" s="12" t="str">
        <f>IF($B813="","",IFERROR(INDEX(账户币种,MATCH($B813,账户名,0)),""))</f>
        <v/>
      </c>
      <c r="E813" s="47"/>
      <c r="F813" s="12" t="str">
        <f>IF($E813="","",IFERROR(INDEX(类别属性,MATCH($E813,类别表,0)),""))</f>
        <v/>
      </c>
      <c r="G813" s="48"/>
      <c r="H813" s="48"/>
      <c r="I813" s="49"/>
      <c r="J813" s="24" t="str">
        <f>IF(OR($A813="",$B813=""),"",IF($I813&lt;&gt;"",$I813,IF($D813=本位币,1,IFERROR(LOOKUP(2,1/((汇率月份&lt;=$A813)*(INDEX(记账汇率区,0,MATCH($D813,汇率币种头,0))&lt;&gt;"")),INDEX(记账汇率区,0,MATCH($D813,汇率币种头,0))),""))))</f>
        <v/>
      </c>
      <c r="K813" s="23" t="str">
        <f t="shared" si="24"/>
        <v/>
      </c>
      <c r="L813" s="23" t="str">
        <f t="shared" si="25"/>
        <v/>
      </c>
      <c r="M813" s="23" t="str">
        <f>IF($B813="","",ROUND(SUMIF(账户名,$B813,账户期初)+SUMIFS($K$6:K813,$B$6:B813,$B813),2))</f>
        <v/>
      </c>
      <c r="N813" s="23" t="str">
        <f>IF($B813="","",IFERROR(ROUND(INDEX(账户期初本位,MATCH($B813,账户名,0))+SUMIFS($L$6:L813,$B$6:B813,$B813),2),""))</f>
        <v/>
      </c>
      <c r="O813" s="46"/>
      <c r="P813" s="47"/>
      <c r="Q813" s="46"/>
      <c r="R813" s="46"/>
      <c r="S813" s="6" t="str">
        <f>IF($B813="","",IF(ISNA(MATCH($B813,账户名,0)),"※这个账户不在【参数设置】的账户档案里",IF($A813="","※没填日期，这一笔不会进任何月份的报表",IF(AND($G813&lt;&gt;"",$H813&lt;&gt;""),"※收入和支出不能同时填",IF(AND(N($G813)=0,N($H813)=0),"※收入和支出都没填",IF($E813="","※没填收支类别，分类报表会漏掉这一笔",IF(ISNA(MATCH($E813,类别表,0)),"※收支类别不在【参数设置】的清单里",IF($J813="","△"&amp;$D813&amp;" 还没填汇率，去【月度汇率】补上就自动算了",IF(YEAR($A813)&lt;&gt;管理年度,"△不是管理年度的单据，年报里看不到",IF(AND($F813="内部转账",$Q813=""),"△内部转账建议在「往来单位」写上对方账户",IF($M813&lt;0,"△这一笔之后该账户余额成负数了，核一下","")))))))))))</f>
        <v/>
      </c>
    </row>
    <row r="814" ht="16.5" spans="1:19">
      <c r="A814" s="45"/>
      <c r="B814" s="46"/>
      <c r="C814" s="12" t="str">
        <f>IF($B814="","",IFERROR(INDEX(账户银行,MATCH($B814,账户名,0)),""))</f>
        <v/>
      </c>
      <c r="D814" s="12" t="str">
        <f>IF($B814="","",IFERROR(INDEX(账户币种,MATCH($B814,账户名,0)),""))</f>
        <v/>
      </c>
      <c r="E814" s="47"/>
      <c r="F814" s="12" t="str">
        <f>IF($E814="","",IFERROR(INDEX(类别属性,MATCH($E814,类别表,0)),""))</f>
        <v/>
      </c>
      <c r="G814" s="48"/>
      <c r="H814" s="48"/>
      <c r="I814" s="49"/>
      <c r="J814" s="24" t="str">
        <f>IF(OR($A814="",$B814=""),"",IF($I814&lt;&gt;"",$I814,IF($D814=本位币,1,IFERROR(LOOKUP(2,1/((汇率月份&lt;=$A814)*(INDEX(记账汇率区,0,MATCH($D814,汇率币种头,0))&lt;&gt;"")),INDEX(记账汇率区,0,MATCH($D814,汇率币种头,0))),""))))</f>
        <v/>
      </c>
      <c r="K814" s="23" t="str">
        <f t="shared" si="24"/>
        <v/>
      </c>
      <c r="L814" s="23" t="str">
        <f t="shared" si="25"/>
        <v/>
      </c>
      <c r="M814" s="23" t="str">
        <f>IF($B814="","",ROUND(SUMIF(账户名,$B814,账户期初)+SUMIFS($K$6:K814,$B$6:B814,$B814),2))</f>
        <v/>
      </c>
      <c r="N814" s="23" t="str">
        <f>IF($B814="","",IFERROR(ROUND(INDEX(账户期初本位,MATCH($B814,账户名,0))+SUMIFS($L$6:L814,$B$6:B814,$B814),2),""))</f>
        <v/>
      </c>
      <c r="O814" s="46"/>
      <c r="P814" s="47"/>
      <c r="Q814" s="46"/>
      <c r="R814" s="46"/>
      <c r="S814" s="6" t="str">
        <f>IF($B814="","",IF(ISNA(MATCH($B814,账户名,0)),"※这个账户不在【参数设置】的账户档案里",IF($A814="","※没填日期，这一笔不会进任何月份的报表",IF(AND($G814&lt;&gt;"",$H814&lt;&gt;""),"※收入和支出不能同时填",IF(AND(N($G814)=0,N($H814)=0),"※收入和支出都没填",IF($E814="","※没填收支类别，分类报表会漏掉这一笔",IF(ISNA(MATCH($E814,类别表,0)),"※收支类别不在【参数设置】的清单里",IF($J814="","△"&amp;$D814&amp;" 还没填汇率，去【月度汇率】补上就自动算了",IF(YEAR($A814)&lt;&gt;管理年度,"△不是管理年度的单据，年报里看不到",IF(AND($F814="内部转账",$Q814=""),"△内部转账建议在「往来单位」写上对方账户",IF($M814&lt;0,"△这一笔之后该账户余额成负数了，核一下","")))))))))))</f>
        <v/>
      </c>
    </row>
    <row r="815" ht="16.5" spans="1:19">
      <c r="A815" s="45"/>
      <c r="B815" s="46"/>
      <c r="C815" s="12" t="str">
        <f>IF($B815="","",IFERROR(INDEX(账户银行,MATCH($B815,账户名,0)),""))</f>
        <v/>
      </c>
      <c r="D815" s="12" t="str">
        <f>IF($B815="","",IFERROR(INDEX(账户币种,MATCH($B815,账户名,0)),""))</f>
        <v/>
      </c>
      <c r="E815" s="47"/>
      <c r="F815" s="12" t="str">
        <f>IF($E815="","",IFERROR(INDEX(类别属性,MATCH($E815,类别表,0)),""))</f>
        <v/>
      </c>
      <c r="G815" s="48"/>
      <c r="H815" s="48"/>
      <c r="I815" s="49"/>
      <c r="J815" s="24" t="str">
        <f>IF(OR($A815="",$B815=""),"",IF($I815&lt;&gt;"",$I815,IF($D815=本位币,1,IFERROR(LOOKUP(2,1/((汇率月份&lt;=$A815)*(INDEX(记账汇率区,0,MATCH($D815,汇率币种头,0))&lt;&gt;"")),INDEX(记账汇率区,0,MATCH($D815,汇率币种头,0))),""))))</f>
        <v/>
      </c>
      <c r="K815" s="23" t="str">
        <f t="shared" si="24"/>
        <v/>
      </c>
      <c r="L815" s="23" t="str">
        <f t="shared" si="25"/>
        <v/>
      </c>
      <c r="M815" s="23" t="str">
        <f>IF($B815="","",ROUND(SUMIF(账户名,$B815,账户期初)+SUMIFS($K$6:K815,$B$6:B815,$B815),2))</f>
        <v/>
      </c>
      <c r="N815" s="23" t="str">
        <f>IF($B815="","",IFERROR(ROUND(INDEX(账户期初本位,MATCH($B815,账户名,0))+SUMIFS($L$6:L815,$B$6:B815,$B815),2),""))</f>
        <v/>
      </c>
      <c r="O815" s="46"/>
      <c r="P815" s="47"/>
      <c r="Q815" s="46"/>
      <c r="R815" s="46"/>
      <c r="S815" s="6" t="str">
        <f>IF($B815="","",IF(ISNA(MATCH($B815,账户名,0)),"※这个账户不在【参数设置】的账户档案里",IF($A815="","※没填日期，这一笔不会进任何月份的报表",IF(AND($G815&lt;&gt;"",$H815&lt;&gt;""),"※收入和支出不能同时填",IF(AND(N($G815)=0,N($H815)=0),"※收入和支出都没填",IF($E815="","※没填收支类别，分类报表会漏掉这一笔",IF(ISNA(MATCH($E815,类别表,0)),"※收支类别不在【参数设置】的清单里",IF($J815="","△"&amp;$D815&amp;" 还没填汇率，去【月度汇率】补上就自动算了",IF(YEAR($A815)&lt;&gt;管理年度,"△不是管理年度的单据，年报里看不到",IF(AND($F815="内部转账",$Q815=""),"△内部转账建议在「往来单位」写上对方账户",IF($M815&lt;0,"△这一笔之后该账户余额成负数了，核一下","")))))))))))</f>
        <v/>
      </c>
    </row>
    <row r="816" ht="16.5" spans="1:19">
      <c r="A816" s="45"/>
      <c r="B816" s="46"/>
      <c r="C816" s="12" t="str">
        <f>IF($B816="","",IFERROR(INDEX(账户银行,MATCH($B816,账户名,0)),""))</f>
        <v/>
      </c>
      <c r="D816" s="12" t="str">
        <f>IF($B816="","",IFERROR(INDEX(账户币种,MATCH($B816,账户名,0)),""))</f>
        <v/>
      </c>
      <c r="E816" s="47"/>
      <c r="F816" s="12" t="str">
        <f>IF($E816="","",IFERROR(INDEX(类别属性,MATCH($E816,类别表,0)),""))</f>
        <v/>
      </c>
      <c r="G816" s="48"/>
      <c r="H816" s="48"/>
      <c r="I816" s="49"/>
      <c r="J816" s="24" t="str">
        <f>IF(OR($A816="",$B816=""),"",IF($I816&lt;&gt;"",$I816,IF($D816=本位币,1,IFERROR(LOOKUP(2,1/((汇率月份&lt;=$A816)*(INDEX(记账汇率区,0,MATCH($D816,汇率币种头,0))&lt;&gt;"")),INDEX(记账汇率区,0,MATCH($D816,汇率币种头,0))),""))))</f>
        <v/>
      </c>
      <c r="K816" s="23" t="str">
        <f t="shared" si="24"/>
        <v/>
      </c>
      <c r="L816" s="23" t="str">
        <f t="shared" si="25"/>
        <v/>
      </c>
      <c r="M816" s="23" t="str">
        <f>IF($B816="","",ROUND(SUMIF(账户名,$B816,账户期初)+SUMIFS($K$6:K816,$B$6:B816,$B816),2))</f>
        <v/>
      </c>
      <c r="N816" s="23" t="str">
        <f>IF($B816="","",IFERROR(ROUND(INDEX(账户期初本位,MATCH($B816,账户名,0))+SUMIFS($L$6:L816,$B$6:B816,$B816),2),""))</f>
        <v/>
      </c>
      <c r="O816" s="46"/>
      <c r="P816" s="47"/>
      <c r="Q816" s="46"/>
      <c r="R816" s="46"/>
      <c r="S816" s="6" t="str">
        <f>IF($B816="","",IF(ISNA(MATCH($B816,账户名,0)),"※这个账户不在【参数设置】的账户档案里",IF($A816="","※没填日期，这一笔不会进任何月份的报表",IF(AND($G816&lt;&gt;"",$H816&lt;&gt;""),"※收入和支出不能同时填",IF(AND(N($G816)=0,N($H816)=0),"※收入和支出都没填",IF($E816="","※没填收支类别，分类报表会漏掉这一笔",IF(ISNA(MATCH($E816,类别表,0)),"※收支类别不在【参数设置】的清单里",IF($J816="","△"&amp;$D816&amp;" 还没填汇率，去【月度汇率】补上就自动算了",IF(YEAR($A816)&lt;&gt;管理年度,"△不是管理年度的单据，年报里看不到",IF(AND($F816="内部转账",$Q816=""),"△内部转账建议在「往来单位」写上对方账户",IF($M816&lt;0,"△这一笔之后该账户余额成负数了，核一下","")))))))))))</f>
        <v/>
      </c>
    </row>
    <row r="817" ht="16.5" spans="1:19">
      <c r="A817" s="45"/>
      <c r="B817" s="46"/>
      <c r="C817" s="12" t="str">
        <f>IF($B817="","",IFERROR(INDEX(账户银行,MATCH($B817,账户名,0)),""))</f>
        <v/>
      </c>
      <c r="D817" s="12" t="str">
        <f>IF($B817="","",IFERROR(INDEX(账户币种,MATCH($B817,账户名,0)),""))</f>
        <v/>
      </c>
      <c r="E817" s="47"/>
      <c r="F817" s="12" t="str">
        <f>IF($E817="","",IFERROR(INDEX(类别属性,MATCH($E817,类别表,0)),""))</f>
        <v/>
      </c>
      <c r="G817" s="48"/>
      <c r="H817" s="48"/>
      <c r="I817" s="49"/>
      <c r="J817" s="24" t="str">
        <f>IF(OR($A817="",$B817=""),"",IF($I817&lt;&gt;"",$I817,IF($D817=本位币,1,IFERROR(LOOKUP(2,1/((汇率月份&lt;=$A817)*(INDEX(记账汇率区,0,MATCH($D817,汇率币种头,0))&lt;&gt;"")),INDEX(记账汇率区,0,MATCH($D817,汇率币种头,0))),""))))</f>
        <v/>
      </c>
      <c r="K817" s="23" t="str">
        <f t="shared" si="24"/>
        <v/>
      </c>
      <c r="L817" s="23" t="str">
        <f t="shared" si="25"/>
        <v/>
      </c>
      <c r="M817" s="23" t="str">
        <f>IF($B817="","",ROUND(SUMIF(账户名,$B817,账户期初)+SUMIFS($K$6:K817,$B$6:B817,$B817),2))</f>
        <v/>
      </c>
      <c r="N817" s="23" t="str">
        <f>IF($B817="","",IFERROR(ROUND(INDEX(账户期初本位,MATCH($B817,账户名,0))+SUMIFS($L$6:L817,$B$6:B817,$B817),2),""))</f>
        <v/>
      </c>
      <c r="O817" s="46"/>
      <c r="P817" s="47"/>
      <c r="Q817" s="46"/>
      <c r="R817" s="46"/>
      <c r="S817" s="6" t="str">
        <f>IF($B817="","",IF(ISNA(MATCH($B817,账户名,0)),"※这个账户不在【参数设置】的账户档案里",IF($A817="","※没填日期，这一笔不会进任何月份的报表",IF(AND($G817&lt;&gt;"",$H817&lt;&gt;""),"※收入和支出不能同时填",IF(AND(N($G817)=0,N($H817)=0),"※收入和支出都没填",IF($E817="","※没填收支类别，分类报表会漏掉这一笔",IF(ISNA(MATCH($E817,类别表,0)),"※收支类别不在【参数设置】的清单里",IF($J817="","△"&amp;$D817&amp;" 还没填汇率，去【月度汇率】补上就自动算了",IF(YEAR($A817)&lt;&gt;管理年度,"△不是管理年度的单据，年报里看不到",IF(AND($F817="内部转账",$Q817=""),"△内部转账建议在「往来单位」写上对方账户",IF($M817&lt;0,"△这一笔之后该账户余额成负数了，核一下","")))))))))))</f>
        <v/>
      </c>
    </row>
    <row r="818" ht="16.5" spans="1:19">
      <c r="A818" s="45"/>
      <c r="B818" s="46"/>
      <c r="C818" s="12" t="str">
        <f>IF($B818="","",IFERROR(INDEX(账户银行,MATCH($B818,账户名,0)),""))</f>
        <v/>
      </c>
      <c r="D818" s="12" t="str">
        <f>IF($B818="","",IFERROR(INDEX(账户币种,MATCH($B818,账户名,0)),""))</f>
        <v/>
      </c>
      <c r="E818" s="47"/>
      <c r="F818" s="12" t="str">
        <f>IF($E818="","",IFERROR(INDEX(类别属性,MATCH($E818,类别表,0)),""))</f>
        <v/>
      </c>
      <c r="G818" s="48"/>
      <c r="H818" s="48"/>
      <c r="I818" s="49"/>
      <c r="J818" s="24" t="str">
        <f>IF(OR($A818="",$B818=""),"",IF($I818&lt;&gt;"",$I818,IF($D818=本位币,1,IFERROR(LOOKUP(2,1/((汇率月份&lt;=$A818)*(INDEX(记账汇率区,0,MATCH($D818,汇率币种头,0))&lt;&gt;"")),INDEX(记账汇率区,0,MATCH($D818,汇率币种头,0))),""))))</f>
        <v/>
      </c>
      <c r="K818" s="23" t="str">
        <f t="shared" si="24"/>
        <v/>
      </c>
      <c r="L818" s="23" t="str">
        <f t="shared" si="25"/>
        <v/>
      </c>
      <c r="M818" s="23" t="str">
        <f>IF($B818="","",ROUND(SUMIF(账户名,$B818,账户期初)+SUMIFS($K$6:K818,$B$6:B818,$B818),2))</f>
        <v/>
      </c>
      <c r="N818" s="23" t="str">
        <f>IF($B818="","",IFERROR(ROUND(INDEX(账户期初本位,MATCH($B818,账户名,0))+SUMIFS($L$6:L818,$B$6:B818,$B818),2),""))</f>
        <v/>
      </c>
      <c r="O818" s="46"/>
      <c r="P818" s="47"/>
      <c r="Q818" s="46"/>
      <c r="R818" s="46"/>
      <c r="S818" s="6" t="str">
        <f>IF($B818="","",IF(ISNA(MATCH($B818,账户名,0)),"※这个账户不在【参数设置】的账户档案里",IF($A818="","※没填日期，这一笔不会进任何月份的报表",IF(AND($G818&lt;&gt;"",$H818&lt;&gt;""),"※收入和支出不能同时填",IF(AND(N($G818)=0,N($H818)=0),"※收入和支出都没填",IF($E818="","※没填收支类别，分类报表会漏掉这一笔",IF(ISNA(MATCH($E818,类别表,0)),"※收支类别不在【参数设置】的清单里",IF($J818="","△"&amp;$D818&amp;" 还没填汇率，去【月度汇率】补上就自动算了",IF(YEAR($A818)&lt;&gt;管理年度,"△不是管理年度的单据，年报里看不到",IF(AND($F818="内部转账",$Q818=""),"△内部转账建议在「往来单位」写上对方账户",IF($M818&lt;0,"△这一笔之后该账户余额成负数了，核一下","")))))))))))</f>
        <v/>
      </c>
    </row>
    <row r="819" ht="16.5" spans="1:19">
      <c r="A819" s="45"/>
      <c r="B819" s="46"/>
      <c r="C819" s="12" t="str">
        <f>IF($B819="","",IFERROR(INDEX(账户银行,MATCH($B819,账户名,0)),""))</f>
        <v/>
      </c>
      <c r="D819" s="12" t="str">
        <f>IF($B819="","",IFERROR(INDEX(账户币种,MATCH($B819,账户名,0)),""))</f>
        <v/>
      </c>
      <c r="E819" s="47"/>
      <c r="F819" s="12" t="str">
        <f>IF($E819="","",IFERROR(INDEX(类别属性,MATCH($E819,类别表,0)),""))</f>
        <v/>
      </c>
      <c r="G819" s="48"/>
      <c r="H819" s="48"/>
      <c r="I819" s="49"/>
      <c r="J819" s="24" t="str">
        <f>IF(OR($A819="",$B819=""),"",IF($I819&lt;&gt;"",$I819,IF($D819=本位币,1,IFERROR(LOOKUP(2,1/((汇率月份&lt;=$A819)*(INDEX(记账汇率区,0,MATCH($D819,汇率币种头,0))&lt;&gt;"")),INDEX(记账汇率区,0,MATCH($D819,汇率币种头,0))),""))))</f>
        <v/>
      </c>
      <c r="K819" s="23" t="str">
        <f t="shared" si="24"/>
        <v/>
      </c>
      <c r="L819" s="23" t="str">
        <f t="shared" si="25"/>
        <v/>
      </c>
      <c r="M819" s="23" t="str">
        <f>IF($B819="","",ROUND(SUMIF(账户名,$B819,账户期初)+SUMIFS($K$6:K819,$B$6:B819,$B819),2))</f>
        <v/>
      </c>
      <c r="N819" s="23" t="str">
        <f>IF($B819="","",IFERROR(ROUND(INDEX(账户期初本位,MATCH($B819,账户名,0))+SUMIFS($L$6:L819,$B$6:B819,$B819),2),""))</f>
        <v/>
      </c>
      <c r="O819" s="46"/>
      <c r="P819" s="47"/>
      <c r="Q819" s="46"/>
      <c r="R819" s="46"/>
      <c r="S819" s="6" t="str">
        <f>IF($B819="","",IF(ISNA(MATCH($B819,账户名,0)),"※这个账户不在【参数设置】的账户档案里",IF($A819="","※没填日期，这一笔不会进任何月份的报表",IF(AND($G819&lt;&gt;"",$H819&lt;&gt;""),"※收入和支出不能同时填",IF(AND(N($G819)=0,N($H819)=0),"※收入和支出都没填",IF($E819="","※没填收支类别，分类报表会漏掉这一笔",IF(ISNA(MATCH($E819,类别表,0)),"※收支类别不在【参数设置】的清单里",IF($J819="","△"&amp;$D819&amp;" 还没填汇率，去【月度汇率】补上就自动算了",IF(YEAR($A819)&lt;&gt;管理年度,"△不是管理年度的单据，年报里看不到",IF(AND($F819="内部转账",$Q819=""),"△内部转账建议在「往来单位」写上对方账户",IF($M819&lt;0,"△这一笔之后该账户余额成负数了，核一下","")))))))))))</f>
        <v/>
      </c>
    </row>
    <row r="820" ht="16.5" spans="1:19">
      <c r="A820" s="45"/>
      <c r="B820" s="46"/>
      <c r="C820" s="12" t="str">
        <f>IF($B820="","",IFERROR(INDEX(账户银行,MATCH($B820,账户名,0)),""))</f>
        <v/>
      </c>
      <c r="D820" s="12" t="str">
        <f>IF($B820="","",IFERROR(INDEX(账户币种,MATCH($B820,账户名,0)),""))</f>
        <v/>
      </c>
      <c r="E820" s="47"/>
      <c r="F820" s="12" t="str">
        <f>IF($E820="","",IFERROR(INDEX(类别属性,MATCH($E820,类别表,0)),""))</f>
        <v/>
      </c>
      <c r="G820" s="48"/>
      <c r="H820" s="48"/>
      <c r="I820" s="49"/>
      <c r="J820" s="24" t="str">
        <f>IF(OR($A820="",$B820=""),"",IF($I820&lt;&gt;"",$I820,IF($D820=本位币,1,IFERROR(LOOKUP(2,1/((汇率月份&lt;=$A820)*(INDEX(记账汇率区,0,MATCH($D820,汇率币种头,0))&lt;&gt;"")),INDEX(记账汇率区,0,MATCH($D820,汇率币种头,0))),""))))</f>
        <v/>
      </c>
      <c r="K820" s="23" t="str">
        <f t="shared" si="24"/>
        <v/>
      </c>
      <c r="L820" s="23" t="str">
        <f t="shared" si="25"/>
        <v/>
      </c>
      <c r="M820" s="23" t="str">
        <f>IF($B820="","",ROUND(SUMIF(账户名,$B820,账户期初)+SUMIFS($K$6:K820,$B$6:B820,$B820),2))</f>
        <v/>
      </c>
      <c r="N820" s="23" t="str">
        <f>IF($B820="","",IFERROR(ROUND(INDEX(账户期初本位,MATCH($B820,账户名,0))+SUMIFS($L$6:L820,$B$6:B820,$B820),2),""))</f>
        <v/>
      </c>
      <c r="O820" s="46"/>
      <c r="P820" s="47"/>
      <c r="Q820" s="46"/>
      <c r="R820" s="46"/>
      <c r="S820" s="6" t="str">
        <f>IF($B820="","",IF(ISNA(MATCH($B820,账户名,0)),"※这个账户不在【参数设置】的账户档案里",IF($A820="","※没填日期，这一笔不会进任何月份的报表",IF(AND($G820&lt;&gt;"",$H820&lt;&gt;""),"※收入和支出不能同时填",IF(AND(N($G820)=0,N($H820)=0),"※收入和支出都没填",IF($E820="","※没填收支类别，分类报表会漏掉这一笔",IF(ISNA(MATCH($E820,类别表,0)),"※收支类别不在【参数设置】的清单里",IF($J820="","△"&amp;$D820&amp;" 还没填汇率，去【月度汇率】补上就自动算了",IF(YEAR($A820)&lt;&gt;管理年度,"△不是管理年度的单据，年报里看不到",IF(AND($F820="内部转账",$Q820=""),"△内部转账建议在「往来单位」写上对方账户",IF($M820&lt;0,"△这一笔之后该账户余额成负数了，核一下","")))))))))))</f>
        <v/>
      </c>
    </row>
    <row r="821" ht="16.5" spans="1:19">
      <c r="A821" s="45"/>
      <c r="B821" s="46"/>
      <c r="C821" s="12" t="str">
        <f>IF($B821="","",IFERROR(INDEX(账户银行,MATCH($B821,账户名,0)),""))</f>
        <v/>
      </c>
      <c r="D821" s="12" t="str">
        <f>IF($B821="","",IFERROR(INDEX(账户币种,MATCH($B821,账户名,0)),""))</f>
        <v/>
      </c>
      <c r="E821" s="47"/>
      <c r="F821" s="12" t="str">
        <f>IF($E821="","",IFERROR(INDEX(类别属性,MATCH($E821,类别表,0)),""))</f>
        <v/>
      </c>
      <c r="G821" s="48"/>
      <c r="H821" s="48"/>
      <c r="I821" s="49"/>
      <c r="J821" s="24" t="str">
        <f>IF(OR($A821="",$B821=""),"",IF($I821&lt;&gt;"",$I821,IF($D821=本位币,1,IFERROR(LOOKUP(2,1/((汇率月份&lt;=$A821)*(INDEX(记账汇率区,0,MATCH($D821,汇率币种头,0))&lt;&gt;"")),INDEX(记账汇率区,0,MATCH($D821,汇率币种头,0))),""))))</f>
        <v/>
      </c>
      <c r="K821" s="23" t="str">
        <f t="shared" si="24"/>
        <v/>
      </c>
      <c r="L821" s="23" t="str">
        <f t="shared" si="25"/>
        <v/>
      </c>
      <c r="M821" s="23" t="str">
        <f>IF($B821="","",ROUND(SUMIF(账户名,$B821,账户期初)+SUMIFS($K$6:K821,$B$6:B821,$B821),2))</f>
        <v/>
      </c>
      <c r="N821" s="23" t="str">
        <f>IF($B821="","",IFERROR(ROUND(INDEX(账户期初本位,MATCH($B821,账户名,0))+SUMIFS($L$6:L821,$B$6:B821,$B821),2),""))</f>
        <v/>
      </c>
      <c r="O821" s="46"/>
      <c r="P821" s="47"/>
      <c r="Q821" s="46"/>
      <c r="R821" s="46"/>
      <c r="S821" s="6" t="str">
        <f>IF($B821="","",IF(ISNA(MATCH($B821,账户名,0)),"※这个账户不在【参数设置】的账户档案里",IF($A821="","※没填日期，这一笔不会进任何月份的报表",IF(AND($G821&lt;&gt;"",$H821&lt;&gt;""),"※收入和支出不能同时填",IF(AND(N($G821)=0,N($H821)=0),"※收入和支出都没填",IF($E821="","※没填收支类别，分类报表会漏掉这一笔",IF(ISNA(MATCH($E821,类别表,0)),"※收支类别不在【参数设置】的清单里",IF($J821="","△"&amp;$D821&amp;" 还没填汇率，去【月度汇率】补上就自动算了",IF(YEAR($A821)&lt;&gt;管理年度,"△不是管理年度的单据，年报里看不到",IF(AND($F821="内部转账",$Q821=""),"△内部转账建议在「往来单位」写上对方账户",IF($M821&lt;0,"△这一笔之后该账户余额成负数了，核一下","")))))))))))</f>
        <v/>
      </c>
    </row>
    <row r="822" ht="16.5" spans="1:19">
      <c r="A822" s="45"/>
      <c r="B822" s="46"/>
      <c r="C822" s="12" t="str">
        <f>IF($B822="","",IFERROR(INDEX(账户银行,MATCH($B822,账户名,0)),""))</f>
        <v/>
      </c>
      <c r="D822" s="12" t="str">
        <f>IF($B822="","",IFERROR(INDEX(账户币种,MATCH($B822,账户名,0)),""))</f>
        <v/>
      </c>
      <c r="E822" s="47"/>
      <c r="F822" s="12" t="str">
        <f>IF($E822="","",IFERROR(INDEX(类别属性,MATCH($E822,类别表,0)),""))</f>
        <v/>
      </c>
      <c r="G822" s="48"/>
      <c r="H822" s="48"/>
      <c r="I822" s="49"/>
      <c r="J822" s="24" t="str">
        <f>IF(OR($A822="",$B822=""),"",IF($I822&lt;&gt;"",$I822,IF($D822=本位币,1,IFERROR(LOOKUP(2,1/((汇率月份&lt;=$A822)*(INDEX(记账汇率区,0,MATCH($D822,汇率币种头,0))&lt;&gt;"")),INDEX(记账汇率区,0,MATCH($D822,汇率币种头,0))),""))))</f>
        <v/>
      </c>
      <c r="K822" s="23" t="str">
        <f t="shared" si="24"/>
        <v/>
      </c>
      <c r="L822" s="23" t="str">
        <f t="shared" si="25"/>
        <v/>
      </c>
      <c r="M822" s="23" t="str">
        <f>IF($B822="","",ROUND(SUMIF(账户名,$B822,账户期初)+SUMIFS($K$6:K822,$B$6:B822,$B822),2))</f>
        <v/>
      </c>
      <c r="N822" s="23" t="str">
        <f>IF($B822="","",IFERROR(ROUND(INDEX(账户期初本位,MATCH($B822,账户名,0))+SUMIFS($L$6:L822,$B$6:B822,$B822),2),""))</f>
        <v/>
      </c>
      <c r="O822" s="46"/>
      <c r="P822" s="47"/>
      <c r="Q822" s="46"/>
      <c r="R822" s="46"/>
      <c r="S822" s="6" t="str">
        <f>IF($B822="","",IF(ISNA(MATCH($B822,账户名,0)),"※这个账户不在【参数设置】的账户档案里",IF($A822="","※没填日期，这一笔不会进任何月份的报表",IF(AND($G822&lt;&gt;"",$H822&lt;&gt;""),"※收入和支出不能同时填",IF(AND(N($G822)=0,N($H822)=0),"※收入和支出都没填",IF($E822="","※没填收支类别，分类报表会漏掉这一笔",IF(ISNA(MATCH($E822,类别表,0)),"※收支类别不在【参数设置】的清单里",IF($J822="","△"&amp;$D822&amp;" 还没填汇率，去【月度汇率】补上就自动算了",IF(YEAR($A822)&lt;&gt;管理年度,"△不是管理年度的单据，年报里看不到",IF(AND($F822="内部转账",$Q822=""),"△内部转账建议在「往来单位」写上对方账户",IF($M822&lt;0,"△这一笔之后该账户余额成负数了，核一下","")))))))))))</f>
        <v/>
      </c>
    </row>
    <row r="823" ht="16.5" spans="1:19">
      <c r="A823" s="45"/>
      <c r="B823" s="46"/>
      <c r="C823" s="12" t="str">
        <f>IF($B823="","",IFERROR(INDEX(账户银行,MATCH($B823,账户名,0)),""))</f>
        <v/>
      </c>
      <c r="D823" s="12" t="str">
        <f>IF($B823="","",IFERROR(INDEX(账户币种,MATCH($B823,账户名,0)),""))</f>
        <v/>
      </c>
      <c r="E823" s="47"/>
      <c r="F823" s="12" t="str">
        <f>IF($E823="","",IFERROR(INDEX(类别属性,MATCH($E823,类别表,0)),""))</f>
        <v/>
      </c>
      <c r="G823" s="48"/>
      <c r="H823" s="48"/>
      <c r="I823" s="49"/>
      <c r="J823" s="24" t="str">
        <f>IF(OR($A823="",$B823=""),"",IF($I823&lt;&gt;"",$I823,IF($D823=本位币,1,IFERROR(LOOKUP(2,1/((汇率月份&lt;=$A823)*(INDEX(记账汇率区,0,MATCH($D823,汇率币种头,0))&lt;&gt;"")),INDEX(记账汇率区,0,MATCH($D823,汇率币种头,0))),""))))</f>
        <v/>
      </c>
      <c r="K823" s="23" t="str">
        <f t="shared" si="24"/>
        <v/>
      </c>
      <c r="L823" s="23" t="str">
        <f t="shared" si="25"/>
        <v/>
      </c>
      <c r="M823" s="23" t="str">
        <f>IF($B823="","",ROUND(SUMIF(账户名,$B823,账户期初)+SUMIFS($K$6:K823,$B$6:B823,$B823),2))</f>
        <v/>
      </c>
      <c r="N823" s="23" t="str">
        <f>IF($B823="","",IFERROR(ROUND(INDEX(账户期初本位,MATCH($B823,账户名,0))+SUMIFS($L$6:L823,$B$6:B823,$B823),2),""))</f>
        <v/>
      </c>
      <c r="O823" s="46"/>
      <c r="P823" s="47"/>
      <c r="Q823" s="46"/>
      <c r="R823" s="46"/>
      <c r="S823" s="6" t="str">
        <f>IF($B823="","",IF(ISNA(MATCH($B823,账户名,0)),"※这个账户不在【参数设置】的账户档案里",IF($A823="","※没填日期，这一笔不会进任何月份的报表",IF(AND($G823&lt;&gt;"",$H823&lt;&gt;""),"※收入和支出不能同时填",IF(AND(N($G823)=0,N($H823)=0),"※收入和支出都没填",IF($E823="","※没填收支类别，分类报表会漏掉这一笔",IF(ISNA(MATCH($E823,类别表,0)),"※收支类别不在【参数设置】的清单里",IF($J823="","△"&amp;$D823&amp;" 还没填汇率，去【月度汇率】补上就自动算了",IF(YEAR($A823)&lt;&gt;管理年度,"△不是管理年度的单据，年报里看不到",IF(AND($F823="内部转账",$Q823=""),"△内部转账建议在「往来单位」写上对方账户",IF($M823&lt;0,"△这一笔之后该账户余额成负数了，核一下","")))))))))))</f>
        <v/>
      </c>
    </row>
    <row r="824" ht="16.5" spans="1:19">
      <c r="A824" s="45"/>
      <c r="B824" s="46"/>
      <c r="C824" s="12" t="str">
        <f>IF($B824="","",IFERROR(INDEX(账户银行,MATCH($B824,账户名,0)),""))</f>
        <v/>
      </c>
      <c r="D824" s="12" t="str">
        <f>IF($B824="","",IFERROR(INDEX(账户币种,MATCH($B824,账户名,0)),""))</f>
        <v/>
      </c>
      <c r="E824" s="47"/>
      <c r="F824" s="12" t="str">
        <f>IF($E824="","",IFERROR(INDEX(类别属性,MATCH($E824,类别表,0)),""))</f>
        <v/>
      </c>
      <c r="G824" s="48"/>
      <c r="H824" s="48"/>
      <c r="I824" s="49"/>
      <c r="J824" s="24" t="str">
        <f>IF(OR($A824="",$B824=""),"",IF($I824&lt;&gt;"",$I824,IF($D824=本位币,1,IFERROR(LOOKUP(2,1/((汇率月份&lt;=$A824)*(INDEX(记账汇率区,0,MATCH($D824,汇率币种头,0))&lt;&gt;"")),INDEX(记账汇率区,0,MATCH($D824,汇率币种头,0))),""))))</f>
        <v/>
      </c>
      <c r="K824" s="23" t="str">
        <f t="shared" si="24"/>
        <v/>
      </c>
      <c r="L824" s="23" t="str">
        <f t="shared" si="25"/>
        <v/>
      </c>
      <c r="M824" s="23" t="str">
        <f>IF($B824="","",ROUND(SUMIF(账户名,$B824,账户期初)+SUMIFS($K$6:K824,$B$6:B824,$B824),2))</f>
        <v/>
      </c>
      <c r="N824" s="23" t="str">
        <f>IF($B824="","",IFERROR(ROUND(INDEX(账户期初本位,MATCH($B824,账户名,0))+SUMIFS($L$6:L824,$B$6:B824,$B824),2),""))</f>
        <v/>
      </c>
      <c r="O824" s="46"/>
      <c r="P824" s="47"/>
      <c r="Q824" s="46"/>
      <c r="R824" s="46"/>
      <c r="S824" s="6" t="str">
        <f>IF($B824="","",IF(ISNA(MATCH($B824,账户名,0)),"※这个账户不在【参数设置】的账户档案里",IF($A824="","※没填日期，这一笔不会进任何月份的报表",IF(AND($G824&lt;&gt;"",$H824&lt;&gt;""),"※收入和支出不能同时填",IF(AND(N($G824)=0,N($H824)=0),"※收入和支出都没填",IF($E824="","※没填收支类别，分类报表会漏掉这一笔",IF(ISNA(MATCH($E824,类别表,0)),"※收支类别不在【参数设置】的清单里",IF($J824="","△"&amp;$D824&amp;" 还没填汇率，去【月度汇率】补上就自动算了",IF(YEAR($A824)&lt;&gt;管理年度,"△不是管理年度的单据，年报里看不到",IF(AND($F824="内部转账",$Q824=""),"△内部转账建议在「往来单位」写上对方账户",IF($M824&lt;0,"△这一笔之后该账户余额成负数了，核一下","")))))))))))</f>
        <v/>
      </c>
    </row>
    <row r="825" ht="16.5" spans="1:19">
      <c r="A825" s="45"/>
      <c r="B825" s="46"/>
      <c r="C825" s="12" t="str">
        <f>IF($B825="","",IFERROR(INDEX(账户银行,MATCH($B825,账户名,0)),""))</f>
        <v/>
      </c>
      <c r="D825" s="12" t="str">
        <f>IF($B825="","",IFERROR(INDEX(账户币种,MATCH($B825,账户名,0)),""))</f>
        <v/>
      </c>
      <c r="E825" s="47"/>
      <c r="F825" s="12" t="str">
        <f>IF($E825="","",IFERROR(INDEX(类别属性,MATCH($E825,类别表,0)),""))</f>
        <v/>
      </c>
      <c r="G825" s="48"/>
      <c r="H825" s="48"/>
      <c r="I825" s="49"/>
      <c r="J825" s="24" t="str">
        <f>IF(OR($A825="",$B825=""),"",IF($I825&lt;&gt;"",$I825,IF($D825=本位币,1,IFERROR(LOOKUP(2,1/((汇率月份&lt;=$A825)*(INDEX(记账汇率区,0,MATCH($D825,汇率币种头,0))&lt;&gt;"")),INDEX(记账汇率区,0,MATCH($D825,汇率币种头,0))),""))))</f>
        <v/>
      </c>
      <c r="K825" s="23" t="str">
        <f t="shared" si="24"/>
        <v/>
      </c>
      <c r="L825" s="23" t="str">
        <f t="shared" si="25"/>
        <v/>
      </c>
      <c r="M825" s="23" t="str">
        <f>IF($B825="","",ROUND(SUMIF(账户名,$B825,账户期初)+SUMIFS($K$6:K825,$B$6:B825,$B825),2))</f>
        <v/>
      </c>
      <c r="N825" s="23" t="str">
        <f>IF($B825="","",IFERROR(ROUND(INDEX(账户期初本位,MATCH($B825,账户名,0))+SUMIFS($L$6:L825,$B$6:B825,$B825),2),""))</f>
        <v/>
      </c>
      <c r="O825" s="46"/>
      <c r="P825" s="47"/>
      <c r="Q825" s="46"/>
      <c r="R825" s="46"/>
      <c r="S825" s="6" t="str">
        <f>IF($B825="","",IF(ISNA(MATCH($B825,账户名,0)),"※这个账户不在【参数设置】的账户档案里",IF($A825="","※没填日期，这一笔不会进任何月份的报表",IF(AND($G825&lt;&gt;"",$H825&lt;&gt;""),"※收入和支出不能同时填",IF(AND(N($G825)=0,N($H825)=0),"※收入和支出都没填",IF($E825="","※没填收支类别，分类报表会漏掉这一笔",IF(ISNA(MATCH($E825,类别表,0)),"※收支类别不在【参数设置】的清单里",IF($J825="","△"&amp;$D825&amp;" 还没填汇率，去【月度汇率】补上就自动算了",IF(YEAR($A825)&lt;&gt;管理年度,"△不是管理年度的单据，年报里看不到",IF(AND($F825="内部转账",$Q825=""),"△内部转账建议在「往来单位」写上对方账户",IF($M825&lt;0,"△这一笔之后该账户余额成负数了，核一下","")))))))))))</f>
        <v/>
      </c>
    </row>
    <row r="826" ht="16.5" spans="1:19">
      <c r="A826" s="45"/>
      <c r="B826" s="46"/>
      <c r="C826" s="12" t="str">
        <f>IF($B826="","",IFERROR(INDEX(账户银行,MATCH($B826,账户名,0)),""))</f>
        <v/>
      </c>
      <c r="D826" s="12" t="str">
        <f>IF($B826="","",IFERROR(INDEX(账户币种,MATCH($B826,账户名,0)),""))</f>
        <v/>
      </c>
      <c r="E826" s="47"/>
      <c r="F826" s="12" t="str">
        <f>IF($E826="","",IFERROR(INDEX(类别属性,MATCH($E826,类别表,0)),""))</f>
        <v/>
      </c>
      <c r="G826" s="48"/>
      <c r="H826" s="48"/>
      <c r="I826" s="49"/>
      <c r="J826" s="24" t="str">
        <f>IF(OR($A826="",$B826=""),"",IF($I826&lt;&gt;"",$I826,IF($D826=本位币,1,IFERROR(LOOKUP(2,1/((汇率月份&lt;=$A826)*(INDEX(记账汇率区,0,MATCH($D826,汇率币种头,0))&lt;&gt;"")),INDEX(记账汇率区,0,MATCH($D826,汇率币种头,0))),""))))</f>
        <v/>
      </c>
      <c r="K826" s="23" t="str">
        <f t="shared" si="24"/>
        <v/>
      </c>
      <c r="L826" s="23" t="str">
        <f t="shared" si="25"/>
        <v/>
      </c>
      <c r="M826" s="23" t="str">
        <f>IF($B826="","",ROUND(SUMIF(账户名,$B826,账户期初)+SUMIFS($K$6:K826,$B$6:B826,$B826),2))</f>
        <v/>
      </c>
      <c r="N826" s="23" t="str">
        <f>IF($B826="","",IFERROR(ROUND(INDEX(账户期初本位,MATCH($B826,账户名,0))+SUMIFS($L$6:L826,$B$6:B826,$B826),2),""))</f>
        <v/>
      </c>
      <c r="O826" s="46"/>
      <c r="P826" s="47"/>
      <c r="Q826" s="46"/>
      <c r="R826" s="46"/>
      <c r="S826" s="6" t="str">
        <f>IF($B826="","",IF(ISNA(MATCH($B826,账户名,0)),"※这个账户不在【参数设置】的账户档案里",IF($A826="","※没填日期，这一笔不会进任何月份的报表",IF(AND($G826&lt;&gt;"",$H826&lt;&gt;""),"※收入和支出不能同时填",IF(AND(N($G826)=0,N($H826)=0),"※收入和支出都没填",IF($E826="","※没填收支类别，分类报表会漏掉这一笔",IF(ISNA(MATCH($E826,类别表,0)),"※收支类别不在【参数设置】的清单里",IF($J826="","△"&amp;$D826&amp;" 还没填汇率，去【月度汇率】补上就自动算了",IF(YEAR($A826)&lt;&gt;管理年度,"△不是管理年度的单据，年报里看不到",IF(AND($F826="内部转账",$Q826=""),"△内部转账建议在「往来单位」写上对方账户",IF($M826&lt;0,"△这一笔之后该账户余额成负数了，核一下","")))))))))))</f>
        <v/>
      </c>
    </row>
    <row r="827" ht="16.5" spans="1:19">
      <c r="A827" s="45"/>
      <c r="B827" s="46"/>
      <c r="C827" s="12" t="str">
        <f>IF($B827="","",IFERROR(INDEX(账户银行,MATCH($B827,账户名,0)),""))</f>
        <v/>
      </c>
      <c r="D827" s="12" t="str">
        <f>IF($B827="","",IFERROR(INDEX(账户币种,MATCH($B827,账户名,0)),""))</f>
        <v/>
      </c>
      <c r="E827" s="47"/>
      <c r="F827" s="12" t="str">
        <f>IF($E827="","",IFERROR(INDEX(类别属性,MATCH($E827,类别表,0)),""))</f>
        <v/>
      </c>
      <c r="G827" s="48"/>
      <c r="H827" s="48"/>
      <c r="I827" s="49"/>
      <c r="J827" s="24" t="str">
        <f>IF(OR($A827="",$B827=""),"",IF($I827&lt;&gt;"",$I827,IF($D827=本位币,1,IFERROR(LOOKUP(2,1/((汇率月份&lt;=$A827)*(INDEX(记账汇率区,0,MATCH($D827,汇率币种头,0))&lt;&gt;"")),INDEX(记账汇率区,0,MATCH($D827,汇率币种头,0))),""))))</f>
        <v/>
      </c>
      <c r="K827" s="23" t="str">
        <f t="shared" si="24"/>
        <v/>
      </c>
      <c r="L827" s="23" t="str">
        <f t="shared" si="25"/>
        <v/>
      </c>
      <c r="M827" s="23" t="str">
        <f>IF($B827="","",ROUND(SUMIF(账户名,$B827,账户期初)+SUMIFS($K$6:K827,$B$6:B827,$B827),2))</f>
        <v/>
      </c>
      <c r="N827" s="23" t="str">
        <f>IF($B827="","",IFERROR(ROUND(INDEX(账户期初本位,MATCH($B827,账户名,0))+SUMIFS($L$6:L827,$B$6:B827,$B827),2),""))</f>
        <v/>
      </c>
      <c r="O827" s="46"/>
      <c r="P827" s="47"/>
      <c r="Q827" s="46"/>
      <c r="R827" s="46"/>
      <c r="S827" s="6" t="str">
        <f>IF($B827="","",IF(ISNA(MATCH($B827,账户名,0)),"※这个账户不在【参数设置】的账户档案里",IF($A827="","※没填日期，这一笔不会进任何月份的报表",IF(AND($G827&lt;&gt;"",$H827&lt;&gt;""),"※收入和支出不能同时填",IF(AND(N($G827)=0,N($H827)=0),"※收入和支出都没填",IF($E827="","※没填收支类别，分类报表会漏掉这一笔",IF(ISNA(MATCH($E827,类别表,0)),"※收支类别不在【参数设置】的清单里",IF($J827="","△"&amp;$D827&amp;" 还没填汇率，去【月度汇率】补上就自动算了",IF(YEAR($A827)&lt;&gt;管理年度,"△不是管理年度的单据，年报里看不到",IF(AND($F827="内部转账",$Q827=""),"△内部转账建议在「往来单位」写上对方账户",IF($M827&lt;0,"△这一笔之后该账户余额成负数了，核一下","")))))))))))</f>
        <v/>
      </c>
    </row>
    <row r="828" ht="16.5" spans="1:19">
      <c r="A828" s="45"/>
      <c r="B828" s="46"/>
      <c r="C828" s="12" t="str">
        <f>IF($B828="","",IFERROR(INDEX(账户银行,MATCH($B828,账户名,0)),""))</f>
        <v/>
      </c>
      <c r="D828" s="12" t="str">
        <f>IF($B828="","",IFERROR(INDEX(账户币种,MATCH($B828,账户名,0)),""))</f>
        <v/>
      </c>
      <c r="E828" s="47"/>
      <c r="F828" s="12" t="str">
        <f>IF($E828="","",IFERROR(INDEX(类别属性,MATCH($E828,类别表,0)),""))</f>
        <v/>
      </c>
      <c r="G828" s="48"/>
      <c r="H828" s="48"/>
      <c r="I828" s="49"/>
      <c r="J828" s="24" t="str">
        <f>IF(OR($A828="",$B828=""),"",IF($I828&lt;&gt;"",$I828,IF($D828=本位币,1,IFERROR(LOOKUP(2,1/((汇率月份&lt;=$A828)*(INDEX(记账汇率区,0,MATCH($D828,汇率币种头,0))&lt;&gt;"")),INDEX(记账汇率区,0,MATCH($D828,汇率币种头,0))),""))))</f>
        <v/>
      </c>
      <c r="K828" s="23" t="str">
        <f t="shared" si="24"/>
        <v/>
      </c>
      <c r="L828" s="23" t="str">
        <f t="shared" si="25"/>
        <v/>
      </c>
      <c r="M828" s="23" t="str">
        <f>IF($B828="","",ROUND(SUMIF(账户名,$B828,账户期初)+SUMIFS($K$6:K828,$B$6:B828,$B828),2))</f>
        <v/>
      </c>
      <c r="N828" s="23" t="str">
        <f>IF($B828="","",IFERROR(ROUND(INDEX(账户期初本位,MATCH($B828,账户名,0))+SUMIFS($L$6:L828,$B$6:B828,$B828),2),""))</f>
        <v/>
      </c>
      <c r="O828" s="46"/>
      <c r="P828" s="47"/>
      <c r="Q828" s="46"/>
      <c r="R828" s="46"/>
      <c r="S828" s="6" t="str">
        <f>IF($B828="","",IF(ISNA(MATCH($B828,账户名,0)),"※这个账户不在【参数设置】的账户档案里",IF($A828="","※没填日期，这一笔不会进任何月份的报表",IF(AND($G828&lt;&gt;"",$H828&lt;&gt;""),"※收入和支出不能同时填",IF(AND(N($G828)=0,N($H828)=0),"※收入和支出都没填",IF($E828="","※没填收支类别，分类报表会漏掉这一笔",IF(ISNA(MATCH($E828,类别表,0)),"※收支类别不在【参数设置】的清单里",IF($J828="","△"&amp;$D828&amp;" 还没填汇率，去【月度汇率】补上就自动算了",IF(YEAR($A828)&lt;&gt;管理年度,"△不是管理年度的单据，年报里看不到",IF(AND($F828="内部转账",$Q828=""),"△内部转账建议在「往来单位」写上对方账户",IF($M828&lt;0,"△这一笔之后该账户余额成负数了，核一下","")))))))))))</f>
        <v/>
      </c>
    </row>
    <row r="829" ht="16.5" spans="1:19">
      <c r="A829" s="45"/>
      <c r="B829" s="46"/>
      <c r="C829" s="12" t="str">
        <f>IF($B829="","",IFERROR(INDEX(账户银行,MATCH($B829,账户名,0)),""))</f>
        <v/>
      </c>
      <c r="D829" s="12" t="str">
        <f>IF($B829="","",IFERROR(INDEX(账户币种,MATCH($B829,账户名,0)),""))</f>
        <v/>
      </c>
      <c r="E829" s="47"/>
      <c r="F829" s="12" t="str">
        <f>IF($E829="","",IFERROR(INDEX(类别属性,MATCH($E829,类别表,0)),""))</f>
        <v/>
      </c>
      <c r="G829" s="48"/>
      <c r="H829" s="48"/>
      <c r="I829" s="49"/>
      <c r="J829" s="24" t="str">
        <f>IF(OR($A829="",$B829=""),"",IF($I829&lt;&gt;"",$I829,IF($D829=本位币,1,IFERROR(LOOKUP(2,1/((汇率月份&lt;=$A829)*(INDEX(记账汇率区,0,MATCH($D829,汇率币种头,0))&lt;&gt;"")),INDEX(记账汇率区,0,MATCH($D829,汇率币种头,0))),""))))</f>
        <v/>
      </c>
      <c r="K829" s="23" t="str">
        <f t="shared" si="24"/>
        <v/>
      </c>
      <c r="L829" s="23" t="str">
        <f t="shared" si="25"/>
        <v/>
      </c>
      <c r="M829" s="23" t="str">
        <f>IF($B829="","",ROUND(SUMIF(账户名,$B829,账户期初)+SUMIFS($K$6:K829,$B$6:B829,$B829),2))</f>
        <v/>
      </c>
      <c r="N829" s="23" t="str">
        <f>IF($B829="","",IFERROR(ROUND(INDEX(账户期初本位,MATCH($B829,账户名,0))+SUMIFS($L$6:L829,$B$6:B829,$B829),2),""))</f>
        <v/>
      </c>
      <c r="O829" s="46"/>
      <c r="P829" s="47"/>
      <c r="Q829" s="46"/>
      <c r="R829" s="46"/>
      <c r="S829" s="6" t="str">
        <f>IF($B829="","",IF(ISNA(MATCH($B829,账户名,0)),"※这个账户不在【参数设置】的账户档案里",IF($A829="","※没填日期，这一笔不会进任何月份的报表",IF(AND($G829&lt;&gt;"",$H829&lt;&gt;""),"※收入和支出不能同时填",IF(AND(N($G829)=0,N($H829)=0),"※收入和支出都没填",IF($E829="","※没填收支类别，分类报表会漏掉这一笔",IF(ISNA(MATCH($E829,类别表,0)),"※收支类别不在【参数设置】的清单里",IF($J829="","△"&amp;$D829&amp;" 还没填汇率，去【月度汇率】补上就自动算了",IF(YEAR($A829)&lt;&gt;管理年度,"△不是管理年度的单据，年报里看不到",IF(AND($F829="内部转账",$Q829=""),"△内部转账建议在「往来单位」写上对方账户",IF($M829&lt;0,"△这一笔之后该账户余额成负数了，核一下","")))))))))))</f>
        <v/>
      </c>
    </row>
    <row r="830" ht="16.5" spans="1:19">
      <c r="A830" s="45"/>
      <c r="B830" s="46"/>
      <c r="C830" s="12" t="str">
        <f>IF($B830="","",IFERROR(INDEX(账户银行,MATCH($B830,账户名,0)),""))</f>
        <v/>
      </c>
      <c r="D830" s="12" t="str">
        <f>IF($B830="","",IFERROR(INDEX(账户币种,MATCH($B830,账户名,0)),""))</f>
        <v/>
      </c>
      <c r="E830" s="47"/>
      <c r="F830" s="12" t="str">
        <f>IF($E830="","",IFERROR(INDEX(类别属性,MATCH($E830,类别表,0)),""))</f>
        <v/>
      </c>
      <c r="G830" s="48"/>
      <c r="H830" s="48"/>
      <c r="I830" s="49"/>
      <c r="J830" s="24" t="str">
        <f>IF(OR($A830="",$B830=""),"",IF($I830&lt;&gt;"",$I830,IF($D830=本位币,1,IFERROR(LOOKUP(2,1/((汇率月份&lt;=$A830)*(INDEX(记账汇率区,0,MATCH($D830,汇率币种头,0))&lt;&gt;"")),INDEX(记账汇率区,0,MATCH($D830,汇率币种头,0))),""))))</f>
        <v/>
      </c>
      <c r="K830" s="23" t="str">
        <f t="shared" si="24"/>
        <v/>
      </c>
      <c r="L830" s="23" t="str">
        <f t="shared" si="25"/>
        <v/>
      </c>
      <c r="M830" s="23" t="str">
        <f>IF($B830="","",ROUND(SUMIF(账户名,$B830,账户期初)+SUMIFS($K$6:K830,$B$6:B830,$B830),2))</f>
        <v/>
      </c>
      <c r="N830" s="23" t="str">
        <f>IF($B830="","",IFERROR(ROUND(INDEX(账户期初本位,MATCH($B830,账户名,0))+SUMIFS($L$6:L830,$B$6:B830,$B830),2),""))</f>
        <v/>
      </c>
      <c r="O830" s="46"/>
      <c r="P830" s="47"/>
      <c r="Q830" s="46"/>
      <c r="R830" s="46"/>
      <c r="S830" s="6" t="str">
        <f>IF($B830="","",IF(ISNA(MATCH($B830,账户名,0)),"※这个账户不在【参数设置】的账户档案里",IF($A830="","※没填日期，这一笔不会进任何月份的报表",IF(AND($G830&lt;&gt;"",$H830&lt;&gt;""),"※收入和支出不能同时填",IF(AND(N($G830)=0,N($H830)=0),"※收入和支出都没填",IF($E830="","※没填收支类别，分类报表会漏掉这一笔",IF(ISNA(MATCH($E830,类别表,0)),"※收支类别不在【参数设置】的清单里",IF($J830="","△"&amp;$D830&amp;" 还没填汇率，去【月度汇率】补上就自动算了",IF(YEAR($A830)&lt;&gt;管理年度,"△不是管理年度的单据，年报里看不到",IF(AND($F830="内部转账",$Q830=""),"△内部转账建议在「往来单位」写上对方账户",IF($M830&lt;0,"△这一笔之后该账户余额成负数了，核一下","")))))))))))</f>
        <v/>
      </c>
    </row>
    <row r="831" ht="16.5" spans="1:19">
      <c r="A831" s="45"/>
      <c r="B831" s="46"/>
      <c r="C831" s="12" t="str">
        <f>IF($B831="","",IFERROR(INDEX(账户银行,MATCH($B831,账户名,0)),""))</f>
        <v/>
      </c>
      <c r="D831" s="12" t="str">
        <f>IF($B831="","",IFERROR(INDEX(账户币种,MATCH($B831,账户名,0)),""))</f>
        <v/>
      </c>
      <c r="E831" s="47"/>
      <c r="F831" s="12" t="str">
        <f>IF($E831="","",IFERROR(INDEX(类别属性,MATCH($E831,类别表,0)),""))</f>
        <v/>
      </c>
      <c r="G831" s="48"/>
      <c r="H831" s="48"/>
      <c r="I831" s="49"/>
      <c r="J831" s="24" t="str">
        <f>IF(OR($A831="",$B831=""),"",IF($I831&lt;&gt;"",$I831,IF($D831=本位币,1,IFERROR(LOOKUP(2,1/((汇率月份&lt;=$A831)*(INDEX(记账汇率区,0,MATCH($D831,汇率币种头,0))&lt;&gt;"")),INDEX(记账汇率区,0,MATCH($D831,汇率币种头,0))),""))))</f>
        <v/>
      </c>
      <c r="K831" s="23" t="str">
        <f t="shared" si="24"/>
        <v/>
      </c>
      <c r="L831" s="23" t="str">
        <f t="shared" si="25"/>
        <v/>
      </c>
      <c r="M831" s="23" t="str">
        <f>IF($B831="","",ROUND(SUMIF(账户名,$B831,账户期初)+SUMIFS($K$6:K831,$B$6:B831,$B831),2))</f>
        <v/>
      </c>
      <c r="N831" s="23" t="str">
        <f>IF($B831="","",IFERROR(ROUND(INDEX(账户期初本位,MATCH($B831,账户名,0))+SUMIFS($L$6:L831,$B$6:B831,$B831),2),""))</f>
        <v/>
      </c>
      <c r="O831" s="46"/>
      <c r="P831" s="47"/>
      <c r="Q831" s="46"/>
      <c r="R831" s="46"/>
      <c r="S831" s="6" t="str">
        <f>IF($B831="","",IF(ISNA(MATCH($B831,账户名,0)),"※这个账户不在【参数设置】的账户档案里",IF($A831="","※没填日期，这一笔不会进任何月份的报表",IF(AND($G831&lt;&gt;"",$H831&lt;&gt;""),"※收入和支出不能同时填",IF(AND(N($G831)=0,N($H831)=0),"※收入和支出都没填",IF($E831="","※没填收支类别，分类报表会漏掉这一笔",IF(ISNA(MATCH($E831,类别表,0)),"※收支类别不在【参数设置】的清单里",IF($J831="","△"&amp;$D831&amp;" 还没填汇率，去【月度汇率】补上就自动算了",IF(YEAR($A831)&lt;&gt;管理年度,"△不是管理年度的单据，年报里看不到",IF(AND($F831="内部转账",$Q831=""),"△内部转账建议在「往来单位」写上对方账户",IF($M831&lt;0,"△这一笔之后该账户余额成负数了，核一下","")))))))))))</f>
        <v/>
      </c>
    </row>
    <row r="832" ht="16.5" spans="1:19">
      <c r="A832" s="45"/>
      <c r="B832" s="46"/>
      <c r="C832" s="12" t="str">
        <f>IF($B832="","",IFERROR(INDEX(账户银行,MATCH($B832,账户名,0)),""))</f>
        <v/>
      </c>
      <c r="D832" s="12" t="str">
        <f>IF($B832="","",IFERROR(INDEX(账户币种,MATCH($B832,账户名,0)),""))</f>
        <v/>
      </c>
      <c r="E832" s="47"/>
      <c r="F832" s="12" t="str">
        <f>IF($E832="","",IFERROR(INDEX(类别属性,MATCH($E832,类别表,0)),""))</f>
        <v/>
      </c>
      <c r="G832" s="48"/>
      <c r="H832" s="48"/>
      <c r="I832" s="49"/>
      <c r="J832" s="24" t="str">
        <f>IF(OR($A832="",$B832=""),"",IF($I832&lt;&gt;"",$I832,IF($D832=本位币,1,IFERROR(LOOKUP(2,1/((汇率月份&lt;=$A832)*(INDEX(记账汇率区,0,MATCH($D832,汇率币种头,0))&lt;&gt;"")),INDEX(记账汇率区,0,MATCH($D832,汇率币种头,0))),""))))</f>
        <v/>
      </c>
      <c r="K832" s="23" t="str">
        <f t="shared" si="24"/>
        <v/>
      </c>
      <c r="L832" s="23" t="str">
        <f t="shared" si="25"/>
        <v/>
      </c>
      <c r="M832" s="23" t="str">
        <f>IF($B832="","",ROUND(SUMIF(账户名,$B832,账户期初)+SUMIFS($K$6:K832,$B$6:B832,$B832),2))</f>
        <v/>
      </c>
      <c r="N832" s="23" t="str">
        <f>IF($B832="","",IFERROR(ROUND(INDEX(账户期初本位,MATCH($B832,账户名,0))+SUMIFS($L$6:L832,$B$6:B832,$B832),2),""))</f>
        <v/>
      </c>
      <c r="O832" s="46"/>
      <c r="P832" s="47"/>
      <c r="Q832" s="46"/>
      <c r="R832" s="46"/>
      <c r="S832" s="6" t="str">
        <f>IF($B832="","",IF(ISNA(MATCH($B832,账户名,0)),"※这个账户不在【参数设置】的账户档案里",IF($A832="","※没填日期，这一笔不会进任何月份的报表",IF(AND($G832&lt;&gt;"",$H832&lt;&gt;""),"※收入和支出不能同时填",IF(AND(N($G832)=0,N($H832)=0),"※收入和支出都没填",IF($E832="","※没填收支类别，分类报表会漏掉这一笔",IF(ISNA(MATCH($E832,类别表,0)),"※收支类别不在【参数设置】的清单里",IF($J832="","△"&amp;$D832&amp;" 还没填汇率，去【月度汇率】补上就自动算了",IF(YEAR($A832)&lt;&gt;管理年度,"△不是管理年度的单据，年报里看不到",IF(AND($F832="内部转账",$Q832=""),"△内部转账建议在「往来单位」写上对方账户",IF($M832&lt;0,"△这一笔之后该账户余额成负数了，核一下","")))))))))))</f>
        <v/>
      </c>
    </row>
    <row r="833" ht="16.5" spans="1:19">
      <c r="A833" s="45"/>
      <c r="B833" s="46"/>
      <c r="C833" s="12" t="str">
        <f>IF($B833="","",IFERROR(INDEX(账户银行,MATCH($B833,账户名,0)),""))</f>
        <v/>
      </c>
      <c r="D833" s="12" t="str">
        <f>IF($B833="","",IFERROR(INDEX(账户币种,MATCH($B833,账户名,0)),""))</f>
        <v/>
      </c>
      <c r="E833" s="47"/>
      <c r="F833" s="12" t="str">
        <f>IF($E833="","",IFERROR(INDEX(类别属性,MATCH($E833,类别表,0)),""))</f>
        <v/>
      </c>
      <c r="G833" s="48"/>
      <c r="H833" s="48"/>
      <c r="I833" s="49"/>
      <c r="J833" s="24" t="str">
        <f>IF(OR($A833="",$B833=""),"",IF($I833&lt;&gt;"",$I833,IF($D833=本位币,1,IFERROR(LOOKUP(2,1/((汇率月份&lt;=$A833)*(INDEX(记账汇率区,0,MATCH($D833,汇率币种头,0))&lt;&gt;"")),INDEX(记账汇率区,0,MATCH($D833,汇率币种头,0))),""))))</f>
        <v/>
      </c>
      <c r="K833" s="23" t="str">
        <f t="shared" si="24"/>
        <v/>
      </c>
      <c r="L833" s="23" t="str">
        <f t="shared" si="25"/>
        <v/>
      </c>
      <c r="M833" s="23" t="str">
        <f>IF($B833="","",ROUND(SUMIF(账户名,$B833,账户期初)+SUMIFS($K$6:K833,$B$6:B833,$B833),2))</f>
        <v/>
      </c>
      <c r="N833" s="23" t="str">
        <f>IF($B833="","",IFERROR(ROUND(INDEX(账户期初本位,MATCH($B833,账户名,0))+SUMIFS($L$6:L833,$B$6:B833,$B833),2),""))</f>
        <v/>
      </c>
      <c r="O833" s="46"/>
      <c r="P833" s="47"/>
      <c r="Q833" s="46"/>
      <c r="R833" s="46"/>
      <c r="S833" s="6" t="str">
        <f>IF($B833="","",IF(ISNA(MATCH($B833,账户名,0)),"※这个账户不在【参数设置】的账户档案里",IF($A833="","※没填日期，这一笔不会进任何月份的报表",IF(AND($G833&lt;&gt;"",$H833&lt;&gt;""),"※收入和支出不能同时填",IF(AND(N($G833)=0,N($H833)=0),"※收入和支出都没填",IF($E833="","※没填收支类别，分类报表会漏掉这一笔",IF(ISNA(MATCH($E833,类别表,0)),"※收支类别不在【参数设置】的清单里",IF($J833="","△"&amp;$D833&amp;" 还没填汇率，去【月度汇率】补上就自动算了",IF(YEAR($A833)&lt;&gt;管理年度,"△不是管理年度的单据，年报里看不到",IF(AND($F833="内部转账",$Q833=""),"△内部转账建议在「往来单位」写上对方账户",IF($M833&lt;0,"△这一笔之后该账户余额成负数了，核一下","")))))))))))</f>
        <v/>
      </c>
    </row>
    <row r="834" ht="16.5" spans="1:19">
      <c r="A834" s="45"/>
      <c r="B834" s="46"/>
      <c r="C834" s="12" t="str">
        <f>IF($B834="","",IFERROR(INDEX(账户银行,MATCH($B834,账户名,0)),""))</f>
        <v/>
      </c>
      <c r="D834" s="12" t="str">
        <f>IF($B834="","",IFERROR(INDEX(账户币种,MATCH($B834,账户名,0)),""))</f>
        <v/>
      </c>
      <c r="E834" s="47"/>
      <c r="F834" s="12" t="str">
        <f>IF($E834="","",IFERROR(INDEX(类别属性,MATCH($E834,类别表,0)),""))</f>
        <v/>
      </c>
      <c r="G834" s="48"/>
      <c r="H834" s="48"/>
      <c r="I834" s="49"/>
      <c r="J834" s="24" t="str">
        <f>IF(OR($A834="",$B834=""),"",IF($I834&lt;&gt;"",$I834,IF($D834=本位币,1,IFERROR(LOOKUP(2,1/((汇率月份&lt;=$A834)*(INDEX(记账汇率区,0,MATCH($D834,汇率币种头,0))&lt;&gt;"")),INDEX(记账汇率区,0,MATCH($D834,汇率币种头,0))),""))))</f>
        <v/>
      </c>
      <c r="K834" s="23" t="str">
        <f t="shared" si="24"/>
        <v/>
      </c>
      <c r="L834" s="23" t="str">
        <f t="shared" si="25"/>
        <v/>
      </c>
      <c r="M834" s="23" t="str">
        <f>IF($B834="","",ROUND(SUMIF(账户名,$B834,账户期初)+SUMIFS($K$6:K834,$B$6:B834,$B834),2))</f>
        <v/>
      </c>
      <c r="N834" s="23" t="str">
        <f>IF($B834="","",IFERROR(ROUND(INDEX(账户期初本位,MATCH($B834,账户名,0))+SUMIFS($L$6:L834,$B$6:B834,$B834),2),""))</f>
        <v/>
      </c>
      <c r="O834" s="46"/>
      <c r="P834" s="47"/>
      <c r="Q834" s="46"/>
      <c r="R834" s="46"/>
      <c r="S834" s="6" t="str">
        <f>IF($B834="","",IF(ISNA(MATCH($B834,账户名,0)),"※这个账户不在【参数设置】的账户档案里",IF($A834="","※没填日期，这一笔不会进任何月份的报表",IF(AND($G834&lt;&gt;"",$H834&lt;&gt;""),"※收入和支出不能同时填",IF(AND(N($G834)=0,N($H834)=0),"※收入和支出都没填",IF($E834="","※没填收支类别，分类报表会漏掉这一笔",IF(ISNA(MATCH($E834,类别表,0)),"※收支类别不在【参数设置】的清单里",IF($J834="","△"&amp;$D834&amp;" 还没填汇率，去【月度汇率】补上就自动算了",IF(YEAR($A834)&lt;&gt;管理年度,"△不是管理年度的单据，年报里看不到",IF(AND($F834="内部转账",$Q834=""),"△内部转账建议在「往来单位」写上对方账户",IF($M834&lt;0,"△这一笔之后该账户余额成负数了，核一下","")))))))))))</f>
        <v/>
      </c>
    </row>
    <row r="835" ht="16.5" spans="1:19">
      <c r="A835" s="45"/>
      <c r="B835" s="46"/>
      <c r="C835" s="12" t="str">
        <f>IF($B835="","",IFERROR(INDEX(账户银行,MATCH($B835,账户名,0)),""))</f>
        <v/>
      </c>
      <c r="D835" s="12" t="str">
        <f>IF($B835="","",IFERROR(INDEX(账户币种,MATCH($B835,账户名,0)),""))</f>
        <v/>
      </c>
      <c r="E835" s="47"/>
      <c r="F835" s="12" t="str">
        <f>IF($E835="","",IFERROR(INDEX(类别属性,MATCH($E835,类别表,0)),""))</f>
        <v/>
      </c>
      <c r="G835" s="48"/>
      <c r="H835" s="48"/>
      <c r="I835" s="49"/>
      <c r="J835" s="24" t="str">
        <f>IF(OR($A835="",$B835=""),"",IF($I835&lt;&gt;"",$I835,IF($D835=本位币,1,IFERROR(LOOKUP(2,1/((汇率月份&lt;=$A835)*(INDEX(记账汇率区,0,MATCH($D835,汇率币种头,0))&lt;&gt;"")),INDEX(记账汇率区,0,MATCH($D835,汇率币种头,0))),""))))</f>
        <v/>
      </c>
      <c r="K835" s="23" t="str">
        <f t="shared" si="24"/>
        <v/>
      </c>
      <c r="L835" s="23" t="str">
        <f t="shared" si="25"/>
        <v/>
      </c>
      <c r="M835" s="23" t="str">
        <f>IF($B835="","",ROUND(SUMIF(账户名,$B835,账户期初)+SUMIFS($K$6:K835,$B$6:B835,$B835),2))</f>
        <v/>
      </c>
      <c r="N835" s="23" t="str">
        <f>IF($B835="","",IFERROR(ROUND(INDEX(账户期初本位,MATCH($B835,账户名,0))+SUMIFS($L$6:L835,$B$6:B835,$B835),2),""))</f>
        <v/>
      </c>
      <c r="O835" s="46"/>
      <c r="P835" s="47"/>
      <c r="Q835" s="46"/>
      <c r="R835" s="46"/>
      <c r="S835" s="6" t="str">
        <f>IF($B835="","",IF(ISNA(MATCH($B835,账户名,0)),"※这个账户不在【参数设置】的账户档案里",IF($A835="","※没填日期，这一笔不会进任何月份的报表",IF(AND($G835&lt;&gt;"",$H835&lt;&gt;""),"※收入和支出不能同时填",IF(AND(N($G835)=0,N($H835)=0),"※收入和支出都没填",IF($E835="","※没填收支类别，分类报表会漏掉这一笔",IF(ISNA(MATCH($E835,类别表,0)),"※收支类别不在【参数设置】的清单里",IF($J835="","△"&amp;$D835&amp;" 还没填汇率，去【月度汇率】补上就自动算了",IF(YEAR($A835)&lt;&gt;管理年度,"△不是管理年度的单据，年报里看不到",IF(AND($F835="内部转账",$Q835=""),"△内部转账建议在「往来单位」写上对方账户",IF($M835&lt;0,"△这一笔之后该账户余额成负数了，核一下","")))))))))))</f>
        <v/>
      </c>
    </row>
    <row r="836" ht="16.5" spans="1:19">
      <c r="A836" s="45"/>
      <c r="B836" s="46"/>
      <c r="C836" s="12" t="str">
        <f>IF($B836="","",IFERROR(INDEX(账户银行,MATCH($B836,账户名,0)),""))</f>
        <v/>
      </c>
      <c r="D836" s="12" t="str">
        <f>IF($B836="","",IFERROR(INDEX(账户币种,MATCH($B836,账户名,0)),""))</f>
        <v/>
      </c>
      <c r="E836" s="47"/>
      <c r="F836" s="12" t="str">
        <f>IF($E836="","",IFERROR(INDEX(类别属性,MATCH($E836,类别表,0)),""))</f>
        <v/>
      </c>
      <c r="G836" s="48"/>
      <c r="H836" s="48"/>
      <c r="I836" s="49"/>
      <c r="J836" s="24" t="str">
        <f>IF(OR($A836="",$B836=""),"",IF($I836&lt;&gt;"",$I836,IF($D836=本位币,1,IFERROR(LOOKUP(2,1/((汇率月份&lt;=$A836)*(INDEX(记账汇率区,0,MATCH($D836,汇率币种头,0))&lt;&gt;"")),INDEX(记账汇率区,0,MATCH($D836,汇率币种头,0))),""))))</f>
        <v/>
      </c>
      <c r="K836" s="23" t="str">
        <f t="shared" si="24"/>
        <v/>
      </c>
      <c r="L836" s="23" t="str">
        <f t="shared" si="25"/>
        <v/>
      </c>
      <c r="M836" s="23" t="str">
        <f>IF($B836="","",ROUND(SUMIF(账户名,$B836,账户期初)+SUMIFS($K$6:K836,$B$6:B836,$B836),2))</f>
        <v/>
      </c>
      <c r="N836" s="23" t="str">
        <f>IF($B836="","",IFERROR(ROUND(INDEX(账户期初本位,MATCH($B836,账户名,0))+SUMIFS($L$6:L836,$B$6:B836,$B836),2),""))</f>
        <v/>
      </c>
      <c r="O836" s="46"/>
      <c r="P836" s="47"/>
      <c r="Q836" s="46"/>
      <c r="R836" s="46"/>
      <c r="S836" s="6" t="str">
        <f>IF($B836="","",IF(ISNA(MATCH($B836,账户名,0)),"※这个账户不在【参数设置】的账户档案里",IF($A836="","※没填日期，这一笔不会进任何月份的报表",IF(AND($G836&lt;&gt;"",$H836&lt;&gt;""),"※收入和支出不能同时填",IF(AND(N($G836)=0,N($H836)=0),"※收入和支出都没填",IF($E836="","※没填收支类别，分类报表会漏掉这一笔",IF(ISNA(MATCH($E836,类别表,0)),"※收支类别不在【参数设置】的清单里",IF($J836="","△"&amp;$D836&amp;" 还没填汇率，去【月度汇率】补上就自动算了",IF(YEAR($A836)&lt;&gt;管理年度,"△不是管理年度的单据，年报里看不到",IF(AND($F836="内部转账",$Q836=""),"△内部转账建议在「往来单位」写上对方账户",IF($M836&lt;0,"△这一笔之后该账户余额成负数了，核一下","")))))))))))</f>
        <v/>
      </c>
    </row>
    <row r="837" ht="16.5" spans="1:19">
      <c r="A837" s="45"/>
      <c r="B837" s="46"/>
      <c r="C837" s="12" t="str">
        <f>IF($B837="","",IFERROR(INDEX(账户银行,MATCH($B837,账户名,0)),""))</f>
        <v/>
      </c>
      <c r="D837" s="12" t="str">
        <f>IF($B837="","",IFERROR(INDEX(账户币种,MATCH($B837,账户名,0)),""))</f>
        <v/>
      </c>
      <c r="E837" s="47"/>
      <c r="F837" s="12" t="str">
        <f>IF($E837="","",IFERROR(INDEX(类别属性,MATCH($E837,类别表,0)),""))</f>
        <v/>
      </c>
      <c r="G837" s="48"/>
      <c r="H837" s="48"/>
      <c r="I837" s="49"/>
      <c r="J837" s="24" t="str">
        <f>IF(OR($A837="",$B837=""),"",IF($I837&lt;&gt;"",$I837,IF($D837=本位币,1,IFERROR(LOOKUP(2,1/((汇率月份&lt;=$A837)*(INDEX(记账汇率区,0,MATCH($D837,汇率币种头,0))&lt;&gt;"")),INDEX(记账汇率区,0,MATCH($D837,汇率币种头,0))),""))))</f>
        <v/>
      </c>
      <c r="K837" s="23" t="str">
        <f t="shared" si="24"/>
        <v/>
      </c>
      <c r="L837" s="23" t="str">
        <f t="shared" si="25"/>
        <v/>
      </c>
      <c r="M837" s="23" t="str">
        <f>IF($B837="","",ROUND(SUMIF(账户名,$B837,账户期初)+SUMIFS($K$6:K837,$B$6:B837,$B837),2))</f>
        <v/>
      </c>
      <c r="N837" s="23" t="str">
        <f>IF($B837="","",IFERROR(ROUND(INDEX(账户期初本位,MATCH($B837,账户名,0))+SUMIFS($L$6:L837,$B$6:B837,$B837),2),""))</f>
        <v/>
      </c>
      <c r="O837" s="46"/>
      <c r="P837" s="47"/>
      <c r="Q837" s="46"/>
      <c r="R837" s="46"/>
      <c r="S837" s="6" t="str">
        <f>IF($B837="","",IF(ISNA(MATCH($B837,账户名,0)),"※这个账户不在【参数设置】的账户档案里",IF($A837="","※没填日期，这一笔不会进任何月份的报表",IF(AND($G837&lt;&gt;"",$H837&lt;&gt;""),"※收入和支出不能同时填",IF(AND(N($G837)=0,N($H837)=0),"※收入和支出都没填",IF($E837="","※没填收支类别，分类报表会漏掉这一笔",IF(ISNA(MATCH($E837,类别表,0)),"※收支类别不在【参数设置】的清单里",IF($J837="","△"&amp;$D837&amp;" 还没填汇率，去【月度汇率】补上就自动算了",IF(YEAR($A837)&lt;&gt;管理年度,"△不是管理年度的单据，年报里看不到",IF(AND($F837="内部转账",$Q837=""),"△内部转账建议在「往来单位」写上对方账户",IF($M837&lt;0,"△这一笔之后该账户余额成负数了，核一下","")))))))))))</f>
        <v/>
      </c>
    </row>
    <row r="838" ht="16.5" spans="1:19">
      <c r="A838" s="45"/>
      <c r="B838" s="46"/>
      <c r="C838" s="12" t="str">
        <f>IF($B838="","",IFERROR(INDEX(账户银行,MATCH($B838,账户名,0)),""))</f>
        <v/>
      </c>
      <c r="D838" s="12" t="str">
        <f>IF($B838="","",IFERROR(INDEX(账户币种,MATCH($B838,账户名,0)),""))</f>
        <v/>
      </c>
      <c r="E838" s="47"/>
      <c r="F838" s="12" t="str">
        <f>IF($E838="","",IFERROR(INDEX(类别属性,MATCH($E838,类别表,0)),""))</f>
        <v/>
      </c>
      <c r="G838" s="48"/>
      <c r="H838" s="48"/>
      <c r="I838" s="49"/>
      <c r="J838" s="24" t="str">
        <f>IF(OR($A838="",$B838=""),"",IF($I838&lt;&gt;"",$I838,IF($D838=本位币,1,IFERROR(LOOKUP(2,1/((汇率月份&lt;=$A838)*(INDEX(记账汇率区,0,MATCH($D838,汇率币种头,0))&lt;&gt;"")),INDEX(记账汇率区,0,MATCH($D838,汇率币种头,0))),""))))</f>
        <v/>
      </c>
      <c r="K838" s="23" t="str">
        <f t="shared" ref="K838:K901" si="26">IF(AND($G838="",$H838=""),"",ROUND(N($G838)-N($H838),2))</f>
        <v/>
      </c>
      <c r="L838" s="23" t="str">
        <f t="shared" ref="L838:L901" si="27">IF(OR($K838="",$J838=""),"",ROUND($K838*$J838,2))</f>
        <v/>
      </c>
      <c r="M838" s="23" t="str">
        <f>IF($B838="","",ROUND(SUMIF(账户名,$B838,账户期初)+SUMIFS($K$6:K838,$B$6:B838,$B838),2))</f>
        <v/>
      </c>
      <c r="N838" s="23" t="str">
        <f>IF($B838="","",IFERROR(ROUND(INDEX(账户期初本位,MATCH($B838,账户名,0))+SUMIFS($L$6:L838,$B$6:B838,$B838),2),""))</f>
        <v/>
      </c>
      <c r="O838" s="46"/>
      <c r="P838" s="47"/>
      <c r="Q838" s="46"/>
      <c r="R838" s="46"/>
      <c r="S838" s="6" t="str">
        <f>IF($B838="","",IF(ISNA(MATCH($B838,账户名,0)),"※这个账户不在【参数设置】的账户档案里",IF($A838="","※没填日期，这一笔不会进任何月份的报表",IF(AND($G838&lt;&gt;"",$H838&lt;&gt;""),"※收入和支出不能同时填",IF(AND(N($G838)=0,N($H838)=0),"※收入和支出都没填",IF($E838="","※没填收支类别，分类报表会漏掉这一笔",IF(ISNA(MATCH($E838,类别表,0)),"※收支类别不在【参数设置】的清单里",IF($J838="","△"&amp;$D838&amp;" 还没填汇率，去【月度汇率】补上就自动算了",IF(YEAR($A838)&lt;&gt;管理年度,"△不是管理年度的单据，年报里看不到",IF(AND($F838="内部转账",$Q838=""),"△内部转账建议在「往来单位」写上对方账户",IF($M838&lt;0,"△这一笔之后该账户余额成负数了，核一下","")))))))))))</f>
        <v/>
      </c>
    </row>
    <row r="839" ht="16.5" spans="1:19">
      <c r="A839" s="45"/>
      <c r="B839" s="46"/>
      <c r="C839" s="12" t="str">
        <f>IF($B839="","",IFERROR(INDEX(账户银行,MATCH($B839,账户名,0)),""))</f>
        <v/>
      </c>
      <c r="D839" s="12" t="str">
        <f>IF($B839="","",IFERROR(INDEX(账户币种,MATCH($B839,账户名,0)),""))</f>
        <v/>
      </c>
      <c r="E839" s="47"/>
      <c r="F839" s="12" t="str">
        <f>IF($E839="","",IFERROR(INDEX(类别属性,MATCH($E839,类别表,0)),""))</f>
        <v/>
      </c>
      <c r="G839" s="48"/>
      <c r="H839" s="48"/>
      <c r="I839" s="49"/>
      <c r="J839" s="24" t="str">
        <f>IF(OR($A839="",$B839=""),"",IF($I839&lt;&gt;"",$I839,IF($D839=本位币,1,IFERROR(LOOKUP(2,1/((汇率月份&lt;=$A839)*(INDEX(记账汇率区,0,MATCH($D839,汇率币种头,0))&lt;&gt;"")),INDEX(记账汇率区,0,MATCH($D839,汇率币种头,0))),""))))</f>
        <v/>
      </c>
      <c r="K839" s="23" t="str">
        <f t="shared" si="26"/>
        <v/>
      </c>
      <c r="L839" s="23" t="str">
        <f t="shared" si="27"/>
        <v/>
      </c>
      <c r="M839" s="23" t="str">
        <f>IF($B839="","",ROUND(SUMIF(账户名,$B839,账户期初)+SUMIFS($K$6:K839,$B$6:B839,$B839),2))</f>
        <v/>
      </c>
      <c r="N839" s="23" t="str">
        <f>IF($B839="","",IFERROR(ROUND(INDEX(账户期初本位,MATCH($B839,账户名,0))+SUMIFS($L$6:L839,$B$6:B839,$B839),2),""))</f>
        <v/>
      </c>
      <c r="O839" s="46"/>
      <c r="P839" s="47"/>
      <c r="Q839" s="46"/>
      <c r="R839" s="46"/>
      <c r="S839" s="6" t="str">
        <f>IF($B839="","",IF(ISNA(MATCH($B839,账户名,0)),"※这个账户不在【参数设置】的账户档案里",IF($A839="","※没填日期，这一笔不会进任何月份的报表",IF(AND($G839&lt;&gt;"",$H839&lt;&gt;""),"※收入和支出不能同时填",IF(AND(N($G839)=0,N($H839)=0),"※收入和支出都没填",IF($E839="","※没填收支类别，分类报表会漏掉这一笔",IF(ISNA(MATCH($E839,类别表,0)),"※收支类别不在【参数设置】的清单里",IF($J839="","△"&amp;$D839&amp;" 还没填汇率，去【月度汇率】补上就自动算了",IF(YEAR($A839)&lt;&gt;管理年度,"△不是管理年度的单据，年报里看不到",IF(AND($F839="内部转账",$Q839=""),"△内部转账建议在「往来单位」写上对方账户",IF($M839&lt;0,"△这一笔之后该账户余额成负数了，核一下","")))))))))))</f>
        <v/>
      </c>
    </row>
    <row r="840" ht="16.5" spans="1:19">
      <c r="A840" s="45"/>
      <c r="B840" s="46"/>
      <c r="C840" s="12" t="str">
        <f>IF($B840="","",IFERROR(INDEX(账户银行,MATCH($B840,账户名,0)),""))</f>
        <v/>
      </c>
      <c r="D840" s="12" t="str">
        <f>IF($B840="","",IFERROR(INDEX(账户币种,MATCH($B840,账户名,0)),""))</f>
        <v/>
      </c>
      <c r="E840" s="47"/>
      <c r="F840" s="12" t="str">
        <f>IF($E840="","",IFERROR(INDEX(类别属性,MATCH($E840,类别表,0)),""))</f>
        <v/>
      </c>
      <c r="G840" s="48"/>
      <c r="H840" s="48"/>
      <c r="I840" s="49"/>
      <c r="J840" s="24" t="str">
        <f>IF(OR($A840="",$B840=""),"",IF($I840&lt;&gt;"",$I840,IF($D840=本位币,1,IFERROR(LOOKUP(2,1/((汇率月份&lt;=$A840)*(INDEX(记账汇率区,0,MATCH($D840,汇率币种头,0))&lt;&gt;"")),INDEX(记账汇率区,0,MATCH($D840,汇率币种头,0))),""))))</f>
        <v/>
      </c>
      <c r="K840" s="23" t="str">
        <f t="shared" si="26"/>
        <v/>
      </c>
      <c r="L840" s="23" t="str">
        <f t="shared" si="27"/>
        <v/>
      </c>
      <c r="M840" s="23" t="str">
        <f>IF($B840="","",ROUND(SUMIF(账户名,$B840,账户期初)+SUMIFS($K$6:K840,$B$6:B840,$B840),2))</f>
        <v/>
      </c>
      <c r="N840" s="23" t="str">
        <f>IF($B840="","",IFERROR(ROUND(INDEX(账户期初本位,MATCH($B840,账户名,0))+SUMIFS($L$6:L840,$B$6:B840,$B840),2),""))</f>
        <v/>
      </c>
      <c r="O840" s="46"/>
      <c r="P840" s="47"/>
      <c r="Q840" s="46"/>
      <c r="R840" s="46"/>
      <c r="S840" s="6" t="str">
        <f>IF($B840="","",IF(ISNA(MATCH($B840,账户名,0)),"※这个账户不在【参数设置】的账户档案里",IF($A840="","※没填日期，这一笔不会进任何月份的报表",IF(AND($G840&lt;&gt;"",$H840&lt;&gt;""),"※收入和支出不能同时填",IF(AND(N($G840)=0,N($H840)=0),"※收入和支出都没填",IF($E840="","※没填收支类别，分类报表会漏掉这一笔",IF(ISNA(MATCH($E840,类别表,0)),"※收支类别不在【参数设置】的清单里",IF($J840="","△"&amp;$D840&amp;" 还没填汇率，去【月度汇率】补上就自动算了",IF(YEAR($A840)&lt;&gt;管理年度,"△不是管理年度的单据，年报里看不到",IF(AND($F840="内部转账",$Q840=""),"△内部转账建议在「往来单位」写上对方账户",IF($M840&lt;0,"△这一笔之后该账户余额成负数了，核一下","")))))))))))</f>
        <v/>
      </c>
    </row>
    <row r="841" ht="16.5" spans="1:19">
      <c r="A841" s="45"/>
      <c r="B841" s="46"/>
      <c r="C841" s="12" t="str">
        <f>IF($B841="","",IFERROR(INDEX(账户银行,MATCH($B841,账户名,0)),""))</f>
        <v/>
      </c>
      <c r="D841" s="12" t="str">
        <f>IF($B841="","",IFERROR(INDEX(账户币种,MATCH($B841,账户名,0)),""))</f>
        <v/>
      </c>
      <c r="E841" s="47"/>
      <c r="F841" s="12" t="str">
        <f>IF($E841="","",IFERROR(INDEX(类别属性,MATCH($E841,类别表,0)),""))</f>
        <v/>
      </c>
      <c r="G841" s="48"/>
      <c r="H841" s="48"/>
      <c r="I841" s="49"/>
      <c r="J841" s="24" t="str">
        <f>IF(OR($A841="",$B841=""),"",IF($I841&lt;&gt;"",$I841,IF($D841=本位币,1,IFERROR(LOOKUP(2,1/((汇率月份&lt;=$A841)*(INDEX(记账汇率区,0,MATCH($D841,汇率币种头,0))&lt;&gt;"")),INDEX(记账汇率区,0,MATCH($D841,汇率币种头,0))),""))))</f>
        <v/>
      </c>
      <c r="K841" s="23" t="str">
        <f t="shared" si="26"/>
        <v/>
      </c>
      <c r="L841" s="23" t="str">
        <f t="shared" si="27"/>
        <v/>
      </c>
      <c r="M841" s="23" t="str">
        <f>IF($B841="","",ROUND(SUMIF(账户名,$B841,账户期初)+SUMIFS($K$6:K841,$B$6:B841,$B841),2))</f>
        <v/>
      </c>
      <c r="N841" s="23" t="str">
        <f>IF($B841="","",IFERROR(ROUND(INDEX(账户期初本位,MATCH($B841,账户名,0))+SUMIFS($L$6:L841,$B$6:B841,$B841),2),""))</f>
        <v/>
      </c>
      <c r="O841" s="46"/>
      <c r="P841" s="47"/>
      <c r="Q841" s="46"/>
      <c r="R841" s="46"/>
      <c r="S841" s="6" t="str">
        <f>IF($B841="","",IF(ISNA(MATCH($B841,账户名,0)),"※这个账户不在【参数设置】的账户档案里",IF($A841="","※没填日期，这一笔不会进任何月份的报表",IF(AND($G841&lt;&gt;"",$H841&lt;&gt;""),"※收入和支出不能同时填",IF(AND(N($G841)=0,N($H841)=0),"※收入和支出都没填",IF($E841="","※没填收支类别，分类报表会漏掉这一笔",IF(ISNA(MATCH($E841,类别表,0)),"※收支类别不在【参数设置】的清单里",IF($J841="","△"&amp;$D841&amp;" 还没填汇率，去【月度汇率】补上就自动算了",IF(YEAR($A841)&lt;&gt;管理年度,"△不是管理年度的单据，年报里看不到",IF(AND($F841="内部转账",$Q841=""),"△内部转账建议在「往来单位」写上对方账户",IF($M841&lt;0,"△这一笔之后该账户余额成负数了，核一下","")))))))))))</f>
        <v/>
      </c>
    </row>
    <row r="842" ht="16.5" spans="1:19">
      <c r="A842" s="45"/>
      <c r="B842" s="46"/>
      <c r="C842" s="12" t="str">
        <f>IF($B842="","",IFERROR(INDEX(账户银行,MATCH($B842,账户名,0)),""))</f>
        <v/>
      </c>
      <c r="D842" s="12" t="str">
        <f>IF($B842="","",IFERROR(INDEX(账户币种,MATCH($B842,账户名,0)),""))</f>
        <v/>
      </c>
      <c r="E842" s="47"/>
      <c r="F842" s="12" t="str">
        <f>IF($E842="","",IFERROR(INDEX(类别属性,MATCH($E842,类别表,0)),""))</f>
        <v/>
      </c>
      <c r="G842" s="48"/>
      <c r="H842" s="48"/>
      <c r="I842" s="49"/>
      <c r="J842" s="24" t="str">
        <f>IF(OR($A842="",$B842=""),"",IF($I842&lt;&gt;"",$I842,IF($D842=本位币,1,IFERROR(LOOKUP(2,1/((汇率月份&lt;=$A842)*(INDEX(记账汇率区,0,MATCH($D842,汇率币种头,0))&lt;&gt;"")),INDEX(记账汇率区,0,MATCH($D842,汇率币种头,0))),""))))</f>
        <v/>
      </c>
      <c r="K842" s="23" t="str">
        <f t="shared" si="26"/>
        <v/>
      </c>
      <c r="L842" s="23" t="str">
        <f t="shared" si="27"/>
        <v/>
      </c>
      <c r="M842" s="23" t="str">
        <f>IF($B842="","",ROUND(SUMIF(账户名,$B842,账户期初)+SUMIFS($K$6:K842,$B$6:B842,$B842),2))</f>
        <v/>
      </c>
      <c r="N842" s="23" t="str">
        <f>IF($B842="","",IFERROR(ROUND(INDEX(账户期初本位,MATCH($B842,账户名,0))+SUMIFS($L$6:L842,$B$6:B842,$B842),2),""))</f>
        <v/>
      </c>
      <c r="O842" s="46"/>
      <c r="P842" s="47"/>
      <c r="Q842" s="46"/>
      <c r="R842" s="46"/>
      <c r="S842" s="6" t="str">
        <f>IF($B842="","",IF(ISNA(MATCH($B842,账户名,0)),"※这个账户不在【参数设置】的账户档案里",IF($A842="","※没填日期，这一笔不会进任何月份的报表",IF(AND($G842&lt;&gt;"",$H842&lt;&gt;""),"※收入和支出不能同时填",IF(AND(N($G842)=0,N($H842)=0),"※收入和支出都没填",IF($E842="","※没填收支类别，分类报表会漏掉这一笔",IF(ISNA(MATCH($E842,类别表,0)),"※收支类别不在【参数设置】的清单里",IF($J842="","△"&amp;$D842&amp;" 还没填汇率，去【月度汇率】补上就自动算了",IF(YEAR($A842)&lt;&gt;管理年度,"△不是管理年度的单据，年报里看不到",IF(AND($F842="内部转账",$Q842=""),"△内部转账建议在「往来单位」写上对方账户",IF($M842&lt;0,"△这一笔之后该账户余额成负数了，核一下","")))))))))))</f>
        <v/>
      </c>
    </row>
    <row r="843" ht="16.5" spans="1:19">
      <c r="A843" s="45"/>
      <c r="B843" s="46"/>
      <c r="C843" s="12" t="str">
        <f>IF($B843="","",IFERROR(INDEX(账户银行,MATCH($B843,账户名,0)),""))</f>
        <v/>
      </c>
      <c r="D843" s="12" t="str">
        <f>IF($B843="","",IFERROR(INDEX(账户币种,MATCH($B843,账户名,0)),""))</f>
        <v/>
      </c>
      <c r="E843" s="47"/>
      <c r="F843" s="12" t="str">
        <f>IF($E843="","",IFERROR(INDEX(类别属性,MATCH($E843,类别表,0)),""))</f>
        <v/>
      </c>
      <c r="G843" s="48"/>
      <c r="H843" s="48"/>
      <c r="I843" s="49"/>
      <c r="J843" s="24" t="str">
        <f>IF(OR($A843="",$B843=""),"",IF($I843&lt;&gt;"",$I843,IF($D843=本位币,1,IFERROR(LOOKUP(2,1/((汇率月份&lt;=$A843)*(INDEX(记账汇率区,0,MATCH($D843,汇率币种头,0))&lt;&gt;"")),INDEX(记账汇率区,0,MATCH($D843,汇率币种头,0))),""))))</f>
        <v/>
      </c>
      <c r="K843" s="23" t="str">
        <f t="shared" si="26"/>
        <v/>
      </c>
      <c r="L843" s="23" t="str">
        <f t="shared" si="27"/>
        <v/>
      </c>
      <c r="M843" s="23" t="str">
        <f>IF($B843="","",ROUND(SUMIF(账户名,$B843,账户期初)+SUMIFS($K$6:K843,$B$6:B843,$B843),2))</f>
        <v/>
      </c>
      <c r="N843" s="23" t="str">
        <f>IF($B843="","",IFERROR(ROUND(INDEX(账户期初本位,MATCH($B843,账户名,0))+SUMIFS($L$6:L843,$B$6:B843,$B843),2),""))</f>
        <v/>
      </c>
      <c r="O843" s="46"/>
      <c r="P843" s="47"/>
      <c r="Q843" s="46"/>
      <c r="R843" s="46"/>
      <c r="S843" s="6" t="str">
        <f>IF($B843="","",IF(ISNA(MATCH($B843,账户名,0)),"※这个账户不在【参数设置】的账户档案里",IF($A843="","※没填日期，这一笔不会进任何月份的报表",IF(AND($G843&lt;&gt;"",$H843&lt;&gt;""),"※收入和支出不能同时填",IF(AND(N($G843)=0,N($H843)=0),"※收入和支出都没填",IF($E843="","※没填收支类别，分类报表会漏掉这一笔",IF(ISNA(MATCH($E843,类别表,0)),"※收支类别不在【参数设置】的清单里",IF($J843="","△"&amp;$D843&amp;" 还没填汇率，去【月度汇率】补上就自动算了",IF(YEAR($A843)&lt;&gt;管理年度,"△不是管理年度的单据，年报里看不到",IF(AND($F843="内部转账",$Q843=""),"△内部转账建议在「往来单位」写上对方账户",IF($M843&lt;0,"△这一笔之后该账户余额成负数了，核一下","")))))))))))</f>
        <v/>
      </c>
    </row>
    <row r="844" ht="16.5" spans="1:19">
      <c r="A844" s="45"/>
      <c r="B844" s="46"/>
      <c r="C844" s="12" t="str">
        <f>IF($B844="","",IFERROR(INDEX(账户银行,MATCH($B844,账户名,0)),""))</f>
        <v/>
      </c>
      <c r="D844" s="12" t="str">
        <f>IF($B844="","",IFERROR(INDEX(账户币种,MATCH($B844,账户名,0)),""))</f>
        <v/>
      </c>
      <c r="E844" s="47"/>
      <c r="F844" s="12" t="str">
        <f>IF($E844="","",IFERROR(INDEX(类别属性,MATCH($E844,类别表,0)),""))</f>
        <v/>
      </c>
      <c r="G844" s="48"/>
      <c r="H844" s="48"/>
      <c r="I844" s="49"/>
      <c r="J844" s="24" t="str">
        <f>IF(OR($A844="",$B844=""),"",IF($I844&lt;&gt;"",$I844,IF($D844=本位币,1,IFERROR(LOOKUP(2,1/((汇率月份&lt;=$A844)*(INDEX(记账汇率区,0,MATCH($D844,汇率币种头,0))&lt;&gt;"")),INDEX(记账汇率区,0,MATCH($D844,汇率币种头,0))),""))))</f>
        <v/>
      </c>
      <c r="K844" s="23" t="str">
        <f t="shared" si="26"/>
        <v/>
      </c>
      <c r="L844" s="23" t="str">
        <f t="shared" si="27"/>
        <v/>
      </c>
      <c r="M844" s="23" t="str">
        <f>IF($B844="","",ROUND(SUMIF(账户名,$B844,账户期初)+SUMIFS($K$6:K844,$B$6:B844,$B844),2))</f>
        <v/>
      </c>
      <c r="N844" s="23" t="str">
        <f>IF($B844="","",IFERROR(ROUND(INDEX(账户期初本位,MATCH($B844,账户名,0))+SUMIFS($L$6:L844,$B$6:B844,$B844),2),""))</f>
        <v/>
      </c>
      <c r="O844" s="46"/>
      <c r="P844" s="47"/>
      <c r="Q844" s="46"/>
      <c r="R844" s="46"/>
      <c r="S844" s="6" t="str">
        <f>IF($B844="","",IF(ISNA(MATCH($B844,账户名,0)),"※这个账户不在【参数设置】的账户档案里",IF($A844="","※没填日期，这一笔不会进任何月份的报表",IF(AND($G844&lt;&gt;"",$H844&lt;&gt;""),"※收入和支出不能同时填",IF(AND(N($G844)=0,N($H844)=0),"※收入和支出都没填",IF($E844="","※没填收支类别，分类报表会漏掉这一笔",IF(ISNA(MATCH($E844,类别表,0)),"※收支类别不在【参数设置】的清单里",IF($J844="","△"&amp;$D844&amp;" 还没填汇率，去【月度汇率】补上就自动算了",IF(YEAR($A844)&lt;&gt;管理年度,"△不是管理年度的单据，年报里看不到",IF(AND($F844="内部转账",$Q844=""),"△内部转账建议在「往来单位」写上对方账户",IF($M844&lt;0,"△这一笔之后该账户余额成负数了，核一下","")))))))))))</f>
        <v/>
      </c>
    </row>
    <row r="845" ht="16.5" spans="1:19">
      <c r="A845" s="45"/>
      <c r="B845" s="46"/>
      <c r="C845" s="12" t="str">
        <f>IF($B845="","",IFERROR(INDEX(账户银行,MATCH($B845,账户名,0)),""))</f>
        <v/>
      </c>
      <c r="D845" s="12" t="str">
        <f>IF($B845="","",IFERROR(INDEX(账户币种,MATCH($B845,账户名,0)),""))</f>
        <v/>
      </c>
      <c r="E845" s="47"/>
      <c r="F845" s="12" t="str">
        <f>IF($E845="","",IFERROR(INDEX(类别属性,MATCH($E845,类别表,0)),""))</f>
        <v/>
      </c>
      <c r="G845" s="48"/>
      <c r="H845" s="48"/>
      <c r="I845" s="49"/>
      <c r="J845" s="24" t="str">
        <f>IF(OR($A845="",$B845=""),"",IF($I845&lt;&gt;"",$I845,IF($D845=本位币,1,IFERROR(LOOKUP(2,1/((汇率月份&lt;=$A845)*(INDEX(记账汇率区,0,MATCH($D845,汇率币种头,0))&lt;&gt;"")),INDEX(记账汇率区,0,MATCH($D845,汇率币种头,0))),""))))</f>
        <v/>
      </c>
      <c r="K845" s="23" t="str">
        <f t="shared" si="26"/>
        <v/>
      </c>
      <c r="L845" s="23" t="str">
        <f t="shared" si="27"/>
        <v/>
      </c>
      <c r="M845" s="23" t="str">
        <f>IF($B845="","",ROUND(SUMIF(账户名,$B845,账户期初)+SUMIFS($K$6:K845,$B$6:B845,$B845),2))</f>
        <v/>
      </c>
      <c r="N845" s="23" t="str">
        <f>IF($B845="","",IFERROR(ROUND(INDEX(账户期初本位,MATCH($B845,账户名,0))+SUMIFS($L$6:L845,$B$6:B845,$B845),2),""))</f>
        <v/>
      </c>
      <c r="O845" s="46"/>
      <c r="P845" s="47"/>
      <c r="Q845" s="46"/>
      <c r="R845" s="46"/>
      <c r="S845" s="6" t="str">
        <f>IF($B845="","",IF(ISNA(MATCH($B845,账户名,0)),"※这个账户不在【参数设置】的账户档案里",IF($A845="","※没填日期，这一笔不会进任何月份的报表",IF(AND($G845&lt;&gt;"",$H845&lt;&gt;""),"※收入和支出不能同时填",IF(AND(N($G845)=0,N($H845)=0),"※收入和支出都没填",IF($E845="","※没填收支类别，分类报表会漏掉这一笔",IF(ISNA(MATCH($E845,类别表,0)),"※收支类别不在【参数设置】的清单里",IF($J845="","△"&amp;$D845&amp;" 还没填汇率，去【月度汇率】补上就自动算了",IF(YEAR($A845)&lt;&gt;管理年度,"△不是管理年度的单据，年报里看不到",IF(AND($F845="内部转账",$Q845=""),"△内部转账建议在「往来单位」写上对方账户",IF($M845&lt;0,"△这一笔之后该账户余额成负数了，核一下","")))))))))))</f>
        <v/>
      </c>
    </row>
    <row r="846" ht="16.5" spans="1:19">
      <c r="A846" s="45"/>
      <c r="B846" s="46"/>
      <c r="C846" s="12" t="str">
        <f>IF($B846="","",IFERROR(INDEX(账户银行,MATCH($B846,账户名,0)),""))</f>
        <v/>
      </c>
      <c r="D846" s="12" t="str">
        <f>IF($B846="","",IFERROR(INDEX(账户币种,MATCH($B846,账户名,0)),""))</f>
        <v/>
      </c>
      <c r="E846" s="47"/>
      <c r="F846" s="12" t="str">
        <f>IF($E846="","",IFERROR(INDEX(类别属性,MATCH($E846,类别表,0)),""))</f>
        <v/>
      </c>
      <c r="G846" s="48"/>
      <c r="H846" s="48"/>
      <c r="I846" s="49"/>
      <c r="J846" s="24" t="str">
        <f>IF(OR($A846="",$B846=""),"",IF($I846&lt;&gt;"",$I846,IF($D846=本位币,1,IFERROR(LOOKUP(2,1/((汇率月份&lt;=$A846)*(INDEX(记账汇率区,0,MATCH($D846,汇率币种头,0))&lt;&gt;"")),INDEX(记账汇率区,0,MATCH($D846,汇率币种头,0))),""))))</f>
        <v/>
      </c>
      <c r="K846" s="23" t="str">
        <f t="shared" si="26"/>
        <v/>
      </c>
      <c r="L846" s="23" t="str">
        <f t="shared" si="27"/>
        <v/>
      </c>
      <c r="M846" s="23" t="str">
        <f>IF($B846="","",ROUND(SUMIF(账户名,$B846,账户期初)+SUMIFS($K$6:K846,$B$6:B846,$B846),2))</f>
        <v/>
      </c>
      <c r="N846" s="23" t="str">
        <f>IF($B846="","",IFERROR(ROUND(INDEX(账户期初本位,MATCH($B846,账户名,0))+SUMIFS($L$6:L846,$B$6:B846,$B846),2),""))</f>
        <v/>
      </c>
      <c r="O846" s="46"/>
      <c r="P846" s="47"/>
      <c r="Q846" s="46"/>
      <c r="R846" s="46"/>
      <c r="S846" s="6" t="str">
        <f>IF($B846="","",IF(ISNA(MATCH($B846,账户名,0)),"※这个账户不在【参数设置】的账户档案里",IF($A846="","※没填日期，这一笔不会进任何月份的报表",IF(AND($G846&lt;&gt;"",$H846&lt;&gt;""),"※收入和支出不能同时填",IF(AND(N($G846)=0,N($H846)=0),"※收入和支出都没填",IF($E846="","※没填收支类别，分类报表会漏掉这一笔",IF(ISNA(MATCH($E846,类别表,0)),"※收支类别不在【参数设置】的清单里",IF($J846="","△"&amp;$D846&amp;" 还没填汇率，去【月度汇率】补上就自动算了",IF(YEAR($A846)&lt;&gt;管理年度,"△不是管理年度的单据，年报里看不到",IF(AND($F846="内部转账",$Q846=""),"△内部转账建议在「往来单位」写上对方账户",IF($M846&lt;0,"△这一笔之后该账户余额成负数了，核一下","")))))))))))</f>
        <v/>
      </c>
    </row>
    <row r="847" ht="16.5" spans="1:19">
      <c r="A847" s="45"/>
      <c r="B847" s="46"/>
      <c r="C847" s="12" t="str">
        <f>IF($B847="","",IFERROR(INDEX(账户银行,MATCH($B847,账户名,0)),""))</f>
        <v/>
      </c>
      <c r="D847" s="12" t="str">
        <f>IF($B847="","",IFERROR(INDEX(账户币种,MATCH($B847,账户名,0)),""))</f>
        <v/>
      </c>
      <c r="E847" s="47"/>
      <c r="F847" s="12" t="str">
        <f>IF($E847="","",IFERROR(INDEX(类别属性,MATCH($E847,类别表,0)),""))</f>
        <v/>
      </c>
      <c r="G847" s="48"/>
      <c r="H847" s="48"/>
      <c r="I847" s="49"/>
      <c r="J847" s="24" t="str">
        <f>IF(OR($A847="",$B847=""),"",IF($I847&lt;&gt;"",$I847,IF($D847=本位币,1,IFERROR(LOOKUP(2,1/((汇率月份&lt;=$A847)*(INDEX(记账汇率区,0,MATCH($D847,汇率币种头,0))&lt;&gt;"")),INDEX(记账汇率区,0,MATCH($D847,汇率币种头,0))),""))))</f>
        <v/>
      </c>
      <c r="K847" s="23" t="str">
        <f t="shared" si="26"/>
        <v/>
      </c>
      <c r="L847" s="23" t="str">
        <f t="shared" si="27"/>
        <v/>
      </c>
      <c r="M847" s="23" t="str">
        <f>IF($B847="","",ROUND(SUMIF(账户名,$B847,账户期初)+SUMIFS($K$6:K847,$B$6:B847,$B847),2))</f>
        <v/>
      </c>
      <c r="N847" s="23" t="str">
        <f>IF($B847="","",IFERROR(ROUND(INDEX(账户期初本位,MATCH($B847,账户名,0))+SUMIFS($L$6:L847,$B$6:B847,$B847),2),""))</f>
        <v/>
      </c>
      <c r="O847" s="46"/>
      <c r="P847" s="47"/>
      <c r="Q847" s="46"/>
      <c r="R847" s="46"/>
      <c r="S847" s="6" t="str">
        <f>IF($B847="","",IF(ISNA(MATCH($B847,账户名,0)),"※这个账户不在【参数设置】的账户档案里",IF($A847="","※没填日期，这一笔不会进任何月份的报表",IF(AND($G847&lt;&gt;"",$H847&lt;&gt;""),"※收入和支出不能同时填",IF(AND(N($G847)=0,N($H847)=0),"※收入和支出都没填",IF($E847="","※没填收支类别，分类报表会漏掉这一笔",IF(ISNA(MATCH($E847,类别表,0)),"※收支类别不在【参数设置】的清单里",IF($J847="","△"&amp;$D847&amp;" 还没填汇率，去【月度汇率】补上就自动算了",IF(YEAR($A847)&lt;&gt;管理年度,"△不是管理年度的单据，年报里看不到",IF(AND($F847="内部转账",$Q847=""),"△内部转账建议在「往来单位」写上对方账户",IF($M847&lt;0,"△这一笔之后该账户余额成负数了，核一下","")))))))))))</f>
        <v/>
      </c>
    </row>
    <row r="848" ht="16.5" spans="1:19">
      <c r="A848" s="45"/>
      <c r="B848" s="46"/>
      <c r="C848" s="12" t="str">
        <f>IF($B848="","",IFERROR(INDEX(账户银行,MATCH($B848,账户名,0)),""))</f>
        <v/>
      </c>
      <c r="D848" s="12" t="str">
        <f>IF($B848="","",IFERROR(INDEX(账户币种,MATCH($B848,账户名,0)),""))</f>
        <v/>
      </c>
      <c r="E848" s="47"/>
      <c r="F848" s="12" t="str">
        <f>IF($E848="","",IFERROR(INDEX(类别属性,MATCH($E848,类别表,0)),""))</f>
        <v/>
      </c>
      <c r="G848" s="48"/>
      <c r="H848" s="48"/>
      <c r="I848" s="49"/>
      <c r="J848" s="24" t="str">
        <f>IF(OR($A848="",$B848=""),"",IF($I848&lt;&gt;"",$I848,IF($D848=本位币,1,IFERROR(LOOKUP(2,1/((汇率月份&lt;=$A848)*(INDEX(记账汇率区,0,MATCH($D848,汇率币种头,0))&lt;&gt;"")),INDEX(记账汇率区,0,MATCH($D848,汇率币种头,0))),""))))</f>
        <v/>
      </c>
      <c r="K848" s="23" t="str">
        <f t="shared" si="26"/>
        <v/>
      </c>
      <c r="L848" s="23" t="str">
        <f t="shared" si="27"/>
        <v/>
      </c>
      <c r="M848" s="23" t="str">
        <f>IF($B848="","",ROUND(SUMIF(账户名,$B848,账户期初)+SUMIFS($K$6:K848,$B$6:B848,$B848),2))</f>
        <v/>
      </c>
      <c r="N848" s="23" t="str">
        <f>IF($B848="","",IFERROR(ROUND(INDEX(账户期初本位,MATCH($B848,账户名,0))+SUMIFS($L$6:L848,$B$6:B848,$B848),2),""))</f>
        <v/>
      </c>
      <c r="O848" s="46"/>
      <c r="P848" s="47"/>
      <c r="Q848" s="46"/>
      <c r="R848" s="46"/>
      <c r="S848" s="6" t="str">
        <f>IF($B848="","",IF(ISNA(MATCH($B848,账户名,0)),"※这个账户不在【参数设置】的账户档案里",IF($A848="","※没填日期，这一笔不会进任何月份的报表",IF(AND($G848&lt;&gt;"",$H848&lt;&gt;""),"※收入和支出不能同时填",IF(AND(N($G848)=0,N($H848)=0),"※收入和支出都没填",IF($E848="","※没填收支类别，分类报表会漏掉这一笔",IF(ISNA(MATCH($E848,类别表,0)),"※收支类别不在【参数设置】的清单里",IF($J848="","△"&amp;$D848&amp;" 还没填汇率，去【月度汇率】补上就自动算了",IF(YEAR($A848)&lt;&gt;管理年度,"△不是管理年度的单据，年报里看不到",IF(AND($F848="内部转账",$Q848=""),"△内部转账建议在「往来单位」写上对方账户",IF($M848&lt;0,"△这一笔之后该账户余额成负数了，核一下","")))))))))))</f>
        <v/>
      </c>
    </row>
    <row r="849" ht="16.5" spans="1:19">
      <c r="A849" s="45"/>
      <c r="B849" s="46"/>
      <c r="C849" s="12" t="str">
        <f>IF($B849="","",IFERROR(INDEX(账户银行,MATCH($B849,账户名,0)),""))</f>
        <v/>
      </c>
      <c r="D849" s="12" t="str">
        <f>IF($B849="","",IFERROR(INDEX(账户币种,MATCH($B849,账户名,0)),""))</f>
        <v/>
      </c>
      <c r="E849" s="47"/>
      <c r="F849" s="12" t="str">
        <f>IF($E849="","",IFERROR(INDEX(类别属性,MATCH($E849,类别表,0)),""))</f>
        <v/>
      </c>
      <c r="G849" s="48"/>
      <c r="H849" s="48"/>
      <c r="I849" s="49"/>
      <c r="J849" s="24" t="str">
        <f>IF(OR($A849="",$B849=""),"",IF($I849&lt;&gt;"",$I849,IF($D849=本位币,1,IFERROR(LOOKUP(2,1/((汇率月份&lt;=$A849)*(INDEX(记账汇率区,0,MATCH($D849,汇率币种头,0))&lt;&gt;"")),INDEX(记账汇率区,0,MATCH($D849,汇率币种头,0))),""))))</f>
        <v/>
      </c>
      <c r="K849" s="23" t="str">
        <f t="shared" si="26"/>
        <v/>
      </c>
      <c r="L849" s="23" t="str">
        <f t="shared" si="27"/>
        <v/>
      </c>
      <c r="M849" s="23" t="str">
        <f>IF($B849="","",ROUND(SUMIF(账户名,$B849,账户期初)+SUMIFS($K$6:K849,$B$6:B849,$B849),2))</f>
        <v/>
      </c>
      <c r="N849" s="23" t="str">
        <f>IF($B849="","",IFERROR(ROUND(INDEX(账户期初本位,MATCH($B849,账户名,0))+SUMIFS($L$6:L849,$B$6:B849,$B849),2),""))</f>
        <v/>
      </c>
      <c r="O849" s="46"/>
      <c r="P849" s="47"/>
      <c r="Q849" s="46"/>
      <c r="R849" s="46"/>
      <c r="S849" s="6" t="str">
        <f>IF($B849="","",IF(ISNA(MATCH($B849,账户名,0)),"※这个账户不在【参数设置】的账户档案里",IF($A849="","※没填日期，这一笔不会进任何月份的报表",IF(AND($G849&lt;&gt;"",$H849&lt;&gt;""),"※收入和支出不能同时填",IF(AND(N($G849)=0,N($H849)=0),"※收入和支出都没填",IF($E849="","※没填收支类别，分类报表会漏掉这一笔",IF(ISNA(MATCH($E849,类别表,0)),"※收支类别不在【参数设置】的清单里",IF($J849="","△"&amp;$D849&amp;" 还没填汇率，去【月度汇率】补上就自动算了",IF(YEAR($A849)&lt;&gt;管理年度,"△不是管理年度的单据，年报里看不到",IF(AND($F849="内部转账",$Q849=""),"△内部转账建议在「往来单位」写上对方账户",IF($M849&lt;0,"△这一笔之后该账户余额成负数了，核一下","")))))))))))</f>
        <v/>
      </c>
    </row>
    <row r="850" ht="16.5" spans="1:19">
      <c r="A850" s="45"/>
      <c r="B850" s="46"/>
      <c r="C850" s="12" t="str">
        <f>IF($B850="","",IFERROR(INDEX(账户银行,MATCH($B850,账户名,0)),""))</f>
        <v/>
      </c>
      <c r="D850" s="12" t="str">
        <f>IF($B850="","",IFERROR(INDEX(账户币种,MATCH($B850,账户名,0)),""))</f>
        <v/>
      </c>
      <c r="E850" s="47"/>
      <c r="F850" s="12" t="str">
        <f>IF($E850="","",IFERROR(INDEX(类别属性,MATCH($E850,类别表,0)),""))</f>
        <v/>
      </c>
      <c r="G850" s="48"/>
      <c r="H850" s="48"/>
      <c r="I850" s="49"/>
      <c r="J850" s="24" t="str">
        <f>IF(OR($A850="",$B850=""),"",IF($I850&lt;&gt;"",$I850,IF($D850=本位币,1,IFERROR(LOOKUP(2,1/((汇率月份&lt;=$A850)*(INDEX(记账汇率区,0,MATCH($D850,汇率币种头,0))&lt;&gt;"")),INDEX(记账汇率区,0,MATCH($D850,汇率币种头,0))),""))))</f>
        <v/>
      </c>
      <c r="K850" s="23" t="str">
        <f t="shared" si="26"/>
        <v/>
      </c>
      <c r="L850" s="23" t="str">
        <f t="shared" si="27"/>
        <v/>
      </c>
      <c r="M850" s="23" t="str">
        <f>IF($B850="","",ROUND(SUMIF(账户名,$B850,账户期初)+SUMIFS($K$6:K850,$B$6:B850,$B850),2))</f>
        <v/>
      </c>
      <c r="N850" s="23" t="str">
        <f>IF($B850="","",IFERROR(ROUND(INDEX(账户期初本位,MATCH($B850,账户名,0))+SUMIFS($L$6:L850,$B$6:B850,$B850),2),""))</f>
        <v/>
      </c>
      <c r="O850" s="46"/>
      <c r="P850" s="47"/>
      <c r="Q850" s="46"/>
      <c r="R850" s="46"/>
      <c r="S850" s="6" t="str">
        <f>IF($B850="","",IF(ISNA(MATCH($B850,账户名,0)),"※这个账户不在【参数设置】的账户档案里",IF($A850="","※没填日期，这一笔不会进任何月份的报表",IF(AND($G850&lt;&gt;"",$H850&lt;&gt;""),"※收入和支出不能同时填",IF(AND(N($G850)=0,N($H850)=0),"※收入和支出都没填",IF($E850="","※没填收支类别，分类报表会漏掉这一笔",IF(ISNA(MATCH($E850,类别表,0)),"※收支类别不在【参数设置】的清单里",IF($J850="","△"&amp;$D850&amp;" 还没填汇率，去【月度汇率】补上就自动算了",IF(YEAR($A850)&lt;&gt;管理年度,"△不是管理年度的单据，年报里看不到",IF(AND($F850="内部转账",$Q850=""),"△内部转账建议在「往来单位」写上对方账户",IF($M850&lt;0,"△这一笔之后该账户余额成负数了，核一下","")))))))))))</f>
        <v/>
      </c>
    </row>
    <row r="851" ht="16.5" spans="1:19">
      <c r="A851" s="45"/>
      <c r="B851" s="46"/>
      <c r="C851" s="12" t="str">
        <f>IF($B851="","",IFERROR(INDEX(账户银行,MATCH($B851,账户名,0)),""))</f>
        <v/>
      </c>
      <c r="D851" s="12" t="str">
        <f>IF($B851="","",IFERROR(INDEX(账户币种,MATCH($B851,账户名,0)),""))</f>
        <v/>
      </c>
      <c r="E851" s="47"/>
      <c r="F851" s="12" t="str">
        <f>IF($E851="","",IFERROR(INDEX(类别属性,MATCH($E851,类别表,0)),""))</f>
        <v/>
      </c>
      <c r="G851" s="48"/>
      <c r="H851" s="48"/>
      <c r="I851" s="49"/>
      <c r="J851" s="24" t="str">
        <f>IF(OR($A851="",$B851=""),"",IF($I851&lt;&gt;"",$I851,IF($D851=本位币,1,IFERROR(LOOKUP(2,1/((汇率月份&lt;=$A851)*(INDEX(记账汇率区,0,MATCH($D851,汇率币种头,0))&lt;&gt;"")),INDEX(记账汇率区,0,MATCH($D851,汇率币种头,0))),""))))</f>
        <v/>
      </c>
      <c r="K851" s="23" t="str">
        <f t="shared" si="26"/>
        <v/>
      </c>
      <c r="L851" s="23" t="str">
        <f t="shared" si="27"/>
        <v/>
      </c>
      <c r="M851" s="23" t="str">
        <f>IF($B851="","",ROUND(SUMIF(账户名,$B851,账户期初)+SUMIFS($K$6:K851,$B$6:B851,$B851),2))</f>
        <v/>
      </c>
      <c r="N851" s="23" t="str">
        <f>IF($B851="","",IFERROR(ROUND(INDEX(账户期初本位,MATCH($B851,账户名,0))+SUMIFS($L$6:L851,$B$6:B851,$B851),2),""))</f>
        <v/>
      </c>
      <c r="O851" s="46"/>
      <c r="P851" s="47"/>
      <c r="Q851" s="46"/>
      <c r="R851" s="46"/>
      <c r="S851" s="6" t="str">
        <f>IF($B851="","",IF(ISNA(MATCH($B851,账户名,0)),"※这个账户不在【参数设置】的账户档案里",IF($A851="","※没填日期，这一笔不会进任何月份的报表",IF(AND($G851&lt;&gt;"",$H851&lt;&gt;""),"※收入和支出不能同时填",IF(AND(N($G851)=0,N($H851)=0),"※收入和支出都没填",IF($E851="","※没填收支类别，分类报表会漏掉这一笔",IF(ISNA(MATCH($E851,类别表,0)),"※收支类别不在【参数设置】的清单里",IF($J851="","△"&amp;$D851&amp;" 还没填汇率，去【月度汇率】补上就自动算了",IF(YEAR($A851)&lt;&gt;管理年度,"△不是管理年度的单据，年报里看不到",IF(AND($F851="内部转账",$Q851=""),"△内部转账建议在「往来单位」写上对方账户",IF($M851&lt;0,"△这一笔之后该账户余额成负数了，核一下","")))))))))))</f>
        <v/>
      </c>
    </row>
    <row r="852" ht="16.5" spans="1:19">
      <c r="A852" s="45"/>
      <c r="B852" s="46"/>
      <c r="C852" s="12" t="str">
        <f>IF($B852="","",IFERROR(INDEX(账户银行,MATCH($B852,账户名,0)),""))</f>
        <v/>
      </c>
      <c r="D852" s="12" t="str">
        <f>IF($B852="","",IFERROR(INDEX(账户币种,MATCH($B852,账户名,0)),""))</f>
        <v/>
      </c>
      <c r="E852" s="47"/>
      <c r="F852" s="12" t="str">
        <f>IF($E852="","",IFERROR(INDEX(类别属性,MATCH($E852,类别表,0)),""))</f>
        <v/>
      </c>
      <c r="G852" s="48"/>
      <c r="H852" s="48"/>
      <c r="I852" s="49"/>
      <c r="J852" s="24" t="str">
        <f>IF(OR($A852="",$B852=""),"",IF($I852&lt;&gt;"",$I852,IF($D852=本位币,1,IFERROR(LOOKUP(2,1/((汇率月份&lt;=$A852)*(INDEX(记账汇率区,0,MATCH($D852,汇率币种头,0))&lt;&gt;"")),INDEX(记账汇率区,0,MATCH($D852,汇率币种头,0))),""))))</f>
        <v/>
      </c>
      <c r="K852" s="23" t="str">
        <f t="shared" si="26"/>
        <v/>
      </c>
      <c r="L852" s="23" t="str">
        <f t="shared" si="27"/>
        <v/>
      </c>
      <c r="M852" s="23" t="str">
        <f>IF($B852="","",ROUND(SUMIF(账户名,$B852,账户期初)+SUMIFS($K$6:K852,$B$6:B852,$B852),2))</f>
        <v/>
      </c>
      <c r="N852" s="23" t="str">
        <f>IF($B852="","",IFERROR(ROUND(INDEX(账户期初本位,MATCH($B852,账户名,0))+SUMIFS($L$6:L852,$B$6:B852,$B852),2),""))</f>
        <v/>
      </c>
      <c r="O852" s="46"/>
      <c r="P852" s="47"/>
      <c r="Q852" s="46"/>
      <c r="R852" s="46"/>
      <c r="S852" s="6" t="str">
        <f>IF($B852="","",IF(ISNA(MATCH($B852,账户名,0)),"※这个账户不在【参数设置】的账户档案里",IF($A852="","※没填日期，这一笔不会进任何月份的报表",IF(AND($G852&lt;&gt;"",$H852&lt;&gt;""),"※收入和支出不能同时填",IF(AND(N($G852)=0,N($H852)=0),"※收入和支出都没填",IF($E852="","※没填收支类别，分类报表会漏掉这一笔",IF(ISNA(MATCH($E852,类别表,0)),"※收支类别不在【参数设置】的清单里",IF($J852="","△"&amp;$D852&amp;" 还没填汇率，去【月度汇率】补上就自动算了",IF(YEAR($A852)&lt;&gt;管理年度,"△不是管理年度的单据，年报里看不到",IF(AND($F852="内部转账",$Q852=""),"△内部转账建议在「往来单位」写上对方账户",IF($M852&lt;0,"△这一笔之后该账户余额成负数了，核一下","")))))))))))</f>
        <v/>
      </c>
    </row>
    <row r="853" ht="16.5" spans="1:19">
      <c r="A853" s="45"/>
      <c r="B853" s="46"/>
      <c r="C853" s="12" t="str">
        <f>IF($B853="","",IFERROR(INDEX(账户银行,MATCH($B853,账户名,0)),""))</f>
        <v/>
      </c>
      <c r="D853" s="12" t="str">
        <f>IF($B853="","",IFERROR(INDEX(账户币种,MATCH($B853,账户名,0)),""))</f>
        <v/>
      </c>
      <c r="E853" s="47"/>
      <c r="F853" s="12" t="str">
        <f>IF($E853="","",IFERROR(INDEX(类别属性,MATCH($E853,类别表,0)),""))</f>
        <v/>
      </c>
      <c r="G853" s="48"/>
      <c r="H853" s="48"/>
      <c r="I853" s="49"/>
      <c r="J853" s="24" t="str">
        <f>IF(OR($A853="",$B853=""),"",IF($I853&lt;&gt;"",$I853,IF($D853=本位币,1,IFERROR(LOOKUP(2,1/((汇率月份&lt;=$A853)*(INDEX(记账汇率区,0,MATCH($D853,汇率币种头,0))&lt;&gt;"")),INDEX(记账汇率区,0,MATCH($D853,汇率币种头,0))),""))))</f>
        <v/>
      </c>
      <c r="K853" s="23" t="str">
        <f t="shared" si="26"/>
        <v/>
      </c>
      <c r="L853" s="23" t="str">
        <f t="shared" si="27"/>
        <v/>
      </c>
      <c r="M853" s="23" t="str">
        <f>IF($B853="","",ROUND(SUMIF(账户名,$B853,账户期初)+SUMIFS($K$6:K853,$B$6:B853,$B853),2))</f>
        <v/>
      </c>
      <c r="N853" s="23" t="str">
        <f>IF($B853="","",IFERROR(ROUND(INDEX(账户期初本位,MATCH($B853,账户名,0))+SUMIFS($L$6:L853,$B$6:B853,$B853),2),""))</f>
        <v/>
      </c>
      <c r="O853" s="46"/>
      <c r="P853" s="47"/>
      <c r="Q853" s="46"/>
      <c r="R853" s="46"/>
      <c r="S853" s="6" t="str">
        <f>IF($B853="","",IF(ISNA(MATCH($B853,账户名,0)),"※这个账户不在【参数设置】的账户档案里",IF($A853="","※没填日期，这一笔不会进任何月份的报表",IF(AND($G853&lt;&gt;"",$H853&lt;&gt;""),"※收入和支出不能同时填",IF(AND(N($G853)=0,N($H853)=0),"※收入和支出都没填",IF($E853="","※没填收支类别，分类报表会漏掉这一笔",IF(ISNA(MATCH($E853,类别表,0)),"※收支类别不在【参数设置】的清单里",IF($J853="","△"&amp;$D853&amp;" 还没填汇率，去【月度汇率】补上就自动算了",IF(YEAR($A853)&lt;&gt;管理年度,"△不是管理年度的单据，年报里看不到",IF(AND($F853="内部转账",$Q853=""),"△内部转账建议在「往来单位」写上对方账户",IF($M853&lt;0,"△这一笔之后该账户余额成负数了，核一下","")))))))))))</f>
        <v/>
      </c>
    </row>
    <row r="854" ht="16.5" spans="1:19">
      <c r="A854" s="45"/>
      <c r="B854" s="46"/>
      <c r="C854" s="12" t="str">
        <f>IF($B854="","",IFERROR(INDEX(账户银行,MATCH($B854,账户名,0)),""))</f>
        <v/>
      </c>
      <c r="D854" s="12" t="str">
        <f>IF($B854="","",IFERROR(INDEX(账户币种,MATCH($B854,账户名,0)),""))</f>
        <v/>
      </c>
      <c r="E854" s="47"/>
      <c r="F854" s="12" t="str">
        <f>IF($E854="","",IFERROR(INDEX(类别属性,MATCH($E854,类别表,0)),""))</f>
        <v/>
      </c>
      <c r="G854" s="48"/>
      <c r="H854" s="48"/>
      <c r="I854" s="49"/>
      <c r="J854" s="24" t="str">
        <f>IF(OR($A854="",$B854=""),"",IF($I854&lt;&gt;"",$I854,IF($D854=本位币,1,IFERROR(LOOKUP(2,1/((汇率月份&lt;=$A854)*(INDEX(记账汇率区,0,MATCH($D854,汇率币种头,0))&lt;&gt;"")),INDEX(记账汇率区,0,MATCH($D854,汇率币种头,0))),""))))</f>
        <v/>
      </c>
      <c r="K854" s="23" t="str">
        <f t="shared" si="26"/>
        <v/>
      </c>
      <c r="L854" s="23" t="str">
        <f t="shared" si="27"/>
        <v/>
      </c>
      <c r="M854" s="23" t="str">
        <f>IF($B854="","",ROUND(SUMIF(账户名,$B854,账户期初)+SUMIFS($K$6:K854,$B$6:B854,$B854),2))</f>
        <v/>
      </c>
      <c r="N854" s="23" t="str">
        <f>IF($B854="","",IFERROR(ROUND(INDEX(账户期初本位,MATCH($B854,账户名,0))+SUMIFS($L$6:L854,$B$6:B854,$B854),2),""))</f>
        <v/>
      </c>
      <c r="O854" s="46"/>
      <c r="P854" s="47"/>
      <c r="Q854" s="46"/>
      <c r="R854" s="46"/>
      <c r="S854" s="6" t="str">
        <f>IF($B854="","",IF(ISNA(MATCH($B854,账户名,0)),"※这个账户不在【参数设置】的账户档案里",IF($A854="","※没填日期，这一笔不会进任何月份的报表",IF(AND($G854&lt;&gt;"",$H854&lt;&gt;""),"※收入和支出不能同时填",IF(AND(N($G854)=0,N($H854)=0),"※收入和支出都没填",IF($E854="","※没填收支类别，分类报表会漏掉这一笔",IF(ISNA(MATCH($E854,类别表,0)),"※收支类别不在【参数设置】的清单里",IF($J854="","△"&amp;$D854&amp;" 还没填汇率，去【月度汇率】补上就自动算了",IF(YEAR($A854)&lt;&gt;管理年度,"△不是管理年度的单据，年报里看不到",IF(AND($F854="内部转账",$Q854=""),"△内部转账建议在「往来单位」写上对方账户",IF($M854&lt;0,"△这一笔之后该账户余额成负数了，核一下","")))))))))))</f>
        <v/>
      </c>
    </row>
    <row r="855" ht="16.5" spans="1:19">
      <c r="A855" s="45"/>
      <c r="B855" s="46"/>
      <c r="C855" s="12" t="str">
        <f>IF($B855="","",IFERROR(INDEX(账户银行,MATCH($B855,账户名,0)),""))</f>
        <v/>
      </c>
      <c r="D855" s="12" t="str">
        <f>IF($B855="","",IFERROR(INDEX(账户币种,MATCH($B855,账户名,0)),""))</f>
        <v/>
      </c>
      <c r="E855" s="47"/>
      <c r="F855" s="12" t="str">
        <f>IF($E855="","",IFERROR(INDEX(类别属性,MATCH($E855,类别表,0)),""))</f>
        <v/>
      </c>
      <c r="G855" s="48"/>
      <c r="H855" s="48"/>
      <c r="I855" s="49"/>
      <c r="J855" s="24" t="str">
        <f>IF(OR($A855="",$B855=""),"",IF($I855&lt;&gt;"",$I855,IF($D855=本位币,1,IFERROR(LOOKUP(2,1/((汇率月份&lt;=$A855)*(INDEX(记账汇率区,0,MATCH($D855,汇率币种头,0))&lt;&gt;"")),INDEX(记账汇率区,0,MATCH($D855,汇率币种头,0))),""))))</f>
        <v/>
      </c>
      <c r="K855" s="23" t="str">
        <f t="shared" si="26"/>
        <v/>
      </c>
      <c r="L855" s="23" t="str">
        <f t="shared" si="27"/>
        <v/>
      </c>
      <c r="M855" s="23" t="str">
        <f>IF($B855="","",ROUND(SUMIF(账户名,$B855,账户期初)+SUMIFS($K$6:K855,$B$6:B855,$B855),2))</f>
        <v/>
      </c>
      <c r="N855" s="23" t="str">
        <f>IF($B855="","",IFERROR(ROUND(INDEX(账户期初本位,MATCH($B855,账户名,0))+SUMIFS($L$6:L855,$B$6:B855,$B855),2),""))</f>
        <v/>
      </c>
      <c r="O855" s="46"/>
      <c r="P855" s="47"/>
      <c r="Q855" s="46"/>
      <c r="R855" s="46"/>
      <c r="S855" s="6" t="str">
        <f>IF($B855="","",IF(ISNA(MATCH($B855,账户名,0)),"※这个账户不在【参数设置】的账户档案里",IF($A855="","※没填日期，这一笔不会进任何月份的报表",IF(AND($G855&lt;&gt;"",$H855&lt;&gt;""),"※收入和支出不能同时填",IF(AND(N($G855)=0,N($H855)=0),"※收入和支出都没填",IF($E855="","※没填收支类别，分类报表会漏掉这一笔",IF(ISNA(MATCH($E855,类别表,0)),"※收支类别不在【参数设置】的清单里",IF($J855="","△"&amp;$D855&amp;" 还没填汇率，去【月度汇率】补上就自动算了",IF(YEAR($A855)&lt;&gt;管理年度,"△不是管理年度的单据，年报里看不到",IF(AND($F855="内部转账",$Q855=""),"△内部转账建议在「往来单位」写上对方账户",IF($M855&lt;0,"△这一笔之后该账户余额成负数了，核一下","")))))))))))</f>
        <v/>
      </c>
    </row>
    <row r="856" ht="16.5" spans="1:19">
      <c r="A856" s="45"/>
      <c r="B856" s="46"/>
      <c r="C856" s="12" t="str">
        <f>IF($B856="","",IFERROR(INDEX(账户银行,MATCH($B856,账户名,0)),""))</f>
        <v/>
      </c>
      <c r="D856" s="12" t="str">
        <f>IF($B856="","",IFERROR(INDEX(账户币种,MATCH($B856,账户名,0)),""))</f>
        <v/>
      </c>
      <c r="E856" s="47"/>
      <c r="F856" s="12" t="str">
        <f>IF($E856="","",IFERROR(INDEX(类别属性,MATCH($E856,类别表,0)),""))</f>
        <v/>
      </c>
      <c r="G856" s="48"/>
      <c r="H856" s="48"/>
      <c r="I856" s="49"/>
      <c r="J856" s="24" t="str">
        <f>IF(OR($A856="",$B856=""),"",IF($I856&lt;&gt;"",$I856,IF($D856=本位币,1,IFERROR(LOOKUP(2,1/((汇率月份&lt;=$A856)*(INDEX(记账汇率区,0,MATCH($D856,汇率币种头,0))&lt;&gt;"")),INDEX(记账汇率区,0,MATCH($D856,汇率币种头,0))),""))))</f>
        <v/>
      </c>
      <c r="K856" s="23" t="str">
        <f t="shared" si="26"/>
        <v/>
      </c>
      <c r="L856" s="23" t="str">
        <f t="shared" si="27"/>
        <v/>
      </c>
      <c r="M856" s="23" t="str">
        <f>IF($B856="","",ROUND(SUMIF(账户名,$B856,账户期初)+SUMIFS($K$6:K856,$B$6:B856,$B856),2))</f>
        <v/>
      </c>
      <c r="N856" s="23" t="str">
        <f>IF($B856="","",IFERROR(ROUND(INDEX(账户期初本位,MATCH($B856,账户名,0))+SUMIFS($L$6:L856,$B$6:B856,$B856),2),""))</f>
        <v/>
      </c>
      <c r="O856" s="46"/>
      <c r="P856" s="47"/>
      <c r="Q856" s="46"/>
      <c r="R856" s="46"/>
      <c r="S856" s="6" t="str">
        <f>IF($B856="","",IF(ISNA(MATCH($B856,账户名,0)),"※这个账户不在【参数设置】的账户档案里",IF($A856="","※没填日期，这一笔不会进任何月份的报表",IF(AND($G856&lt;&gt;"",$H856&lt;&gt;""),"※收入和支出不能同时填",IF(AND(N($G856)=0,N($H856)=0),"※收入和支出都没填",IF($E856="","※没填收支类别，分类报表会漏掉这一笔",IF(ISNA(MATCH($E856,类别表,0)),"※收支类别不在【参数设置】的清单里",IF($J856="","△"&amp;$D856&amp;" 还没填汇率，去【月度汇率】补上就自动算了",IF(YEAR($A856)&lt;&gt;管理年度,"△不是管理年度的单据，年报里看不到",IF(AND($F856="内部转账",$Q856=""),"△内部转账建议在「往来单位」写上对方账户",IF($M856&lt;0,"△这一笔之后该账户余额成负数了，核一下","")))))))))))</f>
        <v/>
      </c>
    </row>
    <row r="857" ht="16.5" spans="1:19">
      <c r="A857" s="45"/>
      <c r="B857" s="46"/>
      <c r="C857" s="12" t="str">
        <f>IF($B857="","",IFERROR(INDEX(账户银行,MATCH($B857,账户名,0)),""))</f>
        <v/>
      </c>
      <c r="D857" s="12" t="str">
        <f>IF($B857="","",IFERROR(INDEX(账户币种,MATCH($B857,账户名,0)),""))</f>
        <v/>
      </c>
      <c r="E857" s="47"/>
      <c r="F857" s="12" t="str">
        <f>IF($E857="","",IFERROR(INDEX(类别属性,MATCH($E857,类别表,0)),""))</f>
        <v/>
      </c>
      <c r="G857" s="48"/>
      <c r="H857" s="48"/>
      <c r="I857" s="49"/>
      <c r="J857" s="24" t="str">
        <f>IF(OR($A857="",$B857=""),"",IF($I857&lt;&gt;"",$I857,IF($D857=本位币,1,IFERROR(LOOKUP(2,1/((汇率月份&lt;=$A857)*(INDEX(记账汇率区,0,MATCH($D857,汇率币种头,0))&lt;&gt;"")),INDEX(记账汇率区,0,MATCH($D857,汇率币种头,0))),""))))</f>
        <v/>
      </c>
      <c r="K857" s="23" t="str">
        <f t="shared" si="26"/>
        <v/>
      </c>
      <c r="L857" s="23" t="str">
        <f t="shared" si="27"/>
        <v/>
      </c>
      <c r="M857" s="23" t="str">
        <f>IF($B857="","",ROUND(SUMIF(账户名,$B857,账户期初)+SUMIFS($K$6:K857,$B$6:B857,$B857),2))</f>
        <v/>
      </c>
      <c r="N857" s="23" t="str">
        <f>IF($B857="","",IFERROR(ROUND(INDEX(账户期初本位,MATCH($B857,账户名,0))+SUMIFS($L$6:L857,$B$6:B857,$B857),2),""))</f>
        <v/>
      </c>
      <c r="O857" s="46"/>
      <c r="P857" s="47"/>
      <c r="Q857" s="46"/>
      <c r="R857" s="46"/>
      <c r="S857" s="6" t="str">
        <f>IF($B857="","",IF(ISNA(MATCH($B857,账户名,0)),"※这个账户不在【参数设置】的账户档案里",IF($A857="","※没填日期，这一笔不会进任何月份的报表",IF(AND($G857&lt;&gt;"",$H857&lt;&gt;""),"※收入和支出不能同时填",IF(AND(N($G857)=0,N($H857)=0),"※收入和支出都没填",IF($E857="","※没填收支类别，分类报表会漏掉这一笔",IF(ISNA(MATCH($E857,类别表,0)),"※收支类别不在【参数设置】的清单里",IF($J857="","△"&amp;$D857&amp;" 还没填汇率，去【月度汇率】补上就自动算了",IF(YEAR($A857)&lt;&gt;管理年度,"△不是管理年度的单据，年报里看不到",IF(AND($F857="内部转账",$Q857=""),"△内部转账建议在「往来单位」写上对方账户",IF($M857&lt;0,"△这一笔之后该账户余额成负数了，核一下","")))))))))))</f>
        <v/>
      </c>
    </row>
    <row r="858" ht="16.5" spans="1:19">
      <c r="A858" s="45"/>
      <c r="B858" s="46"/>
      <c r="C858" s="12" t="str">
        <f>IF($B858="","",IFERROR(INDEX(账户银行,MATCH($B858,账户名,0)),""))</f>
        <v/>
      </c>
      <c r="D858" s="12" t="str">
        <f>IF($B858="","",IFERROR(INDEX(账户币种,MATCH($B858,账户名,0)),""))</f>
        <v/>
      </c>
      <c r="E858" s="47"/>
      <c r="F858" s="12" t="str">
        <f>IF($E858="","",IFERROR(INDEX(类别属性,MATCH($E858,类别表,0)),""))</f>
        <v/>
      </c>
      <c r="G858" s="48"/>
      <c r="H858" s="48"/>
      <c r="I858" s="49"/>
      <c r="J858" s="24" t="str">
        <f>IF(OR($A858="",$B858=""),"",IF($I858&lt;&gt;"",$I858,IF($D858=本位币,1,IFERROR(LOOKUP(2,1/((汇率月份&lt;=$A858)*(INDEX(记账汇率区,0,MATCH($D858,汇率币种头,0))&lt;&gt;"")),INDEX(记账汇率区,0,MATCH($D858,汇率币种头,0))),""))))</f>
        <v/>
      </c>
      <c r="K858" s="23" t="str">
        <f t="shared" si="26"/>
        <v/>
      </c>
      <c r="L858" s="23" t="str">
        <f t="shared" si="27"/>
        <v/>
      </c>
      <c r="M858" s="23" t="str">
        <f>IF($B858="","",ROUND(SUMIF(账户名,$B858,账户期初)+SUMIFS($K$6:K858,$B$6:B858,$B858),2))</f>
        <v/>
      </c>
      <c r="N858" s="23" t="str">
        <f>IF($B858="","",IFERROR(ROUND(INDEX(账户期初本位,MATCH($B858,账户名,0))+SUMIFS($L$6:L858,$B$6:B858,$B858),2),""))</f>
        <v/>
      </c>
      <c r="O858" s="46"/>
      <c r="P858" s="47"/>
      <c r="Q858" s="46"/>
      <c r="R858" s="46"/>
      <c r="S858" s="6" t="str">
        <f>IF($B858="","",IF(ISNA(MATCH($B858,账户名,0)),"※这个账户不在【参数设置】的账户档案里",IF($A858="","※没填日期，这一笔不会进任何月份的报表",IF(AND($G858&lt;&gt;"",$H858&lt;&gt;""),"※收入和支出不能同时填",IF(AND(N($G858)=0,N($H858)=0),"※收入和支出都没填",IF($E858="","※没填收支类别，分类报表会漏掉这一笔",IF(ISNA(MATCH($E858,类别表,0)),"※收支类别不在【参数设置】的清单里",IF($J858="","△"&amp;$D858&amp;" 还没填汇率，去【月度汇率】补上就自动算了",IF(YEAR($A858)&lt;&gt;管理年度,"△不是管理年度的单据，年报里看不到",IF(AND($F858="内部转账",$Q858=""),"△内部转账建议在「往来单位」写上对方账户",IF($M858&lt;0,"△这一笔之后该账户余额成负数了，核一下","")))))))))))</f>
        <v/>
      </c>
    </row>
    <row r="859" ht="16.5" spans="1:19">
      <c r="A859" s="45"/>
      <c r="B859" s="46"/>
      <c r="C859" s="12" t="str">
        <f>IF($B859="","",IFERROR(INDEX(账户银行,MATCH($B859,账户名,0)),""))</f>
        <v/>
      </c>
      <c r="D859" s="12" t="str">
        <f>IF($B859="","",IFERROR(INDEX(账户币种,MATCH($B859,账户名,0)),""))</f>
        <v/>
      </c>
      <c r="E859" s="47"/>
      <c r="F859" s="12" t="str">
        <f>IF($E859="","",IFERROR(INDEX(类别属性,MATCH($E859,类别表,0)),""))</f>
        <v/>
      </c>
      <c r="G859" s="48"/>
      <c r="H859" s="48"/>
      <c r="I859" s="49"/>
      <c r="J859" s="24" t="str">
        <f>IF(OR($A859="",$B859=""),"",IF($I859&lt;&gt;"",$I859,IF($D859=本位币,1,IFERROR(LOOKUP(2,1/((汇率月份&lt;=$A859)*(INDEX(记账汇率区,0,MATCH($D859,汇率币种头,0))&lt;&gt;"")),INDEX(记账汇率区,0,MATCH($D859,汇率币种头,0))),""))))</f>
        <v/>
      </c>
      <c r="K859" s="23" t="str">
        <f t="shared" si="26"/>
        <v/>
      </c>
      <c r="L859" s="23" t="str">
        <f t="shared" si="27"/>
        <v/>
      </c>
      <c r="M859" s="23" t="str">
        <f>IF($B859="","",ROUND(SUMIF(账户名,$B859,账户期初)+SUMIFS($K$6:K859,$B$6:B859,$B859),2))</f>
        <v/>
      </c>
      <c r="N859" s="23" t="str">
        <f>IF($B859="","",IFERROR(ROUND(INDEX(账户期初本位,MATCH($B859,账户名,0))+SUMIFS($L$6:L859,$B$6:B859,$B859),2),""))</f>
        <v/>
      </c>
      <c r="O859" s="46"/>
      <c r="P859" s="47"/>
      <c r="Q859" s="46"/>
      <c r="R859" s="46"/>
      <c r="S859" s="6" t="str">
        <f>IF($B859="","",IF(ISNA(MATCH($B859,账户名,0)),"※这个账户不在【参数设置】的账户档案里",IF($A859="","※没填日期，这一笔不会进任何月份的报表",IF(AND($G859&lt;&gt;"",$H859&lt;&gt;""),"※收入和支出不能同时填",IF(AND(N($G859)=0,N($H859)=0),"※收入和支出都没填",IF($E859="","※没填收支类别，分类报表会漏掉这一笔",IF(ISNA(MATCH($E859,类别表,0)),"※收支类别不在【参数设置】的清单里",IF($J859="","△"&amp;$D859&amp;" 还没填汇率，去【月度汇率】补上就自动算了",IF(YEAR($A859)&lt;&gt;管理年度,"△不是管理年度的单据，年报里看不到",IF(AND($F859="内部转账",$Q859=""),"△内部转账建议在「往来单位」写上对方账户",IF($M859&lt;0,"△这一笔之后该账户余额成负数了，核一下","")))))))))))</f>
        <v/>
      </c>
    </row>
    <row r="860" ht="16.5" spans="1:19">
      <c r="A860" s="45"/>
      <c r="B860" s="46"/>
      <c r="C860" s="12" t="str">
        <f>IF($B860="","",IFERROR(INDEX(账户银行,MATCH($B860,账户名,0)),""))</f>
        <v/>
      </c>
      <c r="D860" s="12" t="str">
        <f>IF($B860="","",IFERROR(INDEX(账户币种,MATCH($B860,账户名,0)),""))</f>
        <v/>
      </c>
      <c r="E860" s="47"/>
      <c r="F860" s="12" t="str">
        <f>IF($E860="","",IFERROR(INDEX(类别属性,MATCH($E860,类别表,0)),""))</f>
        <v/>
      </c>
      <c r="G860" s="48"/>
      <c r="H860" s="48"/>
      <c r="I860" s="49"/>
      <c r="J860" s="24" t="str">
        <f>IF(OR($A860="",$B860=""),"",IF($I860&lt;&gt;"",$I860,IF($D860=本位币,1,IFERROR(LOOKUP(2,1/((汇率月份&lt;=$A860)*(INDEX(记账汇率区,0,MATCH($D860,汇率币种头,0))&lt;&gt;"")),INDEX(记账汇率区,0,MATCH($D860,汇率币种头,0))),""))))</f>
        <v/>
      </c>
      <c r="K860" s="23" t="str">
        <f t="shared" si="26"/>
        <v/>
      </c>
      <c r="L860" s="23" t="str">
        <f t="shared" si="27"/>
        <v/>
      </c>
      <c r="M860" s="23" t="str">
        <f>IF($B860="","",ROUND(SUMIF(账户名,$B860,账户期初)+SUMIFS($K$6:K860,$B$6:B860,$B860),2))</f>
        <v/>
      </c>
      <c r="N860" s="23" t="str">
        <f>IF($B860="","",IFERROR(ROUND(INDEX(账户期初本位,MATCH($B860,账户名,0))+SUMIFS($L$6:L860,$B$6:B860,$B860),2),""))</f>
        <v/>
      </c>
      <c r="O860" s="46"/>
      <c r="P860" s="47"/>
      <c r="Q860" s="46"/>
      <c r="R860" s="46"/>
      <c r="S860" s="6" t="str">
        <f>IF($B860="","",IF(ISNA(MATCH($B860,账户名,0)),"※这个账户不在【参数设置】的账户档案里",IF($A860="","※没填日期，这一笔不会进任何月份的报表",IF(AND($G860&lt;&gt;"",$H860&lt;&gt;""),"※收入和支出不能同时填",IF(AND(N($G860)=0,N($H860)=0),"※收入和支出都没填",IF($E860="","※没填收支类别，分类报表会漏掉这一笔",IF(ISNA(MATCH($E860,类别表,0)),"※收支类别不在【参数设置】的清单里",IF($J860="","△"&amp;$D860&amp;" 还没填汇率，去【月度汇率】补上就自动算了",IF(YEAR($A860)&lt;&gt;管理年度,"△不是管理年度的单据，年报里看不到",IF(AND($F860="内部转账",$Q860=""),"△内部转账建议在「往来单位」写上对方账户",IF($M860&lt;0,"△这一笔之后该账户余额成负数了，核一下","")))))))))))</f>
        <v/>
      </c>
    </row>
    <row r="861" ht="16.5" spans="1:19">
      <c r="A861" s="45"/>
      <c r="B861" s="46"/>
      <c r="C861" s="12" t="str">
        <f>IF($B861="","",IFERROR(INDEX(账户银行,MATCH($B861,账户名,0)),""))</f>
        <v/>
      </c>
      <c r="D861" s="12" t="str">
        <f>IF($B861="","",IFERROR(INDEX(账户币种,MATCH($B861,账户名,0)),""))</f>
        <v/>
      </c>
      <c r="E861" s="47"/>
      <c r="F861" s="12" t="str">
        <f>IF($E861="","",IFERROR(INDEX(类别属性,MATCH($E861,类别表,0)),""))</f>
        <v/>
      </c>
      <c r="G861" s="48"/>
      <c r="H861" s="48"/>
      <c r="I861" s="49"/>
      <c r="J861" s="24" t="str">
        <f>IF(OR($A861="",$B861=""),"",IF($I861&lt;&gt;"",$I861,IF($D861=本位币,1,IFERROR(LOOKUP(2,1/((汇率月份&lt;=$A861)*(INDEX(记账汇率区,0,MATCH($D861,汇率币种头,0))&lt;&gt;"")),INDEX(记账汇率区,0,MATCH($D861,汇率币种头,0))),""))))</f>
        <v/>
      </c>
      <c r="K861" s="23" t="str">
        <f t="shared" si="26"/>
        <v/>
      </c>
      <c r="L861" s="23" t="str">
        <f t="shared" si="27"/>
        <v/>
      </c>
      <c r="M861" s="23" t="str">
        <f>IF($B861="","",ROUND(SUMIF(账户名,$B861,账户期初)+SUMIFS($K$6:K861,$B$6:B861,$B861),2))</f>
        <v/>
      </c>
      <c r="N861" s="23" t="str">
        <f>IF($B861="","",IFERROR(ROUND(INDEX(账户期初本位,MATCH($B861,账户名,0))+SUMIFS($L$6:L861,$B$6:B861,$B861),2),""))</f>
        <v/>
      </c>
      <c r="O861" s="46"/>
      <c r="P861" s="47"/>
      <c r="Q861" s="46"/>
      <c r="R861" s="46"/>
      <c r="S861" s="6" t="str">
        <f>IF($B861="","",IF(ISNA(MATCH($B861,账户名,0)),"※这个账户不在【参数设置】的账户档案里",IF($A861="","※没填日期，这一笔不会进任何月份的报表",IF(AND($G861&lt;&gt;"",$H861&lt;&gt;""),"※收入和支出不能同时填",IF(AND(N($G861)=0,N($H861)=0),"※收入和支出都没填",IF($E861="","※没填收支类别，分类报表会漏掉这一笔",IF(ISNA(MATCH($E861,类别表,0)),"※收支类别不在【参数设置】的清单里",IF($J861="","△"&amp;$D861&amp;" 还没填汇率，去【月度汇率】补上就自动算了",IF(YEAR($A861)&lt;&gt;管理年度,"△不是管理年度的单据，年报里看不到",IF(AND($F861="内部转账",$Q861=""),"△内部转账建议在「往来单位」写上对方账户",IF($M861&lt;0,"△这一笔之后该账户余额成负数了，核一下","")))))))))))</f>
        <v/>
      </c>
    </row>
    <row r="862" ht="16.5" spans="1:19">
      <c r="A862" s="45"/>
      <c r="B862" s="46"/>
      <c r="C862" s="12" t="str">
        <f>IF($B862="","",IFERROR(INDEX(账户银行,MATCH($B862,账户名,0)),""))</f>
        <v/>
      </c>
      <c r="D862" s="12" t="str">
        <f>IF($B862="","",IFERROR(INDEX(账户币种,MATCH($B862,账户名,0)),""))</f>
        <v/>
      </c>
      <c r="E862" s="47"/>
      <c r="F862" s="12" t="str">
        <f>IF($E862="","",IFERROR(INDEX(类别属性,MATCH($E862,类别表,0)),""))</f>
        <v/>
      </c>
      <c r="G862" s="48"/>
      <c r="H862" s="48"/>
      <c r="I862" s="49"/>
      <c r="J862" s="24" t="str">
        <f>IF(OR($A862="",$B862=""),"",IF($I862&lt;&gt;"",$I862,IF($D862=本位币,1,IFERROR(LOOKUP(2,1/((汇率月份&lt;=$A862)*(INDEX(记账汇率区,0,MATCH($D862,汇率币种头,0))&lt;&gt;"")),INDEX(记账汇率区,0,MATCH($D862,汇率币种头,0))),""))))</f>
        <v/>
      </c>
      <c r="K862" s="23" t="str">
        <f t="shared" si="26"/>
        <v/>
      </c>
      <c r="L862" s="23" t="str">
        <f t="shared" si="27"/>
        <v/>
      </c>
      <c r="M862" s="23" t="str">
        <f>IF($B862="","",ROUND(SUMIF(账户名,$B862,账户期初)+SUMIFS($K$6:K862,$B$6:B862,$B862),2))</f>
        <v/>
      </c>
      <c r="N862" s="23" t="str">
        <f>IF($B862="","",IFERROR(ROUND(INDEX(账户期初本位,MATCH($B862,账户名,0))+SUMIFS($L$6:L862,$B$6:B862,$B862),2),""))</f>
        <v/>
      </c>
      <c r="O862" s="46"/>
      <c r="P862" s="47"/>
      <c r="Q862" s="46"/>
      <c r="R862" s="46"/>
      <c r="S862" s="6" t="str">
        <f>IF($B862="","",IF(ISNA(MATCH($B862,账户名,0)),"※这个账户不在【参数设置】的账户档案里",IF($A862="","※没填日期，这一笔不会进任何月份的报表",IF(AND($G862&lt;&gt;"",$H862&lt;&gt;""),"※收入和支出不能同时填",IF(AND(N($G862)=0,N($H862)=0),"※收入和支出都没填",IF($E862="","※没填收支类别，分类报表会漏掉这一笔",IF(ISNA(MATCH($E862,类别表,0)),"※收支类别不在【参数设置】的清单里",IF($J862="","△"&amp;$D862&amp;" 还没填汇率，去【月度汇率】补上就自动算了",IF(YEAR($A862)&lt;&gt;管理年度,"△不是管理年度的单据，年报里看不到",IF(AND($F862="内部转账",$Q862=""),"△内部转账建议在「往来单位」写上对方账户",IF($M862&lt;0,"△这一笔之后该账户余额成负数了，核一下","")))))))))))</f>
        <v/>
      </c>
    </row>
    <row r="863" ht="16.5" spans="1:19">
      <c r="A863" s="45"/>
      <c r="B863" s="46"/>
      <c r="C863" s="12" t="str">
        <f>IF($B863="","",IFERROR(INDEX(账户银行,MATCH($B863,账户名,0)),""))</f>
        <v/>
      </c>
      <c r="D863" s="12" t="str">
        <f>IF($B863="","",IFERROR(INDEX(账户币种,MATCH($B863,账户名,0)),""))</f>
        <v/>
      </c>
      <c r="E863" s="47"/>
      <c r="F863" s="12" t="str">
        <f>IF($E863="","",IFERROR(INDEX(类别属性,MATCH($E863,类别表,0)),""))</f>
        <v/>
      </c>
      <c r="G863" s="48"/>
      <c r="H863" s="48"/>
      <c r="I863" s="49"/>
      <c r="J863" s="24" t="str">
        <f>IF(OR($A863="",$B863=""),"",IF($I863&lt;&gt;"",$I863,IF($D863=本位币,1,IFERROR(LOOKUP(2,1/((汇率月份&lt;=$A863)*(INDEX(记账汇率区,0,MATCH($D863,汇率币种头,0))&lt;&gt;"")),INDEX(记账汇率区,0,MATCH($D863,汇率币种头,0))),""))))</f>
        <v/>
      </c>
      <c r="K863" s="23" t="str">
        <f t="shared" si="26"/>
        <v/>
      </c>
      <c r="L863" s="23" t="str">
        <f t="shared" si="27"/>
        <v/>
      </c>
      <c r="M863" s="23" t="str">
        <f>IF($B863="","",ROUND(SUMIF(账户名,$B863,账户期初)+SUMIFS($K$6:K863,$B$6:B863,$B863),2))</f>
        <v/>
      </c>
      <c r="N863" s="23" t="str">
        <f>IF($B863="","",IFERROR(ROUND(INDEX(账户期初本位,MATCH($B863,账户名,0))+SUMIFS($L$6:L863,$B$6:B863,$B863),2),""))</f>
        <v/>
      </c>
      <c r="O863" s="46"/>
      <c r="P863" s="47"/>
      <c r="Q863" s="46"/>
      <c r="R863" s="46"/>
      <c r="S863" s="6" t="str">
        <f>IF($B863="","",IF(ISNA(MATCH($B863,账户名,0)),"※这个账户不在【参数设置】的账户档案里",IF($A863="","※没填日期，这一笔不会进任何月份的报表",IF(AND($G863&lt;&gt;"",$H863&lt;&gt;""),"※收入和支出不能同时填",IF(AND(N($G863)=0,N($H863)=0),"※收入和支出都没填",IF($E863="","※没填收支类别，分类报表会漏掉这一笔",IF(ISNA(MATCH($E863,类别表,0)),"※收支类别不在【参数设置】的清单里",IF($J863="","△"&amp;$D863&amp;" 还没填汇率，去【月度汇率】补上就自动算了",IF(YEAR($A863)&lt;&gt;管理年度,"△不是管理年度的单据，年报里看不到",IF(AND($F863="内部转账",$Q863=""),"△内部转账建议在「往来单位」写上对方账户",IF($M863&lt;0,"△这一笔之后该账户余额成负数了，核一下","")))))))))))</f>
        <v/>
      </c>
    </row>
    <row r="864" ht="16.5" spans="1:19">
      <c r="A864" s="45"/>
      <c r="B864" s="46"/>
      <c r="C864" s="12" t="str">
        <f>IF($B864="","",IFERROR(INDEX(账户银行,MATCH($B864,账户名,0)),""))</f>
        <v/>
      </c>
      <c r="D864" s="12" t="str">
        <f>IF($B864="","",IFERROR(INDEX(账户币种,MATCH($B864,账户名,0)),""))</f>
        <v/>
      </c>
      <c r="E864" s="47"/>
      <c r="F864" s="12" t="str">
        <f>IF($E864="","",IFERROR(INDEX(类别属性,MATCH($E864,类别表,0)),""))</f>
        <v/>
      </c>
      <c r="G864" s="48"/>
      <c r="H864" s="48"/>
      <c r="I864" s="49"/>
      <c r="J864" s="24" t="str">
        <f>IF(OR($A864="",$B864=""),"",IF($I864&lt;&gt;"",$I864,IF($D864=本位币,1,IFERROR(LOOKUP(2,1/((汇率月份&lt;=$A864)*(INDEX(记账汇率区,0,MATCH($D864,汇率币种头,0))&lt;&gt;"")),INDEX(记账汇率区,0,MATCH($D864,汇率币种头,0))),""))))</f>
        <v/>
      </c>
      <c r="K864" s="23" t="str">
        <f t="shared" si="26"/>
        <v/>
      </c>
      <c r="L864" s="23" t="str">
        <f t="shared" si="27"/>
        <v/>
      </c>
      <c r="M864" s="23" t="str">
        <f>IF($B864="","",ROUND(SUMIF(账户名,$B864,账户期初)+SUMIFS($K$6:K864,$B$6:B864,$B864),2))</f>
        <v/>
      </c>
      <c r="N864" s="23" t="str">
        <f>IF($B864="","",IFERROR(ROUND(INDEX(账户期初本位,MATCH($B864,账户名,0))+SUMIFS($L$6:L864,$B$6:B864,$B864),2),""))</f>
        <v/>
      </c>
      <c r="O864" s="46"/>
      <c r="P864" s="47"/>
      <c r="Q864" s="46"/>
      <c r="R864" s="46"/>
      <c r="S864" s="6" t="str">
        <f>IF($B864="","",IF(ISNA(MATCH($B864,账户名,0)),"※这个账户不在【参数设置】的账户档案里",IF($A864="","※没填日期，这一笔不会进任何月份的报表",IF(AND($G864&lt;&gt;"",$H864&lt;&gt;""),"※收入和支出不能同时填",IF(AND(N($G864)=0,N($H864)=0),"※收入和支出都没填",IF($E864="","※没填收支类别，分类报表会漏掉这一笔",IF(ISNA(MATCH($E864,类别表,0)),"※收支类别不在【参数设置】的清单里",IF($J864="","△"&amp;$D864&amp;" 还没填汇率，去【月度汇率】补上就自动算了",IF(YEAR($A864)&lt;&gt;管理年度,"△不是管理年度的单据，年报里看不到",IF(AND($F864="内部转账",$Q864=""),"△内部转账建议在「往来单位」写上对方账户",IF($M864&lt;0,"△这一笔之后该账户余额成负数了，核一下","")))))))))))</f>
        <v/>
      </c>
    </row>
    <row r="865" ht="16.5" spans="1:19">
      <c r="A865" s="45"/>
      <c r="B865" s="46"/>
      <c r="C865" s="12" t="str">
        <f>IF($B865="","",IFERROR(INDEX(账户银行,MATCH($B865,账户名,0)),""))</f>
        <v/>
      </c>
      <c r="D865" s="12" t="str">
        <f>IF($B865="","",IFERROR(INDEX(账户币种,MATCH($B865,账户名,0)),""))</f>
        <v/>
      </c>
      <c r="E865" s="47"/>
      <c r="F865" s="12" t="str">
        <f>IF($E865="","",IFERROR(INDEX(类别属性,MATCH($E865,类别表,0)),""))</f>
        <v/>
      </c>
      <c r="G865" s="48"/>
      <c r="H865" s="48"/>
      <c r="I865" s="49"/>
      <c r="J865" s="24" t="str">
        <f>IF(OR($A865="",$B865=""),"",IF($I865&lt;&gt;"",$I865,IF($D865=本位币,1,IFERROR(LOOKUP(2,1/((汇率月份&lt;=$A865)*(INDEX(记账汇率区,0,MATCH($D865,汇率币种头,0))&lt;&gt;"")),INDEX(记账汇率区,0,MATCH($D865,汇率币种头,0))),""))))</f>
        <v/>
      </c>
      <c r="K865" s="23" t="str">
        <f t="shared" si="26"/>
        <v/>
      </c>
      <c r="L865" s="23" t="str">
        <f t="shared" si="27"/>
        <v/>
      </c>
      <c r="M865" s="23" t="str">
        <f>IF($B865="","",ROUND(SUMIF(账户名,$B865,账户期初)+SUMIFS($K$6:K865,$B$6:B865,$B865),2))</f>
        <v/>
      </c>
      <c r="N865" s="23" t="str">
        <f>IF($B865="","",IFERROR(ROUND(INDEX(账户期初本位,MATCH($B865,账户名,0))+SUMIFS($L$6:L865,$B$6:B865,$B865),2),""))</f>
        <v/>
      </c>
      <c r="O865" s="46"/>
      <c r="P865" s="47"/>
      <c r="Q865" s="46"/>
      <c r="R865" s="46"/>
      <c r="S865" s="6" t="str">
        <f>IF($B865="","",IF(ISNA(MATCH($B865,账户名,0)),"※这个账户不在【参数设置】的账户档案里",IF($A865="","※没填日期，这一笔不会进任何月份的报表",IF(AND($G865&lt;&gt;"",$H865&lt;&gt;""),"※收入和支出不能同时填",IF(AND(N($G865)=0,N($H865)=0),"※收入和支出都没填",IF($E865="","※没填收支类别，分类报表会漏掉这一笔",IF(ISNA(MATCH($E865,类别表,0)),"※收支类别不在【参数设置】的清单里",IF($J865="","△"&amp;$D865&amp;" 还没填汇率，去【月度汇率】补上就自动算了",IF(YEAR($A865)&lt;&gt;管理年度,"△不是管理年度的单据，年报里看不到",IF(AND($F865="内部转账",$Q865=""),"△内部转账建议在「往来单位」写上对方账户",IF($M865&lt;0,"△这一笔之后该账户余额成负数了，核一下","")))))))))))</f>
        <v/>
      </c>
    </row>
    <row r="866" ht="16.5" spans="1:19">
      <c r="A866" s="45"/>
      <c r="B866" s="46"/>
      <c r="C866" s="12" t="str">
        <f>IF($B866="","",IFERROR(INDEX(账户银行,MATCH($B866,账户名,0)),""))</f>
        <v/>
      </c>
      <c r="D866" s="12" t="str">
        <f>IF($B866="","",IFERROR(INDEX(账户币种,MATCH($B866,账户名,0)),""))</f>
        <v/>
      </c>
      <c r="E866" s="47"/>
      <c r="F866" s="12" t="str">
        <f>IF($E866="","",IFERROR(INDEX(类别属性,MATCH($E866,类别表,0)),""))</f>
        <v/>
      </c>
      <c r="G866" s="48"/>
      <c r="H866" s="48"/>
      <c r="I866" s="49"/>
      <c r="J866" s="24" t="str">
        <f>IF(OR($A866="",$B866=""),"",IF($I866&lt;&gt;"",$I866,IF($D866=本位币,1,IFERROR(LOOKUP(2,1/((汇率月份&lt;=$A866)*(INDEX(记账汇率区,0,MATCH($D866,汇率币种头,0))&lt;&gt;"")),INDEX(记账汇率区,0,MATCH($D866,汇率币种头,0))),""))))</f>
        <v/>
      </c>
      <c r="K866" s="23" t="str">
        <f t="shared" si="26"/>
        <v/>
      </c>
      <c r="L866" s="23" t="str">
        <f t="shared" si="27"/>
        <v/>
      </c>
      <c r="M866" s="23" t="str">
        <f>IF($B866="","",ROUND(SUMIF(账户名,$B866,账户期初)+SUMIFS($K$6:K866,$B$6:B866,$B866),2))</f>
        <v/>
      </c>
      <c r="N866" s="23" t="str">
        <f>IF($B866="","",IFERROR(ROUND(INDEX(账户期初本位,MATCH($B866,账户名,0))+SUMIFS($L$6:L866,$B$6:B866,$B866),2),""))</f>
        <v/>
      </c>
      <c r="O866" s="46"/>
      <c r="P866" s="47"/>
      <c r="Q866" s="46"/>
      <c r="R866" s="46"/>
      <c r="S866" s="6" t="str">
        <f>IF($B866="","",IF(ISNA(MATCH($B866,账户名,0)),"※这个账户不在【参数设置】的账户档案里",IF($A866="","※没填日期，这一笔不会进任何月份的报表",IF(AND($G866&lt;&gt;"",$H866&lt;&gt;""),"※收入和支出不能同时填",IF(AND(N($G866)=0,N($H866)=0),"※收入和支出都没填",IF($E866="","※没填收支类别，分类报表会漏掉这一笔",IF(ISNA(MATCH($E866,类别表,0)),"※收支类别不在【参数设置】的清单里",IF($J866="","△"&amp;$D866&amp;" 还没填汇率，去【月度汇率】补上就自动算了",IF(YEAR($A866)&lt;&gt;管理年度,"△不是管理年度的单据，年报里看不到",IF(AND($F866="内部转账",$Q866=""),"△内部转账建议在「往来单位」写上对方账户",IF($M866&lt;0,"△这一笔之后该账户余额成负数了，核一下","")))))))))))</f>
        <v/>
      </c>
    </row>
    <row r="867" ht="16.5" spans="1:19">
      <c r="A867" s="45"/>
      <c r="B867" s="46"/>
      <c r="C867" s="12" t="str">
        <f>IF($B867="","",IFERROR(INDEX(账户银行,MATCH($B867,账户名,0)),""))</f>
        <v/>
      </c>
      <c r="D867" s="12" t="str">
        <f>IF($B867="","",IFERROR(INDEX(账户币种,MATCH($B867,账户名,0)),""))</f>
        <v/>
      </c>
      <c r="E867" s="47"/>
      <c r="F867" s="12" t="str">
        <f>IF($E867="","",IFERROR(INDEX(类别属性,MATCH($E867,类别表,0)),""))</f>
        <v/>
      </c>
      <c r="G867" s="48"/>
      <c r="H867" s="48"/>
      <c r="I867" s="49"/>
      <c r="J867" s="24" t="str">
        <f>IF(OR($A867="",$B867=""),"",IF($I867&lt;&gt;"",$I867,IF($D867=本位币,1,IFERROR(LOOKUP(2,1/((汇率月份&lt;=$A867)*(INDEX(记账汇率区,0,MATCH($D867,汇率币种头,0))&lt;&gt;"")),INDEX(记账汇率区,0,MATCH($D867,汇率币种头,0))),""))))</f>
        <v/>
      </c>
      <c r="K867" s="23" t="str">
        <f t="shared" si="26"/>
        <v/>
      </c>
      <c r="L867" s="23" t="str">
        <f t="shared" si="27"/>
        <v/>
      </c>
      <c r="M867" s="23" t="str">
        <f>IF($B867="","",ROUND(SUMIF(账户名,$B867,账户期初)+SUMIFS($K$6:K867,$B$6:B867,$B867),2))</f>
        <v/>
      </c>
      <c r="N867" s="23" t="str">
        <f>IF($B867="","",IFERROR(ROUND(INDEX(账户期初本位,MATCH($B867,账户名,0))+SUMIFS($L$6:L867,$B$6:B867,$B867),2),""))</f>
        <v/>
      </c>
      <c r="O867" s="46"/>
      <c r="P867" s="47"/>
      <c r="Q867" s="46"/>
      <c r="R867" s="46"/>
      <c r="S867" s="6" t="str">
        <f>IF($B867="","",IF(ISNA(MATCH($B867,账户名,0)),"※这个账户不在【参数设置】的账户档案里",IF($A867="","※没填日期，这一笔不会进任何月份的报表",IF(AND($G867&lt;&gt;"",$H867&lt;&gt;""),"※收入和支出不能同时填",IF(AND(N($G867)=0,N($H867)=0),"※收入和支出都没填",IF($E867="","※没填收支类别，分类报表会漏掉这一笔",IF(ISNA(MATCH($E867,类别表,0)),"※收支类别不在【参数设置】的清单里",IF($J867="","△"&amp;$D867&amp;" 还没填汇率，去【月度汇率】补上就自动算了",IF(YEAR($A867)&lt;&gt;管理年度,"△不是管理年度的单据，年报里看不到",IF(AND($F867="内部转账",$Q867=""),"△内部转账建议在「往来单位」写上对方账户",IF($M867&lt;0,"△这一笔之后该账户余额成负数了，核一下","")))))))))))</f>
        <v/>
      </c>
    </row>
    <row r="868" ht="16.5" spans="1:19">
      <c r="A868" s="45"/>
      <c r="B868" s="46"/>
      <c r="C868" s="12" t="str">
        <f>IF($B868="","",IFERROR(INDEX(账户银行,MATCH($B868,账户名,0)),""))</f>
        <v/>
      </c>
      <c r="D868" s="12" t="str">
        <f>IF($B868="","",IFERROR(INDEX(账户币种,MATCH($B868,账户名,0)),""))</f>
        <v/>
      </c>
      <c r="E868" s="47"/>
      <c r="F868" s="12" t="str">
        <f>IF($E868="","",IFERROR(INDEX(类别属性,MATCH($E868,类别表,0)),""))</f>
        <v/>
      </c>
      <c r="G868" s="48"/>
      <c r="H868" s="48"/>
      <c r="I868" s="49"/>
      <c r="J868" s="24" t="str">
        <f>IF(OR($A868="",$B868=""),"",IF($I868&lt;&gt;"",$I868,IF($D868=本位币,1,IFERROR(LOOKUP(2,1/((汇率月份&lt;=$A868)*(INDEX(记账汇率区,0,MATCH($D868,汇率币种头,0))&lt;&gt;"")),INDEX(记账汇率区,0,MATCH($D868,汇率币种头,0))),""))))</f>
        <v/>
      </c>
      <c r="K868" s="23" t="str">
        <f t="shared" si="26"/>
        <v/>
      </c>
      <c r="L868" s="23" t="str">
        <f t="shared" si="27"/>
        <v/>
      </c>
      <c r="M868" s="23" t="str">
        <f>IF($B868="","",ROUND(SUMIF(账户名,$B868,账户期初)+SUMIFS($K$6:K868,$B$6:B868,$B868),2))</f>
        <v/>
      </c>
      <c r="N868" s="23" t="str">
        <f>IF($B868="","",IFERROR(ROUND(INDEX(账户期初本位,MATCH($B868,账户名,0))+SUMIFS($L$6:L868,$B$6:B868,$B868),2),""))</f>
        <v/>
      </c>
      <c r="O868" s="46"/>
      <c r="P868" s="47"/>
      <c r="Q868" s="46"/>
      <c r="R868" s="46"/>
      <c r="S868" s="6" t="str">
        <f>IF($B868="","",IF(ISNA(MATCH($B868,账户名,0)),"※这个账户不在【参数设置】的账户档案里",IF($A868="","※没填日期，这一笔不会进任何月份的报表",IF(AND($G868&lt;&gt;"",$H868&lt;&gt;""),"※收入和支出不能同时填",IF(AND(N($G868)=0,N($H868)=0),"※收入和支出都没填",IF($E868="","※没填收支类别，分类报表会漏掉这一笔",IF(ISNA(MATCH($E868,类别表,0)),"※收支类别不在【参数设置】的清单里",IF($J868="","△"&amp;$D868&amp;" 还没填汇率，去【月度汇率】补上就自动算了",IF(YEAR($A868)&lt;&gt;管理年度,"△不是管理年度的单据，年报里看不到",IF(AND($F868="内部转账",$Q868=""),"△内部转账建议在「往来单位」写上对方账户",IF($M868&lt;0,"△这一笔之后该账户余额成负数了，核一下","")))))))))))</f>
        <v/>
      </c>
    </row>
    <row r="869" ht="16.5" spans="1:19">
      <c r="A869" s="45"/>
      <c r="B869" s="46"/>
      <c r="C869" s="12" t="str">
        <f>IF($B869="","",IFERROR(INDEX(账户银行,MATCH($B869,账户名,0)),""))</f>
        <v/>
      </c>
      <c r="D869" s="12" t="str">
        <f>IF($B869="","",IFERROR(INDEX(账户币种,MATCH($B869,账户名,0)),""))</f>
        <v/>
      </c>
      <c r="E869" s="47"/>
      <c r="F869" s="12" t="str">
        <f>IF($E869="","",IFERROR(INDEX(类别属性,MATCH($E869,类别表,0)),""))</f>
        <v/>
      </c>
      <c r="G869" s="48"/>
      <c r="H869" s="48"/>
      <c r="I869" s="49"/>
      <c r="J869" s="24" t="str">
        <f>IF(OR($A869="",$B869=""),"",IF($I869&lt;&gt;"",$I869,IF($D869=本位币,1,IFERROR(LOOKUP(2,1/((汇率月份&lt;=$A869)*(INDEX(记账汇率区,0,MATCH($D869,汇率币种头,0))&lt;&gt;"")),INDEX(记账汇率区,0,MATCH($D869,汇率币种头,0))),""))))</f>
        <v/>
      </c>
      <c r="K869" s="23" t="str">
        <f t="shared" si="26"/>
        <v/>
      </c>
      <c r="L869" s="23" t="str">
        <f t="shared" si="27"/>
        <v/>
      </c>
      <c r="M869" s="23" t="str">
        <f>IF($B869="","",ROUND(SUMIF(账户名,$B869,账户期初)+SUMIFS($K$6:K869,$B$6:B869,$B869),2))</f>
        <v/>
      </c>
      <c r="N869" s="23" t="str">
        <f>IF($B869="","",IFERROR(ROUND(INDEX(账户期初本位,MATCH($B869,账户名,0))+SUMIFS($L$6:L869,$B$6:B869,$B869),2),""))</f>
        <v/>
      </c>
      <c r="O869" s="46"/>
      <c r="P869" s="47"/>
      <c r="Q869" s="46"/>
      <c r="R869" s="46"/>
      <c r="S869" s="6" t="str">
        <f>IF($B869="","",IF(ISNA(MATCH($B869,账户名,0)),"※这个账户不在【参数设置】的账户档案里",IF($A869="","※没填日期，这一笔不会进任何月份的报表",IF(AND($G869&lt;&gt;"",$H869&lt;&gt;""),"※收入和支出不能同时填",IF(AND(N($G869)=0,N($H869)=0),"※收入和支出都没填",IF($E869="","※没填收支类别，分类报表会漏掉这一笔",IF(ISNA(MATCH($E869,类别表,0)),"※收支类别不在【参数设置】的清单里",IF($J869="","△"&amp;$D869&amp;" 还没填汇率，去【月度汇率】补上就自动算了",IF(YEAR($A869)&lt;&gt;管理年度,"△不是管理年度的单据，年报里看不到",IF(AND($F869="内部转账",$Q869=""),"△内部转账建议在「往来单位」写上对方账户",IF($M869&lt;0,"△这一笔之后该账户余额成负数了，核一下","")))))))))))</f>
        <v/>
      </c>
    </row>
    <row r="870" ht="16.5" spans="1:19">
      <c r="A870" s="45"/>
      <c r="B870" s="46"/>
      <c r="C870" s="12" t="str">
        <f>IF($B870="","",IFERROR(INDEX(账户银行,MATCH($B870,账户名,0)),""))</f>
        <v/>
      </c>
      <c r="D870" s="12" t="str">
        <f>IF($B870="","",IFERROR(INDEX(账户币种,MATCH($B870,账户名,0)),""))</f>
        <v/>
      </c>
      <c r="E870" s="47"/>
      <c r="F870" s="12" t="str">
        <f>IF($E870="","",IFERROR(INDEX(类别属性,MATCH($E870,类别表,0)),""))</f>
        <v/>
      </c>
      <c r="G870" s="48"/>
      <c r="H870" s="48"/>
      <c r="I870" s="49"/>
      <c r="J870" s="24" t="str">
        <f>IF(OR($A870="",$B870=""),"",IF($I870&lt;&gt;"",$I870,IF($D870=本位币,1,IFERROR(LOOKUP(2,1/((汇率月份&lt;=$A870)*(INDEX(记账汇率区,0,MATCH($D870,汇率币种头,0))&lt;&gt;"")),INDEX(记账汇率区,0,MATCH($D870,汇率币种头,0))),""))))</f>
        <v/>
      </c>
      <c r="K870" s="23" t="str">
        <f t="shared" si="26"/>
        <v/>
      </c>
      <c r="L870" s="23" t="str">
        <f t="shared" si="27"/>
        <v/>
      </c>
      <c r="M870" s="23" t="str">
        <f>IF($B870="","",ROUND(SUMIF(账户名,$B870,账户期初)+SUMIFS($K$6:K870,$B$6:B870,$B870),2))</f>
        <v/>
      </c>
      <c r="N870" s="23" t="str">
        <f>IF($B870="","",IFERROR(ROUND(INDEX(账户期初本位,MATCH($B870,账户名,0))+SUMIFS($L$6:L870,$B$6:B870,$B870),2),""))</f>
        <v/>
      </c>
      <c r="O870" s="46"/>
      <c r="P870" s="47"/>
      <c r="Q870" s="46"/>
      <c r="R870" s="46"/>
      <c r="S870" s="6" t="str">
        <f>IF($B870="","",IF(ISNA(MATCH($B870,账户名,0)),"※这个账户不在【参数设置】的账户档案里",IF($A870="","※没填日期，这一笔不会进任何月份的报表",IF(AND($G870&lt;&gt;"",$H870&lt;&gt;""),"※收入和支出不能同时填",IF(AND(N($G870)=0,N($H870)=0),"※收入和支出都没填",IF($E870="","※没填收支类别，分类报表会漏掉这一笔",IF(ISNA(MATCH($E870,类别表,0)),"※收支类别不在【参数设置】的清单里",IF($J870="","△"&amp;$D870&amp;" 还没填汇率，去【月度汇率】补上就自动算了",IF(YEAR($A870)&lt;&gt;管理年度,"△不是管理年度的单据，年报里看不到",IF(AND($F870="内部转账",$Q870=""),"△内部转账建议在「往来单位」写上对方账户",IF($M870&lt;0,"△这一笔之后该账户余额成负数了，核一下","")))))))))))</f>
        <v/>
      </c>
    </row>
    <row r="871" ht="16.5" spans="1:19">
      <c r="A871" s="45"/>
      <c r="B871" s="46"/>
      <c r="C871" s="12" t="str">
        <f>IF($B871="","",IFERROR(INDEX(账户银行,MATCH($B871,账户名,0)),""))</f>
        <v/>
      </c>
      <c r="D871" s="12" t="str">
        <f>IF($B871="","",IFERROR(INDEX(账户币种,MATCH($B871,账户名,0)),""))</f>
        <v/>
      </c>
      <c r="E871" s="47"/>
      <c r="F871" s="12" t="str">
        <f>IF($E871="","",IFERROR(INDEX(类别属性,MATCH($E871,类别表,0)),""))</f>
        <v/>
      </c>
      <c r="G871" s="48"/>
      <c r="H871" s="48"/>
      <c r="I871" s="49"/>
      <c r="J871" s="24" t="str">
        <f>IF(OR($A871="",$B871=""),"",IF($I871&lt;&gt;"",$I871,IF($D871=本位币,1,IFERROR(LOOKUP(2,1/((汇率月份&lt;=$A871)*(INDEX(记账汇率区,0,MATCH($D871,汇率币种头,0))&lt;&gt;"")),INDEX(记账汇率区,0,MATCH($D871,汇率币种头,0))),""))))</f>
        <v/>
      </c>
      <c r="K871" s="23" t="str">
        <f t="shared" si="26"/>
        <v/>
      </c>
      <c r="L871" s="23" t="str">
        <f t="shared" si="27"/>
        <v/>
      </c>
      <c r="M871" s="23" t="str">
        <f>IF($B871="","",ROUND(SUMIF(账户名,$B871,账户期初)+SUMIFS($K$6:K871,$B$6:B871,$B871),2))</f>
        <v/>
      </c>
      <c r="N871" s="23" t="str">
        <f>IF($B871="","",IFERROR(ROUND(INDEX(账户期初本位,MATCH($B871,账户名,0))+SUMIFS($L$6:L871,$B$6:B871,$B871),2),""))</f>
        <v/>
      </c>
      <c r="O871" s="46"/>
      <c r="P871" s="47"/>
      <c r="Q871" s="46"/>
      <c r="R871" s="46"/>
      <c r="S871" s="6" t="str">
        <f>IF($B871="","",IF(ISNA(MATCH($B871,账户名,0)),"※这个账户不在【参数设置】的账户档案里",IF($A871="","※没填日期，这一笔不会进任何月份的报表",IF(AND($G871&lt;&gt;"",$H871&lt;&gt;""),"※收入和支出不能同时填",IF(AND(N($G871)=0,N($H871)=0),"※收入和支出都没填",IF($E871="","※没填收支类别，分类报表会漏掉这一笔",IF(ISNA(MATCH($E871,类别表,0)),"※收支类别不在【参数设置】的清单里",IF($J871="","△"&amp;$D871&amp;" 还没填汇率，去【月度汇率】补上就自动算了",IF(YEAR($A871)&lt;&gt;管理年度,"△不是管理年度的单据，年报里看不到",IF(AND($F871="内部转账",$Q871=""),"△内部转账建议在「往来单位」写上对方账户",IF($M871&lt;0,"△这一笔之后该账户余额成负数了，核一下","")))))))))))</f>
        <v/>
      </c>
    </row>
    <row r="872" ht="16.5" spans="1:19">
      <c r="A872" s="45"/>
      <c r="B872" s="46"/>
      <c r="C872" s="12" t="str">
        <f>IF($B872="","",IFERROR(INDEX(账户银行,MATCH($B872,账户名,0)),""))</f>
        <v/>
      </c>
      <c r="D872" s="12" t="str">
        <f>IF($B872="","",IFERROR(INDEX(账户币种,MATCH($B872,账户名,0)),""))</f>
        <v/>
      </c>
      <c r="E872" s="47"/>
      <c r="F872" s="12" t="str">
        <f>IF($E872="","",IFERROR(INDEX(类别属性,MATCH($E872,类别表,0)),""))</f>
        <v/>
      </c>
      <c r="G872" s="48"/>
      <c r="H872" s="48"/>
      <c r="I872" s="49"/>
      <c r="J872" s="24" t="str">
        <f>IF(OR($A872="",$B872=""),"",IF($I872&lt;&gt;"",$I872,IF($D872=本位币,1,IFERROR(LOOKUP(2,1/((汇率月份&lt;=$A872)*(INDEX(记账汇率区,0,MATCH($D872,汇率币种头,0))&lt;&gt;"")),INDEX(记账汇率区,0,MATCH($D872,汇率币种头,0))),""))))</f>
        <v/>
      </c>
      <c r="K872" s="23" t="str">
        <f t="shared" si="26"/>
        <v/>
      </c>
      <c r="L872" s="23" t="str">
        <f t="shared" si="27"/>
        <v/>
      </c>
      <c r="M872" s="23" t="str">
        <f>IF($B872="","",ROUND(SUMIF(账户名,$B872,账户期初)+SUMIFS($K$6:K872,$B$6:B872,$B872),2))</f>
        <v/>
      </c>
      <c r="N872" s="23" t="str">
        <f>IF($B872="","",IFERROR(ROUND(INDEX(账户期初本位,MATCH($B872,账户名,0))+SUMIFS($L$6:L872,$B$6:B872,$B872),2),""))</f>
        <v/>
      </c>
      <c r="O872" s="46"/>
      <c r="P872" s="47"/>
      <c r="Q872" s="46"/>
      <c r="R872" s="46"/>
      <c r="S872" s="6" t="str">
        <f>IF($B872="","",IF(ISNA(MATCH($B872,账户名,0)),"※这个账户不在【参数设置】的账户档案里",IF($A872="","※没填日期，这一笔不会进任何月份的报表",IF(AND($G872&lt;&gt;"",$H872&lt;&gt;""),"※收入和支出不能同时填",IF(AND(N($G872)=0,N($H872)=0),"※收入和支出都没填",IF($E872="","※没填收支类别，分类报表会漏掉这一笔",IF(ISNA(MATCH($E872,类别表,0)),"※收支类别不在【参数设置】的清单里",IF($J872="","△"&amp;$D872&amp;" 还没填汇率，去【月度汇率】补上就自动算了",IF(YEAR($A872)&lt;&gt;管理年度,"△不是管理年度的单据，年报里看不到",IF(AND($F872="内部转账",$Q872=""),"△内部转账建议在「往来单位」写上对方账户",IF($M872&lt;0,"△这一笔之后该账户余额成负数了，核一下","")))))))))))</f>
        <v/>
      </c>
    </row>
    <row r="873" ht="16.5" spans="1:19">
      <c r="A873" s="45"/>
      <c r="B873" s="46"/>
      <c r="C873" s="12" t="str">
        <f>IF($B873="","",IFERROR(INDEX(账户银行,MATCH($B873,账户名,0)),""))</f>
        <v/>
      </c>
      <c r="D873" s="12" t="str">
        <f>IF($B873="","",IFERROR(INDEX(账户币种,MATCH($B873,账户名,0)),""))</f>
        <v/>
      </c>
      <c r="E873" s="47"/>
      <c r="F873" s="12" t="str">
        <f>IF($E873="","",IFERROR(INDEX(类别属性,MATCH($E873,类别表,0)),""))</f>
        <v/>
      </c>
      <c r="G873" s="48"/>
      <c r="H873" s="48"/>
      <c r="I873" s="49"/>
      <c r="J873" s="24" t="str">
        <f>IF(OR($A873="",$B873=""),"",IF($I873&lt;&gt;"",$I873,IF($D873=本位币,1,IFERROR(LOOKUP(2,1/((汇率月份&lt;=$A873)*(INDEX(记账汇率区,0,MATCH($D873,汇率币种头,0))&lt;&gt;"")),INDEX(记账汇率区,0,MATCH($D873,汇率币种头,0))),""))))</f>
        <v/>
      </c>
      <c r="K873" s="23" t="str">
        <f t="shared" si="26"/>
        <v/>
      </c>
      <c r="L873" s="23" t="str">
        <f t="shared" si="27"/>
        <v/>
      </c>
      <c r="M873" s="23" t="str">
        <f>IF($B873="","",ROUND(SUMIF(账户名,$B873,账户期初)+SUMIFS($K$6:K873,$B$6:B873,$B873),2))</f>
        <v/>
      </c>
      <c r="N873" s="23" t="str">
        <f>IF($B873="","",IFERROR(ROUND(INDEX(账户期初本位,MATCH($B873,账户名,0))+SUMIFS($L$6:L873,$B$6:B873,$B873),2),""))</f>
        <v/>
      </c>
      <c r="O873" s="46"/>
      <c r="P873" s="47"/>
      <c r="Q873" s="46"/>
      <c r="R873" s="46"/>
      <c r="S873" s="6" t="str">
        <f>IF($B873="","",IF(ISNA(MATCH($B873,账户名,0)),"※这个账户不在【参数设置】的账户档案里",IF($A873="","※没填日期，这一笔不会进任何月份的报表",IF(AND($G873&lt;&gt;"",$H873&lt;&gt;""),"※收入和支出不能同时填",IF(AND(N($G873)=0,N($H873)=0),"※收入和支出都没填",IF($E873="","※没填收支类别，分类报表会漏掉这一笔",IF(ISNA(MATCH($E873,类别表,0)),"※收支类别不在【参数设置】的清单里",IF($J873="","△"&amp;$D873&amp;" 还没填汇率，去【月度汇率】补上就自动算了",IF(YEAR($A873)&lt;&gt;管理年度,"△不是管理年度的单据，年报里看不到",IF(AND($F873="内部转账",$Q873=""),"△内部转账建议在「往来单位」写上对方账户",IF($M873&lt;0,"△这一笔之后该账户余额成负数了，核一下","")))))))))))</f>
        <v/>
      </c>
    </row>
    <row r="874" ht="16.5" spans="1:19">
      <c r="A874" s="45"/>
      <c r="B874" s="46"/>
      <c r="C874" s="12" t="str">
        <f>IF($B874="","",IFERROR(INDEX(账户银行,MATCH($B874,账户名,0)),""))</f>
        <v/>
      </c>
      <c r="D874" s="12" t="str">
        <f>IF($B874="","",IFERROR(INDEX(账户币种,MATCH($B874,账户名,0)),""))</f>
        <v/>
      </c>
      <c r="E874" s="47"/>
      <c r="F874" s="12" t="str">
        <f>IF($E874="","",IFERROR(INDEX(类别属性,MATCH($E874,类别表,0)),""))</f>
        <v/>
      </c>
      <c r="G874" s="48"/>
      <c r="H874" s="48"/>
      <c r="I874" s="49"/>
      <c r="J874" s="24" t="str">
        <f>IF(OR($A874="",$B874=""),"",IF($I874&lt;&gt;"",$I874,IF($D874=本位币,1,IFERROR(LOOKUP(2,1/((汇率月份&lt;=$A874)*(INDEX(记账汇率区,0,MATCH($D874,汇率币种头,0))&lt;&gt;"")),INDEX(记账汇率区,0,MATCH($D874,汇率币种头,0))),""))))</f>
        <v/>
      </c>
      <c r="K874" s="23" t="str">
        <f t="shared" si="26"/>
        <v/>
      </c>
      <c r="L874" s="23" t="str">
        <f t="shared" si="27"/>
        <v/>
      </c>
      <c r="M874" s="23" t="str">
        <f>IF($B874="","",ROUND(SUMIF(账户名,$B874,账户期初)+SUMIFS($K$6:K874,$B$6:B874,$B874),2))</f>
        <v/>
      </c>
      <c r="N874" s="23" t="str">
        <f>IF($B874="","",IFERROR(ROUND(INDEX(账户期初本位,MATCH($B874,账户名,0))+SUMIFS($L$6:L874,$B$6:B874,$B874),2),""))</f>
        <v/>
      </c>
      <c r="O874" s="46"/>
      <c r="P874" s="47"/>
      <c r="Q874" s="46"/>
      <c r="R874" s="46"/>
      <c r="S874" s="6" t="str">
        <f>IF($B874="","",IF(ISNA(MATCH($B874,账户名,0)),"※这个账户不在【参数设置】的账户档案里",IF($A874="","※没填日期，这一笔不会进任何月份的报表",IF(AND($G874&lt;&gt;"",$H874&lt;&gt;""),"※收入和支出不能同时填",IF(AND(N($G874)=0,N($H874)=0),"※收入和支出都没填",IF($E874="","※没填收支类别，分类报表会漏掉这一笔",IF(ISNA(MATCH($E874,类别表,0)),"※收支类别不在【参数设置】的清单里",IF($J874="","△"&amp;$D874&amp;" 还没填汇率，去【月度汇率】补上就自动算了",IF(YEAR($A874)&lt;&gt;管理年度,"△不是管理年度的单据，年报里看不到",IF(AND($F874="内部转账",$Q874=""),"△内部转账建议在「往来单位」写上对方账户",IF($M874&lt;0,"△这一笔之后该账户余额成负数了，核一下","")))))))))))</f>
        <v/>
      </c>
    </row>
    <row r="875" ht="16.5" spans="1:19">
      <c r="A875" s="45"/>
      <c r="B875" s="46"/>
      <c r="C875" s="12" t="str">
        <f>IF($B875="","",IFERROR(INDEX(账户银行,MATCH($B875,账户名,0)),""))</f>
        <v/>
      </c>
      <c r="D875" s="12" t="str">
        <f>IF($B875="","",IFERROR(INDEX(账户币种,MATCH($B875,账户名,0)),""))</f>
        <v/>
      </c>
      <c r="E875" s="47"/>
      <c r="F875" s="12" t="str">
        <f>IF($E875="","",IFERROR(INDEX(类别属性,MATCH($E875,类别表,0)),""))</f>
        <v/>
      </c>
      <c r="G875" s="48"/>
      <c r="H875" s="48"/>
      <c r="I875" s="49"/>
      <c r="J875" s="24" t="str">
        <f>IF(OR($A875="",$B875=""),"",IF($I875&lt;&gt;"",$I875,IF($D875=本位币,1,IFERROR(LOOKUP(2,1/((汇率月份&lt;=$A875)*(INDEX(记账汇率区,0,MATCH($D875,汇率币种头,0))&lt;&gt;"")),INDEX(记账汇率区,0,MATCH($D875,汇率币种头,0))),""))))</f>
        <v/>
      </c>
      <c r="K875" s="23" t="str">
        <f t="shared" si="26"/>
        <v/>
      </c>
      <c r="L875" s="23" t="str">
        <f t="shared" si="27"/>
        <v/>
      </c>
      <c r="M875" s="23" t="str">
        <f>IF($B875="","",ROUND(SUMIF(账户名,$B875,账户期初)+SUMIFS($K$6:K875,$B$6:B875,$B875),2))</f>
        <v/>
      </c>
      <c r="N875" s="23" t="str">
        <f>IF($B875="","",IFERROR(ROUND(INDEX(账户期初本位,MATCH($B875,账户名,0))+SUMIFS($L$6:L875,$B$6:B875,$B875),2),""))</f>
        <v/>
      </c>
      <c r="O875" s="46"/>
      <c r="P875" s="47"/>
      <c r="Q875" s="46"/>
      <c r="R875" s="46"/>
      <c r="S875" s="6" t="str">
        <f>IF($B875="","",IF(ISNA(MATCH($B875,账户名,0)),"※这个账户不在【参数设置】的账户档案里",IF($A875="","※没填日期，这一笔不会进任何月份的报表",IF(AND($G875&lt;&gt;"",$H875&lt;&gt;""),"※收入和支出不能同时填",IF(AND(N($G875)=0,N($H875)=0),"※收入和支出都没填",IF($E875="","※没填收支类别，分类报表会漏掉这一笔",IF(ISNA(MATCH($E875,类别表,0)),"※收支类别不在【参数设置】的清单里",IF($J875="","△"&amp;$D875&amp;" 还没填汇率，去【月度汇率】补上就自动算了",IF(YEAR($A875)&lt;&gt;管理年度,"△不是管理年度的单据，年报里看不到",IF(AND($F875="内部转账",$Q875=""),"△内部转账建议在「往来单位」写上对方账户",IF($M875&lt;0,"△这一笔之后该账户余额成负数了，核一下","")))))))))))</f>
        <v/>
      </c>
    </row>
    <row r="876" ht="16.5" spans="1:19">
      <c r="A876" s="45"/>
      <c r="B876" s="46"/>
      <c r="C876" s="12" t="str">
        <f>IF($B876="","",IFERROR(INDEX(账户银行,MATCH($B876,账户名,0)),""))</f>
        <v/>
      </c>
      <c r="D876" s="12" t="str">
        <f>IF($B876="","",IFERROR(INDEX(账户币种,MATCH($B876,账户名,0)),""))</f>
        <v/>
      </c>
      <c r="E876" s="47"/>
      <c r="F876" s="12" t="str">
        <f>IF($E876="","",IFERROR(INDEX(类别属性,MATCH($E876,类别表,0)),""))</f>
        <v/>
      </c>
      <c r="G876" s="48"/>
      <c r="H876" s="48"/>
      <c r="I876" s="49"/>
      <c r="J876" s="24" t="str">
        <f>IF(OR($A876="",$B876=""),"",IF($I876&lt;&gt;"",$I876,IF($D876=本位币,1,IFERROR(LOOKUP(2,1/((汇率月份&lt;=$A876)*(INDEX(记账汇率区,0,MATCH($D876,汇率币种头,0))&lt;&gt;"")),INDEX(记账汇率区,0,MATCH($D876,汇率币种头,0))),""))))</f>
        <v/>
      </c>
      <c r="K876" s="23" t="str">
        <f t="shared" si="26"/>
        <v/>
      </c>
      <c r="L876" s="23" t="str">
        <f t="shared" si="27"/>
        <v/>
      </c>
      <c r="M876" s="23" t="str">
        <f>IF($B876="","",ROUND(SUMIF(账户名,$B876,账户期初)+SUMIFS($K$6:K876,$B$6:B876,$B876),2))</f>
        <v/>
      </c>
      <c r="N876" s="23" t="str">
        <f>IF($B876="","",IFERROR(ROUND(INDEX(账户期初本位,MATCH($B876,账户名,0))+SUMIFS($L$6:L876,$B$6:B876,$B876),2),""))</f>
        <v/>
      </c>
      <c r="O876" s="46"/>
      <c r="P876" s="47"/>
      <c r="Q876" s="46"/>
      <c r="R876" s="46"/>
      <c r="S876" s="6" t="str">
        <f>IF($B876="","",IF(ISNA(MATCH($B876,账户名,0)),"※这个账户不在【参数设置】的账户档案里",IF($A876="","※没填日期，这一笔不会进任何月份的报表",IF(AND($G876&lt;&gt;"",$H876&lt;&gt;""),"※收入和支出不能同时填",IF(AND(N($G876)=0,N($H876)=0),"※收入和支出都没填",IF($E876="","※没填收支类别，分类报表会漏掉这一笔",IF(ISNA(MATCH($E876,类别表,0)),"※收支类别不在【参数设置】的清单里",IF($J876="","△"&amp;$D876&amp;" 还没填汇率，去【月度汇率】补上就自动算了",IF(YEAR($A876)&lt;&gt;管理年度,"△不是管理年度的单据，年报里看不到",IF(AND($F876="内部转账",$Q876=""),"△内部转账建议在「往来单位」写上对方账户",IF($M876&lt;0,"△这一笔之后该账户余额成负数了，核一下","")))))))))))</f>
        <v/>
      </c>
    </row>
    <row r="877" ht="16.5" spans="1:19">
      <c r="A877" s="45"/>
      <c r="B877" s="46"/>
      <c r="C877" s="12" t="str">
        <f>IF($B877="","",IFERROR(INDEX(账户银行,MATCH($B877,账户名,0)),""))</f>
        <v/>
      </c>
      <c r="D877" s="12" t="str">
        <f>IF($B877="","",IFERROR(INDEX(账户币种,MATCH($B877,账户名,0)),""))</f>
        <v/>
      </c>
      <c r="E877" s="47"/>
      <c r="F877" s="12" t="str">
        <f>IF($E877="","",IFERROR(INDEX(类别属性,MATCH($E877,类别表,0)),""))</f>
        <v/>
      </c>
      <c r="G877" s="48"/>
      <c r="H877" s="48"/>
      <c r="I877" s="49"/>
      <c r="J877" s="24" t="str">
        <f>IF(OR($A877="",$B877=""),"",IF($I877&lt;&gt;"",$I877,IF($D877=本位币,1,IFERROR(LOOKUP(2,1/((汇率月份&lt;=$A877)*(INDEX(记账汇率区,0,MATCH($D877,汇率币种头,0))&lt;&gt;"")),INDEX(记账汇率区,0,MATCH($D877,汇率币种头,0))),""))))</f>
        <v/>
      </c>
      <c r="K877" s="23" t="str">
        <f t="shared" si="26"/>
        <v/>
      </c>
      <c r="L877" s="23" t="str">
        <f t="shared" si="27"/>
        <v/>
      </c>
      <c r="M877" s="23" t="str">
        <f>IF($B877="","",ROUND(SUMIF(账户名,$B877,账户期初)+SUMIFS($K$6:K877,$B$6:B877,$B877),2))</f>
        <v/>
      </c>
      <c r="N877" s="23" t="str">
        <f>IF($B877="","",IFERROR(ROUND(INDEX(账户期初本位,MATCH($B877,账户名,0))+SUMIFS($L$6:L877,$B$6:B877,$B877),2),""))</f>
        <v/>
      </c>
      <c r="O877" s="46"/>
      <c r="P877" s="47"/>
      <c r="Q877" s="46"/>
      <c r="R877" s="46"/>
      <c r="S877" s="6" t="str">
        <f>IF($B877="","",IF(ISNA(MATCH($B877,账户名,0)),"※这个账户不在【参数设置】的账户档案里",IF($A877="","※没填日期，这一笔不会进任何月份的报表",IF(AND($G877&lt;&gt;"",$H877&lt;&gt;""),"※收入和支出不能同时填",IF(AND(N($G877)=0,N($H877)=0),"※收入和支出都没填",IF($E877="","※没填收支类别，分类报表会漏掉这一笔",IF(ISNA(MATCH($E877,类别表,0)),"※收支类别不在【参数设置】的清单里",IF($J877="","△"&amp;$D877&amp;" 还没填汇率，去【月度汇率】补上就自动算了",IF(YEAR($A877)&lt;&gt;管理年度,"△不是管理年度的单据，年报里看不到",IF(AND($F877="内部转账",$Q877=""),"△内部转账建议在「往来单位」写上对方账户",IF($M877&lt;0,"△这一笔之后该账户余额成负数了，核一下","")))))))))))</f>
        <v/>
      </c>
    </row>
    <row r="878" ht="16.5" spans="1:19">
      <c r="A878" s="45"/>
      <c r="B878" s="46"/>
      <c r="C878" s="12" t="str">
        <f>IF($B878="","",IFERROR(INDEX(账户银行,MATCH($B878,账户名,0)),""))</f>
        <v/>
      </c>
      <c r="D878" s="12" t="str">
        <f>IF($B878="","",IFERROR(INDEX(账户币种,MATCH($B878,账户名,0)),""))</f>
        <v/>
      </c>
      <c r="E878" s="47"/>
      <c r="F878" s="12" t="str">
        <f>IF($E878="","",IFERROR(INDEX(类别属性,MATCH($E878,类别表,0)),""))</f>
        <v/>
      </c>
      <c r="G878" s="48"/>
      <c r="H878" s="48"/>
      <c r="I878" s="49"/>
      <c r="J878" s="24" t="str">
        <f>IF(OR($A878="",$B878=""),"",IF($I878&lt;&gt;"",$I878,IF($D878=本位币,1,IFERROR(LOOKUP(2,1/((汇率月份&lt;=$A878)*(INDEX(记账汇率区,0,MATCH($D878,汇率币种头,0))&lt;&gt;"")),INDEX(记账汇率区,0,MATCH($D878,汇率币种头,0))),""))))</f>
        <v/>
      </c>
      <c r="K878" s="23" t="str">
        <f t="shared" si="26"/>
        <v/>
      </c>
      <c r="L878" s="23" t="str">
        <f t="shared" si="27"/>
        <v/>
      </c>
      <c r="M878" s="23" t="str">
        <f>IF($B878="","",ROUND(SUMIF(账户名,$B878,账户期初)+SUMIFS($K$6:K878,$B$6:B878,$B878),2))</f>
        <v/>
      </c>
      <c r="N878" s="23" t="str">
        <f>IF($B878="","",IFERROR(ROUND(INDEX(账户期初本位,MATCH($B878,账户名,0))+SUMIFS($L$6:L878,$B$6:B878,$B878),2),""))</f>
        <v/>
      </c>
      <c r="O878" s="46"/>
      <c r="P878" s="47"/>
      <c r="Q878" s="46"/>
      <c r="R878" s="46"/>
      <c r="S878" s="6" t="str">
        <f>IF($B878="","",IF(ISNA(MATCH($B878,账户名,0)),"※这个账户不在【参数设置】的账户档案里",IF($A878="","※没填日期，这一笔不会进任何月份的报表",IF(AND($G878&lt;&gt;"",$H878&lt;&gt;""),"※收入和支出不能同时填",IF(AND(N($G878)=0,N($H878)=0),"※收入和支出都没填",IF($E878="","※没填收支类别，分类报表会漏掉这一笔",IF(ISNA(MATCH($E878,类别表,0)),"※收支类别不在【参数设置】的清单里",IF($J878="","△"&amp;$D878&amp;" 还没填汇率，去【月度汇率】补上就自动算了",IF(YEAR($A878)&lt;&gt;管理年度,"△不是管理年度的单据，年报里看不到",IF(AND($F878="内部转账",$Q878=""),"△内部转账建议在「往来单位」写上对方账户",IF($M878&lt;0,"△这一笔之后该账户余额成负数了，核一下","")))))))))))</f>
        <v/>
      </c>
    </row>
    <row r="879" ht="16.5" spans="1:19">
      <c r="A879" s="45"/>
      <c r="B879" s="46"/>
      <c r="C879" s="12" t="str">
        <f>IF($B879="","",IFERROR(INDEX(账户银行,MATCH($B879,账户名,0)),""))</f>
        <v/>
      </c>
      <c r="D879" s="12" t="str">
        <f>IF($B879="","",IFERROR(INDEX(账户币种,MATCH($B879,账户名,0)),""))</f>
        <v/>
      </c>
      <c r="E879" s="47"/>
      <c r="F879" s="12" t="str">
        <f>IF($E879="","",IFERROR(INDEX(类别属性,MATCH($E879,类别表,0)),""))</f>
        <v/>
      </c>
      <c r="G879" s="48"/>
      <c r="H879" s="48"/>
      <c r="I879" s="49"/>
      <c r="J879" s="24" t="str">
        <f>IF(OR($A879="",$B879=""),"",IF($I879&lt;&gt;"",$I879,IF($D879=本位币,1,IFERROR(LOOKUP(2,1/((汇率月份&lt;=$A879)*(INDEX(记账汇率区,0,MATCH($D879,汇率币种头,0))&lt;&gt;"")),INDEX(记账汇率区,0,MATCH($D879,汇率币种头,0))),""))))</f>
        <v/>
      </c>
      <c r="K879" s="23" t="str">
        <f t="shared" si="26"/>
        <v/>
      </c>
      <c r="L879" s="23" t="str">
        <f t="shared" si="27"/>
        <v/>
      </c>
      <c r="M879" s="23" t="str">
        <f>IF($B879="","",ROUND(SUMIF(账户名,$B879,账户期初)+SUMIFS($K$6:K879,$B$6:B879,$B879),2))</f>
        <v/>
      </c>
      <c r="N879" s="23" t="str">
        <f>IF($B879="","",IFERROR(ROUND(INDEX(账户期初本位,MATCH($B879,账户名,0))+SUMIFS($L$6:L879,$B$6:B879,$B879),2),""))</f>
        <v/>
      </c>
      <c r="O879" s="46"/>
      <c r="P879" s="47"/>
      <c r="Q879" s="46"/>
      <c r="R879" s="46"/>
      <c r="S879" s="6" t="str">
        <f>IF($B879="","",IF(ISNA(MATCH($B879,账户名,0)),"※这个账户不在【参数设置】的账户档案里",IF($A879="","※没填日期，这一笔不会进任何月份的报表",IF(AND($G879&lt;&gt;"",$H879&lt;&gt;""),"※收入和支出不能同时填",IF(AND(N($G879)=0,N($H879)=0),"※收入和支出都没填",IF($E879="","※没填收支类别，分类报表会漏掉这一笔",IF(ISNA(MATCH($E879,类别表,0)),"※收支类别不在【参数设置】的清单里",IF($J879="","△"&amp;$D879&amp;" 还没填汇率，去【月度汇率】补上就自动算了",IF(YEAR($A879)&lt;&gt;管理年度,"△不是管理年度的单据，年报里看不到",IF(AND($F879="内部转账",$Q879=""),"△内部转账建议在「往来单位」写上对方账户",IF($M879&lt;0,"△这一笔之后该账户余额成负数了，核一下","")))))))))))</f>
        <v/>
      </c>
    </row>
    <row r="880" ht="16.5" spans="1:19">
      <c r="A880" s="45"/>
      <c r="B880" s="46"/>
      <c r="C880" s="12" t="str">
        <f>IF($B880="","",IFERROR(INDEX(账户银行,MATCH($B880,账户名,0)),""))</f>
        <v/>
      </c>
      <c r="D880" s="12" t="str">
        <f>IF($B880="","",IFERROR(INDEX(账户币种,MATCH($B880,账户名,0)),""))</f>
        <v/>
      </c>
      <c r="E880" s="47"/>
      <c r="F880" s="12" t="str">
        <f>IF($E880="","",IFERROR(INDEX(类别属性,MATCH($E880,类别表,0)),""))</f>
        <v/>
      </c>
      <c r="G880" s="48"/>
      <c r="H880" s="48"/>
      <c r="I880" s="49"/>
      <c r="J880" s="24" t="str">
        <f>IF(OR($A880="",$B880=""),"",IF($I880&lt;&gt;"",$I880,IF($D880=本位币,1,IFERROR(LOOKUP(2,1/((汇率月份&lt;=$A880)*(INDEX(记账汇率区,0,MATCH($D880,汇率币种头,0))&lt;&gt;"")),INDEX(记账汇率区,0,MATCH($D880,汇率币种头,0))),""))))</f>
        <v/>
      </c>
      <c r="K880" s="23" t="str">
        <f t="shared" si="26"/>
        <v/>
      </c>
      <c r="L880" s="23" t="str">
        <f t="shared" si="27"/>
        <v/>
      </c>
      <c r="M880" s="23" t="str">
        <f>IF($B880="","",ROUND(SUMIF(账户名,$B880,账户期初)+SUMIFS($K$6:K880,$B$6:B880,$B880),2))</f>
        <v/>
      </c>
      <c r="N880" s="23" t="str">
        <f>IF($B880="","",IFERROR(ROUND(INDEX(账户期初本位,MATCH($B880,账户名,0))+SUMIFS($L$6:L880,$B$6:B880,$B880),2),""))</f>
        <v/>
      </c>
      <c r="O880" s="46"/>
      <c r="P880" s="47"/>
      <c r="Q880" s="46"/>
      <c r="R880" s="46"/>
      <c r="S880" s="6" t="str">
        <f>IF($B880="","",IF(ISNA(MATCH($B880,账户名,0)),"※这个账户不在【参数设置】的账户档案里",IF($A880="","※没填日期，这一笔不会进任何月份的报表",IF(AND($G880&lt;&gt;"",$H880&lt;&gt;""),"※收入和支出不能同时填",IF(AND(N($G880)=0,N($H880)=0),"※收入和支出都没填",IF($E880="","※没填收支类别，分类报表会漏掉这一笔",IF(ISNA(MATCH($E880,类别表,0)),"※收支类别不在【参数设置】的清单里",IF($J880="","△"&amp;$D880&amp;" 还没填汇率，去【月度汇率】补上就自动算了",IF(YEAR($A880)&lt;&gt;管理年度,"△不是管理年度的单据，年报里看不到",IF(AND($F880="内部转账",$Q880=""),"△内部转账建议在「往来单位」写上对方账户",IF($M880&lt;0,"△这一笔之后该账户余额成负数了，核一下","")))))))))))</f>
        <v/>
      </c>
    </row>
    <row r="881" ht="16.5" spans="1:19">
      <c r="A881" s="45"/>
      <c r="B881" s="46"/>
      <c r="C881" s="12" t="str">
        <f>IF($B881="","",IFERROR(INDEX(账户银行,MATCH($B881,账户名,0)),""))</f>
        <v/>
      </c>
      <c r="D881" s="12" t="str">
        <f>IF($B881="","",IFERROR(INDEX(账户币种,MATCH($B881,账户名,0)),""))</f>
        <v/>
      </c>
      <c r="E881" s="47"/>
      <c r="F881" s="12" t="str">
        <f>IF($E881="","",IFERROR(INDEX(类别属性,MATCH($E881,类别表,0)),""))</f>
        <v/>
      </c>
      <c r="G881" s="48"/>
      <c r="H881" s="48"/>
      <c r="I881" s="49"/>
      <c r="J881" s="24" t="str">
        <f>IF(OR($A881="",$B881=""),"",IF($I881&lt;&gt;"",$I881,IF($D881=本位币,1,IFERROR(LOOKUP(2,1/((汇率月份&lt;=$A881)*(INDEX(记账汇率区,0,MATCH($D881,汇率币种头,0))&lt;&gt;"")),INDEX(记账汇率区,0,MATCH($D881,汇率币种头,0))),""))))</f>
        <v/>
      </c>
      <c r="K881" s="23" t="str">
        <f t="shared" si="26"/>
        <v/>
      </c>
      <c r="L881" s="23" t="str">
        <f t="shared" si="27"/>
        <v/>
      </c>
      <c r="M881" s="23" t="str">
        <f>IF($B881="","",ROUND(SUMIF(账户名,$B881,账户期初)+SUMIFS($K$6:K881,$B$6:B881,$B881),2))</f>
        <v/>
      </c>
      <c r="N881" s="23" t="str">
        <f>IF($B881="","",IFERROR(ROUND(INDEX(账户期初本位,MATCH($B881,账户名,0))+SUMIFS($L$6:L881,$B$6:B881,$B881),2),""))</f>
        <v/>
      </c>
      <c r="O881" s="46"/>
      <c r="P881" s="47"/>
      <c r="Q881" s="46"/>
      <c r="R881" s="46"/>
      <c r="S881" s="6" t="str">
        <f>IF($B881="","",IF(ISNA(MATCH($B881,账户名,0)),"※这个账户不在【参数设置】的账户档案里",IF($A881="","※没填日期，这一笔不会进任何月份的报表",IF(AND($G881&lt;&gt;"",$H881&lt;&gt;""),"※收入和支出不能同时填",IF(AND(N($G881)=0,N($H881)=0),"※收入和支出都没填",IF($E881="","※没填收支类别，分类报表会漏掉这一笔",IF(ISNA(MATCH($E881,类别表,0)),"※收支类别不在【参数设置】的清单里",IF($J881="","△"&amp;$D881&amp;" 还没填汇率，去【月度汇率】补上就自动算了",IF(YEAR($A881)&lt;&gt;管理年度,"△不是管理年度的单据，年报里看不到",IF(AND($F881="内部转账",$Q881=""),"△内部转账建议在「往来单位」写上对方账户",IF($M881&lt;0,"△这一笔之后该账户余额成负数了，核一下","")))))))))))</f>
        <v/>
      </c>
    </row>
    <row r="882" ht="16.5" spans="1:19">
      <c r="A882" s="45"/>
      <c r="B882" s="46"/>
      <c r="C882" s="12" t="str">
        <f>IF($B882="","",IFERROR(INDEX(账户银行,MATCH($B882,账户名,0)),""))</f>
        <v/>
      </c>
      <c r="D882" s="12" t="str">
        <f>IF($B882="","",IFERROR(INDEX(账户币种,MATCH($B882,账户名,0)),""))</f>
        <v/>
      </c>
      <c r="E882" s="47"/>
      <c r="F882" s="12" t="str">
        <f>IF($E882="","",IFERROR(INDEX(类别属性,MATCH($E882,类别表,0)),""))</f>
        <v/>
      </c>
      <c r="G882" s="48"/>
      <c r="H882" s="48"/>
      <c r="I882" s="49"/>
      <c r="J882" s="24" t="str">
        <f>IF(OR($A882="",$B882=""),"",IF($I882&lt;&gt;"",$I882,IF($D882=本位币,1,IFERROR(LOOKUP(2,1/((汇率月份&lt;=$A882)*(INDEX(记账汇率区,0,MATCH($D882,汇率币种头,0))&lt;&gt;"")),INDEX(记账汇率区,0,MATCH($D882,汇率币种头,0))),""))))</f>
        <v/>
      </c>
      <c r="K882" s="23" t="str">
        <f t="shared" si="26"/>
        <v/>
      </c>
      <c r="L882" s="23" t="str">
        <f t="shared" si="27"/>
        <v/>
      </c>
      <c r="M882" s="23" t="str">
        <f>IF($B882="","",ROUND(SUMIF(账户名,$B882,账户期初)+SUMIFS($K$6:K882,$B$6:B882,$B882),2))</f>
        <v/>
      </c>
      <c r="N882" s="23" t="str">
        <f>IF($B882="","",IFERROR(ROUND(INDEX(账户期初本位,MATCH($B882,账户名,0))+SUMIFS($L$6:L882,$B$6:B882,$B882),2),""))</f>
        <v/>
      </c>
      <c r="O882" s="46"/>
      <c r="P882" s="47"/>
      <c r="Q882" s="46"/>
      <c r="R882" s="46"/>
      <c r="S882" s="6" t="str">
        <f>IF($B882="","",IF(ISNA(MATCH($B882,账户名,0)),"※这个账户不在【参数设置】的账户档案里",IF($A882="","※没填日期，这一笔不会进任何月份的报表",IF(AND($G882&lt;&gt;"",$H882&lt;&gt;""),"※收入和支出不能同时填",IF(AND(N($G882)=0,N($H882)=0),"※收入和支出都没填",IF($E882="","※没填收支类别，分类报表会漏掉这一笔",IF(ISNA(MATCH($E882,类别表,0)),"※收支类别不在【参数设置】的清单里",IF($J882="","△"&amp;$D882&amp;" 还没填汇率，去【月度汇率】补上就自动算了",IF(YEAR($A882)&lt;&gt;管理年度,"△不是管理年度的单据，年报里看不到",IF(AND($F882="内部转账",$Q882=""),"△内部转账建议在「往来单位」写上对方账户",IF($M882&lt;0,"△这一笔之后该账户余额成负数了，核一下","")))))))))))</f>
        <v/>
      </c>
    </row>
    <row r="883" ht="16.5" spans="1:19">
      <c r="A883" s="45"/>
      <c r="B883" s="46"/>
      <c r="C883" s="12" t="str">
        <f>IF($B883="","",IFERROR(INDEX(账户银行,MATCH($B883,账户名,0)),""))</f>
        <v/>
      </c>
      <c r="D883" s="12" t="str">
        <f>IF($B883="","",IFERROR(INDEX(账户币种,MATCH($B883,账户名,0)),""))</f>
        <v/>
      </c>
      <c r="E883" s="47"/>
      <c r="F883" s="12" t="str">
        <f>IF($E883="","",IFERROR(INDEX(类别属性,MATCH($E883,类别表,0)),""))</f>
        <v/>
      </c>
      <c r="G883" s="48"/>
      <c r="H883" s="48"/>
      <c r="I883" s="49"/>
      <c r="J883" s="24" t="str">
        <f>IF(OR($A883="",$B883=""),"",IF($I883&lt;&gt;"",$I883,IF($D883=本位币,1,IFERROR(LOOKUP(2,1/((汇率月份&lt;=$A883)*(INDEX(记账汇率区,0,MATCH($D883,汇率币种头,0))&lt;&gt;"")),INDEX(记账汇率区,0,MATCH($D883,汇率币种头,0))),""))))</f>
        <v/>
      </c>
      <c r="K883" s="23" t="str">
        <f t="shared" si="26"/>
        <v/>
      </c>
      <c r="L883" s="23" t="str">
        <f t="shared" si="27"/>
        <v/>
      </c>
      <c r="M883" s="23" t="str">
        <f>IF($B883="","",ROUND(SUMIF(账户名,$B883,账户期初)+SUMIFS($K$6:K883,$B$6:B883,$B883),2))</f>
        <v/>
      </c>
      <c r="N883" s="23" t="str">
        <f>IF($B883="","",IFERROR(ROUND(INDEX(账户期初本位,MATCH($B883,账户名,0))+SUMIFS($L$6:L883,$B$6:B883,$B883),2),""))</f>
        <v/>
      </c>
      <c r="O883" s="46"/>
      <c r="P883" s="47"/>
      <c r="Q883" s="46"/>
      <c r="R883" s="46"/>
      <c r="S883" s="6" t="str">
        <f>IF($B883="","",IF(ISNA(MATCH($B883,账户名,0)),"※这个账户不在【参数设置】的账户档案里",IF($A883="","※没填日期，这一笔不会进任何月份的报表",IF(AND($G883&lt;&gt;"",$H883&lt;&gt;""),"※收入和支出不能同时填",IF(AND(N($G883)=0,N($H883)=0),"※收入和支出都没填",IF($E883="","※没填收支类别，分类报表会漏掉这一笔",IF(ISNA(MATCH($E883,类别表,0)),"※收支类别不在【参数设置】的清单里",IF($J883="","△"&amp;$D883&amp;" 还没填汇率，去【月度汇率】补上就自动算了",IF(YEAR($A883)&lt;&gt;管理年度,"△不是管理年度的单据，年报里看不到",IF(AND($F883="内部转账",$Q883=""),"△内部转账建议在「往来单位」写上对方账户",IF($M883&lt;0,"△这一笔之后该账户余额成负数了，核一下","")))))))))))</f>
        <v/>
      </c>
    </row>
    <row r="884" ht="16.5" spans="1:19">
      <c r="A884" s="45"/>
      <c r="B884" s="46"/>
      <c r="C884" s="12" t="str">
        <f>IF($B884="","",IFERROR(INDEX(账户银行,MATCH($B884,账户名,0)),""))</f>
        <v/>
      </c>
      <c r="D884" s="12" t="str">
        <f>IF($B884="","",IFERROR(INDEX(账户币种,MATCH($B884,账户名,0)),""))</f>
        <v/>
      </c>
      <c r="E884" s="47"/>
      <c r="F884" s="12" t="str">
        <f>IF($E884="","",IFERROR(INDEX(类别属性,MATCH($E884,类别表,0)),""))</f>
        <v/>
      </c>
      <c r="G884" s="48"/>
      <c r="H884" s="48"/>
      <c r="I884" s="49"/>
      <c r="J884" s="24" t="str">
        <f>IF(OR($A884="",$B884=""),"",IF($I884&lt;&gt;"",$I884,IF($D884=本位币,1,IFERROR(LOOKUP(2,1/((汇率月份&lt;=$A884)*(INDEX(记账汇率区,0,MATCH($D884,汇率币种头,0))&lt;&gt;"")),INDEX(记账汇率区,0,MATCH($D884,汇率币种头,0))),""))))</f>
        <v/>
      </c>
      <c r="K884" s="23" t="str">
        <f t="shared" si="26"/>
        <v/>
      </c>
      <c r="L884" s="23" t="str">
        <f t="shared" si="27"/>
        <v/>
      </c>
      <c r="M884" s="23" t="str">
        <f>IF($B884="","",ROUND(SUMIF(账户名,$B884,账户期初)+SUMIFS($K$6:K884,$B$6:B884,$B884),2))</f>
        <v/>
      </c>
      <c r="N884" s="23" t="str">
        <f>IF($B884="","",IFERROR(ROUND(INDEX(账户期初本位,MATCH($B884,账户名,0))+SUMIFS($L$6:L884,$B$6:B884,$B884),2),""))</f>
        <v/>
      </c>
      <c r="O884" s="46"/>
      <c r="P884" s="47"/>
      <c r="Q884" s="46"/>
      <c r="R884" s="46"/>
      <c r="S884" s="6" t="str">
        <f>IF($B884="","",IF(ISNA(MATCH($B884,账户名,0)),"※这个账户不在【参数设置】的账户档案里",IF($A884="","※没填日期，这一笔不会进任何月份的报表",IF(AND($G884&lt;&gt;"",$H884&lt;&gt;""),"※收入和支出不能同时填",IF(AND(N($G884)=0,N($H884)=0),"※收入和支出都没填",IF($E884="","※没填收支类别，分类报表会漏掉这一笔",IF(ISNA(MATCH($E884,类别表,0)),"※收支类别不在【参数设置】的清单里",IF($J884="","△"&amp;$D884&amp;" 还没填汇率，去【月度汇率】补上就自动算了",IF(YEAR($A884)&lt;&gt;管理年度,"△不是管理年度的单据，年报里看不到",IF(AND($F884="内部转账",$Q884=""),"△内部转账建议在「往来单位」写上对方账户",IF($M884&lt;0,"△这一笔之后该账户余额成负数了，核一下","")))))))))))</f>
        <v/>
      </c>
    </row>
    <row r="885" ht="16.5" spans="1:19">
      <c r="A885" s="45"/>
      <c r="B885" s="46"/>
      <c r="C885" s="12" t="str">
        <f>IF($B885="","",IFERROR(INDEX(账户银行,MATCH($B885,账户名,0)),""))</f>
        <v/>
      </c>
      <c r="D885" s="12" t="str">
        <f>IF($B885="","",IFERROR(INDEX(账户币种,MATCH($B885,账户名,0)),""))</f>
        <v/>
      </c>
      <c r="E885" s="47"/>
      <c r="F885" s="12" t="str">
        <f>IF($E885="","",IFERROR(INDEX(类别属性,MATCH($E885,类别表,0)),""))</f>
        <v/>
      </c>
      <c r="G885" s="48"/>
      <c r="H885" s="48"/>
      <c r="I885" s="49"/>
      <c r="J885" s="24" t="str">
        <f>IF(OR($A885="",$B885=""),"",IF($I885&lt;&gt;"",$I885,IF($D885=本位币,1,IFERROR(LOOKUP(2,1/((汇率月份&lt;=$A885)*(INDEX(记账汇率区,0,MATCH($D885,汇率币种头,0))&lt;&gt;"")),INDEX(记账汇率区,0,MATCH($D885,汇率币种头,0))),""))))</f>
        <v/>
      </c>
      <c r="K885" s="23" t="str">
        <f t="shared" si="26"/>
        <v/>
      </c>
      <c r="L885" s="23" t="str">
        <f t="shared" si="27"/>
        <v/>
      </c>
      <c r="M885" s="23" t="str">
        <f>IF($B885="","",ROUND(SUMIF(账户名,$B885,账户期初)+SUMIFS($K$6:K885,$B$6:B885,$B885),2))</f>
        <v/>
      </c>
      <c r="N885" s="23" t="str">
        <f>IF($B885="","",IFERROR(ROUND(INDEX(账户期初本位,MATCH($B885,账户名,0))+SUMIFS($L$6:L885,$B$6:B885,$B885),2),""))</f>
        <v/>
      </c>
      <c r="O885" s="46"/>
      <c r="P885" s="47"/>
      <c r="Q885" s="46"/>
      <c r="R885" s="46"/>
      <c r="S885" s="6" t="str">
        <f>IF($B885="","",IF(ISNA(MATCH($B885,账户名,0)),"※这个账户不在【参数设置】的账户档案里",IF($A885="","※没填日期，这一笔不会进任何月份的报表",IF(AND($G885&lt;&gt;"",$H885&lt;&gt;""),"※收入和支出不能同时填",IF(AND(N($G885)=0,N($H885)=0),"※收入和支出都没填",IF($E885="","※没填收支类别，分类报表会漏掉这一笔",IF(ISNA(MATCH($E885,类别表,0)),"※收支类别不在【参数设置】的清单里",IF($J885="","△"&amp;$D885&amp;" 还没填汇率，去【月度汇率】补上就自动算了",IF(YEAR($A885)&lt;&gt;管理年度,"△不是管理年度的单据，年报里看不到",IF(AND($F885="内部转账",$Q885=""),"△内部转账建议在「往来单位」写上对方账户",IF($M885&lt;0,"△这一笔之后该账户余额成负数了，核一下","")))))))))))</f>
        <v/>
      </c>
    </row>
    <row r="886" ht="16.5" spans="1:19">
      <c r="A886" s="45"/>
      <c r="B886" s="46"/>
      <c r="C886" s="12" t="str">
        <f>IF($B886="","",IFERROR(INDEX(账户银行,MATCH($B886,账户名,0)),""))</f>
        <v/>
      </c>
      <c r="D886" s="12" t="str">
        <f>IF($B886="","",IFERROR(INDEX(账户币种,MATCH($B886,账户名,0)),""))</f>
        <v/>
      </c>
      <c r="E886" s="47"/>
      <c r="F886" s="12" t="str">
        <f>IF($E886="","",IFERROR(INDEX(类别属性,MATCH($E886,类别表,0)),""))</f>
        <v/>
      </c>
      <c r="G886" s="48"/>
      <c r="H886" s="48"/>
      <c r="I886" s="49"/>
      <c r="J886" s="24" t="str">
        <f>IF(OR($A886="",$B886=""),"",IF($I886&lt;&gt;"",$I886,IF($D886=本位币,1,IFERROR(LOOKUP(2,1/((汇率月份&lt;=$A886)*(INDEX(记账汇率区,0,MATCH($D886,汇率币种头,0))&lt;&gt;"")),INDEX(记账汇率区,0,MATCH($D886,汇率币种头,0))),""))))</f>
        <v/>
      </c>
      <c r="K886" s="23" t="str">
        <f t="shared" si="26"/>
        <v/>
      </c>
      <c r="L886" s="23" t="str">
        <f t="shared" si="27"/>
        <v/>
      </c>
      <c r="M886" s="23" t="str">
        <f>IF($B886="","",ROUND(SUMIF(账户名,$B886,账户期初)+SUMIFS($K$6:K886,$B$6:B886,$B886),2))</f>
        <v/>
      </c>
      <c r="N886" s="23" t="str">
        <f>IF($B886="","",IFERROR(ROUND(INDEX(账户期初本位,MATCH($B886,账户名,0))+SUMIFS($L$6:L886,$B$6:B886,$B886),2),""))</f>
        <v/>
      </c>
      <c r="O886" s="46"/>
      <c r="P886" s="47"/>
      <c r="Q886" s="46"/>
      <c r="R886" s="46"/>
      <c r="S886" s="6" t="str">
        <f>IF($B886="","",IF(ISNA(MATCH($B886,账户名,0)),"※这个账户不在【参数设置】的账户档案里",IF($A886="","※没填日期，这一笔不会进任何月份的报表",IF(AND($G886&lt;&gt;"",$H886&lt;&gt;""),"※收入和支出不能同时填",IF(AND(N($G886)=0,N($H886)=0),"※收入和支出都没填",IF($E886="","※没填收支类别，分类报表会漏掉这一笔",IF(ISNA(MATCH($E886,类别表,0)),"※收支类别不在【参数设置】的清单里",IF($J886="","△"&amp;$D886&amp;" 还没填汇率，去【月度汇率】补上就自动算了",IF(YEAR($A886)&lt;&gt;管理年度,"△不是管理年度的单据，年报里看不到",IF(AND($F886="内部转账",$Q886=""),"△内部转账建议在「往来单位」写上对方账户",IF($M886&lt;0,"△这一笔之后该账户余额成负数了，核一下","")))))))))))</f>
        <v/>
      </c>
    </row>
    <row r="887" ht="16.5" spans="1:19">
      <c r="A887" s="45"/>
      <c r="B887" s="46"/>
      <c r="C887" s="12" t="str">
        <f>IF($B887="","",IFERROR(INDEX(账户银行,MATCH($B887,账户名,0)),""))</f>
        <v/>
      </c>
      <c r="D887" s="12" t="str">
        <f>IF($B887="","",IFERROR(INDEX(账户币种,MATCH($B887,账户名,0)),""))</f>
        <v/>
      </c>
      <c r="E887" s="47"/>
      <c r="F887" s="12" t="str">
        <f>IF($E887="","",IFERROR(INDEX(类别属性,MATCH($E887,类别表,0)),""))</f>
        <v/>
      </c>
      <c r="G887" s="48"/>
      <c r="H887" s="48"/>
      <c r="I887" s="49"/>
      <c r="J887" s="24" t="str">
        <f>IF(OR($A887="",$B887=""),"",IF($I887&lt;&gt;"",$I887,IF($D887=本位币,1,IFERROR(LOOKUP(2,1/((汇率月份&lt;=$A887)*(INDEX(记账汇率区,0,MATCH($D887,汇率币种头,0))&lt;&gt;"")),INDEX(记账汇率区,0,MATCH($D887,汇率币种头,0))),""))))</f>
        <v/>
      </c>
      <c r="K887" s="23" t="str">
        <f t="shared" si="26"/>
        <v/>
      </c>
      <c r="L887" s="23" t="str">
        <f t="shared" si="27"/>
        <v/>
      </c>
      <c r="M887" s="23" t="str">
        <f>IF($B887="","",ROUND(SUMIF(账户名,$B887,账户期初)+SUMIFS($K$6:K887,$B$6:B887,$B887),2))</f>
        <v/>
      </c>
      <c r="N887" s="23" t="str">
        <f>IF($B887="","",IFERROR(ROUND(INDEX(账户期初本位,MATCH($B887,账户名,0))+SUMIFS($L$6:L887,$B$6:B887,$B887),2),""))</f>
        <v/>
      </c>
      <c r="O887" s="46"/>
      <c r="P887" s="47"/>
      <c r="Q887" s="46"/>
      <c r="R887" s="46"/>
      <c r="S887" s="6" t="str">
        <f>IF($B887="","",IF(ISNA(MATCH($B887,账户名,0)),"※这个账户不在【参数设置】的账户档案里",IF($A887="","※没填日期，这一笔不会进任何月份的报表",IF(AND($G887&lt;&gt;"",$H887&lt;&gt;""),"※收入和支出不能同时填",IF(AND(N($G887)=0,N($H887)=0),"※收入和支出都没填",IF($E887="","※没填收支类别，分类报表会漏掉这一笔",IF(ISNA(MATCH($E887,类别表,0)),"※收支类别不在【参数设置】的清单里",IF($J887="","△"&amp;$D887&amp;" 还没填汇率，去【月度汇率】补上就自动算了",IF(YEAR($A887)&lt;&gt;管理年度,"△不是管理年度的单据，年报里看不到",IF(AND($F887="内部转账",$Q887=""),"△内部转账建议在「往来单位」写上对方账户",IF($M887&lt;0,"△这一笔之后该账户余额成负数了，核一下","")))))))))))</f>
        <v/>
      </c>
    </row>
    <row r="888" ht="16.5" spans="1:19">
      <c r="A888" s="45"/>
      <c r="B888" s="46"/>
      <c r="C888" s="12" t="str">
        <f>IF($B888="","",IFERROR(INDEX(账户银行,MATCH($B888,账户名,0)),""))</f>
        <v/>
      </c>
      <c r="D888" s="12" t="str">
        <f>IF($B888="","",IFERROR(INDEX(账户币种,MATCH($B888,账户名,0)),""))</f>
        <v/>
      </c>
      <c r="E888" s="47"/>
      <c r="F888" s="12" t="str">
        <f>IF($E888="","",IFERROR(INDEX(类别属性,MATCH($E888,类别表,0)),""))</f>
        <v/>
      </c>
      <c r="G888" s="48"/>
      <c r="H888" s="48"/>
      <c r="I888" s="49"/>
      <c r="J888" s="24" t="str">
        <f>IF(OR($A888="",$B888=""),"",IF($I888&lt;&gt;"",$I888,IF($D888=本位币,1,IFERROR(LOOKUP(2,1/((汇率月份&lt;=$A888)*(INDEX(记账汇率区,0,MATCH($D888,汇率币种头,0))&lt;&gt;"")),INDEX(记账汇率区,0,MATCH($D888,汇率币种头,0))),""))))</f>
        <v/>
      </c>
      <c r="K888" s="23" t="str">
        <f t="shared" si="26"/>
        <v/>
      </c>
      <c r="L888" s="23" t="str">
        <f t="shared" si="27"/>
        <v/>
      </c>
      <c r="M888" s="23" t="str">
        <f>IF($B888="","",ROUND(SUMIF(账户名,$B888,账户期初)+SUMIFS($K$6:K888,$B$6:B888,$B888),2))</f>
        <v/>
      </c>
      <c r="N888" s="23" t="str">
        <f>IF($B888="","",IFERROR(ROUND(INDEX(账户期初本位,MATCH($B888,账户名,0))+SUMIFS($L$6:L888,$B$6:B888,$B888),2),""))</f>
        <v/>
      </c>
      <c r="O888" s="46"/>
      <c r="P888" s="47"/>
      <c r="Q888" s="46"/>
      <c r="R888" s="46"/>
      <c r="S888" s="6" t="str">
        <f>IF($B888="","",IF(ISNA(MATCH($B888,账户名,0)),"※这个账户不在【参数设置】的账户档案里",IF($A888="","※没填日期，这一笔不会进任何月份的报表",IF(AND($G888&lt;&gt;"",$H888&lt;&gt;""),"※收入和支出不能同时填",IF(AND(N($G888)=0,N($H888)=0),"※收入和支出都没填",IF($E888="","※没填收支类别，分类报表会漏掉这一笔",IF(ISNA(MATCH($E888,类别表,0)),"※收支类别不在【参数设置】的清单里",IF($J888="","△"&amp;$D888&amp;" 还没填汇率，去【月度汇率】补上就自动算了",IF(YEAR($A888)&lt;&gt;管理年度,"△不是管理年度的单据，年报里看不到",IF(AND($F888="内部转账",$Q888=""),"△内部转账建议在「往来单位」写上对方账户",IF($M888&lt;0,"△这一笔之后该账户余额成负数了，核一下","")))))))))))</f>
        <v/>
      </c>
    </row>
    <row r="889" ht="16.5" spans="1:19">
      <c r="A889" s="45"/>
      <c r="B889" s="46"/>
      <c r="C889" s="12" t="str">
        <f>IF($B889="","",IFERROR(INDEX(账户银行,MATCH($B889,账户名,0)),""))</f>
        <v/>
      </c>
      <c r="D889" s="12" t="str">
        <f>IF($B889="","",IFERROR(INDEX(账户币种,MATCH($B889,账户名,0)),""))</f>
        <v/>
      </c>
      <c r="E889" s="47"/>
      <c r="F889" s="12" t="str">
        <f>IF($E889="","",IFERROR(INDEX(类别属性,MATCH($E889,类别表,0)),""))</f>
        <v/>
      </c>
      <c r="G889" s="48"/>
      <c r="H889" s="48"/>
      <c r="I889" s="49"/>
      <c r="J889" s="24" t="str">
        <f>IF(OR($A889="",$B889=""),"",IF($I889&lt;&gt;"",$I889,IF($D889=本位币,1,IFERROR(LOOKUP(2,1/((汇率月份&lt;=$A889)*(INDEX(记账汇率区,0,MATCH($D889,汇率币种头,0))&lt;&gt;"")),INDEX(记账汇率区,0,MATCH($D889,汇率币种头,0))),""))))</f>
        <v/>
      </c>
      <c r="K889" s="23" t="str">
        <f t="shared" si="26"/>
        <v/>
      </c>
      <c r="L889" s="23" t="str">
        <f t="shared" si="27"/>
        <v/>
      </c>
      <c r="M889" s="23" t="str">
        <f>IF($B889="","",ROUND(SUMIF(账户名,$B889,账户期初)+SUMIFS($K$6:K889,$B$6:B889,$B889),2))</f>
        <v/>
      </c>
      <c r="N889" s="23" t="str">
        <f>IF($B889="","",IFERROR(ROUND(INDEX(账户期初本位,MATCH($B889,账户名,0))+SUMIFS($L$6:L889,$B$6:B889,$B889),2),""))</f>
        <v/>
      </c>
      <c r="O889" s="46"/>
      <c r="P889" s="47"/>
      <c r="Q889" s="46"/>
      <c r="R889" s="46"/>
      <c r="S889" s="6" t="str">
        <f>IF($B889="","",IF(ISNA(MATCH($B889,账户名,0)),"※这个账户不在【参数设置】的账户档案里",IF($A889="","※没填日期，这一笔不会进任何月份的报表",IF(AND($G889&lt;&gt;"",$H889&lt;&gt;""),"※收入和支出不能同时填",IF(AND(N($G889)=0,N($H889)=0),"※收入和支出都没填",IF($E889="","※没填收支类别，分类报表会漏掉这一笔",IF(ISNA(MATCH($E889,类别表,0)),"※收支类别不在【参数设置】的清单里",IF($J889="","△"&amp;$D889&amp;" 还没填汇率，去【月度汇率】补上就自动算了",IF(YEAR($A889)&lt;&gt;管理年度,"△不是管理年度的单据，年报里看不到",IF(AND($F889="内部转账",$Q889=""),"△内部转账建议在「往来单位」写上对方账户",IF($M889&lt;0,"△这一笔之后该账户余额成负数了，核一下","")))))))))))</f>
        <v/>
      </c>
    </row>
    <row r="890" ht="16.5" spans="1:19">
      <c r="A890" s="45"/>
      <c r="B890" s="46"/>
      <c r="C890" s="12" t="str">
        <f>IF($B890="","",IFERROR(INDEX(账户银行,MATCH($B890,账户名,0)),""))</f>
        <v/>
      </c>
      <c r="D890" s="12" t="str">
        <f>IF($B890="","",IFERROR(INDEX(账户币种,MATCH($B890,账户名,0)),""))</f>
        <v/>
      </c>
      <c r="E890" s="47"/>
      <c r="F890" s="12" t="str">
        <f>IF($E890="","",IFERROR(INDEX(类别属性,MATCH($E890,类别表,0)),""))</f>
        <v/>
      </c>
      <c r="G890" s="48"/>
      <c r="H890" s="48"/>
      <c r="I890" s="49"/>
      <c r="J890" s="24" t="str">
        <f>IF(OR($A890="",$B890=""),"",IF($I890&lt;&gt;"",$I890,IF($D890=本位币,1,IFERROR(LOOKUP(2,1/((汇率月份&lt;=$A890)*(INDEX(记账汇率区,0,MATCH($D890,汇率币种头,0))&lt;&gt;"")),INDEX(记账汇率区,0,MATCH($D890,汇率币种头,0))),""))))</f>
        <v/>
      </c>
      <c r="K890" s="23" t="str">
        <f t="shared" si="26"/>
        <v/>
      </c>
      <c r="L890" s="23" t="str">
        <f t="shared" si="27"/>
        <v/>
      </c>
      <c r="M890" s="23" t="str">
        <f>IF($B890="","",ROUND(SUMIF(账户名,$B890,账户期初)+SUMIFS($K$6:K890,$B$6:B890,$B890),2))</f>
        <v/>
      </c>
      <c r="N890" s="23" t="str">
        <f>IF($B890="","",IFERROR(ROUND(INDEX(账户期初本位,MATCH($B890,账户名,0))+SUMIFS($L$6:L890,$B$6:B890,$B890),2),""))</f>
        <v/>
      </c>
      <c r="O890" s="46"/>
      <c r="P890" s="47"/>
      <c r="Q890" s="46"/>
      <c r="R890" s="46"/>
      <c r="S890" s="6" t="str">
        <f>IF($B890="","",IF(ISNA(MATCH($B890,账户名,0)),"※这个账户不在【参数设置】的账户档案里",IF($A890="","※没填日期，这一笔不会进任何月份的报表",IF(AND($G890&lt;&gt;"",$H890&lt;&gt;""),"※收入和支出不能同时填",IF(AND(N($G890)=0,N($H890)=0),"※收入和支出都没填",IF($E890="","※没填收支类别，分类报表会漏掉这一笔",IF(ISNA(MATCH($E890,类别表,0)),"※收支类别不在【参数设置】的清单里",IF($J890="","△"&amp;$D890&amp;" 还没填汇率，去【月度汇率】补上就自动算了",IF(YEAR($A890)&lt;&gt;管理年度,"△不是管理年度的单据，年报里看不到",IF(AND($F890="内部转账",$Q890=""),"△内部转账建议在「往来单位」写上对方账户",IF($M890&lt;0,"△这一笔之后该账户余额成负数了，核一下","")))))))))))</f>
        <v/>
      </c>
    </row>
    <row r="891" ht="16.5" spans="1:19">
      <c r="A891" s="45"/>
      <c r="B891" s="46"/>
      <c r="C891" s="12" t="str">
        <f>IF($B891="","",IFERROR(INDEX(账户银行,MATCH($B891,账户名,0)),""))</f>
        <v/>
      </c>
      <c r="D891" s="12" t="str">
        <f>IF($B891="","",IFERROR(INDEX(账户币种,MATCH($B891,账户名,0)),""))</f>
        <v/>
      </c>
      <c r="E891" s="47"/>
      <c r="F891" s="12" t="str">
        <f>IF($E891="","",IFERROR(INDEX(类别属性,MATCH($E891,类别表,0)),""))</f>
        <v/>
      </c>
      <c r="G891" s="48"/>
      <c r="H891" s="48"/>
      <c r="I891" s="49"/>
      <c r="J891" s="24" t="str">
        <f>IF(OR($A891="",$B891=""),"",IF($I891&lt;&gt;"",$I891,IF($D891=本位币,1,IFERROR(LOOKUP(2,1/((汇率月份&lt;=$A891)*(INDEX(记账汇率区,0,MATCH($D891,汇率币种头,0))&lt;&gt;"")),INDEX(记账汇率区,0,MATCH($D891,汇率币种头,0))),""))))</f>
        <v/>
      </c>
      <c r="K891" s="23" t="str">
        <f t="shared" si="26"/>
        <v/>
      </c>
      <c r="L891" s="23" t="str">
        <f t="shared" si="27"/>
        <v/>
      </c>
      <c r="M891" s="23" t="str">
        <f>IF($B891="","",ROUND(SUMIF(账户名,$B891,账户期初)+SUMIFS($K$6:K891,$B$6:B891,$B891),2))</f>
        <v/>
      </c>
      <c r="N891" s="23" t="str">
        <f>IF($B891="","",IFERROR(ROUND(INDEX(账户期初本位,MATCH($B891,账户名,0))+SUMIFS($L$6:L891,$B$6:B891,$B891),2),""))</f>
        <v/>
      </c>
      <c r="O891" s="46"/>
      <c r="P891" s="47"/>
      <c r="Q891" s="46"/>
      <c r="R891" s="46"/>
      <c r="S891" s="6" t="str">
        <f>IF($B891="","",IF(ISNA(MATCH($B891,账户名,0)),"※这个账户不在【参数设置】的账户档案里",IF($A891="","※没填日期，这一笔不会进任何月份的报表",IF(AND($G891&lt;&gt;"",$H891&lt;&gt;""),"※收入和支出不能同时填",IF(AND(N($G891)=0,N($H891)=0),"※收入和支出都没填",IF($E891="","※没填收支类别，分类报表会漏掉这一笔",IF(ISNA(MATCH($E891,类别表,0)),"※收支类别不在【参数设置】的清单里",IF($J891="","△"&amp;$D891&amp;" 还没填汇率，去【月度汇率】补上就自动算了",IF(YEAR($A891)&lt;&gt;管理年度,"△不是管理年度的单据，年报里看不到",IF(AND($F891="内部转账",$Q891=""),"△内部转账建议在「往来单位」写上对方账户",IF($M891&lt;0,"△这一笔之后该账户余额成负数了，核一下","")))))))))))</f>
        <v/>
      </c>
    </row>
    <row r="892" ht="16.5" spans="1:19">
      <c r="A892" s="45"/>
      <c r="B892" s="46"/>
      <c r="C892" s="12" t="str">
        <f>IF($B892="","",IFERROR(INDEX(账户银行,MATCH($B892,账户名,0)),""))</f>
        <v/>
      </c>
      <c r="D892" s="12" t="str">
        <f>IF($B892="","",IFERROR(INDEX(账户币种,MATCH($B892,账户名,0)),""))</f>
        <v/>
      </c>
      <c r="E892" s="47"/>
      <c r="F892" s="12" t="str">
        <f>IF($E892="","",IFERROR(INDEX(类别属性,MATCH($E892,类别表,0)),""))</f>
        <v/>
      </c>
      <c r="G892" s="48"/>
      <c r="H892" s="48"/>
      <c r="I892" s="49"/>
      <c r="J892" s="24" t="str">
        <f>IF(OR($A892="",$B892=""),"",IF($I892&lt;&gt;"",$I892,IF($D892=本位币,1,IFERROR(LOOKUP(2,1/((汇率月份&lt;=$A892)*(INDEX(记账汇率区,0,MATCH($D892,汇率币种头,0))&lt;&gt;"")),INDEX(记账汇率区,0,MATCH($D892,汇率币种头,0))),""))))</f>
        <v/>
      </c>
      <c r="K892" s="23" t="str">
        <f t="shared" si="26"/>
        <v/>
      </c>
      <c r="L892" s="23" t="str">
        <f t="shared" si="27"/>
        <v/>
      </c>
      <c r="M892" s="23" t="str">
        <f>IF($B892="","",ROUND(SUMIF(账户名,$B892,账户期初)+SUMIFS($K$6:K892,$B$6:B892,$B892),2))</f>
        <v/>
      </c>
      <c r="N892" s="23" t="str">
        <f>IF($B892="","",IFERROR(ROUND(INDEX(账户期初本位,MATCH($B892,账户名,0))+SUMIFS($L$6:L892,$B$6:B892,$B892),2),""))</f>
        <v/>
      </c>
      <c r="O892" s="46"/>
      <c r="P892" s="47"/>
      <c r="Q892" s="46"/>
      <c r="R892" s="46"/>
      <c r="S892" s="6" t="str">
        <f>IF($B892="","",IF(ISNA(MATCH($B892,账户名,0)),"※这个账户不在【参数设置】的账户档案里",IF($A892="","※没填日期，这一笔不会进任何月份的报表",IF(AND($G892&lt;&gt;"",$H892&lt;&gt;""),"※收入和支出不能同时填",IF(AND(N($G892)=0,N($H892)=0),"※收入和支出都没填",IF($E892="","※没填收支类别，分类报表会漏掉这一笔",IF(ISNA(MATCH($E892,类别表,0)),"※收支类别不在【参数设置】的清单里",IF($J892="","△"&amp;$D892&amp;" 还没填汇率，去【月度汇率】补上就自动算了",IF(YEAR($A892)&lt;&gt;管理年度,"△不是管理年度的单据，年报里看不到",IF(AND($F892="内部转账",$Q892=""),"△内部转账建议在「往来单位」写上对方账户",IF($M892&lt;0,"△这一笔之后该账户余额成负数了，核一下","")))))))))))</f>
        <v/>
      </c>
    </row>
    <row r="893" ht="16.5" spans="1:19">
      <c r="A893" s="45"/>
      <c r="B893" s="46"/>
      <c r="C893" s="12" t="str">
        <f>IF($B893="","",IFERROR(INDEX(账户银行,MATCH($B893,账户名,0)),""))</f>
        <v/>
      </c>
      <c r="D893" s="12" t="str">
        <f>IF($B893="","",IFERROR(INDEX(账户币种,MATCH($B893,账户名,0)),""))</f>
        <v/>
      </c>
      <c r="E893" s="47"/>
      <c r="F893" s="12" t="str">
        <f>IF($E893="","",IFERROR(INDEX(类别属性,MATCH($E893,类别表,0)),""))</f>
        <v/>
      </c>
      <c r="G893" s="48"/>
      <c r="H893" s="48"/>
      <c r="I893" s="49"/>
      <c r="J893" s="24" t="str">
        <f>IF(OR($A893="",$B893=""),"",IF($I893&lt;&gt;"",$I893,IF($D893=本位币,1,IFERROR(LOOKUP(2,1/((汇率月份&lt;=$A893)*(INDEX(记账汇率区,0,MATCH($D893,汇率币种头,0))&lt;&gt;"")),INDEX(记账汇率区,0,MATCH($D893,汇率币种头,0))),""))))</f>
        <v/>
      </c>
      <c r="K893" s="23" t="str">
        <f t="shared" si="26"/>
        <v/>
      </c>
      <c r="L893" s="23" t="str">
        <f t="shared" si="27"/>
        <v/>
      </c>
      <c r="M893" s="23" t="str">
        <f>IF($B893="","",ROUND(SUMIF(账户名,$B893,账户期初)+SUMIFS($K$6:K893,$B$6:B893,$B893),2))</f>
        <v/>
      </c>
      <c r="N893" s="23" t="str">
        <f>IF($B893="","",IFERROR(ROUND(INDEX(账户期初本位,MATCH($B893,账户名,0))+SUMIFS($L$6:L893,$B$6:B893,$B893),2),""))</f>
        <v/>
      </c>
      <c r="O893" s="46"/>
      <c r="P893" s="47"/>
      <c r="Q893" s="46"/>
      <c r="R893" s="46"/>
      <c r="S893" s="6" t="str">
        <f>IF($B893="","",IF(ISNA(MATCH($B893,账户名,0)),"※这个账户不在【参数设置】的账户档案里",IF($A893="","※没填日期，这一笔不会进任何月份的报表",IF(AND($G893&lt;&gt;"",$H893&lt;&gt;""),"※收入和支出不能同时填",IF(AND(N($G893)=0,N($H893)=0),"※收入和支出都没填",IF($E893="","※没填收支类别，分类报表会漏掉这一笔",IF(ISNA(MATCH($E893,类别表,0)),"※收支类别不在【参数设置】的清单里",IF($J893="","△"&amp;$D893&amp;" 还没填汇率，去【月度汇率】补上就自动算了",IF(YEAR($A893)&lt;&gt;管理年度,"△不是管理年度的单据，年报里看不到",IF(AND($F893="内部转账",$Q893=""),"△内部转账建议在「往来单位」写上对方账户",IF($M893&lt;0,"△这一笔之后该账户余额成负数了，核一下","")))))))))))</f>
        <v/>
      </c>
    </row>
    <row r="894" ht="16.5" spans="1:19">
      <c r="A894" s="45"/>
      <c r="B894" s="46"/>
      <c r="C894" s="12" t="str">
        <f>IF($B894="","",IFERROR(INDEX(账户银行,MATCH($B894,账户名,0)),""))</f>
        <v/>
      </c>
      <c r="D894" s="12" t="str">
        <f>IF($B894="","",IFERROR(INDEX(账户币种,MATCH($B894,账户名,0)),""))</f>
        <v/>
      </c>
      <c r="E894" s="47"/>
      <c r="F894" s="12" t="str">
        <f>IF($E894="","",IFERROR(INDEX(类别属性,MATCH($E894,类别表,0)),""))</f>
        <v/>
      </c>
      <c r="G894" s="48"/>
      <c r="H894" s="48"/>
      <c r="I894" s="49"/>
      <c r="J894" s="24" t="str">
        <f>IF(OR($A894="",$B894=""),"",IF($I894&lt;&gt;"",$I894,IF($D894=本位币,1,IFERROR(LOOKUP(2,1/((汇率月份&lt;=$A894)*(INDEX(记账汇率区,0,MATCH($D894,汇率币种头,0))&lt;&gt;"")),INDEX(记账汇率区,0,MATCH($D894,汇率币种头,0))),""))))</f>
        <v/>
      </c>
      <c r="K894" s="23" t="str">
        <f t="shared" si="26"/>
        <v/>
      </c>
      <c r="L894" s="23" t="str">
        <f t="shared" si="27"/>
        <v/>
      </c>
      <c r="M894" s="23" t="str">
        <f>IF($B894="","",ROUND(SUMIF(账户名,$B894,账户期初)+SUMIFS($K$6:K894,$B$6:B894,$B894),2))</f>
        <v/>
      </c>
      <c r="N894" s="23" t="str">
        <f>IF($B894="","",IFERROR(ROUND(INDEX(账户期初本位,MATCH($B894,账户名,0))+SUMIFS($L$6:L894,$B$6:B894,$B894),2),""))</f>
        <v/>
      </c>
      <c r="O894" s="46"/>
      <c r="P894" s="47"/>
      <c r="Q894" s="46"/>
      <c r="R894" s="46"/>
      <c r="S894" s="6" t="str">
        <f>IF($B894="","",IF(ISNA(MATCH($B894,账户名,0)),"※这个账户不在【参数设置】的账户档案里",IF($A894="","※没填日期，这一笔不会进任何月份的报表",IF(AND($G894&lt;&gt;"",$H894&lt;&gt;""),"※收入和支出不能同时填",IF(AND(N($G894)=0,N($H894)=0),"※收入和支出都没填",IF($E894="","※没填收支类别，分类报表会漏掉这一笔",IF(ISNA(MATCH($E894,类别表,0)),"※收支类别不在【参数设置】的清单里",IF($J894="","△"&amp;$D894&amp;" 还没填汇率，去【月度汇率】补上就自动算了",IF(YEAR($A894)&lt;&gt;管理年度,"△不是管理年度的单据，年报里看不到",IF(AND($F894="内部转账",$Q894=""),"△内部转账建议在「往来单位」写上对方账户",IF($M894&lt;0,"△这一笔之后该账户余额成负数了，核一下","")))))))))))</f>
        <v/>
      </c>
    </row>
    <row r="895" ht="16.5" spans="1:19">
      <c r="A895" s="45"/>
      <c r="B895" s="46"/>
      <c r="C895" s="12" t="str">
        <f>IF($B895="","",IFERROR(INDEX(账户银行,MATCH($B895,账户名,0)),""))</f>
        <v/>
      </c>
      <c r="D895" s="12" t="str">
        <f>IF($B895="","",IFERROR(INDEX(账户币种,MATCH($B895,账户名,0)),""))</f>
        <v/>
      </c>
      <c r="E895" s="47"/>
      <c r="F895" s="12" t="str">
        <f>IF($E895="","",IFERROR(INDEX(类别属性,MATCH($E895,类别表,0)),""))</f>
        <v/>
      </c>
      <c r="G895" s="48"/>
      <c r="H895" s="48"/>
      <c r="I895" s="49"/>
      <c r="J895" s="24" t="str">
        <f>IF(OR($A895="",$B895=""),"",IF($I895&lt;&gt;"",$I895,IF($D895=本位币,1,IFERROR(LOOKUP(2,1/((汇率月份&lt;=$A895)*(INDEX(记账汇率区,0,MATCH($D895,汇率币种头,0))&lt;&gt;"")),INDEX(记账汇率区,0,MATCH($D895,汇率币种头,0))),""))))</f>
        <v/>
      </c>
      <c r="K895" s="23" t="str">
        <f t="shared" si="26"/>
        <v/>
      </c>
      <c r="L895" s="23" t="str">
        <f t="shared" si="27"/>
        <v/>
      </c>
      <c r="M895" s="23" t="str">
        <f>IF($B895="","",ROUND(SUMIF(账户名,$B895,账户期初)+SUMIFS($K$6:K895,$B$6:B895,$B895),2))</f>
        <v/>
      </c>
      <c r="N895" s="23" t="str">
        <f>IF($B895="","",IFERROR(ROUND(INDEX(账户期初本位,MATCH($B895,账户名,0))+SUMIFS($L$6:L895,$B$6:B895,$B895),2),""))</f>
        <v/>
      </c>
      <c r="O895" s="46"/>
      <c r="P895" s="47"/>
      <c r="Q895" s="46"/>
      <c r="R895" s="46"/>
      <c r="S895" s="6" t="str">
        <f>IF($B895="","",IF(ISNA(MATCH($B895,账户名,0)),"※这个账户不在【参数设置】的账户档案里",IF($A895="","※没填日期，这一笔不会进任何月份的报表",IF(AND($G895&lt;&gt;"",$H895&lt;&gt;""),"※收入和支出不能同时填",IF(AND(N($G895)=0,N($H895)=0),"※收入和支出都没填",IF($E895="","※没填收支类别，分类报表会漏掉这一笔",IF(ISNA(MATCH($E895,类别表,0)),"※收支类别不在【参数设置】的清单里",IF($J895="","△"&amp;$D895&amp;" 还没填汇率，去【月度汇率】补上就自动算了",IF(YEAR($A895)&lt;&gt;管理年度,"△不是管理年度的单据，年报里看不到",IF(AND($F895="内部转账",$Q895=""),"△内部转账建议在「往来单位」写上对方账户",IF($M895&lt;0,"△这一笔之后该账户余额成负数了，核一下","")))))))))))</f>
        <v/>
      </c>
    </row>
    <row r="896" ht="16.5" spans="1:19">
      <c r="A896" s="45"/>
      <c r="B896" s="46"/>
      <c r="C896" s="12" t="str">
        <f>IF($B896="","",IFERROR(INDEX(账户银行,MATCH($B896,账户名,0)),""))</f>
        <v/>
      </c>
      <c r="D896" s="12" t="str">
        <f>IF($B896="","",IFERROR(INDEX(账户币种,MATCH($B896,账户名,0)),""))</f>
        <v/>
      </c>
      <c r="E896" s="47"/>
      <c r="F896" s="12" t="str">
        <f>IF($E896="","",IFERROR(INDEX(类别属性,MATCH($E896,类别表,0)),""))</f>
        <v/>
      </c>
      <c r="G896" s="48"/>
      <c r="H896" s="48"/>
      <c r="I896" s="49"/>
      <c r="J896" s="24" t="str">
        <f>IF(OR($A896="",$B896=""),"",IF($I896&lt;&gt;"",$I896,IF($D896=本位币,1,IFERROR(LOOKUP(2,1/((汇率月份&lt;=$A896)*(INDEX(记账汇率区,0,MATCH($D896,汇率币种头,0))&lt;&gt;"")),INDEX(记账汇率区,0,MATCH($D896,汇率币种头,0))),""))))</f>
        <v/>
      </c>
      <c r="K896" s="23" t="str">
        <f t="shared" si="26"/>
        <v/>
      </c>
      <c r="L896" s="23" t="str">
        <f t="shared" si="27"/>
        <v/>
      </c>
      <c r="M896" s="23" t="str">
        <f>IF($B896="","",ROUND(SUMIF(账户名,$B896,账户期初)+SUMIFS($K$6:K896,$B$6:B896,$B896),2))</f>
        <v/>
      </c>
      <c r="N896" s="23" t="str">
        <f>IF($B896="","",IFERROR(ROUND(INDEX(账户期初本位,MATCH($B896,账户名,0))+SUMIFS($L$6:L896,$B$6:B896,$B896),2),""))</f>
        <v/>
      </c>
      <c r="O896" s="46"/>
      <c r="P896" s="47"/>
      <c r="Q896" s="46"/>
      <c r="R896" s="46"/>
      <c r="S896" s="6" t="str">
        <f>IF($B896="","",IF(ISNA(MATCH($B896,账户名,0)),"※这个账户不在【参数设置】的账户档案里",IF($A896="","※没填日期，这一笔不会进任何月份的报表",IF(AND($G896&lt;&gt;"",$H896&lt;&gt;""),"※收入和支出不能同时填",IF(AND(N($G896)=0,N($H896)=0),"※收入和支出都没填",IF($E896="","※没填收支类别，分类报表会漏掉这一笔",IF(ISNA(MATCH($E896,类别表,0)),"※收支类别不在【参数设置】的清单里",IF($J896="","△"&amp;$D896&amp;" 还没填汇率，去【月度汇率】补上就自动算了",IF(YEAR($A896)&lt;&gt;管理年度,"△不是管理年度的单据，年报里看不到",IF(AND($F896="内部转账",$Q896=""),"△内部转账建议在「往来单位」写上对方账户",IF($M896&lt;0,"△这一笔之后该账户余额成负数了，核一下","")))))))))))</f>
        <v/>
      </c>
    </row>
    <row r="897" ht="16.5" spans="1:19">
      <c r="A897" s="45"/>
      <c r="B897" s="46"/>
      <c r="C897" s="12" t="str">
        <f>IF($B897="","",IFERROR(INDEX(账户银行,MATCH($B897,账户名,0)),""))</f>
        <v/>
      </c>
      <c r="D897" s="12" t="str">
        <f>IF($B897="","",IFERROR(INDEX(账户币种,MATCH($B897,账户名,0)),""))</f>
        <v/>
      </c>
      <c r="E897" s="47"/>
      <c r="F897" s="12" t="str">
        <f>IF($E897="","",IFERROR(INDEX(类别属性,MATCH($E897,类别表,0)),""))</f>
        <v/>
      </c>
      <c r="G897" s="48"/>
      <c r="H897" s="48"/>
      <c r="I897" s="49"/>
      <c r="J897" s="24" t="str">
        <f>IF(OR($A897="",$B897=""),"",IF($I897&lt;&gt;"",$I897,IF($D897=本位币,1,IFERROR(LOOKUP(2,1/((汇率月份&lt;=$A897)*(INDEX(记账汇率区,0,MATCH($D897,汇率币种头,0))&lt;&gt;"")),INDEX(记账汇率区,0,MATCH($D897,汇率币种头,0))),""))))</f>
        <v/>
      </c>
      <c r="K897" s="23" t="str">
        <f t="shared" si="26"/>
        <v/>
      </c>
      <c r="L897" s="23" t="str">
        <f t="shared" si="27"/>
        <v/>
      </c>
      <c r="M897" s="23" t="str">
        <f>IF($B897="","",ROUND(SUMIF(账户名,$B897,账户期初)+SUMIFS($K$6:K897,$B$6:B897,$B897),2))</f>
        <v/>
      </c>
      <c r="N897" s="23" t="str">
        <f>IF($B897="","",IFERROR(ROUND(INDEX(账户期初本位,MATCH($B897,账户名,0))+SUMIFS($L$6:L897,$B$6:B897,$B897),2),""))</f>
        <v/>
      </c>
      <c r="O897" s="46"/>
      <c r="P897" s="47"/>
      <c r="Q897" s="46"/>
      <c r="R897" s="46"/>
      <c r="S897" s="6" t="str">
        <f>IF($B897="","",IF(ISNA(MATCH($B897,账户名,0)),"※这个账户不在【参数设置】的账户档案里",IF($A897="","※没填日期，这一笔不会进任何月份的报表",IF(AND($G897&lt;&gt;"",$H897&lt;&gt;""),"※收入和支出不能同时填",IF(AND(N($G897)=0,N($H897)=0),"※收入和支出都没填",IF($E897="","※没填收支类别，分类报表会漏掉这一笔",IF(ISNA(MATCH($E897,类别表,0)),"※收支类别不在【参数设置】的清单里",IF($J897="","△"&amp;$D897&amp;" 还没填汇率，去【月度汇率】补上就自动算了",IF(YEAR($A897)&lt;&gt;管理年度,"△不是管理年度的单据，年报里看不到",IF(AND($F897="内部转账",$Q897=""),"△内部转账建议在「往来单位」写上对方账户",IF($M897&lt;0,"△这一笔之后该账户余额成负数了，核一下","")))))))))))</f>
        <v/>
      </c>
    </row>
    <row r="898" ht="16.5" spans="1:19">
      <c r="A898" s="45"/>
      <c r="B898" s="46"/>
      <c r="C898" s="12" t="str">
        <f>IF($B898="","",IFERROR(INDEX(账户银行,MATCH($B898,账户名,0)),""))</f>
        <v/>
      </c>
      <c r="D898" s="12" t="str">
        <f>IF($B898="","",IFERROR(INDEX(账户币种,MATCH($B898,账户名,0)),""))</f>
        <v/>
      </c>
      <c r="E898" s="47"/>
      <c r="F898" s="12" t="str">
        <f>IF($E898="","",IFERROR(INDEX(类别属性,MATCH($E898,类别表,0)),""))</f>
        <v/>
      </c>
      <c r="G898" s="48"/>
      <c r="H898" s="48"/>
      <c r="I898" s="49"/>
      <c r="J898" s="24" t="str">
        <f>IF(OR($A898="",$B898=""),"",IF($I898&lt;&gt;"",$I898,IF($D898=本位币,1,IFERROR(LOOKUP(2,1/((汇率月份&lt;=$A898)*(INDEX(记账汇率区,0,MATCH($D898,汇率币种头,0))&lt;&gt;"")),INDEX(记账汇率区,0,MATCH($D898,汇率币种头,0))),""))))</f>
        <v/>
      </c>
      <c r="K898" s="23" t="str">
        <f t="shared" si="26"/>
        <v/>
      </c>
      <c r="L898" s="23" t="str">
        <f t="shared" si="27"/>
        <v/>
      </c>
      <c r="M898" s="23" t="str">
        <f>IF($B898="","",ROUND(SUMIF(账户名,$B898,账户期初)+SUMIFS($K$6:K898,$B$6:B898,$B898),2))</f>
        <v/>
      </c>
      <c r="N898" s="23" t="str">
        <f>IF($B898="","",IFERROR(ROUND(INDEX(账户期初本位,MATCH($B898,账户名,0))+SUMIFS($L$6:L898,$B$6:B898,$B898),2),""))</f>
        <v/>
      </c>
      <c r="O898" s="46"/>
      <c r="P898" s="47"/>
      <c r="Q898" s="46"/>
      <c r="R898" s="46"/>
      <c r="S898" s="6" t="str">
        <f>IF($B898="","",IF(ISNA(MATCH($B898,账户名,0)),"※这个账户不在【参数设置】的账户档案里",IF($A898="","※没填日期，这一笔不会进任何月份的报表",IF(AND($G898&lt;&gt;"",$H898&lt;&gt;""),"※收入和支出不能同时填",IF(AND(N($G898)=0,N($H898)=0),"※收入和支出都没填",IF($E898="","※没填收支类别，分类报表会漏掉这一笔",IF(ISNA(MATCH($E898,类别表,0)),"※收支类别不在【参数设置】的清单里",IF($J898="","△"&amp;$D898&amp;" 还没填汇率，去【月度汇率】补上就自动算了",IF(YEAR($A898)&lt;&gt;管理年度,"△不是管理年度的单据，年报里看不到",IF(AND($F898="内部转账",$Q898=""),"△内部转账建议在「往来单位」写上对方账户",IF($M898&lt;0,"△这一笔之后该账户余额成负数了，核一下","")))))))))))</f>
        <v/>
      </c>
    </row>
    <row r="899" ht="16.5" spans="1:19">
      <c r="A899" s="45"/>
      <c r="B899" s="46"/>
      <c r="C899" s="12" t="str">
        <f>IF($B899="","",IFERROR(INDEX(账户银行,MATCH($B899,账户名,0)),""))</f>
        <v/>
      </c>
      <c r="D899" s="12" t="str">
        <f>IF($B899="","",IFERROR(INDEX(账户币种,MATCH($B899,账户名,0)),""))</f>
        <v/>
      </c>
      <c r="E899" s="47"/>
      <c r="F899" s="12" t="str">
        <f>IF($E899="","",IFERROR(INDEX(类别属性,MATCH($E899,类别表,0)),""))</f>
        <v/>
      </c>
      <c r="G899" s="48"/>
      <c r="H899" s="48"/>
      <c r="I899" s="49"/>
      <c r="J899" s="24" t="str">
        <f>IF(OR($A899="",$B899=""),"",IF($I899&lt;&gt;"",$I899,IF($D899=本位币,1,IFERROR(LOOKUP(2,1/((汇率月份&lt;=$A899)*(INDEX(记账汇率区,0,MATCH($D899,汇率币种头,0))&lt;&gt;"")),INDEX(记账汇率区,0,MATCH($D899,汇率币种头,0))),""))))</f>
        <v/>
      </c>
      <c r="K899" s="23" t="str">
        <f t="shared" si="26"/>
        <v/>
      </c>
      <c r="L899" s="23" t="str">
        <f t="shared" si="27"/>
        <v/>
      </c>
      <c r="M899" s="23" t="str">
        <f>IF($B899="","",ROUND(SUMIF(账户名,$B899,账户期初)+SUMIFS($K$6:K899,$B$6:B899,$B899),2))</f>
        <v/>
      </c>
      <c r="N899" s="23" t="str">
        <f>IF($B899="","",IFERROR(ROUND(INDEX(账户期初本位,MATCH($B899,账户名,0))+SUMIFS($L$6:L899,$B$6:B899,$B899),2),""))</f>
        <v/>
      </c>
      <c r="O899" s="46"/>
      <c r="P899" s="47"/>
      <c r="Q899" s="46"/>
      <c r="R899" s="46"/>
      <c r="S899" s="6" t="str">
        <f>IF($B899="","",IF(ISNA(MATCH($B899,账户名,0)),"※这个账户不在【参数设置】的账户档案里",IF($A899="","※没填日期，这一笔不会进任何月份的报表",IF(AND($G899&lt;&gt;"",$H899&lt;&gt;""),"※收入和支出不能同时填",IF(AND(N($G899)=0,N($H899)=0),"※收入和支出都没填",IF($E899="","※没填收支类别，分类报表会漏掉这一笔",IF(ISNA(MATCH($E899,类别表,0)),"※收支类别不在【参数设置】的清单里",IF($J899="","△"&amp;$D899&amp;" 还没填汇率，去【月度汇率】补上就自动算了",IF(YEAR($A899)&lt;&gt;管理年度,"△不是管理年度的单据，年报里看不到",IF(AND($F899="内部转账",$Q899=""),"△内部转账建议在「往来单位」写上对方账户",IF($M899&lt;0,"△这一笔之后该账户余额成负数了，核一下","")))))))))))</f>
        <v/>
      </c>
    </row>
    <row r="900" ht="16.5" spans="1:19">
      <c r="A900" s="45"/>
      <c r="B900" s="46"/>
      <c r="C900" s="12" t="str">
        <f>IF($B900="","",IFERROR(INDEX(账户银行,MATCH($B900,账户名,0)),""))</f>
        <v/>
      </c>
      <c r="D900" s="12" t="str">
        <f>IF($B900="","",IFERROR(INDEX(账户币种,MATCH($B900,账户名,0)),""))</f>
        <v/>
      </c>
      <c r="E900" s="47"/>
      <c r="F900" s="12" t="str">
        <f>IF($E900="","",IFERROR(INDEX(类别属性,MATCH($E900,类别表,0)),""))</f>
        <v/>
      </c>
      <c r="G900" s="48"/>
      <c r="H900" s="48"/>
      <c r="I900" s="49"/>
      <c r="J900" s="24" t="str">
        <f>IF(OR($A900="",$B900=""),"",IF($I900&lt;&gt;"",$I900,IF($D900=本位币,1,IFERROR(LOOKUP(2,1/((汇率月份&lt;=$A900)*(INDEX(记账汇率区,0,MATCH($D900,汇率币种头,0))&lt;&gt;"")),INDEX(记账汇率区,0,MATCH($D900,汇率币种头,0))),""))))</f>
        <v/>
      </c>
      <c r="K900" s="23" t="str">
        <f t="shared" si="26"/>
        <v/>
      </c>
      <c r="L900" s="23" t="str">
        <f t="shared" si="27"/>
        <v/>
      </c>
      <c r="M900" s="23" t="str">
        <f>IF($B900="","",ROUND(SUMIF(账户名,$B900,账户期初)+SUMIFS($K$6:K900,$B$6:B900,$B900),2))</f>
        <v/>
      </c>
      <c r="N900" s="23" t="str">
        <f>IF($B900="","",IFERROR(ROUND(INDEX(账户期初本位,MATCH($B900,账户名,0))+SUMIFS($L$6:L900,$B$6:B900,$B900),2),""))</f>
        <v/>
      </c>
      <c r="O900" s="46"/>
      <c r="P900" s="47"/>
      <c r="Q900" s="46"/>
      <c r="R900" s="46"/>
      <c r="S900" s="6" t="str">
        <f>IF($B900="","",IF(ISNA(MATCH($B900,账户名,0)),"※这个账户不在【参数设置】的账户档案里",IF($A900="","※没填日期，这一笔不会进任何月份的报表",IF(AND($G900&lt;&gt;"",$H900&lt;&gt;""),"※收入和支出不能同时填",IF(AND(N($G900)=0,N($H900)=0),"※收入和支出都没填",IF($E900="","※没填收支类别，分类报表会漏掉这一笔",IF(ISNA(MATCH($E900,类别表,0)),"※收支类别不在【参数设置】的清单里",IF($J900="","△"&amp;$D900&amp;" 还没填汇率，去【月度汇率】补上就自动算了",IF(YEAR($A900)&lt;&gt;管理年度,"△不是管理年度的单据，年报里看不到",IF(AND($F900="内部转账",$Q900=""),"△内部转账建议在「往来单位」写上对方账户",IF($M900&lt;0,"△这一笔之后该账户余额成负数了，核一下","")))))))))))</f>
        <v/>
      </c>
    </row>
    <row r="901" ht="16.5" spans="1:19">
      <c r="A901" s="45"/>
      <c r="B901" s="46"/>
      <c r="C901" s="12" t="str">
        <f>IF($B901="","",IFERROR(INDEX(账户银行,MATCH($B901,账户名,0)),""))</f>
        <v/>
      </c>
      <c r="D901" s="12" t="str">
        <f>IF($B901="","",IFERROR(INDEX(账户币种,MATCH($B901,账户名,0)),""))</f>
        <v/>
      </c>
      <c r="E901" s="47"/>
      <c r="F901" s="12" t="str">
        <f>IF($E901="","",IFERROR(INDEX(类别属性,MATCH($E901,类别表,0)),""))</f>
        <v/>
      </c>
      <c r="G901" s="48"/>
      <c r="H901" s="48"/>
      <c r="I901" s="49"/>
      <c r="J901" s="24" t="str">
        <f>IF(OR($A901="",$B901=""),"",IF($I901&lt;&gt;"",$I901,IF($D901=本位币,1,IFERROR(LOOKUP(2,1/((汇率月份&lt;=$A901)*(INDEX(记账汇率区,0,MATCH($D901,汇率币种头,0))&lt;&gt;"")),INDEX(记账汇率区,0,MATCH($D901,汇率币种头,0))),""))))</f>
        <v/>
      </c>
      <c r="K901" s="23" t="str">
        <f t="shared" si="26"/>
        <v/>
      </c>
      <c r="L901" s="23" t="str">
        <f t="shared" si="27"/>
        <v/>
      </c>
      <c r="M901" s="23" t="str">
        <f>IF($B901="","",ROUND(SUMIF(账户名,$B901,账户期初)+SUMIFS($K$6:K901,$B$6:B901,$B901),2))</f>
        <v/>
      </c>
      <c r="N901" s="23" t="str">
        <f>IF($B901="","",IFERROR(ROUND(INDEX(账户期初本位,MATCH($B901,账户名,0))+SUMIFS($L$6:L901,$B$6:B901,$B901),2),""))</f>
        <v/>
      </c>
      <c r="O901" s="46"/>
      <c r="P901" s="47"/>
      <c r="Q901" s="46"/>
      <c r="R901" s="46"/>
      <c r="S901" s="6" t="str">
        <f>IF($B901="","",IF(ISNA(MATCH($B901,账户名,0)),"※这个账户不在【参数设置】的账户档案里",IF($A901="","※没填日期，这一笔不会进任何月份的报表",IF(AND($G901&lt;&gt;"",$H901&lt;&gt;""),"※收入和支出不能同时填",IF(AND(N($G901)=0,N($H901)=0),"※收入和支出都没填",IF($E901="","※没填收支类别，分类报表会漏掉这一笔",IF(ISNA(MATCH($E901,类别表,0)),"※收支类别不在【参数设置】的清单里",IF($J901="","△"&amp;$D901&amp;" 还没填汇率，去【月度汇率】补上就自动算了",IF(YEAR($A901)&lt;&gt;管理年度,"△不是管理年度的单据，年报里看不到",IF(AND($F901="内部转账",$Q901=""),"△内部转账建议在「往来单位」写上对方账户",IF($M901&lt;0,"△这一笔之后该账户余额成负数了，核一下","")))))))))))</f>
        <v/>
      </c>
    </row>
    <row r="902" ht="16.5" spans="1:19">
      <c r="A902" s="45"/>
      <c r="B902" s="46"/>
      <c r="C902" s="12" t="str">
        <f>IF($B902="","",IFERROR(INDEX(账户银行,MATCH($B902,账户名,0)),""))</f>
        <v/>
      </c>
      <c r="D902" s="12" t="str">
        <f>IF($B902="","",IFERROR(INDEX(账户币种,MATCH($B902,账户名,0)),""))</f>
        <v/>
      </c>
      <c r="E902" s="47"/>
      <c r="F902" s="12" t="str">
        <f>IF($E902="","",IFERROR(INDEX(类别属性,MATCH($E902,类别表,0)),""))</f>
        <v/>
      </c>
      <c r="G902" s="48"/>
      <c r="H902" s="48"/>
      <c r="I902" s="49"/>
      <c r="J902" s="24" t="str">
        <f>IF(OR($A902="",$B902=""),"",IF($I902&lt;&gt;"",$I902,IF($D902=本位币,1,IFERROR(LOOKUP(2,1/((汇率月份&lt;=$A902)*(INDEX(记账汇率区,0,MATCH($D902,汇率币种头,0))&lt;&gt;"")),INDEX(记账汇率区,0,MATCH($D902,汇率币种头,0))),""))))</f>
        <v/>
      </c>
      <c r="K902" s="23" t="str">
        <f t="shared" ref="K902:K965" si="28">IF(AND($G902="",$H902=""),"",ROUND(N($G902)-N($H902),2))</f>
        <v/>
      </c>
      <c r="L902" s="23" t="str">
        <f t="shared" ref="L902:L965" si="29">IF(OR($K902="",$J902=""),"",ROUND($K902*$J902,2))</f>
        <v/>
      </c>
      <c r="M902" s="23" t="str">
        <f>IF($B902="","",ROUND(SUMIF(账户名,$B902,账户期初)+SUMIFS($K$6:K902,$B$6:B902,$B902),2))</f>
        <v/>
      </c>
      <c r="N902" s="23" t="str">
        <f>IF($B902="","",IFERROR(ROUND(INDEX(账户期初本位,MATCH($B902,账户名,0))+SUMIFS($L$6:L902,$B$6:B902,$B902),2),""))</f>
        <v/>
      </c>
      <c r="O902" s="46"/>
      <c r="P902" s="47"/>
      <c r="Q902" s="46"/>
      <c r="R902" s="46"/>
      <c r="S902" s="6" t="str">
        <f>IF($B902="","",IF(ISNA(MATCH($B902,账户名,0)),"※这个账户不在【参数设置】的账户档案里",IF($A902="","※没填日期，这一笔不会进任何月份的报表",IF(AND($G902&lt;&gt;"",$H902&lt;&gt;""),"※收入和支出不能同时填",IF(AND(N($G902)=0,N($H902)=0),"※收入和支出都没填",IF($E902="","※没填收支类别，分类报表会漏掉这一笔",IF(ISNA(MATCH($E902,类别表,0)),"※收支类别不在【参数设置】的清单里",IF($J902="","△"&amp;$D902&amp;" 还没填汇率，去【月度汇率】补上就自动算了",IF(YEAR($A902)&lt;&gt;管理年度,"△不是管理年度的单据，年报里看不到",IF(AND($F902="内部转账",$Q902=""),"△内部转账建议在「往来单位」写上对方账户",IF($M902&lt;0,"△这一笔之后该账户余额成负数了，核一下","")))))))))))</f>
        <v/>
      </c>
    </row>
    <row r="903" ht="16.5" spans="1:19">
      <c r="A903" s="45"/>
      <c r="B903" s="46"/>
      <c r="C903" s="12" t="str">
        <f>IF($B903="","",IFERROR(INDEX(账户银行,MATCH($B903,账户名,0)),""))</f>
        <v/>
      </c>
      <c r="D903" s="12" t="str">
        <f>IF($B903="","",IFERROR(INDEX(账户币种,MATCH($B903,账户名,0)),""))</f>
        <v/>
      </c>
      <c r="E903" s="47"/>
      <c r="F903" s="12" t="str">
        <f>IF($E903="","",IFERROR(INDEX(类别属性,MATCH($E903,类别表,0)),""))</f>
        <v/>
      </c>
      <c r="G903" s="48"/>
      <c r="H903" s="48"/>
      <c r="I903" s="49"/>
      <c r="J903" s="24" t="str">
        <f>IF(OR($A903="",$B903=""),"",IF($I903&lt;&gt;"",$I903,IF($D903=本位币,1,IFERROR(LOOKUP(2,1/((汇率月份&lt;=$A903)*(INDEX(记账汇率区,0,MATCH($D903,汇率币种头,0))&lt;&gt;"")),INDEX(记账汇率区,0,MATCH($D903,汇率币种头,0))),""))))</f>
        <v/>
      </c>
      <c r="K903" s="23" t="str">
        <f t="shared" si="28"/>
        <v/>
      </c>
      <c r="L903" s="23" t="str">
        <f t="shared" si="29"/>
        <v/>
      </c>
      <c r="M903" s="23" t="str">
        <f>IF($B903="","",ROUND(SUMIF(账户名,$B903,账户期初)+SUMIFS($K$6:K903,$B$6:B903,$B903),2))</f>
        <v/>
      </c>
      <c r="N903" s="23" t="str">
        <f>IF($B903="","",IFERROR(ROUND(INDEX(账户期初本位,MATCH($B903,账户名,0))+SUMIFS($L$6:L903,$B$6:B903,$B903),2),""))</f>
        <v/>
      </c>
      <c r="O903" s="46"/>
      <c r="P903" s="47"/>
      <c r="Q903" s="46"/>
      <c r="R903" s="46"/>
      <c r="S903" s="6" t="str">
        <f>IF($B903="","",IF(ISNA(MATCH($B903,账户名,0)),"※这个账户不在【参数设置】的账户档案里",IF($A903="","※没填日期，这一笔不会进任何月份的报表",IF(AND($G903&lt;&gt;"",$H903&lt;&gt;""),"※收入和支出不能同时填",IF(AND(N($G903)=0,N($H903)=0),"※收入和支出都没填",IF($E903="","※没填收支类别，分类报表会漏掉这一笔",IF(ISNA(MATCH($E903,类别表,0)),"※收支类别不在【参数设置】的清单里",IF($J903="","△"&amp;$D903&amp;" 还没填汇率，去【月度汇率】补上就自动算了",IF(YEAR($A903)&lt;&gt;管理年度,"△不是管理年度的单据，年报里看不到",IF(AND($F903="内部转账",$Q903=""),"△内部转账建议在「往来单位」写上对方账户",IF($M903&lt;0,"△这一笔之后该账户余额成负数了，核一下","")))))))))))</f>
        <v/>
      </c>
    </row>
    <row r="904" ht="16.5" spans="1:19">
      <c r="A904" s="45"/>
      <c r="B904" s="46"/>
      <c r="C904" s="12" t="str">
        <f>IF($B904="","",IFERROR(INDEX(账户银行,MATCH($B904,账户名,0)),""))</f>
        <v/>
      </c>
      <c r="D904" s="12" t="str">
        <f>IF($B904="","",IFERROR(INDEX(账户币种,MATCH($B904,账户名,0)),""))</f>
        <v/>
      </c>
      <c r="E904" s="47"/>
      <c r="F904" s="12" t="str">
        <f>IF($E904="","",IFERROR(INDEX(类别属性,MATCH($E904,类别表,0)),""))</f>
        <v/>
      </c>
      <c r="G904" s="48"/>
      <c r="H904" s="48"/>
      <c r="I904" s="49"/>
      <c r="J904" s="24" t="str">
        <f>IF(OR($A904="",$B904=""),"",IF($I904&lt;&gt;"",$I904,IF($D904=本位币,1,IFERROR(LOOKUP(2,1/((汇率月份&lt;=$A904)*(INDEX(记账汇率区,0,MATCH($D904,汇率币种头,0))&lt;&gt;"")),INDEX(记账汇率区,0,MATCH($D904,汇率币种头,0))),""))))</f>
        <v/>
      </c>
      <c r="K904" s="23" t="str">
        <f t="shared" si="28"/>
        <v/>
      </c>
      <c r="L904" s="23" t="str">
        <f t="shared" si="29"/>
        <v/>
      </c>
      <c r="M904" s="23" t="str">
        <f>IF($B904="","",ROUND(SUMIF(账户名,$B904,账户期初)+SUMIFS($K$6:K904,$B$6:B904,$B904),2))</f>
        <v/>
      </c>
      <c r="N904" s="23" t="str">
        <f>IF($B904="","",IFERROR(ROUND(INDEX(账户期初本位,MATCH($B904,账户名,0))+SUMIFS($L$6:L904,$B$6:B904,$B904),2),""))</f>
        <v/>
      </c>
      <c r="O904" s="46"/>
      <c r="P904" s="47"/>
      <c r="Q904" s="46"/>
      <c r="R904" s="46"/>
      <c r="S904" s="6" t="str">
        <f>IF($B904="","",IF(ISNA(MATCH($B904,账户名,0)),"※这个账户不在【参数设置】的账户档案里",IF($A904="","※没填日期，这一笔不会进任何月份的报表",IF(AND($G904&lt;&gt;"",$H904&lt;&gt;""),"※收入和支出不能同时填",IF(AND(N($G904)=0,N($H904)=0),"※收入和支出都没填",IF($E904="","※没填收支类别，分类报表会漏掉这一笔",IF(ISNA(MATCH($E904,类别表,0)),"※收支类别不在【参数设置】的清单里",IF($J904="","△"&amp;$D904&amp;" 还没填汇率，去【月度汇率】补上就自动算了",IF(YEAR($A904)&lt;&gt;管理年度,"△不是管理年度的单据，年报里看不到",IF(AND($F904="内部转账",$Q904=""),"△内部转账建议在「往来单位」写上对方账户",IF($M904&lt;0,"△这一笔之后该账户余额成负数了，核一下","")))))))))))</f>
        <v/>
      </c>
    </row>
    <row r="905" ht="16.5" spans="1:19">
      <c r="A905" s="45"/>
      <c r="B905" s="46"/>
      <c r="C905" s="12" t="str">
        <f>IF($B905="","",IFERROR(INDEX(账户银行,MATCH($B905,账户名,0)),""))</f>
        <v/>
      </c>
      <c r="D905" s="12" t="str">
        <f>IF($B905="","",IFERROR(INDEX(账户币种,MATCH($B905,账户名,0)),""))</f>
        <v/>
      </c>
      <c r="E905" s="47"/>
      <c r="F905" s="12" t="str">
        <f>IF($E905="","",IFERROR(INDEX(类别属性,MATCH($E905,类别表,0)),""))</f>
        <v/>
      </c>
      <c r="G905" s="48"/>
      <c r="H905" s="48"/>
      <c r="I905" s="49"/>
      <c r="J905" s="24" t="str">
        <f>IF(OR($A905="",$B905=""),"",IF($I905&lt;&gt;"",$I905,IF($D905=本位币,1,IFERROR(LOOKUP(2,1/((汇率月份&lt;=$A905)*(INDEX(记账汇率区,0,MATCH($D905,汇率币种头,0))&lt;&gt;"")),INDEX(记账汇率区,0,MATCH($D905,汇率币种头,0))),""))))</f>
        <v/>
      </c>
      <c r="K905" s="23" t="str">
        <f t="shared" si="28"/>
        <v/>
      </c>
      <c r="L905" s="23" t="str">
        <f t="shared" si="29"/>
        <v/>
      </c>
      <c r="M905" s="23" t="str">
        <f>IF($B905="","",ROUND(SUMIF(账户名,$B905,账户期初)+SUMIFS($K$6:K905,$B$6:B905,$B905),2))</f>
        <v/>
      </c>
      <c r="N905" s="23" t="str">
        <f>IF($B905="","",IFERROR(ROUND(INDEX(账户期初本位,MATCH($B905,账户名,0))+SUMIFS($L$6:L905,$B$6:B905,$B905),2),""))</f>
        <v/>
      </c>
      <c r="O905" s="46"/>
      <c r="P905" s="47"/>
      <c r="Q905" s="46"/>
      <c r="R905" s="46"/>
      <c r="S905" s="6" t="str">
        <f>IF($B905="","",IF(ISNA(MATCH($B905,账户名,0)),"※这个账户不在【参数设置】的账户档案里",IF($A905="","※没填日期，这一笔不会进任何月份的报表",IF(AND($G905&lt;&gt;"",$H905&lt;&gt;""),"※收入和支出不能同时填",IF(AND(N($G905)=0,N($H905)=0),"※收入和支出都没填",IF($E905="","※没填收支类别，分类报表会漏掉这一笔",IF(ISNA(MATCH($E905,类别表,0)),"※收支类别不在【参数设置】的清单里",IF($J905="","△"&amp;$D905&amp;" 还没填汇率，去【月度汇率】补上就自动算了",IF(YEAR($A905)&lt;&gt;管理年度,"△不是管理年度的单据，年报里看不到",IF(AND($F905="内部转账",$Q905=""),"△内部转账建议在「往来单位」写上对方账户",IF($M905&lt;0,"△这一笔之后该账户余额成负数了，核一下","")))))))))))</f>
        <v/>
      </c>
    </row>
    <row r="906" ht="16.5" spans="1:19">
      <c r="A906" s="45"/>
      <c r="B906" s="46"/>
      <c r="C906" s="12" t="str">
        <f>IF($B906="","",IFERROR(INDEX(账户银行,MATCH($B906,账户名,0)),""))</f>
        <v/>
      </c>
      <c r="D906" s="12" t="str">
        <f>IF($B906="","",IFERROR(INDEX(账户币种,MATCH($B906,账户名,0)),""))</f>
        <v/>
      </c>
      <c r="E906" s="47"/>
      <c r="F906" s="12" t="str">
        <f>IF($E906="","",IFERROR(INDEX(类别属性,MATCH($E906,类别表,0)),""))</f>
        <v/>
      </c>
      <c r="G906" s="48"/>
      <c r="H906" s="48"/>
      <c r="I906" s="49"/>
      <c r="J906" s="24" t="str">
        <f>IF(OR($A906="",$B906=""),"",IF($I906&lt;&gt;"",$I906,IF($D906=本位币,1,IFERROR(LOOKUP(2,1/((汇率月份&lt;=$A906)*(INDEX(记账汇率区,0,MATCH($D906,汇率币种头,0))&lt;&gt;"")),INDEX(记账汇率区,0,MATCH($D906,汇率币种头,0))),""))))</f>
        <v/>
      </c>
      <c r="K906" s="23" t="str">
        <f t="shared" si="28"/>
        <v/>
      </c>
      <c r="L906" s="23" t="str">
        <f t="shared" si="29"/>
        <v/>
      </c>
      <c r="M906" s="23" t="str">
        <f>IF($B906="","",ROUND(SUMIF(账户名,$B906,账户期初)+SUMIFS($K$6:K906,$B$6:B906,$B906),2))</f>
        <v/>
      </c>
      <c r="N906" s="23" t="str">
        <f>IF($B906="","",IFERROR(ROUND(INDEX(账户期初本位,MATCH($B906,账户名,0))+SUMIFS($L$6:L906,$B$6:B906,$B906),2),""))</f>
        <v/>
      </c>
      <c r="O906" s="46"/>
      <c r="P906" s="47"/>
      <c r="Q906" s="46"/>
      <c r="R906" s="46"/>
      <c r="S906" s="6" t="str">
        <f>IF($B906="","",IF(ISNA(MATCH($B906,账户名,0)),"※这个账户不在【参数设置】的账户档案里",IF($A906="","※没填日期，这一笔不会进任何月份的报表",IF(AND($G906&lt;&gt;"",$H906&lt;&gt;""),"※收入和支出不能同时填",IF(AND(N($G906)=0,N($H906)=0),"※收入和支出都没填",IF($E906="","※没填收支类别，分类报表会漏掉这一笔",IF(ISNA(MATCH($E906,类别表,0)),"※收支类别不在【参数设置】的清单里",IF($J906="","△"&amp;$D906&amp;" 还没填汇率，去【月度汇率】补上就自动算了",IF(YEAR($A906)&lt;&gt;管理年度,"△不是管理年度的单据，年报里看不到",IF(AND($F906="内部转账",$Q906=""),"△内部转账建议在「往来单位」写上对方账户",IF($M906&lt;0,"△这一笔之后该账户余额成负数了，核一下","")))))))))))</f>
        <v/>
      </c>
    </row>
    <row r="907" ht="16.5" spans="1:19">
      <c r="A907" s="45"/>
      <c r="B907" s="46"/>
      <c r="C907" s="12" t="str">
        <f>IF($B907="","",IFERROR(INDEX(账户银行,MATCH($B907,账户名,0)),""))</f>
        <v/>
      </c>
      <c r="D907" s="12" t="str">
        <f>IF($B907="","",IFERROR(INDEX(账户币种,MATCH($B907,账户名,0)),""))</f>
        <v/>
      </c>
      <c r="E907" s="47"/>
      <c r="F907" s="12" t="str">
        <f>IF($E907="","",IFERROR(INDEX(类别属性,MATCH($E907,类别表,0)),""))</f>
        <v/>
      </c>
      <c r="G907" s="48"/>
      <c r="H907" s="48"/>
      <c r="I907" s="49"/>
      <c r="J907" s="24" t="str">
        <f>IF(OR($A907="",$B907=""),"",IF($I907&lt;&gt;"",$I907,IF($D907=本位币,1,IFERROR(LOOKUP(2,1/((汇率月份&lt;=$A907)*(INDEX(记账汇率区,0,MATCH($D907,汇率币种头,0))&lt;&gt;"")),INDEX(记账汇率区,0,MATCH($D907,汇率币种头,0))),""))))</f>
        <v/>
      </c>
      <c r="K907" s="23" t="str">
        <f t="shared" si="28"/>
        <v/>
      </c>
      <c r="L907" s="23" t="str">
        <f t="shared" si="29"/>
        <v/>
      </c>
      <c r="M907" s="23" t="str">
        <f>IF($B907="","",ROUND(SUMIF(账户名,$B907,账户期初)+SUMIFS($K$6:K907,$B$6:B907,$B907),2))</f>
        <v/>
      </c>
      <c r="N907" s="23" t="str">
        <f>IF($B907="","",IFERROR(ROUND(INDEX(账户期初本位,MATCH($B907,账户名,0))+SUMIFS($L$6:L907,$B$6:B907,$B907),2),""))</f>
        <v/>
      </c>
      <c r="O907" s="46"/>
      <c r="P907" s="47"/>
      <c r="Q907" s="46"/>
      <c r="R907" s="46"/>
      <c r="S907" s="6" t="str">
        <f>IF($B907="","",IF(ISNA(MATCH($B907,账户名,0)),"※这个账户不在【参数设置】的账户档案里",IF($A907="","※没填日期，这一笔不会进任何月份的报表",IF(AND($G907&lt;&gt;"",$H907&lt;&gt;""),"※收入和支出不能同时填",IF(AND(N($G907)=0,N($H907)=0),"※收入和支出都没填",IF($E907="","※没填收支类别，分类报表会漏掉这一笔",IF(ISNA(MATCH($E907,类别表,0)),"※收支类别不在【参数设置】的清单里",IF($J907="","△"&amp;$D907&amp;" 还没填汇率，去【月度汇率】补上就自动算了",IF(YEAR($A907)&lt;&gt;管理年度,"△不是管理年度的单据，年报里看不到",IF(AND($F907="内部转账",$Q907=""),"△内部转账建议在「往来单位」写上对方账户",IF($M907&lt;0,"△这一笔之后该账户余额成负数了，核一下","")))))))))))</f>
        <v/>
      </c>
    </row>
    <row r="908" ht="16.5" spans="1:19">
      <c r="A908" s="45"/>
      <c r="B908" s="46"/>
      <c r="C908" s="12" t="str">
        <f>IF($B908="","",IFERROR(INDEX(账户银行,MATCH($B908,账户名,0)),""))</f>
        <v/>
      </c>
      <c r="D908" s="12" t="str">
        <f>IF($B908="","",IFERROR(INDEX(账户币种,MATCH($B908,账户名,0)),""))</f>
        <v/>
      </c>
      <c r="E908" s="47"/>
      <c r="F908" s="12" t="str">
        <f>IF($E908="","",IFERROR(INDEX(类别属性,MATCH($E908,类别表,0)),""))</f>
        <v/>
      </c>
      <c r="G908" s="48"/>
      <c r="H908" s="48"/>
      <c r="I908" s="49"/>
      <c r="J908" s="24" t="str">
        <f>IF(OR($A908="",$B908=""),"",IF($I908&lt;&gt;"",$I908,IF($D908=本位币,1,IFERROR(LOOKUP(2,1/((汇率月份&lt;=$A908)*(INDEX(记账汇率区,0,MATCH($D908,汇率币种头,0))&lt;&gt;"")),INDEX(记账汇率区,0,MATCH($D908,汇率币种头,0))),""))))</f>
        <v/>
      </c>
      <c r="K908" s="23" t="str">
        <f t="shared" si="28"/>
        <v/>
      </c>
      <c r="L908" s="23" t="str">
        <f t="shared" si="29"/>
        <v/>
      </c>
      <c r="M908" s="23" t="str">
        <f>IF($B908="","",ROUND(SUMIF(账户名,$B908,账户期初)+SUMIFS($K$6:K908,$B$6:B908,$B908),2))</f>
        <v/>
      </c>
      <c r="N908" s="23" t="str">
        <f>IF($B908="","",IFERROR(ROUND(INDEX(账户期初本位,MATCH($B908,账户名,0))+SUMIFS($L$6:L908,$B$6:B908,$B908),2),""))</f>
        <v/>
      </c>
      <c r="O908" s="46"/>
      <c r="P908" s="47"/>
      <c r="Q908" s="46"/>
      <c r="R908" s="46"/>
      <c r="S908" s="6" t="str">
        <f>IF($B908="","",IF(ISNA(MATCH($B908,账户名,0)),"※这个账户不在【参数设置】的账户档案里",IF($A908="","※没填日期，这一笔不会进任何月份的报表",IF(AND($G908&lt;&gt;"",$H908&lt;&gt;""),"※收入和支出不能同时填",IF(AND(N($G908)=0,N($H908)=0),"※收入和支出都没填",IF($E908="","※没填收支类别，分类报表会漏掉这一笔",IF(ISNA(MATCH($E908,类别表,0)),"※收支类别不在【参数设置】的清单里",IF($J908="","△"&amp;$D908&amp;" 还没填汇率，去【月度汇率】补上就自动算了",IF(YEAR($A908)&lt;&gt;管理年度,"△不是管理年度的单据，年报里看不到",IF(AND($F908="内部转账",$Q908=""),"△内部转账建议在「往来单位」写上对方账户",IF($M908&lt;0,"△这一笔之后该账户余额成负数了，核一下","")))))))))))</f>
        <v/>
      </c>
    </row>
    <row r="909" ht="16.5" spans="1:19">
      <c r="A909" s="45"/>
      <c r="B909" s="46"/>
      <c r="C909" s="12" t="str">
        <f>IF($B909="","",IFERROR(INDEX(账户银行,MATCH($B909,账户名,0)),""))</f>
        <v/>
      </c>
      <c r="D909" s="12" t="str">
        <f>IF($B909="","",IFERROR(INDEX(账户币种,MATCH($B909,账户名,0)),""))</f>
        <v/>
      </c>
      <c r="E909" s="47"/>
      <c r="F909" s="12" t="str">
        <f>IF($E909="","",IFERROR(INDEX(类别属性,MATCH($E909,类别表,0)),""))</f>
        <v/>
      </c>
      <c r="G909" s="48"/>
      <c r="H909" s="48"/>
      <c r="I909" s="49"/>
      <c r="J909" s="24" t="str">
        <f>IF(OR($A909="",$B909=""),"",IF($I909&lt;&gt;"",$I909,IF($D909=本位币,1,IFERROR(LOOKUP(2,1/((汇率月份&lt;=$A909)*(INDEX(记账汇率区,0,MATCH($D909,汇率币种头,0))&lt;&gt;"")),INDEX(记账汇率区,0,MATCH($D909,汇率币种头,0))),""))))</f>
        <v/>
      </c>
      <c r="K909" s="23" t="str">
        <f t="shared" si="28"/>
        <v/>
      </c>
      <c r="L909" s="23" t="str">
        <f t="shared" si="29"/>
        <v/>
      </c>
      <c r="M909" s="23" t="str">
        <f>IF($B909="","",ROUND(SUMIF(账户名,$B909,账户期初)+SUMIFS($K$6:K909,$B$6:B909,$B909),2))</f>
        <v/>
      </c>
      <c r="N909" s="23" t="str">
        <f>IF($B909="","",IFERROR(ROUND(INDEX(账户期初本位,MATCH($B909,账户名,0))+SUMIFS($L$6:L909,$B$6:B909,$B909),2),""))</f>
        <v/>
      </c>
      <c r="O909" s="46"/>
      <c r="P909" s="47"/>
      <c r="Q909" s="46"/>
      <c r="R909" s="46"/>
      <c r="S909" s="6" t="str">
        <f>IF($B909="","",IF(ISNA(MATCH($B909,账户名,0)),"※这个账户不在【参数设置】的账户档案里",IF($A909="","※没填日期，这一笔不会进任何月份的报表",IF(AND($G909&lt;&gt;"",$H909&lt;&gt;""),"※收入和支出不能同时填",IF(AND(N($G909)=0,N($H909)=0),"※收入和支出都没填",IF($E909="","※没填收支类别，分类报表会漏掉这一笔",IF(ISNA(MATCH($E909,类别表,0)),"※收支类别不在【参数设置】的清单里",IF($J909="","△"&amp;$D909&amp;" 还没填汇率，去【月度汇率】补上就自动算了",IF(YEAR($A909)&lt;&gt;管理年度,"△不是管理年度的单据，年报里看不到",IF(AND($F909="内部转账",$Q909=""),"△内部转账建议在「往来单位」写上对方账户",IF($M909&lt;0,"△这一笔之后该账户余额成负数了，核一下","")))))))))))</f>
        <v/>
      </c>
    </row>
    <row r="910" ht="16.5" spans="1:19">
      <c r="A910" s="45"/>
      <c r="B910" s="46"/>
      <c r="C910" s="12" t="str">
        <f>IF($B910="","",IFERROR(INDEX(账户银行,MATCH($B910,账户名,0)),""))</f>
        <v/>
      </c>
      <c r="D910" s="12" t="str">
        <f>IF($B910="","",IFERROR(INDEX(账户币种,MATCH($B910,账户名,0)),""))</f>
        <v/>
      </c>
      <c r="E910" s="47"/>
      <c r="F910" s="12" t="str">
        <f>IF($E910="","",IFERROR(INDEX(类别属性,MATCH($E910,类别表,0)),""))</f>
        <v/>
      </c>
      <c r="G910" s="48"/>
      <c r="H910" s="48"/>
      <c r="I910" s="49"/>
      <c r="J910" s="24" t="str">
        <f>IF(OR($A910="",$B910=""),"",IF($I910&lt;&gt;"",$I910,IF($D910=本位币,1,IFERROR(LOOKUP(2,1/((汇率月份&lt;=$A910)*(INDEX(记账汇率区,0,MATCH($D910,汇率币种头,0))&lt;&gt;"")),INDEX(记账汇率区,0,MATCH($D910,汇率币种头,0))),""))))</f>
        <v/>
      </c>
      <c r="K910" s="23" t="str">
        <f t="shared" si="28"/>
        <v/>
      </c>
      <c r="L910" s="23" t="str">
        <f t="shared" si="29"/>
        <v/>
      </c>
      <c r="M910" s="23" t="str">
        <f>IF($B910="","",ROUND(SUMIF(账户名,$B910,账户期初)+SUMIFS($K$6:K910,$B$6:B910,$B910),2))</f>
        <v/>
      </c>
      <c r="N910" s="23" t="str">
        <f>IF($B910="","",IFERROR(ROUND(INDEX(账户期初本位,MATCH($B910,账户名,0))+SUMIFS($L$6:L910,$B$6:B910,$B910),2),""))</f>
        <v/>
      </c>
      <c r="O910" s="46"/>
      <c r="P910" s="47"/>
      <c r="Q910" s="46"/>
      <c r="R910" s="46"/>
      <c r="S910" s="6" t="str">
        <f>IF($B910="","",IF(ISNA(MATCH($B910,账户名,0)),"※这个账户不在【参数设置】的账户档案里",IF($A910="","※没填日期，这一笔不会进任何月份的报表",IF(AND($G910&lt;&gt;"",$H910&lt;&gt;""),"※收入和支出不能同时填",IF(AND(N($G910)=0,N($H910)=0),"※收入和支出都没填",IF($E910="","※没填收支类别，分类报表会漏掉这一笔",IF(ISNA(MATCH($E910,类别表,0)),"※收支类别不在【参数设置】的清单里",IF($J910="","△"&amp;$D910&amp;" 还没填汇率，去【月度汇率】补上就自动算了",IF(YEAR($A910)&lt;&gt;管理年度,"△不是管理年度的单据，年报里看不到",IF(AND($F910="内部转账",$Q910=""),"△内部转账建议在「往来单位」写上对方账户",IF($M910&lt;0,"△这一笔之后该账户余额成负数了，核一下","")))))))))))</f>
        <v/>
      </c>
    </row>
    <row r="911" ht="16.5" spans="1:19">
      <c r="A911" s="45"/>
      <c r="B911" s="46"/>
      <c r="C911" s="12" t="str">
        <f>IF($B911="","",IFERROR(INDEX(账户银行,MATCH($B911,账户名,0)),""))</f>
        <v/>
      </c>
      <c r="D911" s="12" t="str">
        <f>IF($B911="","",IFERROR(INDEX(账户币种,MATCH($B911,账户名,0)),""))</f>
        <v/>
      </c>
      <c r="E911" s="47"/>
      <c r="F911" s="12" t="str">
        <f>IF($E911="","",IFERROR(INDEX(类别属性,MATCH($E911,类别表,0)),""))</f>
        <v/>
      </c>
      <c r="G911" s="48"/>
      <c r="H911" s="48"/>
      <c r="I911" s="49"/>
      <c r="J911" s="24" t="str">
        <f>IF(OR($A911="",$B911=""),"",IF($I911&lt;&gt;"",$I911,IF($D911=本位币,1,IFERROR(LOOKUP(2,1/((汇率月份&lt;=$A911)*(INDEX(记账汇率区,0,MATCH($D911,汇率币种头,0))&lt;&gt;"")),INDEX(记账汇率区,0,MATCH($D911,汇率币种头,0))),""))))</f>
        <v/>
      </c>
      <c r="K911" s="23" t="str">
        <f t="shared" si="28"/>
        <v/>
      </c>
      <c r="L911" s="23" t="str">
        <f t="shared" si="29"/>
        <v/>
      </c>
      <c r="M911" s="23" t="str">
        <f>IF($B911="","",ROUND(SUMIF(账户名,$B911,账户期初)+SUMIFS($K$6:K911,$B$6:B911,$B911),2))</f>
        <v/>
      </c>
      <c r="N911" s="23" t="str">
        <f>IF($B911="","",IFERROR(ROUND(INDEX(账户期初本位,MATCH($B911,账户名,0))+SUMIFS($L$6:L911,$B$6:B911,$B911),2),""))</f>
        <v/>
      </c>
      <c r="O911" s="46"/>
      <c r="P911" s="47"/>
      <c r="Q911" s="46"/>
      <c r="R911" s="46"/>
      <c r="S911" s="6" t="str">
        <f>IF($B911="","",IF(ISNA(MATCH($B911,账户名,0)),"※这个账户不在【参数设置】的账户档案里",IF($A911="","※没填日期，这一笔不会进任何月份的报表",IF(AND($G911&lt;&gt;"",$H911&lt;&gt;""),"※收入和支出不能同时填",IF(AND(N($G911)=0,N($H911)=0),"※收入和支出都没填",IF($E911="","※没填收支类别，分类报表会漏掉这一笔",IF(ISNA(MATCH($E911,类别表,0)),"※收支类别不在【参数设置】的清单里",IF($J911="","△"&amp;$D911&amp;" 还没填汇率，去【月度汇率】补上就自动算了",IF(YEAR($A911)&lt;&gt;管理年度,"△不是管理年度的单据，年报里看不到",IF(AND($F911="内部转账",$Q911=""),"△内部转账建议在「往来单位」写上对方账户",IF($M911&lt;0,"△这一笔之后该账户余额成负数了，核一下","")))))))))))</f>
        <v/>
      </c>
    </row>
    <row r="912" ht="16.5" spans="1:19">
      <c r="A912" s="45"/>
      <c r="B912" s="46"/>
      <c r="C912" s="12" t="str">
        <f>IF($B912="","",IFERROR(INDEX(账户银行,MATCH($B912,账户名,0)),""))</f>
        <v/>
      </c>
      <c r="D912" s="12" t="str">
        <f>IF($B912="","",IFERROR(INDEX(账户币种,MATCH($B912,账户名,0)),""))</f>
        <v/>
      </c>
      <c r="E912" s="47"/>
      <c r="F912" s="12" t="str">
        <f>IF($E912="","",IFERROR(INDEX(类别属性,MATCH($E912,类别表,0)),""))</f>
        <v/>
      </c>
      <c r="G912" s="48"/>
      <c r="H912" s="48"/>
      <c r="I912" s="49"/>
      <c r="J912" s="24" t="str">
        <f>IF(OR($A912="",$B912=""),"",IF($I912&lt;&gt;"",$I912,IF($D912=本位币,1,IFERROR(LOOKUP(2,1/((汇率月份&lt;=$A912)*(INDEX(记账汇率区,0,MATCH($D912,汇率币种头,0))&lt;&gt;"")),INDEX(记账汇率区,0,MATCH($D912,汇率币种头,0))),""))))</f>
        <v/>
      </c>
      <c r="K912" s="23" t="str">
        <f t="shared" si="28"/>
        <v/>
      </c>
      <c r="L912" s="23" t="str">
        <f t="shared" si="29"/>
        <v/>
      </c>
      <c r="M912" s="23" t="str">
        <f>IF($B912="","",ROUND(SUMIF(账户名,$B912,账户期初)+SUMIFS($K$6:K912,$B$6:B912,$B912),2))</f>
        <v/>
      </c>
      <c r="N912" s="23" t="str">
        <f>IF($B912="","",IFERROR(ROUND(INDEX(账户期初本位,MATCH($B912,账户名,0))+SUMIFS($L$6:L912,$B$6:B912,$B912),2),""))</f>
        <v/>
      </c>
      <c r="O912" s="46"/>
      <c r="P912" s="47"/>
      <c r="Q912" s="46"/>
      <c r="R912" s="46"/>
      <c r="S912" s="6" t="str">
        <f>IF($B912="","",IF(ISNA(MATCH($B912,账户名,0)),"※这个账户不在【参数设置】的账户档案里",IF($A912="","※没填日期，这一笔不会进任何月份的报表",IF(AND($G912&lt;&gt;"",$H912&lt;&gt;""),"※收入和支出不能同时填",IF(AND(N($G912)=0,N($H912)=0),"※收入和支出都没填",IF($E912="","※没填收支类别，分类报表会漏掉这一笔",IF(ISNA(MATCH($E912,类别表,0)),"※收支类别不在【参数设置】的清单里",IF($J912="","△"&amp;$D912&amp;" 还没填汇率，去【月度汇率】补上就自动算了",IF(YEAR($A912)&lt;&gt;管理年度,"△不是管理年度的单据，年报里看不到",IF(AND($F912="内部转账",$Q912=""),"△内部转账建议在「往来单位」写上对方账户",IF($M912&lt;0,"△这一笔之后该账户余额成负数了，核一下","")))))))))))</f>
        <v/>
      </c>
    </row>
    <row r="913" ht="16.5" spans="1:19">
      <c r="A913" s="45"/>
      <c r="B913" s="46"/>
      <c r="C913" s="12" t="str">
        <f>IF($B913="","",IFERROR(INDEX(账户银行,MATCH($B913,账户名,0)),""))</f>
        <v/>
      </c>
      <c r="D913" s="12" t="str">
        <f>IF($B913="","",IFERROR(INDEX(账户币种,MATCH($B913,账户名,0)),""))</f>
        <v/>
      </c>
      <c r="E913" s="47"/>
      <c r="F913" s="12" t="str">
        <f>IF($E913="","",IFERROR(INDEX(类别属性,MATCH($E913,类别表,0)),""))</f>
        <v/>
      </c>
      <c r="G913" s="48"/>
      <c r="H913" s="48"/>
      <c r="I913" s="49"/>
      <c r="J913" s="24" t="str">
        <f>IF(OR($A913="",$B913=""),"",IF($I913&lt;&gt;"",$I913,IF($D913=本位币,1,IFERROR(LOOKUP(2,1/((汇率月份&lt;=$A913)*(INDEX(记账汇率区,0,MATCH($D913,汇率币种头,0))&lt;&gt;"")),INDEX(记账汇率区,0,MATCH($D913,汇率币种头,0))),""))))</f>
        <v/>
      </c>
      <c r="K913" s="23" t="str">
        <f t="shared" si="28"/>
        <v/>
      </c>
      <c r="L913" s="23" t="str">
        <f t="shared" si="29"/>
        <v/>
      </c>
      <c r="M913" s="23" t="str">
        <f>IF($B913="","",ROUND(SUMIF(账户名,$B913,账户期初)+SUMIFS($K$6:K913,$B$6:B913,$B913),2))</f>
        <v/>
      </c>
      <c r="N913" s="23" t="str">
        <f>IF($B913="","",IFERROR(ROUND(INDEX(账户期初本位,MATCH($B913,账户名,0))+SUMIFS($L$6:L913,$B$6:B913,$B913),2),""))</f>
        <v/>
      </c>
      <c r="O913" s="46"/>
      <c r="P913" s="47"/>
      <c r="Q913" s="46"/>
      <c r="R913" s="46"/>
      <c r="S913" s="6" t="str">
        <f>IF($B913="","",IF(ISNA(MATCH($B913,账户名,0)),"※这个账户不在【参数设置】的账户档案里",IF($A913="","※没填日期，这一笔不会进任何月份的报表",IF(AND($G913&lt;&gt;"",$H913&lt;&gt;""),"※收入和支出不能同时填",IF(AND(N($G913)=0,N($H913)=0),"※收入和支出都没填",IF($E913="","※没填收支类别，分类报表会漏掉这一笔",IF(ISNA(MATCH($E913,类别表,0)),"※收支类别不在【参数设置】的清单里",IF($J913="","△"&amp;$D913&amp;" 还没填汇率，去【月度汇率】补上就自动算了",IF(YEAR($A913)&lt;&gt;管理年度,"△不是管理年度的单据，年报里看不到",IF(AND($F913="内部转账",$Q913=""),"△内部转账建议在「往来单位」写上对方账户",IF($M913&lt;0,"△这一笔之后该账户余额成负数了，核一下","")))))))))))</f>
        <v/>
      </c>
    </row>
    <row r="914" ht="16.5" spans="1:19">
      <c r="A914" s="45"/>
      <c r="B914" s="46"/>
      <c r="C914" s="12" t="str">
        <f>IF($B914="","",IFERROR(INDEX(账户银行,MATCH($B914,账户名,0)),""))</f>
        <v/>
      </c>
      <c r="D914" s="12" t="str">
        <f>IF($B914="","",IFERROR(INDEX(账户币种,MATCH($B914,账户名,0)),""))</f>
        <v/>
      </c>
      <c r="E914" s="47"/>
      <c r="F914" s="12" t="str">
        <f>IF($E914="","",IFERROR(INDEX(类别属性,MATCH($E914,类别表,0)),""))</f>
        <v/>
      </c>
      <c r="G914" s="48"/>
      <c r="H914" s="48"/>
      <c r="I914" s="49"/>
      <c r="J914" s="24" t="str">
        <f>IF(OR($A914="",$B914=""),"",IF($I914&lt;&gt;"",$I914,IF($D914=本位币,1,IFERROR(LOOKUP(2,1/((汇率月份&lt;=$A914)*(INDEX(记账汇率区,0,MATCH($D914,汇率币种头,0))&lt;&gt;"")),INDEX(记账汇率区,0,MATCH($D914,汇率币种头,0))),""))))</f>
        <v/>
      </c>
      <c r="K914" s="23" t="str">
        <f t="shared" si="28"/>
        <v/>
      </c>
      <c r="L914" s="23" t="str">
        <f t="shared" si="29"/>
        <v/>
      </c>
      <c r="M914" s="23" t="str">
        <f>IF($B914="","",ROUND(SUMIF(账户名,$B914,账户期初)+SUMIFS($K$6:K914,$B$6:B914,$B914),2))</f>
        <v/>
      </c>
      <c r="N914" s="23" t="str">
        <f>IF($B914="","",IFERROR(ROUND(INDEX(账户期初本位,MATCH($B914,账户名,0))+SUMIFS($L$6:L914,$B$6:B914,$B914),2),""))</f>
        <v/>
      </c>
      <c r="O914" s="46"/>
      <c r="P914" s="47"/>
      <c r="Q914" s="46"/>
      <c r="R914" s="46"/>
      <c r="S914" s="6" t="str">
        <f>IF($B914="","",IF(ISNA(MATCH($B914,账户名,0)),"※这个账户不在【参数设置】的账户档案里",IF($A914="","※没填日期，这一笔不会进任何月份的报表",IF(AND($G914&lt;&gt;"",$H914&lt;&gt;""),"※收入和支出不能同时填",IF(AND(N($G914)=0,N($H914)=0),"※收入和支出都没填",IF($E914="","※没填收支类别，分类报表会漏掉这一笔",IF(ISNA(MATCH($E914,类别表,0)),"※收支类别不在【参数设置】的清单里",IF($J914="","△"&amp;$D914&amp;" 还没填汇率，去【月度汇率】补上就自动算了",IF(YEAR($A914)&lt;&gt;管理年度,"△不是管理年度的单据，年报里看不到",IF(AND($F914="内部转账",$Q914=""),"△内部转账建议在「往来单位」写上对方账户",IF($M914&lt;0,"△这一笔之后该账户余额成负数了，核一下","")))))))))))</f>
        <v/>
      </c>
    </row>
    <row r="915" ht="16.5" spans="1:19">
      <c r="A915" s="45"/>
      <c r="B915" s="46"/>
      <c r="C915" s="12" t="str">
        <f>IF($B915="","",IFERROR(INDEX(账户银行,MATCH($B915,账户名,0)),""))</f>
        <v/>
      </c>
      <c r="D915" s="12" t="str">
        <f>IF($B915="","",IFERROR(INDEX(账户币种,MATCH($B915,账户名,0)),""))</f>
        <v/>
      </c>
      <c r="E915" s="47"/>
      <c r="F915" s="12" t="str">
        <f>IF($E915="","",IFERROR(INDEX(类别属性,MATCH($E915,类别表,0)),""))</f>
        <v/>
      </c>
      <c r="G915" s="48"/>
      <c r="H915" s="48"/>
      <c r="I915" s="49"/>
      <c r="J915" s="24" t="str">
        <f>IF(OR($A915="",$B915=""),"",IF($I915&lt;&gt;"",$I915,IF($D915=本位币,1,IFERROR(LOOKUP(2,1/((汇率月份&lt;=$A915)*(INDEX(记账汇率区,0,MATCH($D915,汇率币种头,0))&lt;&gt;"")),INDEX(记账汇率区,0,MATCH($D915,汇率币种头,0))),""))))</f>
        <v/>
      </c>
      <c r="K915" s="23" t="str">
        <f t="shared" si="28"/>
        <v/>
      </c>
      <c r="L915" s="23" t="str">
        <f t="shared" si="29"/>
        <v/>
      </c>
      <c r="M915" s="23" t="str">
        <f>IF($B915="","",ROUND(SUMIF(账户名,$B915,账户期初)+SUMIFS($K$6:K915,$B$6:B915,$B915),2))</f>
        <v/>
      </c>
      <c r="N915" s="23" t="str">
        <f>IF($B915="","",IFERROR(ROUND(INDEX(账户期初本位,MATCH($B915,账户名,0))+SUMIFS($L$6:L915,$B$6:B915,$B915),2),""))</f>
        <v/>
      </c>
      <c r="O915" s="46"/>
      <c r="P915" s="47"/>
      <c r="Q915" s="46"/>
      <c r="R915" s="46"/>
      <c r="S915" s="6" t="str">
        <f>IF($B915="","",IF(ISNA(MATCH($B915,账户名,0)),"※这个账户不在【参数设置】的账户档案里",IF($A915="","※没填日期，这一笔不会进任何月份的报表",IF(AND($G915&lt;&gt;"",$H915&lt;&gt;""),"※收入和支出不能同时填",IF(AND(N($G915)=0,N($H915)=0),"※收入和支出都没填",IF($E915="","※没填收支类别，分类报表会漏掉这一笔",IF(ISNA(MATCH($E915,类别表,0)),"※收支类别不在【参数设置】的清单里",IF($J915="","△"&amp;$D915&amp;" 还没填汇率，去【月度汇率】补上就自动算了",IF(YEAR($A915)&lt;&gt;管理年度,"△不是管理年度的单据，年报里看不到",IF(AND($F915="内部转账",$Q915=""),"△内部转账建议在「往来单位」写上对方账户",IF($M915&lt;0,"△这一笔之后该账户余额成负数了，核一下","")))))))))))</f>
        <v/>
      </c>
    </row>
    <row r="916" ht="16.5" spans="1:19">
      <c r="A916" s="45"/>
      <c r="B916" s="46"/>
      <c r="C916" s="12" t="str">
        <f>IF($B916="","",IFERROR(INDEX(账户银行,MATCH($B916,账户名,0)),""))</f>
        <v/>
      </c>
      <c r="D916" s="12" t="str">
        <f>IF($B916="","",IFERROR(INDEX(账户币种,MATCH($B916,账户名,0)),""))</f>
        <v/>
      </c>
      <c r="E916" s="47"/>
      <c r="F916" s="12" t="str">
        <f>IF($E916="","",IFERROR(INDEX(类别属性,MATCH($E916,类别表,0)),""))</f>
        <v/>
      </c>
      <c r="G916" s="48"/>
      <c r="H916" s="48"/>
      <c r="I916" s="49"/>
      <c r="J916" s="24" t="str">
        <f>IF(OR($A916="",$B916=""),"",IF($I916&lt;&gt;"",$I916,IF($D916=本位币,1,IFERROR(LOOKUP(2,1/((汇率月份&lt;=$A916)*(INDEX(记账汇率区,0,MATCH($D916,汇率币种头,0))&lt;&gt;"")),INDEX(记账汇率区,0,MATCH($D916,汇率币种头,0))),""))))</f>
        <v/>
      </c>
      <c r="K916" s="23" t="str">
        <f t="shared" si="28"/>
        <v/>
      </c>
      <c r="L916" s="23" t="str">
        <f t="shared" si="29"/>
        <v/>
      </c>
      <c r="M916" s="23" t="str">
        <f>IF($B916="","",ROUND(SUMIF(账户名,$B916,账户期初)+SUMIFS($K$6:K916,$B$6:B916,$B916),2))</f>
        <v/>
      </c>
      <c r="N916" s="23" t="str">
        <f>IF($B916="","",IFERROR(ROUND(INDEX(账户期初本位,MATCH($B916,账户名,0))+SUMIFS($L$6:L916,$B$6:B916,$B916),2),""))</f>
        <v/>
      </c>
      <c r="O916" s="46"/>
      <c r="P916" s="47"/>
      <c r="Q916" s="46"/>
      <c r="R916" s="46"/>
      <c r="S916" s="6" t="str">
        <f>IF($B916="","",IF(ISNA(MATCH($B916,账户名,0)),"※这个账户不在【参数设置】的账户档案里",IF($A916="","※没填日期，这一笔不会进任何月份的报表",IF(AND($G916&lt;&gt;"",$H916&lt;&gt;""),"※收入和支出不能同时填",IF(AND(N($G916)=0,N($H916)=0),"※收入和支出都没填",IF($E916="","※没填收支类别，分类报表会漏掉这一笔",IF(ISNA(MATCH($E916,类别表,0)),"※收支类别不在【参数设置】的清单里",IF($J916="","△"&amp;$D916&amp;" 还没填汇率，去【月度汇率】补上就自动算了",IF(YEAR($A916)&lt;&gt;管理年度,"△不是管理年度的单据，年报里看不到",IF(AND($F916="内部转账",$Q916=""),"△内部转账建议在「往来单位」写上对方账户",IF($M916&lt;0,"△这一笔之后该账户余额成负数了，核一下","")))))))))))</f>
        <v/>
      </c>
    </row>
    <row r="917" ht="16.5" spans="1:19">
      <c r="A917" s="45"/>
      <c r="B917" s="46"/>
      <c r="C917" s="12" t="str">
        <f>IF($B917="","",IFERROR(INDEX(账户银行,MATCH($B917,账户名,0)),""))</f>
        <v/>
      </c>
      <c r="D917" s="12" t="str">
        <f>IF($B917="","",IFERROR(INDEX(账户币种,MATCH($B917,账户名,0)),""))</f>
        <v/>
      </c>
      <c r="E917" s="47"/>
      <c r="F917" s="12" t="str">
        <f>IF($E917="","",IFERROR(INDEX(类别属性,MATCH($E917,类别表,0)),""))</f>
        <v/>
      </c>
      <c r="G917" s="48"/>
      <c r="H917" s="48"/>
      <c r="I917" s="49"/>
      <c r="J917" s="24" t="str">
        <f>IF(OR($A917="",$B917=""),"",IF($I917&lt;&gt;"",$I917,IF($D917=本位币,1,IFERROR(LOOKUP(2,1/((汇率月份&lt;=$A917)*(INDEX(记账汇率区,0,MATCH($D917,汇率币种头,0))&lt;&gt;"")),INDEX(记账汇率区,0,MATCH($D917,汇率币种头,0))),""))))</f>
        <v/>
      </c>
      <c r="K917" s="23" t="str">
        <f t="shared" si="28"/>
        <v/>
      </c>
      <c r="L917" s="23" t="str">
        <f t="shared" si="29"/>
        <v/>
      </c>
      <c r="M917" s="23" t="str">
        <f>IF($B917="","",ROUND(SUMIF(账户名,$B917,账户期初)+SUMIFS($K$6:K917,$B$6:B917,$B917),2))</f>
        <v/>
      </c>
      <c r="N917" s="23" t="str">
        <f>IF($B917="","",IFERROR(ROUND(INDEX(账户期初本位,MATCH($B917,账户名,0))+SUMIFS($L$6:L917,$B$6:B917,$B917),2),""))</f>
        <v/>
      </c>
      <c r="O917" s="46"/>
      <c r="P917" s="47"/>
      <c r="Q917" s="46"/>
      <c r="R917" s="46"/>
      <c r="S917" s="6" t="str">
        <f>IF($B917="","",IF(ISNA(MATCH($B917,账户名,0)),"※这个账户不在【参数设置】的账户档案里",IF($A917="","※没填日期，这一笔不会进任何月份的报表",IF(AND($G917&lt;&gt;"",$H917&lt;&gt;""),"※收入和支出不能同时填",IF(AND(N($G917)=0,N($H917)=0),"※收入和支出都没填",IF($E917="","※没填收支类别，分类报表会漏掉这一笔",IF(ISNA(MATCH($E917,类别表,0)),"※收支类别不在【参数设置】的清单里",IF($J917="","△"&amp;$D917&amp;" 还没填汇率，去【月度汇率】补上就自动算了",IF(YEAR($A917)&lt;&gt;管理年度,"△不是管理年度的单据，年报里看不到",IF(AND($F917="内部转账",$Q917=""),"△内部转账建议在「往来单位」写上对方账户",IF($M917&lt;0,"△这一笔之后该账户余额成负数了，核一下","")))))))))))</f>
        <v/>
      </c>
    </row>
    <row r="918" ht="16.5" spans="1:19">
      <c r="A918" s="45"/>
      <c r="B918" s="46"/>
      <c r="C918" s="12" t="str">
        <f>IF($B918="","",IFERROR(INDEX(账户银行,MATCH($B918,账户名,0)),""))</f>
        <v/>
      </c>
      <c r="D918" s="12" t="str">
        <f>IF($B918="","",IFERROR(INDEX(账户币种,MATCH($B918,账户名,0)),""))</f>
        <v/>
      </c>
      <c r="E918" s="47"/>
      <c r="F918" s="12" t="str">
        <f>IF($E918="","",IFERROR(INDEX(类别属性,MATCH($E918,类别表,0)),""))</f>
        <v/>
      </c>
      <c r="G918" s="48"/>
      <c r="H918" s="48"/>
      <c r="I918" s="49"/>
      <c r="J918" s="24" t="str">
        <f>IF(OR($A918="",$B918=""),"",IF($I918&lt;&gt;"",$I918,IF($D918=本位币,1,IFERROR(LOOKUP(2,1/((汇率月份&lt;=$A918)*(INDEX(记账汇率区,0,MATCH($D918,汇率币种头,0))&lt;&gt;"")),INDEX(记账汇率区,0,MATCH($D918,汇率币种头,0))),""))))</f>
        <v/>
      </c>
      <c r="K918" s="23" t="str">
        <f t="shared" si="28"/>
        <v/>
      </c>
      <c r="L918" s="23" t="str">
        <f t="shared" si="29"/>
        <v/>
      </c>
      <c r="M918" s="23" t="str">
        <f>IF($B918="","",ROUND(SUMIF(账户名,$B918,账户期初)+SUMIFS($K$6:K918,$B$6:B918,$B918),2))</f>
        <v/>
      </c>
      <c r="N918" s="23" t="str">
        <f>IF($B918="","",IFERROR(ROUND(INDEX(账户期初本位,MATCH($B918,账户名,0))+SUMIFS($L$6:L918,$B$6:B918,$B918),2),""))</f>
        <v/>
      </c>
      <c r="O918" s="46"/>
      <c r="P918" s="47"/>
      <c r="Q918" s="46"/>
      <c r="R918" s="46"/>
      <c r="S918" s="6" t="str">
        <f>IF($B918="","",IF(ISNA(MATCH($B918,账户名,0)),"※这个账户不在【参数设置】的账户档案里",IF($A918="","※没填日期，这一笔不会进任何月份的报表",IF(AND($G918&lt;&gt;"",$H918&lt;&gt;""),"※收入和支出不能同时填",IF(AND(N($G918)=0,N($H918)=0),"※收入和支出都没填",IF($E918="","※没填收支类别，分类报表会漏掉这一笔",IF(ISNA(MATCH($E918,类别表,0)),"※收支类别不在【参数设置】的清单里",IF($J918="","△"&amp;$D918&amp;" 还没填汇率，去【月度汇率】补上就自动算了",IF(YEAR($A918)&lt;&gt;管理年度,"△不是管理年度的单据，年报里看不到",IF(AND($F918="内部转账",$Q918=""),"△内部转账建议在「往来单位」写上对方账户",IF($M918&lt;0,"△这一笔之后该账户余额成负数了，核一下","")))))))))))</f>
        <v/>
      </c>
    </row>
    <row r="919" ht="16.5" spans="1:19">
      <c r="A919" s="45"/>
      <c r="B919" s="46"/>
      <c r="C919" s="12" t="str">
        <f>IF($B919="","",IFERROR(INDEX(账户银行,MATCH($B919,账户名,0)),""))</f>
        <v/>
      </c>
      <c r="D919" s="12" t="str">
        <f>IF($B919="","",IFERROR(INDEX(账户币种,MATCH($B919,账户名,0)),""))</f>
        <v/>
      </c>
      <c r="E919" s="47"/>
      <c r="F919" s="12" t="str">
        <f>IF($E919="","",IFERROR(INDEX(类别属性,MATCH($E919,类别表,0)),""))</f>
        <v/>
      </c>
      <c r="G919" s="48"/>
      <c r="H919" s="48"/>
      <c r="I919" s="49"/>
      <c r="J919" s="24" t="str">
        <f>IF(OR($A919="",$B919=""),"",IF($I919&lt;&gt;"",$I919,IF($D919=本位币,1,IFERROR(LOOKUP(2,1/((汇率月份&lt;=$A919)*(INDEX(记账汇率区,0,MATCH($D919,汇率币种头,0))&lt;&gt;"")),INDEX(记账汇率区,0,MATCH($D919,汇率币种头,0))),""))))</f>
        <v/>
      </c>
      <c r="K919" s="23" t="str">
        <f t="shared" si="28"/>
        <v/>
      </c>
      <c r="L919" s="23" t="str">
        <f t="shared" si="29"/>
        <v/>
      </c>
      <c r="M919" s="23" t="str">
        <f>IF($B919="","",ROUND(SUMIF(账户名,$B919,账户期初)+SUMIFS($K$6:K919,$B$6:B919,$B919),2))</f>
        <v/>
      </c>
      <c r="N919" s="23" t="str">
        <f>IF($B919="","",IFERROR(ROUND(INDEX(账户期初本位,MATCH($B919,账户名,0))+SUMIFS($L$6:L919,$B$6:B919,$B919),2),""))</f>
        <v/>
      </c>
      <c r="O919" s="46"/>
      <c r="P919" s="47"/>
      <c r="Q919" s="46"/>
      <c r="R919" s="46"/>
      <c r="S919" s="6" t="str">
        <f>IF($B919="","",IF(ISNA(MATCH($B919,账户名,0)),"※这个账户不在【参数设置】的账户档案里",IF($A919="","※没填日期，这一笔不会进任何月份的报表",IF(AND($G919&lt;&gt;"",$H919&lt;&gt;""),"※收入和支出不能同时填",IF(AND(N($G919)=0,N($H919)=0),"※收入和支出都没填",IF($E919="","※没填收支类别，分类报表会漏掉这一笔",IF(ISNA(MATCH($E919,类别表,0)),"※收支类别不在【参数设置】的清单里",IF($J919="","△"&amp;$D919&amp;" 还没填汇率，去【月度汇率】补上就自动算了",IF(YEAR($A919)&lt;&gt;管理年度,"△不是管理年度的单据，年报里看不到",IF(AND($F919="内部转账",$Q919=""),"△内部转账建议在「往来单位」写上对方账户",IF($M919&lt;0,"△这一笔之后该账户余额成负数了，核一下","")))))))))))</f>
        <v/>
      </c>
    </row>
    <row r="920" ht="16.5" spans="1:19">
      <c r="A920" s="45"/>
      <c r="B920" s="46"/>
      <c r="C920" s="12" t="str">
        <f>IF($B920="","",IFERROR(INDEX(账户银行,MATCH($B920,账户名,0)),""))</f>
        <v/>
      </c>
      <c r="D920" s="12" t="str">
        <f>IF($B920="","",IFERROR(INDEX(账户币种,MATCH($B920,账户名,0)),""))</f>
        <v/>
      </c>
      <c r="E920" s="47"/>
      <c r="F920" s="12" t="str">
        <f>IF($E920="","",IFERROR(INDEX(类别属性,MATCH($E920,类别表,0)),""))</f>
        <v/>
      </c>
      <c r="G920" s="48"/>
      <c r="H920" s="48"/>
      <c r="I920" s="49"/>
      <c r="J920" s="24" t="str">
        <f>IF(OR($A920="",$B920=""),"",IF($I920&lt;&gt;"",$I920,IF($D920=本位币,1,IFERROR(LOOKUP(2,1/((汇率月份&lt;=$A920)*(INDEX(记账汇率区,0,MATCH($D920,汇率币种头,0))&lt;&gt;"")),INDEX(记账汇率区,0,MATCH($D920,汇率币种头,0))),""))))</f>
        <v/>
      </c>
      <c r="K920" s="23" t="str">
        <f t="shared" si="28"/>
        <v/>
      </c>
      <c r="L920" s="23" t="str">
        <f t="shared" si="29"/>
        <v/>
      </c>
      <c r="M920" s="23" t="str">
        <f>IF($B920="","",ROUND(SUMIF(账户名,$B920,账户期初)+SUMIFS($K$6:K920,$B$6:B920,$B920),2))</f>
        <v/>
      </c>
      <c r="N920" s="23" t="str">
        <f>IF($B920="","",IFERROR(ROUND(INDEX(账户期初本位,MATCH($B920,账户名,0))+SUMIFS($L$6:L920,$B$6:B920,$B920),2),""))</f>
        <v/>
      </c>
      <c r="O920" s="46"/>
      <c r="P920" s="47"/>
      <c r="Q920" s="46"/>
      <c r="R920" s="46"/>
      <c r="S920" s="6" t="str">
        <f>IF($B920="","",IF(ISNA(MATCH($B920,账户名,0)),"※这个账户不在【参数设置】的账户档案里",IF($A920="","※没填日期，这一笔不会进任何月份的报表",IF(AND($G920&lt;&gt;"",$H920&lt;&gt;""),"※收入和支出不能同时填",IF(AND(N($G920)=0,N($H920)=0),"※收入和支出都没填",IF($E920="","※没填收支类别，分类报表会漏掉这一笔",IF(ISNA(MATCH($E920,类别表,0)),"※收支类别不在【参数设置】的清单里",IF($J920="","△"&amp;$D920&amp;" 还没填汇率，去【月度汇率】补上就自动算了",IF(YEAR($A920)&lt;&gt;管理年度,"△不是管理年度的单据，年报里看不到",IF(AND($F920="内部转账",$Q920=""),"△内部转账建议在「往来单位」写上对方账户",IF($M920&lt;0,"△这一笔之后该账户余额成负数了，核一下","")))))))))))</f>
        <v/>
      </c>
    </row>
    <row r="921" ht="16.5" spans="1:19">
      <c r="A921" s="45"/>
      <c r="B921" s="46"/>
      <c r="C921" s="12" t="str">
        <f>IF($B921="","",IFERROR(INDEX(账户银行,MATCH($B921,账户名,0)),""))</f>
        <v/>
      </c>
      <c r="D921" s="12" t="str">
        <f>IF($B921="","",IFERROR(INDEX(账户币种,MATCH($B921,账户名,0)),""))</f>
        <v/>
      </c>
      <c r="E921" s="47"/>
      <c r="F921" s="12" t="str">
        <f>IF($E921="","",IFERROR(INDEX(类别属性,MATCH($E921,类别表,0)),""))</f>
        <v/>
      </c>
      <c r="G921" s="48"/>
      <c r="H921" s="48"/>
      <c r="I921" s="49"/>
      <c r="J921" s="24" t="str">
        <f>IF(OR($A921="",$B921=""),"",IF($I921&lt;&gt;"",$I921,IF($D921=本位币,1,IFERROR(LOOKUP(2,1/((汇率月份&lt;=$A921)*(INDEX(记账汇率区,0,MATCH($D921,汇率币种头,0))&lt;&gt;"")),INDEX(记账汇率区,0,MATCH($D921,汇率币种头,0))),""))))</f>
        <v/>
      </c>
      <c r="K921" s="23" t="str">
        <f t="shared" si="28"/>
        <v/>
      </c>
      <c r="L921" s="23" t="str">
        <f t="shared" si="29"/>
        <v/>
      </c>
      <c r="M921" s="23" t="str">
        <f>IF($B921="","",ROUND(SUMIF(账户名,$B921,账户期初)+SUMIFS($K$6:K921,$B$6:B921,$B921),2))</f>
        <v/>
      </c>
      <c r="N921" s="23" t="str">
        <f>IF($B921="","",IFERROR(ROUND(INDEX(账户期初本位,MATCH($B921,账户名,0))+SUMIFS($L$6:L921,$B$6:B921,$B921),2),""))</f>
        <v/>
      </c>
      <c r="O921" s="46"/>
      <c r="P921" s="47"/>
      <c r="Q921" s="46"/>
      <c r="R921" s="46"/>
      <c r="S921" s="6" t="str">
        <f>IF($B921="","",IF(ISNA(MATCH($B921,账户名,0)),"※这个账户不在【参数设置】的账户档案里",IF($A921="","※没填日期，这一笔不会进任何月份的报表",IF(AND($G921&lt;&gt;"",$H921&lt;&gt;""),"※收入和支出不能同时填",IF(AND(N($G921)=0,N($H921)=0),"※收入和支出都没填",IF($E921="","※没填收支类别，分类报表会漏掉这一笔",IF(ISNA(MATCH($E921,类别表,0)),"※收支类别不在【参数设置】的清单里",IF($J921="","△"&amp;$D921&amp;" 还没填汇率，去【月度汇率】补上就自动算了",IF(YEAR($A921)&lt;&gt;管理年度,"△不是管理年度的单据，年报里看不到",IF(AND($F921="内部转账",$Q921=""),"△内部转账建议在「往来单位」写上对方账户",IF($M921&lt;0,"△这一笔之后该账户余额成负数了，核一下","")))))))))))</f>
        <v/>
      </c>
    </row>
    <row r="922" ht="16.5" spans="1:19">
      <c r="A922" s="45"/>
      <c r="B922" s="46"/>
      <c r="C922" s="12" t="str">
        <f>IF($B922="","",IFERROR(INDEX(账户银行,MATCH($B922,账户名,0)),""))</f>
        <v/>
      </c>
      <c r="D922" s="12" t="str">
        <f>IF($B922="","",IFERROR(INDEX(账户币种,MATCH($B922,账户名,0)),""))</f>
        <v/>
      </c>
      <c r="E922" s="47"/>
      <c r="F922" s="12" t="str">
        <f>IF($E922="","",IFERROR(INDEX(类别属性,MATCH($E922,类别表,0)),""))</f>
        <v/>
      </c>
      <c r="G922" s="48"/>
      <c r="H922" s="48"/>
      <c r="I922" s="49"/>
      <c r="J922" s="24" t="str">
        <f>IF(OR($A922="",$B922=""),"",IF($I922&lt;&gt;"",$I922,IF($D922=本位币,1,IFERROR(LOOKUP(2,1/((汇率月份&lt;=$A922)*(INDEX(记账汇率区,0,MATCH($D922,汇率币种头,0))&lt;&gt;"")),INDEX(记账汇率区,0,MATCH($D922,汇率币种头,0))),""))))</f>
        <v/>
      </c>
      <c r="K922" s="23" t="str">
        <f t="shared" si="28"/>
        <v/>
      </c>
      <c r="L922" s="23" t="str">
        <f t="shared" si="29"/>
        <v/>
      </c>
      <c r="M922" s="23" t="str">
        <f>IF($B922="","",ROUND(SUMIF(账户名,$B922,账户期初)+SUMIFS($K$6:K922,$B$6:B922,$B922),2))</f>
        <v/>
      </c>
      <c r="N922" s="23" t="str">
        <f>IF($B922="","",IFERROR(ROUND(INDEX(账户期初本位,MATCH($B922,账户名,0))+SUMIFS($L$6:L922,$B$6:B922,$B922),2),""))</f>
        <v/>
      </c>
      <c r="O922" s="46"/>
      <c r="P922" s="47"/>
      <c r="Q922" s="46"/>
      <c r="R922" s="46"/>
      <c r="S922" s="6" t="str">
        <f>IF($B922="","",IF(ISNA(MATCH($B922,账户名,0)),"※这个账户不在【参数设置】的账户档案里",IF($A922="","※没填日期，这一笔不会进任何月份的报表",IF(AND($G922&lt;&gt;"",$H922&lt;&gt;""),"※收入和支出不能同时填",IF(AND(N($G922)=0,N($H922)=0),"※收入和支出都没填",IF($E922="","※没填收支类别，分类报表会漏掉这一笔",IF(ISNA(MATCH($E922,类别表,0)),"※收支类别不在【参数设置】的清单里",IF($J922="","△"&amp;$D922&amp;" 还没填汇率，去【月度汇率】补上就自动算了",IF(YEAR($A922)&lt;&gt;管理年度,"△不是管理年度的单据，年报里看不到",IF(AND($F922="内部转账",$Q922=""),"△内部转账建议在「往来单位」写上对方账户",IF($M922&lt;0,"△这一笔之后该账户余额成负数了，核一下","")))))))))))</f>
        <v/>
      </c>
    </row>
    <row r="923" ht="16.5" spans="1:19">
      <c r="A923" s="45"/>
      <c r="B923" s="46"/>
      <c r="C923" s="12" t="str">
        <f>IF($B923="","",IFERROR(INDEX(账户银行,MATCH($B923,账户名,0)),""))</f>
        <v/>
      </c>
      <c r="D923" s="12" t="str">
        <f>IF($B923="","",IFERROR(INDEX(账户币种,MATCH($B923,账户名,0)),""))</f>
        <v/>
      </c>
      <c r="E923" s="47"/>
      <c r="F923" s="12" t="str">
        <f>IF($E923="","",IFERROR(INDEX(类别属性,MATCH($E923,类别表,0)),""))</f>
        <v/>
      </c>
      <c r="G923" s="48"/>
      <c r="H923" s="48"/>
      <c r="I923" s="49"/>
      <c r="J923" s="24" t="str">
        <f>IF(OR($A923="",$B923=""),"",IF($I923&lt;&gt;"",$I923,IF($D923=本位币,1,IFERROR(LOOKUP(2,1/((汇率月份&lt;=$A923)*(INDEX(记账汇率区,0,MATCH($D923,汇率币种头,0))&lt;&gt;"")),INDEX(记账汇率区,0,MATCH($D923,汇率币种头,0))),""))))</f>
        <v/>
      </c>
      <c r="K923" s="23" t="str">
        <f t="shared" si="28"/>
        <v/>
      </c>
      <c r="L923" s="23" t="str">
        <f t="shared" si="29"/>
        <v/>
      </c>
      <c r="M923" s="23" t="str">
        <f>IF($B923="","",ROUND(SUMIF(账户名,$B923,账户期初)+SUMIFS($K$6:K923,$B$6:B923,$B923),2))</f>
        <v/>
      </c>
      <c r="N923" s="23" t="str">
        <f>IF($B923="","",IFERROR(ROUND(INDEX(账户期初本位,MATCH($B923,账户名,0))+SUMIFS($L$6:L923,$B$6:B923,$B923),2),""))</f>
        <v/>
      </c>
      <c r="O923" s="46"/>
      <c r="P923" s="47"/>
      <c r="Q923" s="46"/>
      <c r="R923" s="46"/>
      <c r="S923" s="6" t="str">
        <f>IF($B923="","",IF(ISNA(MATCH($B923,账户名,0)),"※这个账户不在【参数设置】的账户档案里",IF($A923="","※没填日期，这一笔不会进任何月份的报表",IF(AND($G923&lt;&gt;"",$H923&lt;&gt;""),"※收入和支出不能同时填",IF(AND(N($G923)=0,N($H923)=0),"※收入和支出都没填",IF($E923="","※没填收支类别，分类报表会漏掉这一笔",IF(ISNA(MATCH($E923,类别表,0)),"※收支类别不在【参数设置】的清单里",IF($J923="","△"&amp;$D923&amp;" 还没填汇率，去【月度汇率】补上就自动算了",IF(YEAR($A923)&lt;&gt;管理年度,"△不是管理年度的单据，年报里看不到",IF(AND($F923="内部转账",$Q923=""),"△内部转账建议在「往来单位」写上对方账户",IF($M923&lt;0,"△这一笔之后该账户余额成负数了，核一下","")))))))))))</f>
        <v/>
      </c>
    </row>
    <row r="924" ht="16.5" spans="1:19">
      <c r="A924" s="45"/>
      <c r="B924" s="46"/>
      <c r="C924" s="12" t="str">
        <f>IF($B924="","",IFERROR(INDEX(账户银行,MATCH($B924,账户名,0)),""))</f>
        <v/>
      </c>
      <c r="D924" s="12" t="str">
        <f>IF($B924="","",IFERROR(INDEX(账户币种,MATCH($B924,账户名,0)),""))</f>
        <v/>
      </c>
      <c r="E924" s="47"/>
      <c r="F924" s="12" t="str">
        <f>IF($E924="","",IFERROR(INDEX(类别属性,MATCH($E924,类别表,0)),""))</f>
        <v/>
      </c>
      <c r="G924" s="48"/>
      <c r="H924" s="48"/>
      <c r="I924" s="49"/>
      <c r="J924" s="24" t="str">
        <f>IF(OR($A924="",$B924=""),"",IF($I924&lt;&gt;"",$I924,IF($D924=本位币,1,IFERROR(LOOKUP(2,1/((汇率月份&lt;=$A924)*(INDEX(记账汇率区,0,MATCH($D924,汇率币种头,0))&lt;&gt;"")),INDEX(记账汇率区,0,MATCH($D924,汇率币种头,0))),""))))</f>
        <v/>
      </c>
      <c r="K924" s="23" t="str">
        <f t="shared" si="28"/>
        <v/>
      </c>
      <c r="L924" s="23" t="str">
        <f t="shared" si="29"/>
        <v/>
      </c>
      <c r="M924" s="23" t="str">
        <f>IF($B924="","",ROUND(SUMIF(账户名,$B924,账户期初)+SUMIFS($K$6:K924,$B$6:B924,$B924),2))</f>
        <v/>
      </c>
      <c r="N924" s="23" t="str">
        <f>IF($B924="","",IFERROR(ROUND(INDEX(账户期初本位,MATCH($B924,账户名,0))+SUMIFS($L$6:L924,$B$6:B924,$B924),2),""))</f>
        <v/>
      </c>
      <c r="O924" s="46"/>
      <c r="P924" s="47"/>
      <c r="Q924" s="46"/>
      <c r="R924" s="46"/>
      <c r="S924" s="6" t="str">
        <f>IF($B924="","",IF(ISNA(MATCH($B924,账户名,0)),"※这个账户不在【参数设置】的账户档案里",IF($A924="","※没填日期，这一笔不会进任何月份的报表",IF(AND($G924&lt;&gt;"",$H924&lt;&gt;""),"※收入和支出不能同时填",IF(AND(N($G924)=0,N($H924)=0),"※收入和支出都没填",IF($E924="","※没填收支类别，分类报表会漏掉这一笔",IF(ISNA(MATCH($E924,类别表,0)),"※收支类别不在【参数设置】的清单里",IF($J924="","△"&amp;$D924&amp;" 还没填汇率，去【月度汇率】补上就自动算了",IF(YEAR($A924)&lt;&gt;管理年度,"△不是管理年度的单据，年报里看不到",IF(AND($F924="内部转账",$Q924=""),"△内部转账建议在「往来单位」写上对方账户",IF($M924&lt;0,"△这一笔之后该账户余额成负数了，核一下","")))))))))))</f>
        <v/>
      </c>
    </row>
    <row r="925" ht="16.5" spans="1:19">
      <c r="A925" s="45"/>
      <c r="B925" s="46"/>
      <c r="C925" s="12" t="str">
        <f>IF($B925="","",IFERROR(INDEX(账户银行,MATCH($B925,账户名,0)),""))</f>
        <v/>
      </c>
      <c r="D925" s="12" t="str">
        <f>IF($B925="","",IFERROR(INDEX(账户币种,MATCH($B925,账户名,0)),""))</f>
        <v/>
      </c>
      <c r="E925" s="47"/>
      <c r="F925" s="12" t="str">
        <f>IF($E925="","",IFERROR(INDEX(类别属性,MATCH($E925,类别表,0)),""))</f>
        <v/>
      </c>
      <c r="G925" s="48"/>
      <c r="H925" s="48"/>
      <c r="I925" s="49"/>
      <c r="J925" s="24" t="str">
        <f>IF(OR($A925="",$B925=""),"",IF($I925&lt;&gt;"",$I925,IF($D925=本位币,1,IFERROR(LOOKUP(2,1/((汇率月份&lt;=$A925)*(INDEX(记账汇率区,0,MATCH($D925,汇率币种头,0))&lt;&gt;"")),INDEX(记账汇率区,0,MATCH($D925,汇率币种头,0))),""))))</f>
        <v/>
      </c>
      <c r="K925" s="23" t="str">
        <f t="shared" si="28"/>
        <v/>
      </c>
      <c r="L925" s="23" t="str">
        <f t="shared" si="29"/>
        <v/>
      </c>
      <c r="M925" s="23" t="str">
        <f>IF($B925="","",ROUND(SUMIF(账户名,$B925,账户期初)+SUMIFS($K$6:K925,$B$6:B925,$B925),2))</f>
        <v/>
      </c>
      <c r="N925" s="23" t="str">
        <f>IF($B925="","",IFERROR(ROUND(INDEX(账户期初本位,MATCH($B925,账户名,0))+SUMIFS($L$6:L925,$B$6:B925,$B925),2),""))</f>
        <v/>
      </c>
      <c r="O925" s="46"/>
      <c r="P925" s="47"/>
      <c r="Q925" s="46"/>
      <c r="R925" s="46"/>
      <c r="S925" s="6" t="str">
        <f>IF($B925="","",IF(ISNA(MATCH($B925,账户名,0)),"※这个账户不在【参数设置】的账户档案里",IF($A925="","※没填日期，这一笔不会进任何月份的报表",IF(AND($G925&lt;&gt;"",$H925&lt;&gt;""),"※收入和支出不能同时填",IF(AND(N($G925)=0,N($H925)=0),"※收入和支出都没填",IF($E925="","※没填收支类别，分类报表会漏掉这一笔",IF(ISNA(MATCH($E925,类别表,0)),"※收支类别不在【参数设置】的清单里",IF($J925="","△"&amp;$D925&amp;" 还没填汇率，去【月度汇率】补上就自动算了",IF(YEAR($A925)&lt;&gt;管理年度,"△不是管理年度的单据，年报里看不到",IF(AND($F925="内部转账",$Q925=""),"△内部转账建议在「往来单位」写上对方账户",IF($M925&lt;0,"△这一笔之后该账户余额成负数了，核一下","")))))))))))</f>
        <v/>
      </c>
    </row>
    <row r="926" ht="16.5" spans="1:19">
      <c r="A926" s="45"/>
      <c r="B926" s="46"/>
      <c r="C926" s="12" t="str">
        <f>IF($B926="","",IFERROR(INDEX(账户银行,MATCH($B926,账户名,0)),""))</f>
        <v/>
      </c>
      <c r="D926" s="12" t="str">
        <f>IF($B926="","",IFERROR(INDEX(账户币种,MATCH($B926,账户名,0)),""))</f>
        <v/>
      </c>
      <c r="E926" s="47"/>
      <c r="F926" s="12" t="str">
        <f>IF($E926="","",IFERROR(INDEX(类别属性,MATCH($E926,类别表,0)),""))</f>
        <v/>
      </c>
      <c r="G926" s="48"/>
      <c r="H926" s="48"/>
      <c r="I926" s="49"/>
      <c r="J926" s="24" t="str">
        <f>IF(OR($A926="",$B926=""),"",IF($I926&lt;&gt;"",$I926,IF($D926=本位币,1,IFERROR(LOOKUP(2,1/((汇率月份&lt;=$A926)*(INDEX(记账汇率区,0,MATCH($D926,汇率币种头,0))&lt;&gt;"")),INDEX(记账汇率区,0,MATCH($D926,汇率币种头,0))),""))))</f>
        <v/>
      </c>
      <c r="K926" s="23" t="str">
        <f t="shared" si="28"/>
        <v/>
      </c>
      <c r="L926" s="23" t="str">
        <f t="shared" si="29"/>
        <v/>
      </c>
      <c r="M926" s="23" t="str">
        <f>IF($B926="","",ROUND(SUMIF(账户名,$B926,账户期初)+SUMIFS($K$6:K926,$B$6:B926,$B926),2))</f>
        <v/>
      </c>
      <c r="N926" s="23" t="str">
        <f>IF($B926="","",IFERROR(ROUND(INDEX(账户期初本位,MATCH($B926,账户名,0))+SUMIFS($L$6:L926,$B$6:B926,$B926),2),""))</f>
        <v/>
      </c>
      <c r="O926" s="46"/>
      <c r="P926" s="47"/>
      <c r="Q926" s="46"/>
      <c r="R926" s="46"/>
      <c r="S926" s="6" t="str">
        <f>IF($B926="","",IF(ISNA(MATCH($B926,账户名,0)),"※这个账户不在【参数设置】的账户档案里",IF($A926="","※没填日期，这一笔不会进任何月份的报表",IF(AND($G926&lt;&gt;"",$H926&lt;&gt;""),"※收入和支出不能同时填",IF(AND(N($G926)=0,N($H926)=0),"※收入和支出都没填",IF($E926="","※没填收支类别，分类报表会漏掉这一笔",IF(ISNA(MATCH($E926,类别表,0)),"※收支类别不在【参数设置】的清单里",IF($J926="","△"&amp;$D926&amp;" 还没填汇率，去【月度汇率】补上就自动算了",IF(YEAR($A926)&lt;&gt;管理年度,"△不是管理年度的单据，年报里看不到",IF(AND($F926="内部转账",$Q926=""),"△内部转账建议在「往来单位」写上对方账户",IF($M926&lt;0,"△这一笔之后该账户余额成负数了，核一下","")))))))))))</f>
        <v/>
      </c>
    </row>
    <row r="927" ht="16.5" spans="1:19">
      <c r="A927" s="45"/>
      <c r="B927" s="46"/>
      <c r="C927" s="12" t="str">
        <f>IF($B927="","",IFERROR(INDEX(账户银行,MATCH($B927,账户名,0)),""))</f>
        <v/>
      </c>
      <c r="D927" s="12" t="str">
        <f>IF($B927="","",IFERROR(INDEX(账户币种,MATCH($B927,账户名,0)),""))</f>
        <v/>
      </c>
      <c r="E927" s="47"/>
      <c r="F927" s="12" t="str">
        <f>IF($E927="","",IFERROR(INDEX(类别属性,MATCH($E927,类别表,0)),""))</f>
        <v/>
      </c>
      <c r="G927" s="48"/>
      <c r="H927" s="48"/>
      <c r="I927" s="49"/>
      <c r="J927" s="24" t="str">
        <f>IF(OR($A927="",$B927=""),"",IF($I927&lt;&gt;"",$I927,IF($D927=本位币,1,IFERROR(LOOKUP(2,1/((汇率月份&lt;=$A927)*(INDEX(记账汇率区,0,MATCH($D927,汇率币种头,0))&lt;&gt;"")),INDEX(记账汇率区,0,MATCH($D927,汇率币种头,0))),""))))</f>
        <v/>
      </c>
      <c r="K927" s="23" t="str">
        <f t="shared" si="28"/>
        <v/>
      </c>
      <c r="L927" s="23" t="str">
        <f t="shared" si="29"/>
        <v/>
      </c>
      <c r="M927" s="23" t="str">
        <f>IF($B927="","",ROUND(SUMIF(账户名,$B927,账户期初)+SUMIFS($K$6:K927,$B$6:B927,$B927),2))</f>
        <v/>
      </c>
      <c r="N927" s="23" t="str">
        <f>IF($B927="","",IFERROR(ROUND(INDEX(账户期初本位,MATCH($B927,账户名,0))+SUMIFS($L$6:L927,$B$6:B927,$B927),2),""))</f>
        <v/>
      </c>
      <c r="O927" s="46"/>
      <c r="P927" s="47"/>
      <c r="Q927" s="46"/>
      <c r="R927" s="46"/>
      <c r="S927" s="6" t="str">
        <f>IF($B927="","",IF(ISNA(MATCH($B927,账户名,0)),"※这个账户不在【参数设置】的账户档案里",IF($A927="","※没填日期，这一笔不会进任何月份的报表",IF(AND($G927&lt;&gt;"",$H927&lt;&gt;""),"※收入和支出不能同时填",IF(AND(N($G927)=0,N($H927)=0),"※收入和支出都没填",IF($E927="","※没填收支类别，分类报表会漏掉这一笔",IF(ISNA(MATCH($E927,类别表,0)),"※收支类别不在【参数设置】的清单里",IF($J927="","△"&amp;$D927&amp;" 还没填汇率，去【月度汇率】补上就自动算了",IF(YEAR($A927)&lt;&gt;管理年度,"△不是管理年度的单据，年报里看不到",IF(AND($F927="内部转账",$Q927=""),"△内部转账建议在「往来单位」写上对方账户",IF($M927&lt;0,"△这一笔之后该账户余额成负数了，核一下","")))))))))))</f>
        <v/>
      </c>
    </row>
    <row r="928" ht="16.5" spans="1:19">
      <c r="A928" s="45"/>
      <c r="B928" s="46"/>
      <c r="C928" s="12" t="str">
        <f>IF($B928="","",IFERROR(INDEX(账户银行,MATCH($B928,账户名,0)),""))</f>
        <v/>
      </c>
      <c r="D928" s="12" t="str">
        <f>IF($B928="","",IFERROR(INDEX(账户币种,MATCH($B928,账户名,0)),""))</f>
        <v/>
      </c>
      <c r="E928" s="47"/>
      <c r="F928" s="12" t="str">
        <f>IF($E928="","",IFERROR(INDEX(类别属性,MATCH($E928,类别表,0)),""))</f>
        <v/>
      </c>
      <c r="G928" s="48"/>
      <c r="H928" s="48"/>
      <c r="I928" s="49"/>
      <c r="J928" s="24" t="str">
        <f>IF(OR($A928="",$B928=""),"",IF($I928&lt;&gt;"",$I928,IF($D928=本位币,1,IFERROR(LOOKUP(2,1/((汇率月份&lt;=$A928)*(INDEX(记账汇率区,0,MATCH($D928,汇率币种头,0))&lt;&gt;"")),INDEX(记账汇率区,0,MATCH($D928,汇率币种头,0))),""))))</f>
        <v/>
      </c>
      <c r="K928" s="23" t="str">
        <f t="shared" si="28"/>
        <v/>
      </c>
      <c r="L928" s="23" t="str">
        <f t="shared" si="29"/>
        <v/>
      </c>
      <c r="M928" s="23" t="str">
        <f>IF($B928="","",ROUND(SUMIF(账户名,$B928,账户期初)+SUMIFS($K$6:K928,$B$6:B928,$B928),2))</f>
        <v/>
      </c>
      <c r="N928" s="23" t="str">
        <f>IF($B928="","",IFERROR(ROUND(INDEX(账户期初本位,MATCH($B928,账户名,0))+SUMIFS($L$6:L928,$B$6:B928,$B928),2),""))</f>
        <v/>
      </c>
      <c r="O928" s="46"/>
      <c r="P928" s="47"/>
      <c r="Q928" s="46"/>
      <c r="R928" s="46"/>
      <c r="S928" s="6" t="str">
        <f>IF($B928="","",IF(ISNA(MATCH($B928,账户名,0)),"※这个账户不在【参数设置】的账户档案里",IF($A928="","※没填日期，这一笔不会进任何月份的报表",IF(AND($G928&lt;&gt;"",$H928&lt;&gt;""),"※收入和支出不能同时填",IF(AND(N($G928)=0,N($H928)=0),"※收入和支出都没填",IF($E928="","※没填收支类别，分类报表会漏掉这一笔",IF(ISNA(MATCH($E928,类别表,0)),"※收支类别不在【参数设置】的清单里",IF($J928="","△"&amp;$D928&amp;" 还没填汇率，去【月度汇率】补上就自动算了",IF(YEAR($A928)&lt;&gt;管理年度,"△不是管理年度的单据，年报里看不到",IF(AND($F928="内部转账",$Q928=""),"△内部转账建议在「往来单位」写上对方账户",IF($M928&lt;0,"△这一笔之后该账户余额成负数了，核一下","")))))))))))</f>
        <v/>
      </c>
    </row>
    <row r="929" ht="16.5" spans="1:19">
      <c r="A929" s="45"/>
      <c r="B929" s="46"/>
      <c r="C929" s="12" t="str">
        <f>IF($B929="","",IFERROR(INDEX(账户银行,MATCH($B929,账户名,0)),""))</f>
        <v/>
      </c>
      <c r="D929" s="12" t="str">
        <f>IF($B929="","",IFERROR(INDEX(账户币种,MATCH($B929,账户名,0)),""))</f>
        <v/>
      </c>
      <c r="E929" s="47"/>
      <c r="F929" s="12" t="str">
        <f>IF($E929="","",IFERROR(INDEX(类别属性,MATCH($E929,类别表,0)),""))</f>
        <v/>
      </c>
      <c r="G929" s="48"/>
      <c r="H929" s="48"/>
      <c r="I929" s="49"/>
      <c r="J929" s="24" t="str">
        <f>IF(OR($A929="",$B929=""),"",IF($I929&lt;&gt;"",$I929,IF($D929=本位币,1,IFERROR(LOOKUP(2,1/((汇率月份&lt;=$A929)*(INDEX(记账汇率区,0,MATCH($D929,汇率币种头,0))&lt;&gt;"")),INDEX(记账汇率区,0,MATCH($D929,汇率币种头,0))),""))))</f>
        <v/>
      </c>
      <c r="K929" s="23" t="str">
        <f t="shared" si="28"/>
        <v/>
      </c>
      <c r="L929" s="23" t="str">
        <f t="shared" si="29"/>
        <v/>
      </c>
      <c r="M929" s="23" t="str">
        <f>IF($B929="","",ROUND(SUMIF(账户名,$B929,账户期初)+SUMIFS($K$6:K929,$B$6:B929,$B929),2))</f>
        <v/>
      </c>
      <c r="N929" s="23" t="str">
        <f>IF($B929="","",IFERROR(ROUND(INDEX(账户期初本位,MATCH($B929,账户名,0))+SUMIFS($L$6:L929,$B$6:B929,$B929),2),""))</f>
        <v/>
      </c>
      <c r="O929" s="46"/>
      <c r="P929" s="47"/>
      <c r="Q929" s="46"/>
      <c r="R929" s="46"/>
      <c r="S929" s="6" t="str">
        <f>IF($B929="","",IF(ISNA(MATCH($B929,账户名,0)),"※这个账户不在【参数设置】的账户档案里",IF($A929="","※没填日期，这一笔不会进任何月份的报表",IF(AND($G929&lt;&gt;"",$H929&lt;&gt;""),"※收入和支出不能同时填",IF(AND(N($G929)=0,N($H929)=0),"※收入和支出都没填",IF($E929="","※没填收支类别，分类报表会漏掉这一笔",IF(ISNA(MATCH($E929,类别表,0)),"※收支类别不在【参数设置】的清单里",IF($J929="","△"&amp;$D929&amp;" 还没填汇率，去【月度汇率】补上就自动算了",IF(YEAR($A929)&lt;&gt;管理年度,"△不是管理年度的单据，年报里看不到",IF(AND($F929="内部转账",$Q929=""),"△内部转账建议在「往来单位」写上对方账户",IF($M929&lt;0,"△这一笔之后该账户余额成负数了，核一下","")))))))))))</f>
        <v/>
      </c>
    </row>
    <row r="930" ht="16.5" spans="1:19">
      <c r="A930" s="45"/>
      <c r="B930" s="46"/>
      <c r="C930" s="12" t="str">
        <f>IF($B930="","",IFERROR(INDEX(账户银行,MATCH($B930,账户名,0)),""))</f>
        <v/>
      </c>
      <c r="D930" s="12" t="str">
        <f>IF($B930="","",IFERROR(INDEX(账户币种,MATCH($B930,账户名,0)),""))</f>
        <v/>
      </c>
      <c r="E930" s="47"/>
      <c r="F930" s="12" t="str">
        <f>IF($E930="","",IFERROR(INDEX(类别属性,MATCH($E930,类别表,0)),""))</f>
        <v/>
      </c>
      <c r="G930" s="48"/>
      <c r="H930" s="48"/>
      <c r="I930" s="49"/>
      <c r="J930" s="24" t="str">
        <f>IF(OR($A930="",$B930=""),"",IF($I930&lt;&gt;"",$I930,IF($D930=本位币,1,IFERROR(LOOKUP(2,1/((汇率月份&lt;=$A930)*(INDEX(记账汇率区,0,MATCH($D930,汇率币种头,0))&lt;&gt;"")),INDEX(记账汇率区,0,MATCH($D930,汇率币种头,0))),""))))</f>
        <v/>
      </c>
      <c r="K930" s="23" t="str">
        <f t="shared" si="28"/>
        <v/>
      </c>
      <c r="L930" s="23" t="str">
        <f t="shared" si="29"/>
        <v/>
      </c>
      <c r="M930" s="23" t="str">
        <f>IF($B930="","",ROUND(SUMIF(账户名,$B930,账户期初)+SUMIFS($K$6:K930,$B$6:B930,$B930),2))</f>
        <v/>
      </c>
      <c r="N930" s="23" t="str">
        <f>IF($B930="","",IFERROR(ROUND(INDEX(账户期初本位,MATCH($B930,账户名,0))+SUMIFS($L$6:L930,$B$6:B930,$B930),2),""))</f>
        <v/>
      </c>
      <c r="O930" s="46"/>
      <c r="P930" s="47"/>
      <c r="Q930" s="46"/>
      <c r="R930" s="46"/>
      <c r="S930" s="6" t="str">
        <f>IF($B930="","",IF(ISNA(MATCH($B930,账户名,0)),"※这个账户不在【参数设置】的账户档案里",IF($A930="","※没填日期，这一笔不会进任何月份的报表",IF(AND($G930&lt;&gt;"",$H930&lt;&gt;""),"※收入和支出不能同时填",IF(AND(N($G930)=0,N($H930)=0),"※收入和支出都没填",IF($E930="","※没填收支类别，分类报表会漏掉这一笔",IF(ISNA(MATCH($E930,类别表,0)),"※收支类别不在【参数设置】的清单里",IF($J930="","△"&amp;$D930&amp;" 还没填汇率，去【月度汇率】补上就自动算了",IF(YEAR($A930)&lt;&gt;管理年度,"△不是管理年度的单据，年报里看不到",IF(AND($F930="内部转账",$Q930=""),"△内部转账建议在「往来单位」写上对方账户",IF($M930&lt;0,"△这一笔之后该账户余额成负数了，核一下","")))))))))))</f>
        <v/>
      </c>
    </row>
    <row r="931" ht="16.5" spans="1:19">
      <c r="A931" s="45"/>
      <c r="B931" s="46"/>
      <c r="C931" s="12" t="str">
        <f>IF($B931="","",IFERROR(INDEX(账户银行,MATCH($B931,账户名,0)),""))</f>
        <v/>
      </c>
      <c r="D931" s="12" t="str">
        <f>IF($B931="","",IFERROR(INDEX(账户币种,MATCH($B931,账户名,0)),""))</f>
        <v/>
      </c>
      <c r="E931" s="47"/>
      <c r="F931" s="12" t="str">
        <f>IF($E931="","",IFERROR(INDEX(类别属性,MATCH($E931,类别表,0)),""))</f>
        <v/>
      </c>
      <c r="G931" s="48"/>
      <c r="H931" s="48"/>
      <c r="I931" s="49"/>
      <c r="J931" s="24" t="str">
        <f>IF(OR($A931="",$B931=""),"",IF($I931&lt;&gt;"",$I931,IF($D931=本位币,1,IFERROR(LOOKUP(2,1/((汇率月份&lt;=$A931)*(INDEX(记账汇率区,0,MATCH($D931,汇率币种头,0))&lt;&gt;"")),INDEX(记账汇率区,0,MATCH($D931,汇率币种头,0))),""))))</f>
        <v/>
      </c>
      <c r="K931" s="23" t="str">
        <f t="shared" si="28"/>
        <v/>
      </c>
      <c r="L931" s="23" t="str">
        <f t="shared" si="29"/>
        <v/>
      </c>
      <c r="M931" s="23" t="str">
        <f>IF($B931="","",ROUND(SUMIF(账户名,$B931,账户期初)+SUMIFS($K$6:K931,$B$6:B931,$B931),2))</f>
        <v/>
      </c>
      <c r="N931" s="23" t="str">
        <f>IF($B931="","",IFERROR(ROUND(INDEX(账户期初本位,MATCH($B931,账户名,0))+SUMIFS($L$6:L931,$B$6:B931,$B931),2),""))</f>
        <v/>
      </c>
      <c r="O931" s="46"/>
      <c r="P931" s="47"/>
      <c r="Q931" s="46"/>
      <c r="R931" s="46"/>
      <c r="S931" s="6" t="str">
        <f>IF($B931="","",IF(ISNA(MATCH($B931,账户名,0)),"※这个账户不在【参数设置】的账户档案里",IF($A931="","※没填日期，这一笔不会进任何月份的报表",IF(AND($G931&lt;&gt;"",$H931&lt;&gt;""),"※收入和支出不能同时填",IF(AND(N($G931)=0,N($H931)=0),"※收入和支出都没填",IF($E931="","※没填收支类别，分类报表会漏掉这一笔",IF(ISNA(MATCH($E931,类别表,0)),"※收支类别不在【参数设置】的清单里",IF($J931="","△"&amp;$D931&amp;" 还没填汇率，去【月度汇率】补上就自动算了",IF(YEAR($A931)&lt;&gt;管理年度,"△不是管理年度的单据，年报里看不到",IF(AND($F931="内部转账",$Q931=""),"△内部转账建议在「往来单位」写上对方账户",IF($M931&lt;0,"△这一笔之后该账户余额成负数了，核一下","")))))))))))</f>
        <v/>
      </c>
    </row>
    <row r="932" ht="16.5" spans="1:19">
      <c r="A932" s="45"/>
      <c r="B932" s="46"/>
      <c r="C932" s="12" t="str">
        <f>IF($B932="","",IFERROR(INDEX(账户银行,MATCH($B932,账户名,0)),""))</f>
        <v/>
      </c>
      <c r="D932" s="12" t="str">
        <f>IF($B932="","",IFERROR(INDEX(账户币种,MATCH($B932,账户名,0)),""))</f>
        <v/>
      </c>
      <c r="E932" s="47"/>
      <c r="F932" s="12" t="str">
        <f>IF($E932="","",IFERROR(INDEX(类别属性,MATCH($E932,类别表,0)),""))</f>
        <v/>
      </c>
      <c r="G932" s="48"/>
      <c r="H932" s="48"/>
      <c r="I932" s="49"/>
      <c r="J932" s="24" t="str">
        <f>IF(OR($A932="",$B932=""),"",IF($I932&lt;&gt;"",$I932,IF($D932=本位币,1,IFERROR(LOOKUP(2,1/((汇率月份&lt;=$A932)*(INDEX(记账汇率区,0,MATCH($D932,汇率币种头,0))&lt;&gt;"")),INDEX(记账汇率区,0,MATCH($D932,汇率币种头,0))),""))))</f>
        <v/>
      </c>
      <c r="K932" s="23" t="str">
        <f t="shared" si="28"/>
        <v/>
      </c>
      <c r="L932" s="23" t="str">
        <f t="shared" si="29"/>
        <v/>
      </c>
      <c r="M932" s="23" t="str">
        <f>IF($B932="","",ROUND(SUMIF(账户名,$B932,账户期初)+SUMIFS($K$6:K932,$B$6:B932,$B932),2))</f>
        <v/>
      </c>
      <c r="N932" s="23" t="str">
        <f>IF($B932="","",IFERROR(ROUND(INDEX(账户期初本位,MATCH($B932,账户名,0))+SUMIFS($L$6:L932,$B$6:B932,$B932),2),""))</f>
        <v/>
      </c>
      <c r="O932" s="46"/>
      <c r="P932" s="47"/>
      <c r="Q932" s="46"/>
      <c r="R932" s="46"/>
      <c r="S932" s="6" t="str">
        <f>IF($B932="","",IF(ISNA(MATCH($B932,账户名,0)),"※这个账户不在【参数设置】的账户档案里",IF($A932="","※没填日期，这一笔不会进任何月份的报表",IF(AND($G932&lt;&gt;"",$H932&lt;&gt;""),"※收入和支出不能同时填",IF(AND(N($G932)=0,N($H932)=0),"※收入和支出都没填",IF($E932="","※没填收支类别，分类报表会漏掉这一笔",IF(ISNA(MATCH($E932,类别表,0)),"※收支类别不在【参数设置】的清单里",IF($J932="","△"&amp;$D932&amp;" 还没填汇率，去【月度汇率】补上就自动算了",IF(YEAR($A932)&lt;&gt;管理年度,"△不是管理年度的单据，年报里看不到",IF(AND($F932="内部转账",$Q932=""),"△内部转账建议在「往来单位」写上对方账户",IF($M932&lt;0,"△这一笔之后该账户余额成负数了，核一下","")))))))))))</f>
        <v/>
      </c>
    </row>
    <row r="933" ht="16.5" spans="1:19">
      <c r="A933" s="45"/>
      <c r="B933" s="46"/>
      <c r="C933" s="12" t="str">
        <f>IF($B933="","",IFERROR(INDEX(账户银行,MATCH($B933,账户名,0)),""))</f>
        <v/>
      </c>
      <c r="D933" s="12" t="str">
        <f>IF($B933="","",IFERROR(INDEX(账户币种,MATCH($B933,账户名,0)),""))</f>
        <v/>
      </c>
      <c r="E933" s="47"/>
      <c r="F933" s="12" t="str">
        <f>IF($E933="","",IFERROR(INDEX(类别属性,MATCH($E933,类别表,0)),""))</f>
        <v/>
      </c>
      <c r="G933" s="48"/>
      <c r="H933" s="48"/>
      <c r="I933" s="49"/>
      <c r="J933" s="24" t="str">
        <f>IF(OR($A933="",$B933=""),"",IF($I933&lt;&gt;"",$I933,IF($D933=本位币,1,IFERROR(LOOKUP(2,1/((汇率月份&lt;=$A933)*(INDEX(记账汇率区,0,MATCH($D933,汇率币种头,0))&lt;&gt;"")),INDEX(记账汇率区,0,MATCH($D933,汇率币种头,0))),""))))</f>
        <v/>
      </c>
      <c r="K933" s="23" t="str">
        <f t="shared" si="28"/>
        <v/>
      </c>
      <c r="L933" s="23" t="str">
        <f t="shared" si="29"/>
        <v/>
      </c>
      <c r="M933" s="23" t="str">
        <f>IF($B933="","",ROUND(SUMIF(账户名,$B933,账户期初)+SUMIFS($K$6:K933,$B$6:B933,$B933),2))</f>
        <v/>
      </c>
      <c r="N933" s="23" t="str">
        <f>IF($B933="","",IFERROR(ROUND(INDEX(账户期初本位,MATCH($B933,账户名,0))+SUMIFS($L$6:L933,$B$6:B933,$B933),2),""))</f>
        <v/>
      </c>
      <c r="O933" s="46"/>
      <c r="P933" s="47"/>
      <c r="Q933" s="46"/>
      <c r="R933" s="46"/>
      <c r="S933" s="6" t="str">
        <f>IF($B933="","",IF(ISNA(MATCH($B933,账户名,0)),"※这个账户不在【参数设置】的账户档案里",IF($A933="","※没填日期，这一笔不会进任何月份的报表",IF(AND($G933&lt;&gt;"",$H933&lt;&gt;""),"※收入和支出不能同时填",IF(AND(N($G933)=0,N($H933)=0),"※收入和支出都没填",IF($E933="","※没填收支类别，分类报表会漏掉这一笔",IF(ISNA(MATCH($E933,类别表,0)),"※收支类别不在【参数设置】的清单里",IF($J933="","△"&amp;$D933&amp;" 还没填汇率，去【月度汇率】补上就自动算了",IF(YEAR($A933)&lt;&gt;管理年度,"△不是管理年度的单据，年报里看不到",IF(AND($F933="内部转账",$Q933=""),"△内部转账建议在「往来单位」写上对方账户",IF($M933&lt;0,"△这一笔之后该账户余额成负数了，核一下","")))))))))))</f>
        <v/>
      </c>
    </row>
    <row r="934" ht="16.5" spans="1:19">
      <c r="A934" s="45"/>
      <c r="B934" s="46"/>
      <c r="C934" s="12" t="str">
        <f>IF($B934="","",IFERROR(INDEX(账户银行,MATCH($B934,账户名,0)),""))</f>
        <v/>
      </c>
      <c r="D934" s="12" t="str">
        <f>IF($B934="","",IFERROR(INDEX(账户币种,MATCH($B934,账户名,0)),""))</f>
        <v/>
      </c>
      <c r="E934" s="47"/>
      <c r="F934" s="12" t="str">
        <f>IF($E934="","",IFERROR(INDEX(类别属性,MATCH($E934,类别表,0)),""))</f>
        <v/>
      </c>
      <c r="G934" s="48"/>
      <c r="H934" s="48"/>
      <c r="I934" s="49"/>
      <c r="J934" s="24" t="str">
        <f>IF(OR($A934="",$B934=""),"",IF($I934&lt;&gt;"",$I934,IF($D934=本位币,1,IFERROR(LOOKUP(2,1/((汇率月份&lt;=$A934)*(INDEX(记账汇率区,0,MATCH($D934,汇率币种头,0))&lt;&gt;"")),INDEX(记账汇率区,0,MATCH($D934,汇率币种头,0))),""))))</f>
        <v/>
      </c>
      <c r="K934" s="23" t="str">
        <f t="shared" si="28"/>
        <v/>
      </c>
      <c r="L934" s="23" t="str">
        <f t="shared" si="29"/>
        <v/>
      </c>
      <c r="M934" s="23" t="str">
        <f>IF($B934="","",ROUND(SUMIF(账户名,$B934,账户期初)+SUMIFS($K$6:K934,$B$6:B934,$B934),2))</f>
        <v/>
      </c>
      <c r="N934" s="23" t="str">
        <f>IF($B934="","",IFERROR(ROUND(INDEX(账户期初本位,MATCH($B934,账户名,0))+SUMIFS($L$6:L934,$B$6:B934,$B934),2),""))</f>
        <v/>
      </c>
      <c r="O934" s="46"/>
      <c r="P934" s="47"/>
      <c r="Q934" s="46"/>
      <c r="R934" s="46"/>
      <c r="S934" s="6" t="str">
        <f>IF($B934="","",IF(ISNA(MATCH($B934,账户名,0)),"※这个账户不在【参数设置】的账户档案里",IF($A934="","※没填日期，这一笔不会进任何月份的报表",IF(AND($G934&lt;&gt;"",$H934&lt;&gt;""),"※收入和支出不能同时填",IF(AND(N($G934)=0,N($H934)=0),"※收入和支出都没填",IF($E934="","※没填收支类别，分类报表会漏掉这一笔",IF(ISNA(MATCH($E934,类别表,0)),"※收支类别不在【参数设置】的清单里",IF($J934="","△"&amp;$D934&amp;" 还没填汇率，去【月度汇率】补上就自动算了",IF(YEAR($A934)&lt;&gt;管理年度,"△不是管理年度的单据，年报里看不到",IF(AND($F934="内部转账",$Q934=""),"△内部转账建议在「往来单位」写上对方账户",IF($M934&lt;0,"△这一笔之后该账户余额成负数了，核一下","")))))))))))</f>
        <v/>
      </c>
    </row>
    <row r="935" ht="16.5" spans="1:19">
      <c r="A935" s="45"/>
      <c r="B935" s="46"/>
      <c r="C935" s="12" t="str">
        <f>IF($B935="","",IFERROR(INDEX(账户银行,MATCH($B935,账户名,0)),""))</f>
        <v/>
      </c>
      <c r="D935" s="12" t="str">
        <f>IF($B935="","",IFERROR(INDEX(账户币种,MATCH($B935,账户名,0)),""))</f>
        <v/>
      </c>
      <c r="E935" s="47"/>
      <c r="F935" s="12" t="str">
        <f>IF($E935="","",IFERROR(INDEX(类别属性,MATCH($E935,类别表,0)),""))</f>
        <v/>
      </c>
      <c r="G935" s="48"/>
      <c r="H935" s="48"/>
      <c r="I935" s="49"/>
      <c r="J935" s="24" t="str">
        <f>IF(OR($A935="",$B935=""),"",IF($I935&lt;&gt;"",$I935,IF($D935=本位币,1,IFERROR(LOOKUP(2,1/((汇率月份&lt;=$A935)*(INDEX(记账汇率区,0,MATCH($D935,汇率币种头,0))&lt;&gt;"")),INDEX(记账汇率区,0,MATCH($D935,汇率币种头,0))),""))))</f>
        <v/>
      </c>
      <c r="K935" s="23" t="str">
        <f t="shared" si="28"/>
        <v/>
      </c>
      <c r="L935" s="23" t="str">
        <f t="shared" si="29"/>
        <v/>
      </c>
      <c r="M935" s="23" t="str">
        <f>IF($B935="","",ROUND(SUMIF(账户名,$B935,账户期初)+SUMIFS($K$6:K935,$B$6:B935,$B935),2))</f>
        <v/>
      </c>
      <c r="N935" s="23" t="str">
        <f>IF($B935="","",IFERROR(ROUND(INDEX(账户期初本位,MATCH($B935,账户名,0))+SUMIFS($L$6:L935,$B$6:B935,$B935),2),""))</f>
        <v/>
      </c>
      <c r="O935" s="46"/>
      <c r="P935" s="47"/>
      <c r="Q935" s="46"/>
      <c r="R935" s="46"/>
      <c r="S935" s="6" t="str">
        <f>IF($B935="","",IF(ISNA(MATCH($B935,账户名,0)),"※这个账户不在【参数设置】的账户档案里",IF($A935="","※没填日期，这一笔不会进任何月份的报表",IF(AND($G935&lt;&gt;"",$H935&lt;&gt;""),"※收入和支出不能同时填",IF(AND(N($G935)=0,N($H935)=0),"※收入和支出都没填",IF($E935="","※没填收支类别，分类报表会漏掉这一笔",IF(ISNA(MATCH($E935,类别表,0)),"※收支类别不在【参数设置】的清单里",IF($J935="","△"&amp;$D935&amp;" 还没填汇率，去【月度汇率】补上就自动算了",IF(YEAR($A935)&lt;&gt;管理年度,"△不是管理年度的单据，年报里看不到",IF(AND($F935="内部转账",$Q935=""),"△内部转账建议在「往来单位」写上对方账户",IF($M935&lt;0,"△这一笔之后该账户余额成负数了，核一下","")))))))))))</f>
        <v/>
      </c>
    </row>
    <row r="936" ht="16.5" spans="1:19">
      <c r="A936" s="45"/>
      <c r="B936" s="46"/>
      <c r="C936" s="12" t="str">
        <f>IF($B936="","",IFERROR(INDEX(账户银行,MATCH($B936,账户名,0)),""))</f>
        <v/>
      </c>
      <c r="D936" s="12" t="str">
        <f>IF($B936="","",IFERROR(INDEX(账户币种,MATCH($B936,账户名,0)),""))</f>
        <v/>
      </c>
      <c r="E936" s="47"/>
      <c r="F936" s="12" t="str">
        <f>IF($E936="","",IFERROR(INDEX(类别属性,MATCH($E936,类别表,0)),""))</f>
        <v/>
      </c>
      <c r="G936" s="48"/>
      <c r="H936" s="48"/>
      <c r="I936" s="49"/>
      <c r="J936" s="24" t="str">
        <f>IF(OR($A936="",$B936=""),"",IF($I936&lt;&gt;"",$I936,IF($D936=本位币,1,IFERROR(LOOKUP(2,1/((汇率月份&lt;=$A936)*(INDEX(记账汇率区,0,MATCH($D936,汇率币种头,0))&lt;&gt;"")),INDEX(记账汇率区,0,MATCH($D936,汇率币种头,0))),""))))</f>
        <v/>
      </c>
      <c r="K936" s="23" t="str">
        <f t="shared" si="28"/>
        <v/>
      </c>
      <c r="L936" s="23" t="str">
        <f t="shared" si="29"/>
        <v/>
      </c>
      <c r="M936" s="23" t="str">
        <f>IF($B936="","",ROUND(SUMIF(账户名,$B936,账户期初)+SUMIFS($K$6:K936,$B$6:B936,$B936),2))</f>
        <v/>
      </c>
      <c r="N936" s="23" t="str">
        <f>IF($B936="","",IFERROR(ROUND(INDEX(账户期初本位,MATCH($B936,账户名,0))+SUMIFS($L$6:L936,$B$6:B936,$B936),2),""))</f>
        <v/>
      </c>
      <c r="O936" s="46"/>
      <c r="P936" s="47"/>
      <c r="Q936" s="46"/>
      <c r="R936" s="46"/>
      <c r="S936" s="6" t="str">
        <f>IF($B936="","",IF(ISNA(MATCH($B936,账户名,0)),"※这个账户不在【参数设置】的账户档案里",IF($A936="","※没填日期，这一笔不会进任何月份的报表",IF(AND($G936&lt;&gt;"",$H936&lt;&gt;""),"※收入和支出不能同时填",IF(AND(N($G936)=0,N($H936)=0),"※收入和支出都没填",IF($E936="","※没填收支类别，分类报表会漏掉这一笔",IF(ISNA(MATCH($E936,类别表,0)),"※收支类别不在【参数设置】的清单里",IF($J936="","△"&amp;$D936&amp;" 还没填汇率，去【月度汇率】补上就自动算了",IF(YEAR($A936)&lt;&gt;管理年度,"△不是管理年度的单据，年报里看不到",IF(AND($F936="内部转账",$Q936=""),"△内部转账建议在「往来单位」写上对方账户",IF($M936&lt;0,"△这一笔之后该账户余额成负数了，核一下","")))))))))))</f>
        <v/>
      </c>
    </row>
    <row r="937" ht="16.5" spans="1:19">
      <c r="A937" s="45"/>
      <c r="B937" s="46"/>
      <c r="C937" s="12" t="str">
        <f>IF($B937="","",IFERROR(INDEX(账户银行,MATCH($B937,账户名,0)),""))</f>
        <v/>
      </c>
      <c r="D937" s="12" t="str">
        <f>IF($B937="","",IFERROR(INDEX(账户币种,MATCH($B937,账户名,0)),""))</f>
        <v/>
      </c>
      <c r="E937" s="47"/>
      <c r="F937" s="12" t="str">
        <f>IF($E937="","",IFERROR(INDEX(类别属性,MATCH($E937,类别表,0)),""))</f>
        <v/>
      </c>
      <c r="G937" s="48"/>
      <c r="H937" s="48"/>
      <c r="I937" s="49"/>
      <c r="J937" s="24" t="str">
        <f>IF(OR($A937="",$B937=""),"",IF($I937&lt;&gt;"",$I937,IF($D937=本位币,1,IFERROR(LOOKUP(2,1/((汇率月份&lt;=$A937)*(INDEX(记账汇率区,0,MATCH($D937,汇率币种头,0))&lt;&gt;"")),INDEX(记账汇率区,0,MATCH($D937,汇率币种头,0))),""))))</f>
        <v/>
      </c>
      <c r="K937" s="23" t="str">
        <f t="shared" si="28"/>
        <v/>
      </c>
      <c r="L937" s="23" t="str">
        <f t="shared" si="29"/>
        <v/>
      </c>
      <c r="M937" s="23" t="str">
        <f>IF($B937="","",ROUND(SUMIF(账户名,$B937,账户期初)+SUMIFS($K$6:K937,$B$6:B937,$B937),2))</f>
        <v/>
      </c>
      <c r="N937" s="23" t="str">
        <f>IF($B937="","",IFERROR(ROUND(INDEX(账户期初本位,MATCH($B937,账户名,0))+SUMIFS($L$6:L937,$B$6:B937,$B937),2),""))</f>
        <v/>
      </c>
      <c r="O937" s="46"/>
      <c r="P937" s="47"/>
      <c r="Q937" s="46"/>
      <c r="R937" s="46"/>
      <c r="S937" s="6" t="str">
        <f>IF($B937="","",IF(ISNA(MATCH($B937,账户名,0)),"※这个账户不在【参数设置】的账户档案里",IF($A937="","※没填日期，这一笔不会进任何月份的报表",IF(AND($G937&lt;&gt;"",$H937&lt;&gt;""),"※收入和支出不能同时填",IF(AND(N($G937)=0,N($H937)=0),"※收入和支出都没填",IF($E937="","※没填收支类别，分类报表会漏掉这一笔",IF(ISNA(MATCH($E937,类别表,0)),"※收支类别不在【参数设置】的清单里",IF($J937="","△"&amp;$D937&amp;" 还没填汇率，去【月度汇率】补上就自动算了",IF(YEAR($A937)&lt;&gt;管理年度,"△不是管理年度的单据，年报里看不到",IF(AND($F937="内部转账",$Q937=""),"△内部转账建议在「往来单位」写上对方账户",IF($M937&lt;0,"△这一笔之后该账户余额成负数了，核一下","")))))))))))</f>
        <v/>
      </c>
    </row>
    <row r="938" ht="16.5" spans="1:19">
      <c r="A938" s="45"/>
      <c r="B938" s="46"/>
      <c r="C938" s="12" t="str">
        <f>IF($B938="","",IFERROR(INDEX(账户银行,MATCH($B938,账户名,0)),""))</f>
        <v/>
      </c>
      <c r="D938" s="12" t="str">
        <f>IF($B938="","",IFERROR(INDEX(账户币种,MATCH($B938,账户名,0)),""))</f>
        <v/>
      </c>
      <c r="E938" s="47"/>
      <c r="F938" s="12" t="str">
        <f>IF($E938="","",IFERROR(INDEX(类别属性,MATCH($E938,类别表,0)),""))</f>
        <v/>
      </c>
      <c r="G938" s="48"/>
      <c r="H938" s="48"/>
      <c r="I938" s="49"/>
      <c r="J938" s="24" t="str">
        <f>IF(OR($A938="",$B938=""),"",IF($I938&lt;&gt;"",$I938,IF($D938=本位币,1,IFERROR(LOOKUP(2,1/((汇率月份&lt;=$A938)*(INDEX(记账汇率区,0,MATCH($D938,汇率币种头,0))&lt;&gt;"")),INDEX(记账汇率区,0,MATCH($D938,汇率币种头,0))),""))))</f>
        <v/>
      </c>
      <c r="K938" s="23" t="str">
        <f t="shared" si="28"/>
        <v/>
      </c>
      <c r="L938" s="23" t="str">
        <f t="shared" si="29"/>
        <v/>
      </c>
      <c r="M938" s="23" t="str">
        <f>IF($B938="","",ROUND(SUMIF(账户名,$B938,账户期初)+SUMIFS($K$6:K938,$B$6:B938,$B938),2))</f>
        <v/>
      </c>
      <c r="N938" s="23" t="str">
        <f>IF($B938="","",IFERROR(ROUND(INDEX(账户期初本位,MATCH($B938,账户名,0))+SUMIFS($L$6:L938,$B$6:B938,$B938),2),""))</f>
        <v/>
      </c>
      <c r="O938" s="46"/>
      <c r="P938" s="47"/>
      <c r="Q938" s="46"/>
      <c r="R938" s="46"/>
      <c r="S938" s="6" t="str">
        <f>IF($B938="","",IF(ISNA(MATCH($B938,账户名,0)),"※这个账户不在【参数设置】的账户档案里",IF($A938="","※没填日期，这一笔不会进任何月份的报表",IF(AND($G938&lt;&gt;"",$H938&lt;&gt;""),"※收入和支出不能同时填",IF(AND(N($G938)=0,N($H938)=0),"※收入和支出都没填",IF($E938="","※没填收支类别，分类报表会漏掉这一笔",IF(ISNA(MATCH($E938,类别表,0)),"※收支类别不在【参数设置】的清单里",IF($J938="","△"&amp;$D938&amp;" 还没填汇率，去【月度汇率】补上就自动算了",IF(YEAR($A938)&lt;&gt;管理年度,"△不是管理年度的单据，年报里看不到",IF(AND($F938="内部转账",$Q938=""),"△内部转账建议在「往来单位」写上对方账户",IF($M938&lt;0,"△这一笔之后该账户余额成负数了，核一下","")))))))))))</f>
        <v/>
      </c>
    </row>
    <row r="939" ht="16.5" spans="1:19">
      <c r="A939" s="45"/>
      <c r="B939" s="46"/>
      <c r="C939" s="12" t="str">
        <f>IF($B939="","",IFERROR(INDEX(账户银行,MATCH($B939,账户名,0)),""))</f>
        <v/>
      </c>
      <c r="D939" s="12" t="str">
        <f>IF($B939="","",IFERROR(INDEX(账户币种,MATCH($B939,账户名,0)),""))</f>
        <v/>
      </c>
      <c r="E939" s="47"/>
      <c r="F939" s="12" t="str">
        <f>IF($E939="","",IFERROR(INDEX(类别属性,MATCH($E939,类别表,0)),""))</f>
        <v/>
      </c>
      <c r="G939" s="48"/>
      <c r="H939" s="48"/>
      <c r="I939" s="49"/>
      <c r="J939" s="24" t="str">
        <f>IF(OR($A939="",$B939=""),"",IF($I939&lt;&gt;"",$I939,IF($D939=本位币,1,IFERROR(LOOKUP(2,1/((汇率月份&lt;=$A939)*(INDEX(记账汇率区,0,MATCH($D939,汇率币种头,0))&lt;&gt;"")),INDEX(记账汇率区,0,MATCH($D939,汇率币种头,0))),""))))</f>
        <v/>
      </c>
      <c r="K939" s="23" t="str">
        <f t="shared" si="28"/>
        <v/>
      </c>
      <c r="L939" s="23" t="str">
        <f t="shared" si="29"/>
        <v/>
      </c>
      <c r="M939" s="23" t="str">
        <f>IF($B939="","",ROUND(SUMIF(账户名,$B939,账户期初)+SUMIFS($K$6:K939,$B$6:B939,$B939),2))</f>
        <v/>
      </c>
      <c r="N939" s="23" t="str">
        <f>IF($B939="","",IFERROR(ROUND(INDEX(账户期初本位,MATCH($B939,账户名,0))+SUMIFS($L$6:L939,$B$6:B939,$B939),2),""))</f>
        <v/>
      </c>
      <c r="O939" s="46"/>
      <c r="P939" s="47"/>
      <c r="Q939" s="46"/>
      <c r="R939" s="46"/>
      <c r="S939" s="6" t="str">
        <f>IF($B939="","",IF(ISNA(MATCH($B939,账户名,0)),"※这个账户不在【参数设置】的账户档案里",IF($A939="","※没填日期，这一笔不会进任何月份的报表",IF(AND($G939&lt;&gt;"",$H939&lt;&gt;""),"※收入和支出不能同时填",IF(AND(N($G939)=0,N($H939)=0),"※收入和支出都没填",IF($E939="","※没填收支类别，分类报表会漏掉这一笔",IF(ISNA(MATCH($E939,类别表,0)),"※收支类别不在【参数设置】的清单里",IF($J939="","△"&amp;$D939&amp;" 还没填汇率，去【月度汇率】补上就自动算了",IF(YEAR($A939)&lt;&gt;管理年度,"△不是管理年度的单据，年报里看不到",IF(AND($F939="内部转账",$Q939=""),"△内部转账建议在「往来单位」写上对方账户",IF($M939&lt;0,"△这一笔之后该账户余额成负数了，核一下","")))))))))))</f>
        <v/>
      </c>
    </row>
    <row r="940" ht="16.5" spans="1:19">
      <c r="A940" s="45"/>
      <c r="B940" s="46"/>
      <c r="C940" s="12" t="str">
        <f>IF($B940="","",IFERROR(INDEX(账户银行,MATCH($B940,账户名,0)),""))</f>
        <v/>
      </c>
      <c r="D940" s="12" t="str">
        <f>IF($B940="","",IFERROR(INDEX(账户币种,MATCH($B940,账户名,0)),""))</f>
        <v/>
      </c>
      <c r="E940" s="47"/>
      <c r="F940" s="12" t="str">
        <f>IF($E940="","",IFERROR(INDEX(类别属性,MATCH($E940,类别表,0)),""))</f>
        <v/>
      </c>
      <c r="G940" s="48"/>
      <c r="H940" s="48"/>
      <c r="I940" s="49"/>
      <c r="J940" s="24" t="str">
        <f>IF(OR($A940="",$B940=""),"",IF($I940&lt;&gt;"",$I940,IF($D940=本位币,1,IFERROR(LOOKUP(2,1/((汇率月份&lt;=$A940)*(INDEX(记账汇率区,0,MATCH($D940,汇率币种头,0))&lt;&gt;"")),INDEX(记账汇率区,0,MATCH($D940,汇率币种头,0))),""))))</f>
        <v/>
      </c>
      <c r="K940" s="23" t="str">
        <f t="shared" si="28"/>
        <v/>
      </c>
      <c r="L940" s="23" t="str">
        <f t="shared" si="29"/>
        <v/>
      </c>
      <c r="M940" s="23" t="str">
        <f>IF($B940="","",ROUND(SUMIF(账户名,$B940,账户期初)+SUMIFS($K$6:K940,$B$6:B940,$B940),2))</f>
        <v/>
      </c>
      <c r="N940" s="23" t="str">
        <f>IF($B940="","",IFERROR(ROUND(INDEX(账户期初本位,MATCH($B940,账户名,0))+SUMIFS($L$6:L940,$B$6:B940,$B940),2),""))</f>
        <v/>
      </c>
      <c r="O940" s="46"/>
      <c r="P940" s="47"/>
      <c r="Q940" s="46"/>
      <c r="R940" s="46"/>
      <c r="S940" s="6" t="str">
        <f>IF($B940="","",IF(ISNA(MATCH($B940,账户名,0)),"※这个账户不在【参数设置】的账户档案里",IF($A940="","※没填日期，这一笔不会进任何月份的报表",IF(AND($G940&lt;&gt;"",$H940&lt;&gt;""),"※收入和支出不能同时填",IF(AND(N($G940)=0,N($H940)=0),"※收入和支出都没填",IF($E940="","※没填收支类别，分类报表会漏掉这一笔",IF(ISNA(MATCH($E940,类别表,0)),"※收支类别不在【参数设置】的清单里",IF($J940="","△"&amp;$D940&amp;" 还没填汇率，去【月度汇率】补上就自动算了",IF(YEAR($A940)&lt;&gt;管理年度,"△不是管理年度的单据，年报里看不到",IF(AND($F940="内部转账",$Q940=""),"△内部转账建议在「往来单位」写上对方账户",IF($M940&lt;0,"△这一笔之后该账户余额成负数了，核一下","")))))))))))</f>
        <v/>
      </c>
    </row>
    <row r="941" ht="16.5" spans="1:19">
      <c r="A941" s="45"/>
      <c r="B941" s="46"/>
      <c r="C941" s="12" t="str">
        <f>IF($B941="","",IFERROR(INDEX(账户银行,MATCH($B941,账户名,0)),""))</f>
        <v/>
      </c>
      <c r="D941" s="12" t="str">
        <f>IF($B941="","",IFERROR(INDEX(账户币种,MATCH($B941,账户名,0)),""))</f>
        <v/>
      </c>
      <c r="E941" s="47"/>
      <c r="F941" s="12" t="str">
        <f>IF($E941="","",IFERROR(INDEX(类别属性,MATCH($E941,类别表,0)),""))</f>
        <v/>
      </c>
      <c r="G941" s="48"/>
      <c r="H941" s="48"/>
      <c r="I941" s="49"/>
      <c r="J941" s="24" t="str">
        <f>IF(OR($A941="",$B941=""),"",IF($I941&lt;&gt;"",$I941,IF($D941=本位币,1,IFERROR(LOOKUP(2,1/((汇率月份&lt;=$A941)*(INDEX(记账汇率区,0,MATCH($D941,汇率币种头,0))&lt;&gt;"")),INDEX(记账汇率区,0,MATCH($D941,汇率币种头,0))),""))))</f>
        <v/>
      </c>
      <c r="K941" s="23" t="str">
        <f t="shared" si="28"/>
        <v/>
      </c>
      <c r="L941" s="23" t="str">
        <f t="shared" si="29"/>
        <v/>
      </c>
      <c r="M941" s="23" t="str">
        <f>IF($B941="","",ROUND(SUMIF(账户名,$B941,账户期初)+SUMIFS($K$6:K941,$B$6:B941,$B941),2))</f>
        <v/>
      </c>
      <c r="N941" s="23" t="str">
        <f>IF($B941="","",IFERROR(ROUND(INDEX(账户期初本位,MATCH($B941,账户名,0))+SUMIFS($L$6:L941,$B$6:B941,$B941),2),""))</f>
        <v/>
      </c>
      <c r="O941" s="46"/>
      <c r="P941" s="47"/>
      <c r="Q941" s="46"/>
      <c r="R941" s="46"/>
      <c r="S941" s="6" t="str">
        <f>IF($B941="","",IF(ISNA(MATCH($B941,账户名,0)),"※这个账户不在【参数设置】的账户档案里",IF($A941="","※没填日期，这一笔不会进任何月份的报表",IF(AND($G941&lt;&gt;"",$H941&lt;&gt;""),"※收入和支出不能同时填",IF(AND(N($G941)=0,N($H941)=0),"※收入和支出都没填",IF($E941="","※没填收支类别，分类报表会漏掉这一笔",IF(ISNA(MATCH($E941,类别表,0)),"※收支类别不在【参数设置】的清单里",IF($J941="","△"&amp;$D941&amp;" 还没填汇率，去【月度汇率】补上就自动算了",IF(YEAR($A941)&lt;&gt;管理年度,"△不是管理年度的单据，年报里看不到",IF(AND($F941="内部转账",$Q941=""),"△内部转账建议在「往来单位」写上对方账户",IF($M941&lt;0,"△这一笔之后该账户余额成负数了，核一下","")))))))))))</f>
        <v/>
      </c>
    </row>
    <row r="942" ht="16.5" spans="1:19">
      <c r="A942" s="45"/>
      <c r="B942" s="46"/>
      <c r="C942" s="12" t="str">
        <f>IF($B942="","",IFERROR(INDEX(账户银行,MATCH($B942,账户名,0)),""))</f>
        <v/>
      </c>
      <c r="D942" s="12" t="str">
        <f>IF($B942="","",IFERROR(INDEX(账户币种,MATCH($B942,账户名,0)),""))</f>
        <v/>
      </c>
      <c r="E942" s="47"/>
      <c r="F942" s="12" t="str">
        <f>IF($E942="","",IFERROR(INDEX(类别属性,MATCH($E942,类别表,0)),""))</f>
        <v/>
      </c>
      <c r="G942" s="48"/>
      <c r="H942" s="48"/>
      <c r="I942" s="49"/>
      <c r="J942" s="24" t="str">
        <f>IF(OR($A942="",$B942=""),"",IF($I942&lt;&gt;"",$I942,IF($D942=本位币,1,IFERROR(LOOKUP(2,1/((汇率月份&lt;=$A942)*(INDEX(记账汇率区,0,MATCH($D942,汇率币种头,0))&lt;&gt;"")),INDEX(记账汇率区,0,MATCH($D942,汇率币种头,0))),""))))</f>
        <v/>
      </c>
      <c r="K942" s="23" t="str">
        <f t="shared" si="28"/>
        <v/>
      </c>
      <c r="L942" s="23" t="str">
        <f t="shared" si="29"/>
        <v/>
      </c>
      <c r="M942" s="23" t="str">
        <f>IF($B942="","",ROUND(SUMIF(账户名,$B942,账户期初)+SUMIFS($K$6:K942,$B$6:B942,$B942),2))</f>
        <v/>
      </c>
      <c r="N942" s="23" t="str">
        <f>IF($B942="","",IFERROR(ROUND(INDEX(账户期初本位,MATCH($B942,账户名,0))+SUMIFS($L$6:L942,$B$6:B942,$B942),2),""))</f>
        <v/>
      </c>
      <c r="O942" s="46"/>
      <c r="P942" s="47"/>
      <c r="Q942" s="46"/>
      <c r="R942" s="46"/>
      <c r="S942" s="6" t="str">
        <f>IF($B942="","",IF(ISNA(MATCH($B942,账户名,0)),"※这个账户不在【参数设置】的账户档案里",IF($A942="","※没填日期，这一笔不会进任何月份的报表",IF(AND($G942&lt;&gt;"",$H942&lt;&gt;""),"※收入和支出不能同时填",IF(AND(N($G942)=0,N($H942)=0),"※收入和支出都没填",IF($E942="","※没填收支类别，分类报表会漏掉这一笔",IF(ISNA(MATCH($E942,类别表,0)),"※收支类别不在【参数设置】的清单里",IF($J942="","△"&amp;$D942&amp;" 还没填汇率，去【月度汇率】补上就自动算了",IF(YEAR($A942)&lt;&gt;管理年度,"△不是管理年度的单据，年报里看不到",IF(AND($F942="内部转账",$Q942=""),"△内部转账建议在「往来单位」写上对方账户",IF($M942&lt;0,"△这一笔之后该账户余额成负数了，核一下","")))))))))))</f>
        <v/>
      </c>
    </row>
    <row r="943" ht="16.5" spans="1:19">
      <c r="A943" s="45"/>
      <c r="B943" s="46"/>
      <c r="C943" s="12" t="str">
        <f>IF($B943="","",IFERROR(INDEX(账户银行,MATCH($B943,账户名,0)),""))</f>
        <v/>
      </c>
      <c r="D943" s="12" t="str">
        <f>IF($B943="","",IFERROR(INDEX(账户币种,MATCH($B943,账户名,0)),""))</f>
        <v/>
      </c>
      <c r="E943" s="47"/>
      <c r="F943" s="12" t="str">
        <f>IF($E943="","",IFERROR(INDEX(类别属性,MATCH($E943,类别表,0)),""))</f>
        <v/>
      </c>
      <c r="G943" s="48"/>
      <c r="H943" s="48"/>
      <c r="I943" s="49"/>
      <c r="J943" s="24" t="str">
        <f>IF(OR($A943="",$B943=""),"",IF($I943&lt;&gt;"",$I943,IF($D943=本位币,1,IFERROR(LOOKUP(2,1/((汇率月份&lt;=$A943)*(INDEX(记账汇率区,0,MATCH($D943,汇率币种头,0))&lt;&gt;"")),INDEX(记账汇率区,0,MATCH($D943,汇率币种头,0))),""))))</f>
        <v/>
      </c>
      <c r="K943" s="23" t="str">
        <f t="shared" si="28"/>
        <v/>
      </c>
      <c r="L943" s="23" t="str">
        <f t="shared" si="29"/>
        <v/>
      </c>
      <c r="M943" s="23" t="str">
        <f>IF($B943="","",ROUND(SUMIF(账户名,$B943,账户期初)+SUMIFS($K$6:K943,$B$6:B943,$B943),2))</f>
        <v/>
      </c>
      <c r="N943" s="23" t="str">
        <f>IF($B943="","",IFERROR(ROUND(INDEX(账户期初本位,MATCH($B943,账户名,0))+SUMIFS($L$6:L943,$B$6:B943,$B943),2),""))</f>
        <v/>
      </c>
      <c r="O943" s="46"/>
      <c r="P943" s="47"/>
      <c r="Q943" s="46"/>
      <c r="R943" s="46"/>
      <c r="S943" s="6" t="str">
        <f>IF($B943="","",IF(ISNA(MATCH($B943,账户名,0)),"※这个账户不在【参数设置】的账户档案里",IF($A943="","※没填日期，这一笔不会进任何月份的报表",IF(AND($G943&lt;&gt;"",$H943&lt;&gt;""),"※收入和支出不能同时填",IF(AND(N($G943)=0,N($H943)=0),"※收入和支出都没填",IF($E943="","※没填收支类别，分类报表会漏掉这一笔",IF(ISNA(MATCH($E943,类别表,0)),"※收支类别不在【参数设置】的清单里",IF($J943="","△"&amp;$D943&amp;" 还没填汇率，去【月度汇率】补上就自动算了",IF(YEAR($A943)&lt;&gt;管理年度,"△不是管理年度的单据，年报里看不到",IF(AND($F943="内部转账",$Q943=""),"△内部转账建议在「往来单位」写上对方账户",IF($M943&lt;0,"△这一笔之后该账户余额成负数了，核一下","")))))))))))</f>
        <v/>
      </c>
    </row>
    <row r="944" ht="16.5" spans="1:19">
      <c r="A944" s="45"/>
      <c r="B944" s="46"/>
      <c r="C944" s="12" t="str">
        <f>IF($B944="","",IFERROR(INDEX(账户银行,MATCH($B944,账户名,0)),""))</f>
        <v/>
      </c>
      <c r="D944" s="12" t="str">
        <f>IF($B944="","",IFERROR(INDEX(账户币种,MATCH($B944,账户名,0)),""))</f>
        <v/>
      </c>
      <c r="E944" s="47"/>
      <c r="F944" s="12" t="str">
        <f>IF($E944="","",IFERROR(INDEX(类别属性,MATCH($E944,类别表,0)),""))</f>
        <v/>
      </c>
      <c r="G944" s="48"/>
      <c r="H944" s="48"/>
      <c r="I944" s="49"/>
      <c r="J944" s="24" t="str">
        <f>IF(OR($A944="",$B944=""),"",IF($I944&lt;&gt;"",$I944,IF($D944=本位币,1,IFERROR(LOOKUP(2,1/((汇率月份&lt;=$A944)*(INDEX(记账汇率区,0,MATCH($D944,汇率币种头,0))&lt;&gt;"")),INDEX(记账汇率区,0,MATCH($D944,汇率币种头,0))),""))))</f>
        <v/>
      </c>
      <c r="K944" s="23" t="str">
        <f t="shared" si="28"/>
        <v/>
      </c>
      <c r="L944" s="23" t="str">
        <f t="shared" si="29"/>
        <v/>
      </c>
      <c r="M944" s="23" t="str">
        <f>IF($B944="","",ROUND(SUMIF(账户名,$B944,账户期初)+SUMIFS($K$6:K944,$B$6:B944,$B944),2))</f>
        <v/>
      </c>
      <c r="N944" s="23" t="str">
        <f>IF($B944="","",IFERROR(ROUND(INDEX(账户期初本位,MATCH($B944,账户名,0))+SUMIFS($L$6:L944,$B$6:B944,$B944),2),""))</f>
        <v/>
      </c>
      <c r="O944" s="46"/>
      <c r="P944" s="47"/>
      <c r="Q944" s="46"/>
      <c r="R944" s="46"/>
      <c r="S944" s="6" t="str">
        <f>IF($B944="","",IF(ISNA(MATCH($B944,账户名,0)),"※这个账户不在【参数设置】的账户档案里",IF($A944="","※没填日期，这一笔不会进任何月份的报表",IF(AND($G944&lt;&gt;"",$H944&lt;&gt;""),"※收入和支出不能同时填",IF(AND(N($G944)=0,N($H944)=0),"※收入和支出都没填",IF($E944="","※没填收支类别，分类报表会漏掉这一笔",IF(ISNA(MATCH($E944,类别表,0)),"※收支类别不在【参数设置】的清单里",IF($J944="","△"&amp;$D944&amp;" 还没填汇率，去【月度汇率】补上就自动算了",IF(YEAR($A944)&lt;&gt;管理年度,"△不是管理年度的单据，年报里看不到",IF(AND($F944="内部转账",$Q944=""),"△内部转账建议在「往来单位」写上对方账户",IF($M944&lt;0,"△这一笔之后该账户余额成负数了，核一下","")))))))))))</f>
        <v/>
      </c>
    </row>
    <row r="945" ht="16.5" spans="1:19">
      <c r="A945" s="45"/>
      <c r="B945" s="46"/>
      <c r="C945" s="12" t="str">
        <f>IF($B945="","",IFERROR(INDEX(账户银行,MATCH($B945,账户名,0)),""))</f>
        <v/>
      </c>
      <c r="D945" s="12" t="str">
        <f>IF($B945="","",IFERROR(INDEX(账户币种,MATCH($B945,账户名,0)),""))</f>
        <v/>
      </c>
      <c r="E945" s="47"/>
      <c r="F945" s="12" t="str">
        <f>IF($E945="","",IFERROR(INDEX(类别属性,MATCH($E945,类别表,0)),""))</f>
        <v/>
      </c>
      <c r="G945" s="48"/>
      <c r="H945" s="48"/>
      <c r="I945" s="49"/>
      <c r="J945" s="24" t="str">
        <f>IF(OR($A945="",$B945=""),"",IF($I945&lt;&gt;"",$I945,IF($D945=本位币,1,IFERROR(LOOKUP(2,1/((汇率月份&lt;=$A945)*(INDEX(记账汇率区,0,MATCH($D945,汇率币种头,0))&lt;&gt;"")),INDEX(记账汇率区,0,MATCH($D945,汇率币种头,0))),""))))</f>
        <v/>
      </c>
      <c r="K945" s="23" t="str">
        <f t="shared" si="28"/>
        <v/>
      </c>
      <c r="L945" s="23" t="str">
        <f t="shared" si="29"/>
        <v/>
      </c>
      <c r="M945" s="23" t="str">
        <f>IF($B945="","",ROUND(SUMIF(账户名,$B945,账户期初)+SUMIFS($K$6:K945,$B$6:B945,$B945),2))</f>
        <v/>
      </c>
      <c r="N945" s="23" t="str">
        <f>IF($B945="","",IFERROR(ROUND(INDEX(账户期初本位,MATCH($B945,账户名,0))+SUMIFS($L$6:L945,$B$6:B945,$B945),2),""))</f>
        <v/>
      </c>
      <c r="O945" s="46"/>
      <c r="P945" s="47"/>
      <c r="Q945" s="46"/>
      <c r="R945" s="46"/>
      <c r="S945" s="6" t="str">
        <f>IF($B945="","",IF(ISNA(MATCH($B945,账户名,0)),"※这个账户不在【参数设置】的账户档案里",IF($A945="","※没填日期，这一笔不会进任何月份的报表",IF(AND($G945&lt;&gt;"",$H945&lt;&gt;""),"※收入和支出不能同时填",IF(AND(N($G945)=0,N($H945)=0),"※收入和支出都没填",IF($E945="","※没填收支类别，分类报表会漏掉这一笔",IF(ISNA(MATCH($E945,类别表,0)),"※收支类别不在【参数设置】的清单里",IF($J945="","△"&amp;$D945&amp;" 还没填汇率，去【月度汇率】补上就自动算了",IF(YEAR($A945)&lt;&gt;管理年度,"△不是管理年度的单据，年报里看不到",IF(AND($F945="内部转账",$Q945=""),"△内部转账建议在「往来单位」写上对方账户",IF($M945&lt;0,"△这一笔之后该账户余额成负数了，核一下","")))))))))))</f>
        <v/>
      </c>
    </row>
    <row r="946" ht="16.5" spans="1:19">
      <c r="A946" s="45"/>
      <c r="B946" s="46"/>
      <c r="C946" s="12" t="str">
        <f>IF($B946="","",IFERROR(INDEX(账户银行,MATCH($B946,账户名,0)),""))</f>
        <v/>
      </c>
      <c r="D946" s="12" t="str">
        <f>IF($B946="","",IFERROR(INDEX(账户币种,MATCH($B946,账户名,0)),""))</f>
        <v/>
      </c>
      <c r="E946" s="47"/>
      <c r="F946" s="12" t="str">
        <f>IF($E946="","",IFERROR(INDEX(类别属性,MATCH($E946,类别表,0)),""))</f>
        <v/>
      </c>
      <c r="G946" s="48"/>
      <c r="H946" s="48"/>
      <c r="I946" s="49"/>
      <c r="J946" s="24" t="str">
        <f>IF(OR($A946="",$B946=""),"",IF($I946&lt;&gt;"",$I946,IF($D946=本位币,1,IFERROR(LOOKUP(2,1/((汇率月份&lt;=$A946)*(INDEX(记账汇率区,0,MATCH($D946,汇率币种头,0))&lt;&gt;"")),INDEX(记账汇率区,0,MATCH($D946,汇率币种头,0))),""))))</f>
        <v/>
      </c>
      <c r="K946" s="23" t="str">
        <f t="shared" si="28"/>
        <v/>
      </c>
      <c r="L946" s="23" t="str">
        <f t="shared" si="29"/>
        <v/>
      </c>
      <c r="M946" s="23" t="str">
        <f>IF($B946="","",ROUND(SUMIF(账户名,$B946,账户期初)+SUMIFS($K$6:K946,$B$6:B946,$B946),2))</f>
        <v/>
      </c>
      <c r="N946" s="23" t="str">
        <f>IF($B946="","",IFERROR(ROUND(INDEX(账户期初本位,MATCH($B946,账户名,0))+SUMIFS($L$6:L946,$B$6:B946,$B946),2),""))</f>
        <v/>
      </c>
      <c r="O946" s="46"/>
      <c r="P946" s="47"/>
      <c r="Q946" s="46"/>
      <c r="R946" s="46"/>
      <c r="S946" s="6" t="str">
        <f>IF($B946="","",IF(ISNA(MATCH($B946,账户名,0)),"※这个账户不在【参数设置】的账户档案里",IF($A946="","※没填日期，这一笔不会进任何月份的报表",IF(AND($G946&lt;&gt;"",$H946&lt;&gt;""),"※收入和支出不能同时填",IF(AND(N($G946)=0,N($H946)=0),"※收入和支出都没填",IF($E946="","※没填收支类别，分类报表会漏掉这一笔",IF(ISNA(MATCH($E946,类别表,0)),"※收支类别不在【参数设置】的清单里",IF($J946="","△"&amp;$D946&amp;" 还没填汇率，去【月度汇率】补上就自动算了",IF(YEAR($A946)&lt;&gt;管理年度,"△不是管理年度的单据，年报里看不到",IF(AND($F946="内部转账",$Q946=""),"△内部转账建议在「往来单位」写上对方账户",IF($M946&lt;0,"△这一笔之后该账户余额成负数了，核一下","")))))))))))</f>
        <v/>
      </c>
    </row>
    <row r="947" ht="16.5" spans="1:19">
      <c r="A947" s="45"/>
      <c r="B947" s="46"/>
      <c r="C947" s="12" t="str">
        <f>IF($B947="","",IFERROR(INDEX(账户银行,MATCH($B947,账户名,0)),""))</f>
        <v/>
      </c>
      <c r="D947" s="12" t="str">
        <f>IF($B947="","",IFERROR(INDEX(账户币种,MATCH($B947,账户名,0)),""))</f>
        <v/>
      </c>
      <c r="E947" s="47"/>
      <c r="F947" s="12" t="str">
        <f>IF($E947="","",IFERROR(INDEX(类别属性,MATCH($E947,类别表,0)),""))</f>
        <v/>
      </c>
      <c r="G947" s="48"/>
      <c r="H947" s="48"/>
      <c r="I947" s="49"/>
      <c r="J947" s="24" t="str">
        <f>IF(OR($A947="",$B947=""),"",IF($I947&lt;&gt;"",$I947,IF($D947=本位币,1,IFERROR(LOOKUP(2,1/((汇率月份&lt;=$A947)*(INDEX(记账汇率区,0,MATCH($D947,汇率币种头,0))&lt;&gt;"")),INDEX(记账汇率区,0,MATCH($D947,汇率币种头,0))),""))))</f>
        <v/>
      </c>
      <c r="K947" s="23" t="str">
        <f t="shared" si="28"/>
        <v/>
      </c>
      <c r="L947" s="23" t="str">
        <f t="shared" si="29"/>
        <v/>
      </c>
      <c r="M947" s="23" t="str">
        <f>IF($B947="","",ROUND(SUMIF(账户名,$B947,账户期初)+SUMIFS($K$6:K947,$B$6:B947,$B947),2))</f>
        <v/>
      </c>
      <c r="N947" s="23" t="str">
        <f>IF($B947="","",IFERROR(ROUND(INDEX(账户期初本位,MATCH($B947,账户名,0))+SUMIFS($L$6:L947,$B$6:B947,$B947),2),""))</f>
        <v/>
      </c>
      <c r="O947" s="46"/>
      <c r="P947" s="47"/>
      <c r="Q947" s="46"/>
      <c r="R947" s="46"/>
      <c r="S947" s="6" t="str">
        <f>IF($B947="","",IF(ISNA(MATCH($B947,账户名,0)),"※这个账户不在【参数设置】的账户档案里",IF($A947="","※没填日期，这一笔不会进任何月份的报表",IF(AND($G947&lt;&gt;"",$H947&lt;&gt;""),"※收入和支出不能同时填",IF(AND(N($G947)=0,N($H947)=0),"※收入和支出都没填",IF($E947="","※没填收支类别，分类报表会漏掉这一笔",IF(ISNA(MATCH($E947,类别表,0)),"※收支类别不在【参数设置】的清单里",IF($J947="","△"&amp;$D947&amp;" 还没填汇率，去【月度汇率】补上就自动算了",IF(YEAR($A947)&lt;&gt;管理年度,"△不是管理年度的单据，年报里看不到",IF(AND($F947="内部转账",$Q947=""),"△内部转账建议在「往来单位」写上对方账户",IF($M947&lt;0,"△这一笔之后该账户余额成负数了，核一下","")))))))))))</f>
        <v/>
      </c>
    </row>
    <row r="948" ht="16.5" spans="1:19">
      <c r="A948" s="45"/>
      <c r="B948" s="46"/>
      <c r="C948" s="12" t="str">
        <f>IF($B948="","",IFERROR(INDEX(账户银行,MATCH($B948,账户名,0)),""))</f>
        <v/>
      </c>
      <c r="D948" s="12" t="str">
        <f>IF($B948="","",IFERROR(INDEX(账户币种,MATCH($B948,账户名,0)),""))</f>
        <v/>
      </c>
      <c r="E948" s="47"/>
      <c r="F948" s="12" t="str">
        <f>IF($E948="","",IFERROR(INDEX(类别属性,MATCH($E948,类别表,0)),""))</f>
        <v/>
      </c>
      <c r="G948" s="48"/>
      <c r="H948" s="48"/>
      <c r="I948" s="49"/>
      <c r="J948" s="24" t="str">
        <f>IF(OR($A948="",$B948=""),"",IF($I948&lt;&gt;"",$I948,IF($D948=本位币,1,IFERROR(LOOKUP(2,1/((汇率月份&lt;=$A948)*(INDEX(记账汇率区,0,MATCH($D948,汇率币种头,0))&lt;&gt;"")),INDEX(记账汇率区,0,MATCH($D948,汇率币种头,0))),""))))</f>
        <v/>
      </c>
      <c r="K948" s="23" t="str">
        <f t="shared" si="28"/>
        <v/>
      </c>
      <c r="L948" s="23" t="str">
        <f t="shared" si="29"/>
        <v/>
      </c>
      <c r="M948" s="23" t="str">
        <f>IF($B948="","",ROUND(SUMIF(账户名,$B948,账户期初)+SUMIFS($K$6:K948,$B$6:B948,$B948),2))</f>
        <v/>
      </c>
      <c r="N948" s="23" t="str">
        <f>IF($B948="","",IFERROR(ROUND(INDEX(账户期初本位,MATCH($B948,账户名,0))+SUMIFS($L$6:L948,$B$6:B948,$B948),2),""))</f>
        <v/>
      </c>
      <c r="O948" s="46"/>
      <c r="P948" s="47"/>
      <c r="Q948" s="46"/>
      <c r="R948" s="46"/>
      <c r="S948" s="6" t="str">
        <f>IF($B948="","",IF(ISNA(MATCH($B948,账户名,0)),"※这个账户不在【参数设置】的账户档案里",IF($A948="","※没填日期，这一笔不会进任何月份的报表",IF(AND($G948&lt;&gt;"",$H948&lt;&gt;""),"※收入和支出不能同时填",IF(AND(N($G948)=0,N($H948)=0),"※收入和支出都没填",IF($E948="","※没填收支类别，分类报表会漏掉这一笔",IF(ISNA(MATCH($E948,类别表,0)),"※收支类别不在【参数设置】的清单里",IF($J948="","△"&amp;$D948&amp;" 还没填汇率，去【月度汇率】补上就自动算了",IF(YEAR($A948)&lt;&gt;管理年度,"△不是管理年度的单据，年报里看不到",IF(AND($F948="内部转账",$Q948=""),"△内部转账建议在「往来单位」写上对方账户",IF($M948&lt;0,"△这一笔之后该账户余额成负数了，核一下","")))))))))))</f>
        <v/>
      </c>
    </row>
    <row r="949" ht="16.5" spans="1:19">
      <c r="A949" s="45"/>
      <c r="B949" s="46"/>
      <c r="C949" s="12" t="str">
        <f>IF($B949="","",IFERROR(INDEX(账户银行,MATCH($B949,账户名,0)),""))</f>
        <v/>
      </c>
      <c r="D949" s="12" t="str">
        <f>IF($B949="","",IFERROR(INDEX(账户币种,MATCH($B949,账户名,0)),""))</f>
        <v/>
      </c>
      <c r="E949" s="47"/>
      <c r="F949" s="12" t="str">
        <f>IF($E949="","",IFERROR(INDEX(类别属性,MATCH($E949,类别表,0)),""))</f>
        <v/>
      </c>
      <c r="G949" s="48"/>
      <c r="H949" s="48"/>
      <c r="I949" s="49"/>
      <c r="J949" s="24" t="str">
        <f>IF(OR($A949="",$B949=""),"",IF($I949&lt;&gt;"",$I949,IF($D949=本位币,1,IFERROR(LOOKUP(2,1/((汇率月份&lt;=$A949)*(INDEX(记账汇率区,0,MATCH($D949,汇率币种头,0))&lt;&gt;"")),INDEX(记账汇率区,0,MATCH($D949,汇率币种头,0))),""))))</f>
        <v/>
      </c>
      <c r="K949" s="23" t="str">
        <f t="shared" si="28"/>
        <v/>
      </c>
      <c r="L949" s="23" t="str">
        <f t="shared" si="29"/>
        <v/>
      </c>
      <c r="M949" s="23" t="str">
        <f>IF($B949="","",ROUND(SUMIF(账户名,$B949,账户期初)+SUMIFS($K$6:K949,$B$6:B949,$B949),2))</f>
        <v/>
      </c>
      <c r="N949" s="23" t="str">
        <f>IF($B949="","",IFERROR(ROUND(INDEX(账户期初本位,MATCH($B949,账户名,0))+SUMIFS($L$6:L949,$B$6:B949,$B949),2),""))</f>
        <v/>
      </c>
      <c r="O949" s="46"/>
      <c r="P949" s="47"/>
      <c r="Q949" s="46"/>
      <c r="R949" s="46"/>
      <c r="S949" s="6" t="str">
        <f>IF($B949="","",IF(ISNA(MATCH($B949,账户名,0)),"※这个账户不在【参数设置】的账户档案里",IF($A949="","※没填日期，这一笔不会进任何月份的报表",IF(AND($G949&lt;&gt;"",$H949&lt;&gt;""),"※收入和支出不能同时填",IF(AND(N($G949)=0,N($H949)=0),"※收入和支出都没填",IF($E949="","※没填收支类别，分类报表会漏掉这一笔",IF(ISNA(MATCH($E949,类别表,0)),"※收支类别不在【参数设置】的清单里",IF($J949="","△"&amp;$D949&amp;" 还没填汇率，去【月度汇率】补上就自动算了",IF(YEAR($A949)&lt;&gt;管理年度,"△不是管理年度的单据，年报里看不到",IF(AND($F949="内部转账",$Q949=""),"△内部转账建议在「往来单位」写上对方账户",IF($M949&lt;0,"△这一笔之后该账户余额成负数了，核一下","")))))))))))</f>
        <v/>
      </c>
    </row>
    <row r="950" ht="16.5" spans="1:19">
      <c r="A950" s="45"/>
      <c r="B950" s="46"/>
      <c r="C950" s="12" t="str">
        <f>IF($B950="","",IFERROR(INDEX(账户银行,MATCH($B950,账户名,0)),""))</f>
        <v/>
      </c>
      <c r="D950" s="12" t="str">
        <f>IF($B950="","",IFERROR(INDEX(账户币种,MATCH($B950,账户名,0)),""))</f>
        <v/>
      </c>
      <c r="E950" s="47"/>
      <c r="F950" s="12" t="str">
        <f>IF($E950="","",IFERROR(INDEX(类别属性,MATCH($E950,类别表,0)),""))</f>
        <v/>
      </c>
      <c r="G950" s="48"/>
      <c r="H950" s="48"/>
      <c r="I950" s="49"/>
      <c r="J950" s="24" t="str">
        <f>IF(OR($A950="",$B950=""),"",IF($I950&lt;&gt;"",$I950,IF($D950=本位币,1,IFERROR(LOOKUP(2,1/((汇率月份&lt;=$A950)*(INDEX(记账汇率区,0,MATCH($D950,汇率币种头,0))&lt;&gt;"")),INDEX(记账汇率区,0,MATCH($D950,汇率币种头,0))),""))))</f>
        <v/>
      </c>
      <c r="K950" s="23" t="str">
        <f t="shared" si="28"/>
        <v/>
      </c>
      <c r="L950" s="23" t="str">
        <f t="shared" si="29"/>
        <v/>
      </c>
      <c r="M950" s="23" t="str">
        <f>IF($B950="","",ROUND(SUMIF(账户名,$B950,账户期初)+SUMIFS($K$6:K950,$B$6:B950,$B950),2))</f>
        <v/>
      </c>
      <c r="N950" s="23" t="str">
        <f>IF($B950="","",IFERROR(ROUND(INDEX(账户期初本位,MATCH($B950,账户名,0))+SUMIFS($L$6:L950,$B$6:B950,$B950),2),""))</f>
        <v/>
      </c>
      <c r="O950" s="46"/>
      <c r="P950" s="47"/>
      <c r="Q950" s="46"/>
      <c r="R950" s="46"/>
      <c r="S950" s="6" t="str">
        <f>IF($B950="","",IF(ISNA(MATCH($B950,账户名,0)),"※这个账户不在【参数设置】的账户档案里",IF($A950="","※没填日期，这一笔不会进任何月份的报表",IF(AND($G950&lt;&gt;"",$H950&lt;&gt;""),"※收入和支出不能同时填",IF(AND(N($G950)=0,N($H950)=0),"※收入和支出都没填",IF($E950="","※没填收支类别，分类报表会漏掉这一笔",IF(ISNA(MATCH($E950,类别表,0)),"※收支类别不在【参数设置】的清单里",IF($J950="","△"&amp;$D950&amp;" 还没填汇率，去【月度汇率】补上就自动算了",IF(YEAR($A950)&lt;&gt;管理年度,"△不是管理年度的单据，年报里看不到",IF(AND($F950="内部转账",$Q950=""),"△内部转账建议在「往来单位」写上对方账户",IF($M950&lt;0,"△这一笔之后该账户余额成负数了，核一下","")))))))))))</f>
        <v/>
      </c>
    </row>
    <row r="951" ht="16.5" spans="1:19">
      <c r="A951" s="45"/>
      <c r="B951" s="46"/>
      <c r="C951" s="12" t="str">
        <f>IF($B951="","",IFERROR(INDEX(账户银行,MATCH($B951,账户名,0)),""))</f>
        <v/>
      </c>
      <c r="D951" s="12" t="str">
        <f>IF($B951="","",IFERROR(INDEX(账户币种,MATCH($B951,账户名,0)),""))</f>
        <v/>
      </c>
      <c r="E951" s="47"/>
      <c r="F951" s="12" t="str">
        <f>IF($E951="","",IFERROR(INDEX(类别属性,MATCH($E951,类别表,0)),""))</f>
        <v/>
      </c>
      <c r="G951" s="48"/>
      <c r="H951" s="48"/>
      <c r="I951" s="49"/>
      <c r="J951" s="24" t="str">
        <f>IF(OR($A951="",$B951=""),"",IF($I951&lt;&gt;"",$I951,IF($D951=本位币,1,IFERROR(LOOKUP(2,1/((汇率月份&lt;=$A951)*(INDEX(记账汇率区,0,MATCH($D951,汇率币种头,0))&lt;&gt;"")),INDEX(记账汇率区,0,MATCH($D951,汇率币种头,0))),""))))</f>
        <v/>
      </c>
      <c r="K951" s="23" t="str">
        <f t="shared" si="28"/>
        <v/>
      </c>
      <c r="L951" s="23" t="str">
        <f t="shared" si="29"/>
        <v/>
      </c>
      <c r="M951" s="23" t="str">
        <f>IF($B951="","",ROUND(SUMIF(账户名,$B951,账户期初)+SUMIFS($K$6:K951,$B$6:B951,$B951),2))</f>
        <v/>
      </c>
      <c r="N951" s="23" t="str">
        <f>IF($B951="","",IFERROR(ROUND(INDEX(账户期初本位,MATCH($B951,账户名,0))+SUMIFS($L$6:L951,$B$6:B951,$B951),2),""))</f>
        <v/>
      </c>
      <c r="O951" s="46"/>
      <c r="P951" s="47"/>
      <c r="Q951" s="46"/>
      <c r="R951" s="46"/>
      <c r="S951" s="6" t="str">
        <f>IF($B951="","",IF(ISNA(MATCH($B951,账户名,0)),"※这个账户不在【参数设置】的账户档案里",IF($A951="","※没填日期，这一笔不会进任何月份的报表",IF(AND($G951&lt;&gt;"",$H951&lt;&gt;""),"※收入和支出不能同时填",IF(AND(N($G951)=0,N($H951)=0),"※收入和支出都没填",IF($E951="","※没填收支类别，分类报表会漏掉这一笔",IF(ISNA(MATCH($E951,类别表,0)),"※收支类别不在【参数设置】的清单里",IF($J951="","△"&amp;$D951&amp;" 还没填汇率，去【月度汇率】补上就自动算了",IF(YEAR($A951)&lt;&gt;管理年度,"△不是管理年度的单据，年报里看不到",IF(AND($F951="内部转账",$Q951=""),"△内部转账建议在「往来单位」写上对方账户",IF($M951&lt;0,"△这一笔之后该账户余额成负数了，核一下","")))))))))))</f>
        <v/>
      </c>
    </row>
    <row r="952" ht="16.5" spans="1:19">
      <c r="A952" s="45"/>
      <c r="B952" s="46"/>
      <c r="C952" s="12" t="str">
        <f>IF($B952="","",IFERROR(INDEX(账户银行,MATCH($B952,账户名,0)),""))</f>
        <v/>
      </c>
      <c r="D952" s="12" t="str">
        <f>IF($B952="","",IFERROR(INDEX(账户币种,MATCH($B952,账户名,0)),""))</f>
        <v/>
      </c>
      <c r="E952" s="47"/>
      <c r="F952" s="12" t="str">
        <f>IF($E952="","",IFERROR(INDEX(类别属性,MATCH($E952,类别表,0)),""))</f>
        <v/>
      </c>
      <c r="G952" s="48"/>
      <c r="H952" s="48"/>
      <c r="I952" s="49"/>
      <c r="J952" s="24" t="str">
        <f>IF(OR($A952="",$B952=""),"",IF($I952&lt;&gt;"",$I952,IF($D952=本位币,1,IFERROR(LOOKUP(2,1/((汇率月份&lt;=$A952)*(INDEX(记账汇率区,0,MATCH($D952,汇率币种头,0))&lt;&gt;"")),INDEX(记账汇率区,0,MATCH($D952,汇率币种头,0))),""))))</f>
        <v/>
      </c>
      <c r="K952" s="23" t="str">
        <f t="shared" si="28"/>
        <v/>
      </c>
      <c r="L952" s="23" t="str">
        <f t="shared" si="29"/>
        <v/>
      </c>
      <c r="M952" s="23" t="str">
        <f>IF($B952="","",ROUND(SUMIF(账户名,$B952,账户期初)+SUMIFS($K$6:K952,$B$6:B952,$B952),2))</f>
        <v/>
      </c>
      <c r="N952" s="23" t="str">
        <f>IF($B952="","",IFERROR(ROUND(INDEX(账户期初本位,MATCH($B952,账户名,0))+SUMIFS($L$6:L952,$B$6:B952,$B952),2),""))</f>
        <v/>
      </c>
      <c r="O952" s="46"/>
      <c r="P952" s="47"/>
      <c r="Q952" s="46"/>
      <c r="R952" s="46"/>
      <c r="S952" s="6" t="str">
        <f>IF($B952="","",IF(ISNA(MATCH($B952,账户名,0)),"※这个账户不在【参数设置】的账户档案里",IF($A952="","※没填日期，这一笔不会进任何月份的报表",IF(AND($G952&lt;&gt;"",$H952&lt;&gt;""),"※收入和支出不能同时填",IF(AND(N($G952)=0,N($H952)=0),"※收入和支出都没填",IF($E952="","※没填收支类别，分类报表会漏掉这一笔",IF(ISNA(MATCH($E952,类别表,0)),"※收支类别不在【参数设置】的清单里",IF($J952="","△"&amp;$D952&amp;" 还没填汇率，去【月度汇率】补上就自动算了",IF(YEAR($A952)&lt;&gt;管理年度,"△不是管理年度的单据，年报里看不到",IF(AND($F952="内部转账",$Q952=""),"△内部转账建议在「往来单位」写上对方账户",IF($M952&lt;0,"△这一笔之后该账户余额成负数了，核一下","")))))))))))</f>
        <v/>
      </c>
    </row>
    <row r="953" ht="16.5" spans="1:19">
      <c r="A953" s="45"/>
      <c r="B953" s="46"/>
      <c r="C953" s="12" t="str">
        <f>IF($B953="","",IFERROR(INDEX(账户银行,MATCH($B953,账户名,0)),""))</f>
        <v/>
      </c>
      <c r="D953" s="12" t="str">
        <f>IF($B953="","",IFERROR(INDEX(账户币种,MATCH($B953,账户名,0)),""))</f>
        <v/>
      </c>
      <c r="E953" s="47"/>
      <c r="F953" s="12" t="str">
        <f>IF($E953="","",IFERROR(INDEX(类别属性,MATCH($E953,类别表,0)),""))</f>
        <v/>
      </c>
      <c r="G953" s="48"/>
      <c r="H953" s="48"/>
      <c r="I953" s="49"/>
      <c r="J953" s="24" t="str">
        <f>IF(OR($A953="",$B953=""),"",IF($I953&lt;&gt;"",$I953,IF($D953=本位币,1,IFERROR(LOOKUP(2,1/((汇率月份&lt;=$A953)*(INDEX(记账汇率区,0,MATCH($D953,汇率币种头,0))&lt;&gt;"")),INDEX(记账汇率区,0,MATCH($D953,汇率币种头,0))),""))))</f>
        <v/>
      </c>
      <c r="K953" s="23" t="str">
        <f t="shared" si="28"/>
        <v/>
      </c>
      <c r="L953" s="23" t="str">
        <f t="shared" si="29"/>
        <v/>
      </c>
      <c r="M953" s="23" t="str">
        <f>IF($B953="","",ROUND(SUMIF(账户名,$B953,账户期初)+SUMIFS($K$6:K953,$B$6:B953,$B953),2))</f>
        <v/>
      </c>
      <c r="N953" s="23" t="str">
        <f>IF($B953="","",IFERROR(ROUND(INDEX(账户期初本位,MATCH($B953,账户名,0))+SUMIFS($L$6:L953,$B$6:B953,$B953),2),""))</f>
        <v/>
      </c>
      <c r="O953" s="46"/>
      <c r="P953" s="47"/>
      <c r="Q953" s="46"/>
      <c r="R953" s="46"/>
      <c r="S953" s="6" t="str">
        <f>IF($B953="","",IF(ISNA(MATCH($B953,账户名,0)),"※这个账户不在【参数设置】的账户档案里",IF($A953="","※没填日期，这一笔不会进任何月份的报表",IF(AND($G953&lt;&gt;"",$H953&lt;&gt;""),"※收入和支出不能同时填",IF(AND(N($G953)=0,N($H953)=0),"※收入和支出都没填",IF($E953="","※没填收支类别，分类报表会漏掉这一笔",IF(ISNA(MATCH($E953,类别表,0)),"※收支类别不在【参数设置】的清单里",IF($J953="","△"&amp;$D953&amp;" 还没填汇率，去【月度汇率】补上就自动算了",IF(YEAR($A953)&lt;&gt;管理年度,"△不是管理年度的单据，年报里看不到",IF(AND($F953="内部转账",$Q953=""),"△内部转账建议在「往来单位」写上对方账户",IF($M953&lt;0,"△这一笔之后该账户余额成负数了，核一下","")))))))))))</f>
        <v/>
      </c>
    </row>
    <row r="954" ht="16.5" spans="1:19">
      <c r="A954" s="45"/>
      <c r="B954" s="46"/>
      <c r="C954" s="12" t="str">
        <f>IF($B954="","",IFERROR(INDEX(账户银行,MATCH($B954,账户名,0)),""))</f>
        <v/>
      </c>
      <c r="D954" s="12" t="str">
        <f>IF($B954="","",IFERROR(INDEX(账户币种,MATCH($B954,账户名,0)),""))</f>
        <v/>
      </c>
      <c r="E954" s="47"/>
      <c r="F954" s="12" t="str">
        <f>IF($E954="","",IFERROR(INDEX(类别属性,MATCH($E954,类别表,0)),""))</f>
        <v/>
      </c>
      <c r="G954" s="48"/>
      <c r="H954" s="48"/>
      <c r="I954" s="49"/>
      <c r="J954" s="24" t="str">
        <f>IF(OR($A954="",$B954=""),"",IF($I954&lt;&gt;"",$I954,IF($D954=本位币,1,IFERROR(LOOKUP(2,1/((汇率月份&lt;=$A954)*(INDEX(记账汇率区,0,MATCH($D954,汇率币种头,0))&lt;&gt;"")),INDEX(记账汇率区,0,MATCH($D954,汇率币种头,0))),""))))</f>
        <v/>
      </c>
      <c r="K954" s="23" t="str">
        <f t="shared" si="28"/>
        <v/>
      </c>
      <c r="L954" s="23" t="str">
        <f t="shared" si="29"/>
        <v/>
      </c>
      <c r="M954" s="23" t="str">
        <f>IF($B954="","",ROUND(SUMIF(账户名,$B954,账户期初)+SUMIFS($K$6:K954,$B$6:B954,$B954),2))</f>
        <v/>
      </c>
      <c r="N954" s="23" t="str">
        <f>IF($B954="","",IFERROR(ROUND(INDEX(账户期初本位,MATCH($B954,账户名,0))+SUMIFS($L$6:L954,$B$6:B954,$B954),2),""))</f>
        <v/>
      </c>
      <c r="O954" s="46"/>
      <c r="P954" s="47"/>
      <c r="Q954" s="46"/>
      <c r="R954" s="46"/>
      <c r="S954" s="6" t="str">
        <f>IF($B954="","",IF(ISNA(MATCH($B954,账户名,0)),"※这个账户不在【参数设置】的账户档案里",IF($A954="","※没填日期，这一笔不会进任何月份的报表",IF(AND($G954&lt;&gt;"",$H954&lt;&gt;""),"※收入和支出不能同时填",IF(AND(N($G954)=0,N($H954)=0),"※收入和支出都没填",IF($E954="","※没填收支类别，分类报表会漏掉这一笔",IF(ISNA(MATCH($E954,类别表,0)),"※收支类别不在【参数设置】的清单里",IF($J954="","△"&amp;$D954&amp;" 还没填汇率，去【月度汇率】补上就自动算了",IF(YEAR($A954)&lt;&gt;管理年度,"△不是管理年度的单据，年报里看不到",IF(AND($F954="内部转账",$Q954=""),"△内部转账建议在「往来单位」写上对方账户",IF($M954&lt;0,"△这一笔之后该账户余额成负数了，核一下","")))))))))))</f>
        <v/>
      </c>
    </row>
    <row r="955" ht="16.5" spans="1:19">
      <c r="A955" s="45"/>
      <c r="B955" s="46"/>
      <c r="C955" s="12" t="str">
        <f>IF($B955="","",IFERROR(INDEX(账户银行,MATCH($B955,账户名,0)),""))</f>
        <v/>
      </c>
      <c r="D955" s="12" t="str">
        <f>IF($B955="","",IFERROR(INDEX(账户币种,MATCH($B955,账户名,0)),""))</f>
        <v/>
      </c>
      <c r="E955" s="47"/>
      <c r="F955" s="12" t="str">
        <f>IF($E955="","",IFERROR(INDEX(类别属性,MATCH($E955,类别表,0)),""))</f>
        <v/>
      </c>
      <c r="G955" s="48"/>
      <c r="H955" s="48"/>
      <c r="I955" s="49"/>
      <c r="J955" s="24" t="str">
        <f>IF(OR($A955="",$B955=""),"",IF($I955&lt;&gt;"",$I955,IF($D955=本位币,1,IFERROR(LOOKUP(2,1/((汇率月份&lt;=$A955)*(INDEX(记账汇率区,0,MATCH($D955,汇率币种头,0))&lt;&gt;"")),INDEX(记账汇率区,0,MATCH($D955,汇率币种头,0))),""))))</f>
        <v/>
      </c>
      <c r="K955" s="23" t="str">
        <f t="shared" si="28"/>
        <v/>
      </c>
      <c r="L955" s="23" t="str">
        <f t="shared" si="29"/>
        <v/>
      </c>
      <c r="M955" s="23" t="str">
        <f>IF($B955="","",ROUND(SUMIF(账户名,$B955,账户期初)+SUMIFS($K$6:K955,$B$6:B955,$B955),2))</f>
        <v/>
      </c>
      <c r="N955" s="23" t="str">
        <f>IF($B955="","",IFERROR(ROUND(INDEX(账户期初本位,MATCH($B955,账户名,0))+SUMIFS($L$6:L955,$B$6:B955,$B955),2),""))</f>
        <v/>
      </c>
      <c r="O955" s="46"/>
      <c r="P955" s="47"/>
      <c r="Q955" s="46"/>
      <c r="R955" s="46"/>
      <c r="S955" s="6" t="str">
        <f>IF($B955="","",IF(ISNA(MATCH($B955,账户名,0)),"※这个账户不在【参数设置】的账户档案里",IF($A955="","※没填日期，这一笔不会进任何月份的报表",IF(AND($G955&lt;&gt;"",$H955&lt;&gt;""),"※收入和支出不能同时填",IF(AND(N($G955)=0,N($H955)=0),"※收入和支出都没填",IF($E955="","※没填收支类别，分类报表会漏掉这一笔",IF(ISNA(MATCH($E955,类别表,0)),"※收支类别不在【参数设置】的清单里",IF($J955="","△"&amp;$D955&amp;" 还没填汇率，去【月度汇率】补上就自动算了",IF(YEAR($A955)&lt;&gt;管理年度,"△不是管理年度的单据，年报里看不到",IF(AND($F955="内部转账",$Q955=""),"△内部转账建议在「往来单位」写上对方账户",IF($M955&lt;0,"△这一笔之后该账户余额成负数了，核一下","")))))))))))</f>
        <v/>
      </c>
    </row>
    <row r="956" ht="16.5" spans="1:19">
      <c r="A956" s="45"/>
      <c r="B956" s="46"/>
      <c r="C956" s="12" t="str">
        <f>IF($B956="","",IFERROR(INDEX(账户银行,MATCH($B956,账户名,0)),""))</f>
        <v/>
      </c>
      <c r="D956" s="12" t="str">
        <f>IF($B956="","",IFERROR(INDEX(账户币种,MATCH($B956,账户名,0)),""))</f>
        <v/>
      </c>
      <c r="E956" s="47"/>
      <c r="F956" s="12" t="str">
        <f>IF($E956="","",IFERROR(INDEX(类别属性,MATCH($E956,类别表,0)),""))</f>
        <v/>
      </c>
      <c r="G956" s="48"/>
      <c r="H956" s="48"/>
      <c r="I956" s="49"/>
      <c r="J956" s="24" t="str">
        <f>IF(OR($A956="",$B956=""),"",IF($I956&lt;&gt;"",$I956,IF($D956=本位币,1,IFERROR(LOOKUP(2,1/((汇率月份&lt;=$A956)*(INDEX(记账汇率区,0,MATCH($D956,汇率币种头,0))&lt;&gt;"")),INDEX(记账汇率区,0,MATCH($D956,汇率币种头,0))),""))))</f>
        <v/>
      </c>
      <c r="K956" s="23" t="str">
        <f t="shared" si="28"/>
        <v/>
      </c>
      <c r="L956" s="23" t="str">
        <f t="shared" si="29"/>
        <v/>
      </c>
      <c r="M956" s="23" t="str">
        <f>IF($B956="","",ROUND(SUMIF(账户名,$B956,账户期初)+SUMIFS($K$6:K956,$B$6:B956,$B956),2))</f>
        <v/>
      </c>
      <c r="N956" s="23" t="str">
        <f>IF($B956="","",IFERROR(ROUND(INDEX(账户期初本位,MATCH($B956,账户名,0))+SUMIFS($L$6:L956,$B$6:B956,$B956),2),""))</f>
        <v/>
      </c>
      <c r="O956" s="46"/>
      <c r="P956" s="47"/>
      <c r="Q956" s="46"/>
      <c r="R956" s="46"/>
      <c r="S956" s="6" t="str">
        <f>IF($B956="","",IF(ISNA(MATCH($B956,账户名,0)),"※这个账户不在【参数设置】的账户档案里",IF($A956="","※没填日期，这一笔不会进任何月份的报表",IF(AND($G956&lt;&gt;"",$H956&lt;&gt;""),"※收入和支出不能同时填",IF(AND(N($G956)=0,N($H956)=0),"※收入和支出都没填",IF($E956="","※没填收支类别，分类报表会漏掉这一笔",IF(ISNA(MATCH($E956,类别表,0)),"※收支类别不在【参数设置】的清单里",IF($J956="","△"&amp;$D956&amp;" 还没填汇率，去【月度汇率】补上就自动算了",IF(YEAR($A956)&lt;&gt;管理年度,"△不是管理年度的单据，年报里看不到",IF(AND($F956="内部转账",$Q956=""),"△内部转账建议在「往来单位」写上对方账户",IF($M956&lt;0,"△这一笔之后该账户余额成负数了，核一下","")))))))))))</f>
        <v/>
      </c>
    </row>
    <row r="957" ht="16.5" spans="1:19">
      <c r="A957" s="45"/>
      <c r="B957" s="46"/>
      <c r="C957" s="12" t="str">
        <f>IF($B957="","",IFERROR(INDEX(账户银行,MATCH($B957,账户名,0)),""))</f>
        <v/>
      </c>
      <c r="D957" s="12" t="str">
        <f>IF($B957="","",IFERROR(INDEX(账户币种,MATCH($B957,账户名,0)),""))</f>
        <v/>
      </c>
      <c r="E957" s="47"/>
      <c r="F957" s="12" t="str">
        <f>IF($E957="","",IFERROR(INDEX(类别属性,MATCH($E957,类别表,0)),""))</f>
        <v/>
      </c>
      <c r="G957" s="48"/>
      <c r="H957" s="48"/>
      <c r="I957" s="49"/>
      <c r="J957" s="24" t="str">
        <f>IF(OR($A957="",$B957=""),"",IF($I957&lt;&gt;"",$I957,IF($D957=本位币,1,IFERROR(LOOKUP(2,1/((汇率月份&lt;=$A957)*(INDEX(记账汇率区,0,MATCH($D957,汇率币种头,0))&lt;&gt;"")),INDEX(记账汇率区,0,MATCH($D957,汇率币种头,0))),""))))</f>
        <v/>
      </c>
      <c r="K957" s="23" t="str">
        <f t="shared" si="28"/>
        <v/>
      </c>
      <c r="L957" s="23" t="str">
        <f t="shared" si="29"/>
        <v/>
      </c>
      <c r="M957" s="23" t="str">
        <f>IF($B957="","",ROUND(SUMIF(账户名,$B957,账户期初)+SUMIFS($K$6:K957,$B$6:B957,$B957),2))</f>
        <v/>
      </c>
      <c r="N957" s="23" t="str">
        <f>IF($B957="","",IFERROR(ROUND(INDEX(账户期初本位,MATCH($B957,账户名,0))+SUMIFS($L$6:L957,$B$6:B957,$B957),2),""))</f>
        <v/>
      </c>
      <c r="O957" s="46"/>
      <c r="P957" s="47"/>
      <c r="Q957" s="46"/>
      <c r="R957" s="46"/>
      <c r="S957" s="6" t="str">
        <f>IF($B957="","",IF(ISNA(MATCH($B957,账户名,0)),"※这个账户不在【参数设置】的账户档案里",IF($A957="","※没填日期，这一笔不会进任何月份的报表",IF(AND($G957&lt;&gt;"",$H957&lt;&gt;""),"※收入和支出不能同时填",IF(AND(N($G957)=0,N($H957)=0),"※收入和支出都没填",IF($E957="","※没填收支类别，分类报表会漏掉这一笔",IF(ISNA(MATCH($E957,类别表,0)),"※收支类别不在【参数设置】的清单里",IF($J957="","△"&amp;$D957&amp;" 还没填汇率，去【月度汇率】补上就自动算了",IF(YEAR($A957)&lt;&gt;管理年度,"△不是管理年度的单据，年报里看不到",IF(AND($F957="内部转账",$Q957=""),"△内部转账建议在「往来单位」写上对方账户",IF($M957&lt;0,"△这一笔之后该账户余额成负数了，核一下","")))))))))))</f>
        <v/>
      </c>
    </row>
    <row r="958" ht="16.5" spans="1:19">
      <c r="A958" s="45"/>
      <c r="B958" s="46"/>
      <c r="C958" s="12" t="str">
        <f>IF($B958="","",IFERROR(INDEX(账户银行,MATCH($B958,账户名,0)),""))</f>
        <v/>
      </c>
      <c r="D958" s="12" t="str">
        <f>IF($B958="","",IFERROR(INDEX(账户币种,MATCH($B958,账户名,0)),""))</f>
        <v/>
      </c>
      <c r="E958" s="47"/>
      <c r="F958" s="12" t="str">
        <f>IF($E958="","",IFERROR(INDEX(类别属性,MATCH($E958,类别表,0)),""))</f>
        <v/>
      </c>
      <c r="G958" s="48"/>
      <c r="H958" s="48"/>
      <c r="I958" s="49"/>
      <c r="J958" s="24" t="str">
        <f>IF(OR($A958="",$B958=""),"",IF($I958&lt;&gt;"",$I958,IF($D958=本位币,1,IFERROR(LOOKUP(2,1/((汇率月份&lt;=$A958)*(INDEX(记账汇率区,0,MATCH($D958,汇率币种头,0))&lt;&gt;"")),INDEX(记账汇率区,0,MATCH($D958,汇率币种头,0))),""))))</f>
        <v/>
      </c>
      <c r="K958" s="23" t="str">
        <f t="shared" si="28"/>
        <v/>
      </c>
      <c r="L958" s="23" t="str">
        <f t="shared" si="29"/>
        <v/>
      </c>
      <c r="M958" s="23" t="str">
        <f>IF($B958="","",ROUND(SUMIF(账户名,$B958,账户期初)+SUMIFS($K$6:K958,$B$6:B958,$B958),2))</f>
        <v/>
      </c>
      <c r="N958" s="23" t="str">
        <f>IF($B958="","",IFERROR(ROUND(INDEX(账户期初本位,MATCH($B958,账户名,0))+SUMIFS($L$6:L958,$B$6:B958,$B958),2),""))</f>
        <v/>
      </c>
      <c r="O958" s="46"/>
      <c r="P958" s="47"/>
      <c r="Q958" s="46"/>
      <c r="R958" s="46"/>
      <c r="S958" s="6" t="str">
        <f>IF($B958="","",IF(ISNA(MATCH($B958,账户名,0)),"※这个账户不在【参数设置】的账户档案里",IF($A958="","※没填日期，这一笔不会进任何月份的报表",IF(AND($G958&lt;&gt;"",$H958&lt;&gt;""),"※收入和支出不能同时填",IF(AND(N($G958)=0,N($H958)=0),"※收入和支出都没填",IF($E958="","※没填收支类别，分类报表会漏掉这一笔",IF(ISNA(MATCH($E958,类别表,0)),"※收支类别不在【参数设置】的清单里",IF($J958="","△"&amp;$D958&amp;" 还没填汇率，去【月度汇率】补上就自动算了",IF(YEAR($A958)&lt;&gt;管理年度,"△不是管理年度的单据，年报里看不到",IF(AND($F958="内部转账",$Q958=""),"△内部转账建议在「往来单位」写上对方账户",IF($M958&lt;0,"△这一笔之后该账户余额成负数了，核一下","")))))))))))</f>
        <v/>
      </c>
    </row>
    <row r="959" ht="16.5" spans="1:19">
      <c r="A959" s="45"/>
      <c r="B959" s="46"/>
      <c r="C959" s="12" t="str">
        <f>IF($B959="","",IFERROR(INDEX(账户银行,MATCH($B959,账户名,0)),""))</f>
        <v/>
      </c>
      <c r="D959" s="12" t="str">
        <f>IF($B959="","",IFERROR(INDEX(账户币种,MATCH($B959,账户名,0)),""))</f>
        <v/>
      </c>
      <c r="E959" s="47"/>
      <c r="F959" s="12" t="str">
        <f>IF($E959="","",IFERROR(INDEX(类别属性,MATCH($E959,类别表,0)),""))</f>
        <v/>
      </c>
      <c r="G959" s="48"/>
      <c r="H959" s="48"/>
      <c r="I959" s="49"/>
      <c r="J959" s="24" t="str">
        <f>IF(OR($A959="",$B959=""),"",IF($I959&lt;&gt;"",$I959,IF($D959=本位币,1,IFERROR(LOOKUP(2,1/((汇率月份&lt;=$A959)*(INDEX(记账汇率区,0,MATCH($D959,汇率币种头,0))&lt;&gt;"")),INDEX(记账汇率区,0,MATCH($D959,汇率币种头,0))),""))))</f>
        <v/>
      </c>
      <c r="K959" s="23" t="str">
        <f t="shared" si="28"/>
        <v/>
      </c>
      <c r="L959" s="23" t="str">
        <f t="shared" si="29"/>
        <v/>
      </c>
      <c r="M959" s="23" t="str">
        <f>IF($B959="","",ROUND(SUMIF(账户名,$B959,账户期初)+SUMIFS($K$6:K959,$B$6:B959,$B959),2))</f>
        <v/>
      </c>
      <c r="N959" s="23" t="str">
        <f>IF($B959="","",IFERROR(ROUND(INDEX(账户期初本位,MATCH($B959,账户名,0))+SUMIFS($L$6:L959,$B$6:B959,$B959),2),""))</f>
        <v/>
      </c>
      <c r="O959" s="46"/>
      <c r="P959" s="47"/>
      <c r="Q959" s="46"/>
      <c r="R959" s="46"/>
      <c r="S959" s="6" t="str">
        <f>IF($B959="","",IF(ISNA(MATCH($B959,账户名,0)),"※这个账户不在【参数设置】的账户档案里",IF($A959="","※没填日期，这一笔不会进任何月份的报表",IF(AND($G959&lt;&gt;"",$H959&lt;&gt;""),"※收入和支出不能同时填",IF(AND(N($G959)=0,N($H959)=0),"※收入和支出都没填",IF($E959="","※没填收支类别，分类报表会漏掉这一笔",IF(ISNA(MATCH($E959,类别表,0)),"※收支类别不在【参数设置】的清单里",IF($J959="","△"&amp;$D959&amp;" 还没填汇率，去【月度汇率】补上就自动算了",IF(YEAR($A959)&lt;&gt;管理年度,"△不是管理年度的单据，年报里看不到",IF(AND($F959="内部转账",$Q959=""),"△内部转账建议在「往来单位」写上对方账户",IF($M959&lt;0,"△这一笔之后该账户余额成负数了，核一下","")))))))))))</f>
        <v/>
      </c>
    </row>
    <row r="960" ht="16.5" spans="1:19">
      <c r="A960" s="45"/>
      <c r="B960" s="46"/>
      <c r="C960" s="12" t="str">
        <f>IF($B960="","",IFERROR(INDEX(账户银行,MATCH($B960,账户名,0)),""))</f>
        <v/>
      </c>
      <c r="D960" s="12" t="str">
        <f>IF($B960="","",IFERROR(INDEX(账户币种,MATCH($B960,账户名,0)),""))</f>
        <v/>
      </c>
      <c r="E960" s="47"/>
      <c r="F960" s="12" t="str">
        <f>IF($E960="","",IFERROR(INDEX(类别属性,MATCH($E960,类别表,0)),""))</f>
        <v/>
      </c>
      <c r="G960" s="48"/>
      <c r="H960" s="48"/>
      <c r="I960" s="49"/>
      <c r="J960" s="24" t="str">
        <f>IF(OR($A960="",$B960=""),"",IF($I960&lt;&gt;"",$I960,IF($D960=本位币,1,IFERROR(LOOKUP(2,1/((汇率月份&lt;=$A960)*(INDEX(记账汇率区,0,MATCH($D960,汇率币种头,0))&lt;&gt;"")),INDEX(记账汇率区,0,MATCH($D960,汇率币种头,0))),""))))</f>
        <v/>
      </c>
      <c r="K960" s="23" t="str">
        <f t="shared" si="28"/>
        <v/>
      </c>
      <c r="L960" s="23" t="str">
        <f t="shared" si="29"/>
        <v/>
      </c>
      <c r="M960" s="23" t="str">
        <f>IF($B960="","",ROUND(SUMIF(账户名,$B960,账户期初)+SUMIFS($K$6:K960,$B$6:B960,$B960),2))</f>
        <v/>
      </c>
      <c r="N960" s="23" t="str">
        <f>IF($B960="","",IFERROR(ROUND(INDEX(账户期初本位,MATCH($B960,账户名,0))+SUMIFS($L$6:L960,$B$6:B960,$B960),2),""))</f>
        <v/>
      </c>
      <c r="O960" s="46"/>
      <c r="P960" s="47"/>
      <c r="Q960" s="46"/>
      <c r="R960" s="46"/>
      <c r="S960" s="6" t="str">
        <f>IF($B960="","",IF(ISNA(MATCH($B960,账户名,0)),"※这个账户不在【参数设置】的账户档案里",IF($A960="","※没填日期，这一笔不会进任何月份的报表",IF(AND($G960&lt;&gt;"",$H960&lt;&gt;""),"※收入和支出不能同时填",IF(AND(N($G960)=0,N($H960)=0),"※收入和支出都没填",IF($E960="","※没填收支类别，分类报表会漏掉这一笔",IF(ISNA(MATCH($E960,类别表,0)),"※收支类别不在【参数设置】的清单里",IF($J960="","△"&amp;$D960&amp;" 还没填汇率，去【月度汇率】补上就自动算了",IF(YEAR($A960)&lt;&gt;管理年度,"△不是管理年度的单据，年报里看不到",IF(AND($F960="内部转账",$Q960=""),"△内部转账建议在「往来单位」写上对方账户",IF($M960&lt;0,"△这一笔之后该账户余额成负数了，核一下","")))))))))))</f>
        <v/>
      </c>
    </row>
    <row r="961" ht="16.5" spans="1:19">
      <c r="A961" s="45"/>
      <c r="B961" s="46"/>
      <c r="C961" s="12" t="str">
        <f>IF($B961="","",IFERROR(INDEX(账户银行,MATCH($B961,账户名,0)),""))</f>
        <v/>
      </c>
      <c r="D961" s="12" t="str">
        <f>IF($B961="","",IFERROR(INDEX(账户币种,MATCH($B961,账户名,0)),""))</f>
        <v/>
      </c>
      <c r="E961" s="47"/>
      <c r="F961" s="12" t="str">
        <f>IF($E961="","",IFERROR(INDEX(类别属性,MATCH($E961,类别表,0)),""))</f>
        <v/>
      </c>
      <c r="G961" s="48"/>
      <c r="H961" s="48"/>
      <c r="I961" s="49"/>
      <c r="J961" s="24" t="str">
        <f>IF(OR($A961="",$B961=""),"",IF($I961&lt;&gt;"",$I961,IF($D961=本位币,1,IFERROR(LOOKUP(2,1/((汇率月份&lt;=$A961)*(INDEX(记账汇率区,0,MATCH($D961,汇率币种头,0))&lt;&gt;"")),INDEX(记账汇率区,0,MATCH($D961,汇率币种头,0))),""))))</f>
        <v/>
      </c>
      <c r="K961" s="23" t="str">
        <f t="shared" si="28"/>
        <v/>
      </c>
      <c r="L961" s="23" t="str">
        <f t="shared" si="29"/>
        <v/>
      </c>
      <c r="M961" s="23" t="str">
        <f>IF($B961="","",ROUND(SUMIF(账户名,$B961,账户期初)+SUMIFS($K$6:K961,$B$6:B961,$B961),2))</f>
        <v/>
      </c>
      <c r="N961" s="23" t="str">
        <f>IF($B961="","",IFERROR(ROUND(INDEX(账户期初本位,MATCH($B961,账户名,0))+SUMIFS($L$6:L961,$B$6:B961,$B961),2),""))</f>
        <v/>
      </c>
      <c r="O961" s="46"/>
      <c r="P961" s="47"/>
      <c r="Q961" s="46"/>
      <c r="R961" s="46"/>
      <c r="S961" s="6" t="str">
        <f>IF($B961="","",IF(ISNA(MATCH($B961,账户名,0)),"※这个账户不在【参数设置】的账户档案里",IF($A961="","※没填日期，这一笔不会进任何月份的报表",IF(AND($G961&lt;&gt;"",$H961&lt;&gt;""),"※收入和支出不能同时填",IF(AND(N($G961)=0,N($H961)=0),"※收入和支出都没填",IF($E961="","※没填收支类别，分类报表会漏掉这一笔",IF(ISNA(MATCH($E961,类别表,0)),"※收支类别不在【参数设置】的清单里",IF($J961="","△"&amp;$D961&amp;" 还没填汇率，去【月度汇率】补上就自动算了",IF(YEAR($A961)&lt;&gt;管理年度,"△不是管理年度的单据，年报里看不到",IF(AND($F961="内部转账",$Q961=""),"△内部转账建议在「往来单位」写上对方账户",IF($M961&lt;0,"△这一笔之后该账户余额成负数了，核一下","")))))))))))</f>
        <v/>
      </c>
    </row>
    <row r="962" ht="16.5" spans="1:19">
      <c r="A962" s="45"/>
      <c r="B962" s="46"/>
      <c r="C962" s="12" t="str">
        <f>IF($B962="","",IFERROR(INDEX(账户银行,MATCH($B962,账户名,0)),""))</f>
        <v/>
      </c>
      <c r="D962" s="12" t="str">
        <f>IF($B962="","",IFERROR(INDEX(账户币种,MATCH($B962,账户名,0)),""))</f>
        <v/>
      </c>
      <c r="E962" s="47"/>
      <c r="F962" s="12" t="str">
        <f>IF($E962="","",IFERROR(INDEX(类别属性,MATCH($E962,类别表,0)),""))</f>
        <v/>
      </c>
      <c r="G962" s="48"/>
      <c r="H962" s="48"/>
      <c r="I962" s="49"/>
      <c r="J962" s="24" t="str">
        <f>IF(OR($A962="",$B962=""),"",IF($I962&lt;&gt;"",$I962,IF($D962=本位币,1,IFERROR(LOOKUP(2,1/((汇率月份&lt;=$A962)*(INDEX(记账汇率区,0,MATCH($D962,汇率币种头,0))&lt;&gt;"")),INDEX(记账汇率区,0,MATCH($D962,汇率币种头,0))),""))))</f>
        <v/>
      </c>
      <c r="K962" s="23" t="str">
        <f t="shared" si="28"/>
        <v/>
      </c>
      <c r="L962" s="23" t="str">
        <f t="shared" si="29"/>
        <v/>
      </c>
      <c r="M962" s="23" t="str">
        <f>IF($B962="","",ROUND(SUMIF(账户名,$B962,账户期初)+SUMIFS($K$6:K962,$B$6:B962,$B962),2))</f>
        <v/>
      </c>
      <c r="N962" s="23" t="str">
        <f>IF($B962="","",IFERROR(ROUND(INDEX(账户期初本位,MATCH($B962,账户名,0))+SUMIFS($L$6:L962,$B$6:B962,$B962),2),""))</f>
        <v/>
      </c>
      <c r="O962" s="46"/>
      <c r="P962" s="47"/>
      <c r="Q962" s="46"/>
      <c r="R962" s="46"/>
      <c r="S962" s="6" t="str">
        <f>IF($B962="","",IF(ISNA(MATCH($B962,账户名,0)),"※这个账户不在【参数设置】的账户档案里",IF($A962="","※没填日期，这一笔不会进任何月份的报表",IF(AND($G962&lt;&gt;"",$H962&lt;&gt;""),"※收入和支出不能同时填",IF(AND(N($G962)=0,N($H962)=0),"※收入和支出都没填",IF($E962="","※没填收支类别，分类报表会漏掉这一笔",IF(ISNA(MATCH($E962,类别表,0)),"※收支类别不在【参数设置】的清单里",IF($J962="","△"&amp;$D962&amp;" 还没填汇率，去【月度汇率】补上就自动算了",IF(YEAR($A962)&lt;&gt;管理年度,"△不是管理年度的单据，年报里看不到",IF(AND($F962="内部转账",$Q962=""),"△内部转账建议在「往来单位」写上对方账户",IF($M962&lt;0,"△这一笔之后该账户余额成负数了，核一下","")))))))))))</f>
        <v/>
      </c>
    </row>
    <row r="963" ht="16.5" spans="1:19">
      <c r="A963" s="45"/>
      <c r="B963" s="46"/>
      <c r="C963" s="12" t="str">
        <f>IF($B963="","",IFERROR(INDEX(账户银行,MATCH($B963,账户名,0)),""))</f>
        <v/>
      </c>
      <c r="D963" s="12" t="str">
        <f>IF($B963="","",IFERROR(INDEX(账户币种,MATCH($B963,账户名,0)),""))</f>
        <v/>
      </c>
      <c r="E963" s="47"/>
      <c r="F963" s="12" t="str">
        <f>IF($E963="","",IFERROR(INDEX(类别属性,MATCH($E963,类别表,0)),""))</f>
        <v/>
      </c>
      <c r="G963" s="48"/>
      <c r="H963" s="48"/>
      <c r="I963" s="49"/>
      <c r="J963" s="24" t="str">
        <f>IF(OR($A963="",$B963=""),"",IF($I963&lt;&gt;"",$I963,IF($D963=本位币,1,IFERROR(LOOKUP(2,1/((汇率月份&lt;=$A963)*(INDEX(记账汇率区,0,MATCH($D963,汇率币种头,0))&lt;&gt;"")),INDEX(记账汇率区,0,MATCH($D963,汇率币种头,0))),""))))</f>
        <v/>
      </c>
      <c r="K963" s="23" t="str">
        <f t="shared" si="28"/>
        <v/>
      </c>
      <c r="L963" s="23" t="str">
        <f t="shared" si="29"/>
        <v/>
      </c>
      <c r="M963" s="23" t="str">
        <f>IF($B963="","",ROUND(SUMIF(账户名,$B963,账户期初)+SUMIFS($K$6:K963,$B$6:B963,$B963),2))</f>
        <v/>
      </c>
      <c r="N963" s="23" t="str">
        <f>IF($B963="","",IFERROR(ROUND(INDEX(账户期初本位,MATCH($B963,账户名,0))+SUMIFS($L$6:L963,$B$6:B963,$B963),2),""))</f>
        <v/>
      </c>
      <c r="O963" s="46"/>
      <c r="P963" s="47"/>
      <c r="Q963" s="46"/>
      <c r="R963" s="46"/>
      <c r="S963" s="6" t="str">
        <f>IF($B963="","",IF(ISNA(MATCH($B963,账户名,0)),"※这个账户不在【参数设置】的账户档案里",IF($A963="","※没填日期，这一笔不会进任何月份的报表",IF(AND($G963&lt;&gt;"",$H963&lt;&gt;""),"※收入和支出不能同时填",IF(AND(N($G963)=0,N($H963)=0),"※收入和支出都没填",IF($E963="","※没填收支类别，分类报表会漏掉这一笔",IF(ISNA(MATCH($E963,类别表,0)),"※收支类别不在【参数设置】的清单里",IF($J963="","△"&amp;$D963&amp;" 还没填汇率，去【月度汇率】补上就自动算了",IF(YEAR($A963)&lt;&gt;管理年度,"△不是管理年度的单据，年报里看不到",IF(AND($F963="内部转账",$Q963=""),"△内部转账建议在「往来单位」写上对方账户",IF($M963&lt;0,"△这一笔之后该账户余额成负数了，核一下","")))))))))))</f>
        <v/>
      </c>
    </row>
    <row r="964" ht="16.5" spans="1:19">
      <c r="A964" s="45"/>
      <c r="B964" s="46"/>
      <c r="C964" s="12" t="str">
        <f>IF($B964="","",IFERROR(INDEX(账户银行,MATCH($B964,账户名,0)),""))</f>
        <v/>
      </c>
      <c r="D964" s="12" t="str">
        <f>IF($B964="","",IFERROR(INDEX(账户币种,MATCH($B964,账户名,0)),""))</f>
        <v/>
      </c>
      <c r="E964" s="47"/>
      <c r="F964" s="12" t="str">
        <f>IF($E964="","",IFERROR(INDEX(类别属性,MATCH($E964,类别表,0)),""))</f>
        <v/>
      </c>
      <c r="G964" s="48"/>
      <c r="H964" s="48"/>
      <c r="I964" s="49"/>
      <c r="J964" s="24" t="str">
        <f>IF(OR($A964="",$B964=""),"",IF($I964&lt;&gt;"",$I964,IF($D964=本位币,1,IFERROR(LOOKUP(2,1/((汇率月份&lt;=$A964)*(INDEX(记账汇率区,0,MATCH($D964,汇率币种头,0))&lt;&gt;"")),INDEX(记账汇率区,0,MATCH($D964,汇率币种头,0))),""))))</f>
        <v/>
      </c>
      <c r="K964" s="23" t="str">
        <f t="shared" si="28"/>
        <v/>
      </c>
      <c r="L964" s="23" t="str">
        <f t="shared" si="29"/>
        <v/>
      </c>
      <c r="M964" s="23" t="str">
        <f>IF($B964="","",ROUND(SUMIF(账户名,$B964,账户期初)+SUMIFS($K$6:K964,$B$6:B964,$B964),2))</f>
        <v/>
      </c>
      <c r="N964" s="23" t="str">
        <f>IF($B964="","",IFERROR(ROUND(INDEX(账户期初本位,MATCH($B964,账户名,0))+SUMIFS($L$6:L964,$B$6:B964,$B964),2),""))</f>
        <v/>
      </c>
      <c r="O964" s="46"/>
      <c r="P964" s="47"/>
      <c r="Q964" s="46"/>
      <c r="R964" s="46"/>
      <c r="S964" s="6" t="str">
        <f>IF($B964="","",IF(ISNA(MATCH($B964,账户名,0)),"※这个账户不在【参数设置】的账户档案里",IF($A964="","※没填日期，这一笔不会进任何月份的报表",IF(AND($G964&lt;&gt;"",$H964&lt;&gt;""),"※收入和支出不能同时填",IF(AND(N($G964)=0,N($H964)=0),"※收入和支出都没填",IF($E964="","※没填收支类别，分类报表会漏掉这一笔",IF(ISNA(MATCH($E964,类别表,0)),"※收支类别不在【参数设置】的清单里",IF($J964="","△"&amp;$D964&amp;" 还没填汇率，去【月度汇率】补上就自动算了",IF(YEAR($A964)&lt;&gt;管理年度,"△不是管理年度的单据，年报里看不到",IF(AND($F964="内部转账",$Q964=""),"△内部转账建议在「往来单位」写上对方账户",IF($M964&lt;0,"△这一笔之后该账户余额成负数了，核一下","")))))))))))</f>
        <v/>
      </c>
    </row>
    <row r="965" ht="16.5" spans="1:19">
      <c r="A965" s="45"/>
      <c r="B965" s="46"/>
      <c r="C965" s="12" t="str">
        <f>IF($B965="","",IFERROR(INDEX(账户银行,MATCH($B965,账户名,0)),""))</f>
        <v/>
      </c>
      <c r="D965" s="12" t="str">
        <f>IF($B965="","",IFERROR(INDEX(账户币种,MATCH($B965,账户名,0)),""))</f>
        <v/>
      </c>
      <c r="E965" s="47"/>
      <c r="F965" s="12" t="str">
        <f>IF($E965="","",IFERROR(INDEX(类别属性,MATCH($E965,类别表,0)),""))</f>
        <v/>
      </c>
      <c r="G965" s="48"/>
      <c r="H965" s="48"/>
      <c r="I965" s="49"/>
      <c r="J965" s="24" t="str">
        <f>IF(OR($A965="",$B965=""),"",IF($I965&lt;&gt;"",$I965,IF($D965=本位币,1,IFERROR(LOOKUP(2,1/((汇率月份&lt;=$A965)*(INDEX(记账汇率区,0,MATCH($D965,汇率币种头,0))&lt;&gt;"")),INDEX(记账汇率区,0,MATCH($D965,汇率币种头,0))),""))))</f>
        <v/>
      </c>
      <c r="K965" s="23" t="str">
        <f t="shared" si="28"/>
        <v/>
      </c>
      <c r="L965" s="23" t="str">
        <f t="shared" si="29"/>
        <v/>
      </c>
      <c r="M965" s="23" t="str">
        <f>IF($B965="","",ROUND(SUMIF(账户名,$B965,账户期初)+SUMIFS($K$6:K965,$B$6:B965,$B965),2))</f>
        <v/>
      </c>
      <c r="N965" s="23" t="str">
        <f>IF($B965="","",IFERROR(ROUND(INDEX(账户期初本位,MATCH($B965,账户名,0))+SUMIFS($L$6:L965,$B$6:B965,$B965),2),""))</f>
        <v/>
      </c>
      <c r="O965" s="46"/>
      <c r="P965" s="47"/>
      <c r="Q965" s="46"/>
      <c r="R965" s="46"/>
      <c r="S965" s="6" t="str">
        <f>IF($B965="","",IF(ISNA(MATCH($B965,账户名,0)),"※这个账户不在【参数设置】的账户档案里",IF($A965="","※没填日期，这一笔不会进任何月份的报表",IF(AND($G965&lt;&gt;"",$H965&lt;&gt;""),"※收入和支出不能同时填",IF(AND(N($G965)=0,N($H965)=0),"※收入和支出都没填",IF($E965="","※没填收支类别，分类报表会漏掉这一笔",IF(ISNA(MATCH($E965,类别表,0)),"※收支类别不在【参数设置】的清单里",IF($J965="","△"&amp;$D965&amp;" 还没填汇率，去【月度汇率】补上就自动算了",IF(YEAR($A965)&lt;&gt;管理年度,"△不是管理年度的单据，年报里看不到",IF(AND($F965="内部转账",$Q965=""),"△内部转账建议在「往来单位」写上对方账户",IF($M965&lt;0,"△这一笔之后该账户余额成负数了，核一下","")))))))))))</f>
        <v/>
      </c>
    </row>
    <row r="966" ht="16.5" spans="1:19">
      <c r="A966" s="45"/>
      <c r="B966" s="46"/>
      <c r="C966" s="12" t="str">
        <f>IF($B966="","",IFERROR(INDEX(账户银行,MATCH($B966,账户名,0)),""))</f>
        <v/>
      </c>
      <c r="D966" s="12" t="str">
        <f>IF($B966="","",IFERROR(INDEX(账户币种,MATCH($B966,账户名,0)),""))</f>
        <v/>
      </c>
      <c r="E966" s="47"/>
      <c r="F966" s="12" t="str">
        <f>IF($E966="","",IFERROR(INDEX(类别属性,MATCH($E966,类别表,0)),""))</f>
        <v/>
      </c>
      <c r="G966" s="48"/>
      <c r="H966" s="48"/>
      <c r="I966" s="49"/>
      <c r="J966" s="24" t="str">
        <f>IF(OR($A966="",$B966=""),"",IF($I966&lt;&gt;"",$I966,IF($D966=本位币,1,IFERROR(LOOKUP(2,1/((汇率月份&lt;=$A966)*(INDEX(记账汇率区,0,MATCH($D966,汇率币种头,0))&lt;&gt;"")),INDEX(记账汇率区,0,MATCH($D966,汇率币种头,0))),""))))</f>
        <v/>
      </c>
      <c r="K966" s="23" t="str">
        <f t="shared" ref="K966:K1029" si="30">IF(AND($G966="",$H966=""),"",ROUND(N($G966)-N($H966),2))</f>
        <v/>
      </c>
      <c r="L966" s="23" t="str">
        <f t="shared" ref="L966:L1029" si="31">IF(OR($K966="",$J966=""),"",ROUND($K966*$J966,2))</f>
        <v/>
      </c>
      <c r="M966" s="23" t="str">
        <f>IF($B966="","",ROUND(SUMIF(账户名,$B966,账户期初)+SUMIFS($K$6:K966,$B$6:B966,$B966),2))</f>
        <v/>
      </c>
      <c r="N966" s="23" t="str">
        <f>IF($B966="","",IFERROR(ROUND(INDEX(账户期初本位,MATCH($B966,账户名,0))+SUMIFS($L$6:L966,$B$6:B966,$B966),2),""))</f>
        <v/>
      </c>
      <c r="O966" s="46"/>
      <c r="P966" s="47"/>
      <c r="Q966" s="46"/>
      <c r="R966" s="46"/>
      <c r="S966" s="6" t="str">
        <f>IF($B966="","",IF(ISNA(MATCH($B966,账户名,0)),"※这个账户不在【参数设置】的账户档案里",IF($A966="","※没填日期，这一笔不会进任何月份的报表",IF(AND($G966&lt;&gt;"",$H966&lt;&gt;""),"※收入和支出不能同时填",IF(AND(N($G966)=0,N($H966)=0),"※收入和支出都没填",IF($E966="","※没填收支类别，分类报表会漏掉这一笔",IF(ISNA(MATCH($E966,类别表,0)),"※收支类别不在【参数设置】的清单里",IF($J966="","△"&amp;$D966&amp;" 还没填汇率，去【月度汇率】补上就自动算了",IF(YEAR($A966)&lt;&gt;管理年度,"△不是管理年度的单据，年报里看不到",IF(AND($F966="内部转账",$Q966=""),"△内部转账建议在「往来单位」写上对方账户",IF($M966&lt;0,"△这一笔之后该账户余额成负数了，核一下","")))))))))))</f>
        <v/>
      </c>
    </row>
    <row r="967" ht="16.5" spans="1:19">
      <c r="A967" s="45"/>
      <c r="B967" s="46"/>
      <c r="C967" s="12" t="str">
        <f>IF($B967="","",IFERROR(INDEX(账户银行,MATCH($B967,账户名,0)),""))</f>
        <v/>
      </c>
      <c r="D967" s="12" t="str">
        <f>IF($B967="","",IFERROR(INDEX(账户币种,MATCH($B967,账户名,0)),""))</f>
        <v/>
      </c>
      <c r="E967" s="47"/>
      <c r="F967" s="12" t="str">
        <f>IF($E967="","",IFERROR(INDEX(类别属性,MATCH($E967,类别表,0)),""))</f>
        <v/>
      </c>
      <c r="G967" s="48"/>
      <c r="H967" s="48"/>
      <c r="I967" s="49"/>
      <c r="J967" s="24" t="str">
        <f>IF(OR($A967="",$B967=""),"",IF($I967&lt;&gt;"",$I967,IF($D967=本位币,1,IFERROR(LOOKUP(2,1/((汇率月份&lt;=$A967)*(INDEX(记账汇率区,0,MATCH($D967,汇率币种头,0))&lt;&gt;"")),INDEX(记账汇率区,0,MATCH($D967,汇率币种头,0))),""))))</f>
        <v/>
      </c>
      <c r="K967" s="23" t="str">
        <f t="shared" si="30"/>
        <v/>
      </c>
      <c r="L967" s="23" t="str">
        <f t="shared" si="31"/>
        <v/>
      </c>
      <c r="M967" s="23" t="str">
        <f>IF($B967="","",ROUND(SUMIF(账户名,$B967,账户期初)+SUMIFS($K$6:K967,$B$6:B967,$B967),2))</f>
        <v/>
      </c>
      <c r="N967" s="23" t="str">
        <f>IF($B967="","",IFERROR(ROUND(INDEX(账户期初本位,MATCH($B967,账户名,0))+SUMIFS($L$6:L967,$B$6:B967,$B967),2),""))</f>
        <v/>
      </c>
      <c r="O967" s="46"/>
      <c r="P967" s="47"/>
      <c r="Q967" s="46"/>
      <c r="R967" s="46"/>
      <c r="S967" s="6" t="str">
        <f>IF($B967="","",IF(ISNA(MATCH($B967,账户名,0)),"※这个账户不在【参数设置】的账户档案里",IF($A967="","※没填日期，这一笔不会进任何月份的报表",IF(AND($G967&lt;&gt;"",$H967&lt;&gt;""),"※收入和支出不能同时填",IF(AND(N($G967)=0,N($H967)=0),"※收入和支出都没填",IF($E967="","※没填收支类别，分类报表会漏掉这一笔",IF(ISNA(MATCH($E967,类别表,0)),"※收支类别不在【参数设置】的清单里",IF($J967="","△"&amp;$D967&amp;" 还没填汇率，去【月度汇率】补上就自动算了",IF(YEAR($A967)&lt;&gt;管理年度,"△不是管理年度的单据，年报里看不到",IF(AND($F967="内部转账",$Q967=""),"△内部转账建议在「往来单位」写上对方账户",IF($M967&lt;0,"△这一笔之后该账户余额成负数了，核一下","")))))))))))</f>
        <v/>
      </c>
    </row>
    <row r="968" ht="16.5" spans="1:19">
      <c r="A968" s="45"/>
      <c r="B968" s="46"/>
      <c r="C968" s="12" t="str">
        <f>IF($B968="","",IFERROR(INDEX(账户银行,MATCH($B968,账户名,0)),""))</f>
        <v/>
      </c>
      <c r="D968" s="12" t="str">
        <f>IF($B968="","",IFERROR(INDEX(账户币种,MATCH($B968,账户名,0)),""))</f>
        <v/>
      </c>
      <c r="E968" s="47"/>
      <c r="F968" s="12" t="str">
        <f>IF($E968="","",IFERROR(INDEX(类别属性,MATCH($E968,类别表,0)),""))</f>
        <v/>
      </c>
      <c r="G968" s="48"/>
      <c r="H968" s="48"/>
      <c r="I968" s="49"/>
      <c r="J968" s="24" t="str">
        <f>IF(OR($A968="",$B968=""),"",IF($I968&lt;&gt;"",$I968,IF($D968=本位币,1,IFERROR(LOOKUP(2,1/((汇率月份&lt;=$A968)*(INDEX(记账汇率区,0,MATCH($D968,汇率币种头,0))&lt;&gt;"")),INDEX(记账汇率区,0,MATCH($D968,汇率币种头,0))),""))))</f>
        <v/>
      </c>
      <c r="K968" s="23" t="str">
        <f t="shared" si="30"/>
        <v/>
      </c>
      <c r="L968" s="23" t="str">
        <f t="shared" si="31"/>
        <v/>
      </c>
      <c r="M968" s="23" t="str">
        <f>IF($B968="","",ROUND(SUMIF(账户名,$B968,账户期初)+SUMIFS($K$6:K968,$B$6:B968,$B968),2))</f>
        <v/>
      </c>
      <c r="N968" s="23" t="str">
        <f>IF($B968="","",IFERROR(ROUND(INDEX(账户期初本位,MATCH($B968,账户名,0))+SUMIFS($L$6:L968,$B$6:B968,$B968),2),""))</f>
        <v/>
      </c>
      <c r="O968" s="46"/>
      <c r="P968" s="47"/>
      <c r="Q968" s="46"/>
      <c r="R968" s="46"/>
      <c r="S968" s="6" t="str">
        <f>IF($B968="","",IF(ISNA(MATCH($B968,账户名,0)),"※这个账户不在【参数设置】的账户档案里",IF($A968="","※没填日期，这一笔不会进任何月份的报表",IF(AND($G968&lt;&gt;"",$H968&lt;&gt;""),"※收入和支出不能同时填",IF(AND(N($G968)=0,N($H968)=0),"※收入和支出都没填",IF($E968="","※没填收支类别，分类报表会漏掉这一笔",IF(ISNA(MATCH($E968,类别表,0)),"※收支类别不在【参数设置】的清单里",IF($J968="","△"&amp;$D968&amp;" 还没填汇率，去【月度汇率】补上就自动算了",IF(YEAR($A968)&lt;&gt;管理年度,"△不是管理年度的单据，年报里看不到",IF(AND($F968="内部转账",$Q968=""),"△内部转账建议在「往来单位」写上对方账户",IF($M968&lt;0,"△这一笔之后该账户余额成负数了，核一下","")))))))))))</f>
        <v/>
      </c>
    </row>
    <row r="969" ht="16.5" spans="1:19">
      <c r="A969" s="45"/>
      <c r="B969" s="46"/>
      <c r="C969" s="12" t="str">
        <f>IF($B969="","",IFERROR(INDEX(账户银行,MATCH($B969,账户名,0)),""))</f>
        <v/>
      </c>
      <c r="D969" s="12" t="str">
        <f>IF($B969="","",IFERROR(INDEX(账户币种,MATCH($B969,账户名,0)),""))</f>
        <v/>
      </c>
      <c r="E969" s="47"/>
      <c r="F969" s="12" t="str">
        <f>IF($E969="","",IFERROR(INDEX(类别属性,MATCH($E969,类别表,0)),""))</f>
        <v/>
      </c>
      <c r="G969" s="48"/>
      <c r="H969" s="48"/>
      <c r="I969" s="49"/>
      <c r="J969" s="24" t="str">
        <f>IF(OR($A969="",$B969=""),"",IF($I969&lt;&gt;"",$I969,IF($D969=本位币,1,IFERROR(LOOKUP(2,1/((汇率月份&lt;=$A969)*(INDEX(记账汇率区,0,MATCH($D969,汇率币种头,0))&lt;&gt;"")),INDEX(记账汇率区,0,MATCH($D969,汇率币种头,0))),""))))</f>
        <v/>
      </c>
      <c r="K969" s="23" t="str">
        <f t="shared" si="30"/>
        <v/>
      </c>
      <c r="L969" s="23" t="str">
        <f t="shared" si="31"/>
        <v/>
      </c>
      <c r="M969" s="23" t="str">
        <f>IF($B969="","",ROUND(SUMIF(账户名,$B969,账户期初)+SUMIFS($K$6:K969,$B$6:B969,$B969),2))</f>
        <v/>
      </c>
      <c r="N969" s="23" t="str">
        <f>IF($B969="","",IFERROR(ROUND(INDEX(账户期初本位,MATCH($B969,账户名,0))+SUMIFS($L$6:L969,$B$6:B969,$B969),2),""))</f>
        <v/>
      </c>
      <c r="O969" s="46"/>
      <c r="P969" s="47"/>
      <c r="Q969" s="46"/>
      <c r="R969" s="46"/>
      <c r="S969" s="6" t="str">
        <f>IF($B969="","",IF(ISNA(MATCH($B969,账户名,0)),"※这个账户不在【参数设置】的账户档案里",IF($A969="","※没填日期，这一笔不会进任何月份的报表",IF(AND($G969&lt;&gt;"",$H969&lt;&gt;""),"※收入和支出不能同时填",IF(AND(N($G969)=0,N($H969)=0),"※收入和支出都没填",IF($E969="","※没填收支类别，分类报表会漏掉这一笔",IF(ISNA(MATCH($E969,类别表,0)),"※收支类别不在【参数设置】的清单里",IF($J969="","△"&amp;$D969&amp;" 还没填汇率，去【月度汇率】补上就自动算了",IF(YEAR($A969)&lt;&gt;管理年度,"△不是管理年度的单据，年报里看不到",IF(AND($F969="内部转账",$Q969=""),"△内部转账建议在「往来单位」写上对方账户",IF($M969&lt;0,"△这一笔之后该账户余额成负数了，核一下","")))))))))))</f>
        <v/>
      </c>
    </row>
    <row r="970" ht="16.5" spans="1:19">
      <c r="A970" s="45"/>
      <c r="B970" s="46"/>
      <c r="C970" s="12" t="str">
        <f>IF($B970="","",IFERROR(INDEX(账户银行,MATCH($B970,账户名,0)),""))</f>
        <v/>
      </c>
      <c r="D970" s="12" t="str">
        <f>IF($B970="","",IFERROR(INDEX(账户币种,MATCH($B970,账户名,0)),""))</f>
        <v/>
      </c>
      <c r="E970" s="47"/>
      <c r="F970" s="12" t="str">
        <f>IF($E970="","",IFERROR(INDEX(类别属性,MATCH($E970,类别表,0)),""))</f>
        <v/>
      </c>
      <c r="G970" s="48"/>
      <c r="H970" s="48"/>
      <c r="I970" s="49"/>
      <c r="J970" s="24" t="str">
        <f>IF(OR($A970="",$B970=""),"",IF($I970&lt;&gt;"",$I970,IF($D970=本位币,1,IFERROR(LOOKUP(2,1/((汇率月份&lt;=$A970)*(INDEX(记账汇率区,0,MATCH($D970,汇率币种头,0))&lt;&gt;"")),INDEX(记账汇率区,0,MATCH($D970,汇率币种头,0))),""))))</f>
        <v/>
      </c>
      <c r="K970" s="23" t="str">
        <f t="shared" si="30"/>
        <v/>
      </c>
      <c r="L970" s="23" t="str">
        <f t="shared" si="31"/>
        <v/>
      </c>
      <c r="M970" s="23" t="str">
        <f>IF($B970="","",ROUND(SUMIF(账户名,$B970,账户期初)+SUMIFS($K$6:K970,$B$6:B970,$B970),2))</f>
        <v/>
      </c>
      <c r="N970" s="23" t="str">
        <f>IF($B970="","",IFERROR(ROUND(INDEX(账户期初本位,MATCH($B970,账户名,0))+SUMIFS($L$6:L970,$B$6:B970,$B970),2),""))</f>
        <v/>
      </c>
      <c r="O970" s="46"/>
      <c r="P970" s="47"/>
      <c r="Q970" s="46"/>
      <c r="R970" s="46"/>
      <c r="S970" s="6" t="str">
        <f>IF($B970="","",IF(ISNA(MATCH($B970,账户名,0)),"※这个账户不在【参数设置】的账户档案里",IF($A970="","※没填日期，这一笔不会进任何月份的报表",IF(AND($G970&lt;&gt;"",$H970&lt;&gt;""),"※收入和支出不能同时填",IF(AND(N($G970)=0,N($H970)=0),"※收入和支出都没填",IF($E970="","※没填收支类别，分类报表会漏掉这一笔",IF(ISNA(MATCH($E970,类别表,0)),"※收支类别不在【参数设置】的清单里",IF($J970="","△"&amp;$D970&amp;" 还没填汇率，去【月度汇率】补上就自动算了",IF(YEAR($A970)&lt;&gt;管理年度,"△不是管理年度的单据，年报里看不到",IF(AND($F970="内部转账",$Q970=""),"△内部转账建议在「往来单位」写上对方账户",IF($M970&lt;0,"△这一笔之后该账户余额成负数了，核一下","")))))))))))</f>
        <v/>
      </c>
    </row>
    <row r="971" ht="16.5" spans="1:19">
      <c r="A971" s="45"/>
      <c r="B971" s="46"/>
      <c r="C971" s="12" t="str">
        <f>IF($B971="","",IFERROR(INDEX(账户银行,MATCH($B971,账户名,0)),""))</f>
        <v/>
      </c>
      <c r="D971" s="12" t="str">
        <f>IF($B971="","",IFERROR(INDEX(账户币种,MATCH($B971,账户名,0)),""))</f>
        <v/>
      </c>
      <c r="E971" s="47"/>
      <c r="F971" s="12" t="str">
        <f>IF($E971="","",IFERROR(INDEX(类别属性,MATCH($E971,类别表,0)),""))</f>
        <v/>
      </c>
      <c r="G971" s="48"/>
      <c r="H971" s="48"/>
      <c r="I971" s="49"/>
      <c r="J971" s="24" t="str">
        <f>IF(OR($A971="",$B971=""),"",IF($I971&lt;&gt;"",$I971,IF($D971=本位币,1,IFERROR(LOOKUP(2,1/((汇率月份&lt;=$A971)*(INDEX(记账汇率区,0,MATCH($D971,汇率币种头,0))&lt;&gt;"")),INDEX(记账汇率区,0,MATCH($D971,汇率币种头,0))),""))))</f>
        <v/>
      </c>
      <c r="K971" s="23" t="str">
        <f t="shared" si="30"/>
        <v/>
      </c>
      <c r="L971" s="23" t="str">
        <f t="shared" si="31"/>
        <v/>
      </c>
      <c r="M971" s="23" t="str">
        <f>IF($B971="","",ROUND(SUMIF(账户名,$B971,账户期初)+SUMIFS($K$6:K971,$B$6:B971,$B971),2))</f>
        <v/>
      </c>
      <c r="N971" s="23" t="str">
        <f>IF($B971="","",IFERROR(ROUND(INDEX(账户期初本位,MATCH($B971,账户名,0))+SUMIFS($L$6:L971,$B$6:B971,$B971),2),""))</f>
        <v/>
      </c>
      <c r="O971" s="46"/>
      <c r="P971" s="47"/>
      <c r="Q971" s="46"/>
      <c r="R971" s="46"/>
      <c r="S971" s="6" t="str">
        <f>IF($B971="","",IF(ISNA(MATCH($B971,账户名,0)),"※这个账户不在【参数设置】的账户档案里",IF($A971="","※没填日期，这一笔不会进任何月份的报表",IF(AND($G971&lt;&gt;"",$H971&lt;&gt;""),"※收入和支出不能同时填",IF(AND(N($G971)=0,N($H971)=0),"※收入和支出都没填",IF($E971="","※没填收支类别，分类报表会漏掉这一笔",IF(ISNA(MATCH($E971,类别表,0)),"※收支类别不在【参数设置】的清单里",IF($J971="","△"&amp;$D971&amp;" 还没填汇率，去【月度汇率】补上就自动算了",IF(YEAR($A971)&lt;&gt;管理年度,"△不是管理年度的单据，年报里看不到",IF(AND($F971="内部转账",$Q971=""),"△内部转账建议在「往来单位」写上对方账户",IF($M971&lt;0,"△这一笔之后该账户余额成负数了，核一下","")))))))))))</f>
        <v/>
      </c>
    </row>
    <row r="972" ht="16.5" spans="1:19">
      <c r="A972" s="45"/>
      <c r="B972" s="46"/>
      <c r="C972" s="12" t="str">
        <f>IF($B972="","",IFERROR(INDEX(账户银行,MATCH($B972,账户名,0)),""))</f>
        <v/>
      </c>
      <c r="D972" s="12" t="str">
        <f>IF($B972="","",IFERROR(INDEX(账户币种,MATCH($B972,账户名,0)),""))</f>
        <v/>
      </c>
      <c r="E972" s="47"/>
      <c r="F972" s="12" t="str">
        <f>IF($E972="","",IFERROR(INDEX(类别属性,MATCH($E972,类别表,0)),""))</f>
        <v/>
      </c>
      <c r="G972" s="48"/>
      <c r="H972" s="48"/>
      <c r="I972" s="49"/>
      <c r="J972" s="24" t="str">
        <f>IF(OR($A972="",$B972=""),"",IF($I972&lt;&gt;"",$I972,IF($D972=本位币,1,IFERROR(LOOKUP(2,1/((汇率月份&lt;=$A972)*(INDEX(记账汇率区,0,MATCH($D972,汇率币种头,0))&lt;&gt;"")),INDEX(记账汇率区,0,MATCH($D972,汇率币种头,0))),""))))</f>
        <v/>
      </c>
      <c r="K972" s="23" t="str">
        <f t="shared" si="30"/>
        <v/>
      </c>
      <c r="L972" s="23" t="str">
        <f t="shared" si="31"/>
        <v/>
      </c>
      <c r="M972" s="23" t="str">
        <f>IF($B972="","",ROUND(SUMIF(账户名,$B972,账户期初)+SUMIFS($K$6:K972,$B$6:B972,$B972),2))</f>
        <v/>
      </c>
      <c r="N972" s="23" t="str">
        <f>IF($B972="","",IFERROR(ROUND(INDEX(账户期初本位,MATCH($B972,账户名,0))+SUMIFS($L$6:L972,$B$6:B972,$B972),2),""))</f>
        <v/>
      </c>
      <c r="O972" s="46"/>
      <c r="P972" s="47"/>
      <c r="Q972" s="46"/>
      <c r="R972" s="46"/>
      <c r="S972" s="6" t="str">
        <f>IF($B972="","",IF(ISNA(MATCH($B972,账户名,0)),"※这个账户不在【参数设置】的账户档案里",IF($A972="","※没填日期，这一笔不会进任何月份的报表",IF(AND($G972&lt;&gt;"",$H972&lt;&gt;""),"※收入和支出不能同时填",IF(AND(N($G972)=0,N($H972)=0),"※收入和支出都没填",IF($E972="","※没填收支类别，分类报表会漏掉这一笔",IF(ISNA(MATCH($E972,类别表,0)),"※收支类别不在【参数设置】的清单里",IF($J972="","△"&amp;$D972&amp;" 还没填汇率，去【月度汇率】补上就自动算了",IF(YEAR($A972)&lt;&gt;管理年度,"△不是管理年度的单据，年报里看不到",IF(AND($F972="内部转账",$Q972=""),"△内部转账建议在「往来单位」写上对方账户",IF($M972&lt;0,"△这一笔之后该账户余额成负数了，核一下","")))))))))))</f>
        <v/>
      </c>
    </row>
    <row r="973" ht="16.5" spans="1:19">
      <c r="A973" s="45"/>
      <c r="B973" s="46"/>
      <c r="C973" s="12" t="str">
        <f>IF($B973="","",IFERROR(INDEX(账户银行,MATCH($B973,账户名,0)),""))</f>
        <v/>
      </c>
      <c r="D973" s="12" t="str">
        <f>IF($B973="","",IFERROR(INDEX(账户币种,MATCH($B973,账户名,0)),""))</f>
        <v/>
      </c>
      <c r="E973" s="47"/>
      <c r="F973" s="12" t="str">
        <f>IF($E973="","",IFERROR(INDEX(类别属性,MATCH($E973,类别表,0)),""))</f>
        <v/>
      </c>
      <c r="G973" s="48"/>
      <c r="H973" s="48"/>
      <c r="I973" s="49"/>
      <c r="J973" s="24" t="str">
        <f>IF(OR($A973="",$B973=""),"",IF($I973&lt;&gt;"",$I973,IF($D973=本位币,1,IFERROR(LOOKUP(2,1/((汇率月份&lt;=$A973)*(INDEX(记账汇率区,0,MATCH($D973,汇率币种头,0))&lt;&gt;"")),INDEX(记账汇率区,0,MATCH($D973,汇率币种头,0))),""))))</f>
        <v/>
      </c>
      <c r="K973" s="23" t="str">
        <f t="shared" si="30"/>
        <v/>
      </c>
      <c r="L973" s="23" t="str">
        <f t="shared" si="31"/>
        <v/>
      </c>
      <c r="M973" s="23" t="str">
        <f>IF($B973="","",ROUND(SUMIF(账户名,$B973,账户期初)+SUMIFS($K$6:K973,$B$6:B973,$B973),2))</f>
        <v/>
      </c>
      <c r="N973" s="23" t="str">
        <f>IF($B973="","",IFERROR(ROUND(INDEX(账户期初本位,MATCH($B973,账户名,0))+SUMIFS($L$6:L973,$B$6:B973,$B973),2),""))</f>
        <v/>
      </c>
      <c r="O973" s="46"/>
      <c r="P973" s="47"/>
      <c r="Q973" s="46"/>
      <c r="R973" s="46"/>
      <c r="S973" s="6" t="str">
        <f>IF($B973="","",IF(ISNA(MATCH($B973,账户名,0)),"※这个账户不在【参数设置】的账户档案里",IF($A973="","※没填日期，这一笔不会进任何月份的报表",IF(AND($G973&lt;&gt;"",$H973&lt;&gt;""),"※收入和支出不能同时填",IF(AND(N($G973)=0,N($H973)=0),"※收入和支出都没填",IF($E973="","※没填收支类别，分类报表会漏掉这一笔",IF(ISNA(MATCH($E973,类别表,0)),"※收支类别不在【参数设置】的清单里",IF($J973="","△"&amp;$D973&amp;" 还没填汇率，去【月度汇率】补上就自动算了",IF(YEAR($A973)&lt;&gt;管理年度,"△不是管理年度的单据，年报里看不到",IF(AND($F973="内部转账",$Q973=""),"△内部转账建议在「往来单位」写上对方账户",IF($M973&lt;0,"△这一笔之后该账户余额成负数了，核一下","")))))))))))</f>
        <v/>
      </c>
    </row>
    <row r="974" ht="16.5" spans="1:19">
      <c r="A974" s="45"/>
      <c r="B974" s="46"/>
      <c r="C974" s="12" t="str">
        <f>IF($B974="","",IFERROR(INDEX(账户银行,MATCH($B974,账户名,0)),""))</f>
        <v/>
      </c>
      <c r="D974" s="12" t="str">
        <f>IF($B974="","",IFERROR(INDEX(账户币种,MATCH($B974,账户名,0)),""))</f>
        <v/>
      </c>
      <c r="E974" s="47"/>
      <c r="F974" s="12" t="str">
        <f>IF($E974="","",IFERROR(INDEX(类别属性,MATCH($E974,类别表,0)),""))</f>
        <v/>
      </c>
      <c r="G974" s="48"/>
      <c r="H974" s="48"/>
      <c r="I974" s="49"/>
      <c r="J974" s="24" t="str">
        <f>IF(OR($A974="",$B974=""),"",IF($I974&lt;&gt;"",$I974,IF($D974=本位币,1,IFERROR(LOOKUP(2,1/((汇率月份&lt;=$A974)*(INDEX(记账汇率区,0,MATCH($D974,汇率币种头,0))&lt;&gt;"")),INDEX(记账汇率区,0,MATCH($D974,汇率币种头,0))),""))))</f>
        <v/>
      </c>
      <c r="K974" s="23" t="str">
        <f t="shared" si="30"/>
        <v/>
      </c>
      <c r="L974" s="23" t="str">
        <f t="shared" si="31"/>
        <v/>
      </c>
      <c r="M974" s="23" t="str">
        <f>IF($B974="","",ROUND(SUMIF(账户名,$B974,账户期初)+SUMIFS($K$6:K974,$B$6:B974,$B974),2))</f>
        <v/>
      </c>
      <c r="N974" s="23" t="str">
        <f>IF($B974="","",IFERROR(ROUND(INDEX(账户期初本位,MATCH($B974,账户名,0))+SUMIFS($L$6:L974,$B$6:B974,$B974),2),""))</f>
        <v/>
      </c>
      <c r="O974" s="46"/>
      <c r="P974" s="47"/>
      <c r="Q974" s="46"/>
      <c r="R974" s="46"/>
      <c r="S974" s="6" t="str">
        <f>IF($B974="","",IF(ISNA(MATCH($B974,账户名,0)),"※这个账户不在【参数设置】的账户档案里",IF($A974="","※没填日期，这一笔不会进任何月份的报表",IF(AND($G974&lt;&gt;"",$H974&lt;&gt;""),"※收入和支出不能同时填",IF(AND(N($G974)=0,N($H974)=0),"※收入和支出都没填",IF($E974="","※没填收支类别，分类报表会漏掉这一笔",IF(ISNA(MATCH($E974,类别表,0)),"※收支类别不在【参数设置】的清单里",IF($J974="","△"&amp;$D974&amp;" 还没填汇率，去【月度汇率】补上就自动算了",IF(YEAR($A974)&lt;&gt;管理年度,"△不是管理年度的单据，年报里看不到",IF(AND($F974="内部转账",$Q974=""),"△内部转账建议在「往来单位」写上对方账户",IF($M974&lt;0,"△这一笔之后该账户余额成负数了，核一下","")))))))))))</f>
        <v/>
      </c>
    </row>
    <row r="975" ht="16.5" spans="1:19">
      <c r="A975" s="45"/>
      <c r="B975" s="46"/>
      <c r="C975" s="12" t="str">
        <f>IF($B975="","",IFERROR(INDEX(账户银行,MATCH($B975,账户名,0)),""))</f>
        <v/>
      </c>
      <c r="D975" s="12" t="str">
        <f>IF($B975="","",IFERROR(INDEX(账户币种,MATCH($B975,账户名,0)),""))</f>
        <v/>
      </c>
      <c r="E975" s="47"/>
      <c r="F975" s="12" t="str">
        <f>IF($E975="","",IFERROR(INDEX(类别属性,MATCH($E975,类别表,0)),""))</f>
        <v/>
      </c>
      <c r="G975" s="48"/>
      <c r="H975" s="48"/>
      <c r="I975" s="49"/>
      <c r="J975" s="24" t="str">
        <f>IF(OR($A975="",$B975=""),"",IF($I975&lt;&gt;"",$I975,IF($D975=本位币,1,IFERROR(LOOKUP(2,1/((汇率月份&lt;=$A975)*(INDEX(记账汇率区,0,MATCH($D975,汇率币种头,0))&lt;&gt;"")),INDEX(记账汇率区,0,MATCH($D975,汇率币种头,0))),""))))</f>
        <v/>
      </c>
      <c r="K975" s="23" t="str">
        <f t="shared" si="30"/>
        <v/>
      </c>
      <c r="L975" s="23" t="str">
        <f t="shared" si="31"/>
        <v/>
      </c>
      <c r="M975" s="23" t="str">
        <f>IF($B975="","",ROUND(SUMIF(账户名,$B975,账户期初)+SUMIFS($K$6:K975,$B$6:B975,$B975),2))</f>
        <v/>
      </c>
      <c r="N975" s="23" t="str">
        <f>IF($B975="","",IFERROR(ROUND(INDEX(账户期初本位,MATCH($B975,账户名,0))+SUMIFS($L$6:L975,$B$6:B975,$B975),2),""))</f>
        <v/>
      </c>
      <c r="O975" s="46"/>
      <c r="P975" s="47"/>
      <c r="Q975" s="46"/>
      <c r="R975" s="46"/>
      <c r="S975" s="6" t="str">
        <f>IF($B975="","",IF(ISNA(MATCH($B975,账户名,0)),"※这个账户不在【参数设置】的账户档案里",IF($A975="","※没填日期，这一笔不会进任何月份的报表",IF(AND($G975&lt;&gt;"",$H975&lt;&gt;""),"※收入和支出不能同时填",IF(AND(N($G975)=0,N($H975)=0),"※收入和支出都没填",IF($E975="","※没填收支类别，分类报表会漏掉这一笔",IF(ISNA(MATCH($E975,类别表,0)),"※收支类别不在【参数设置】的清单里",IF($J975="","△"&amp;$D975&amp;" 还没填汇率，去【月度汇率】补上就自动算了",IF(YEAR($A975)&lt;&gt;管理年度,"△不是管理年度的单据，年报里看不到",IF(AND($F975="内部转账",$Q975=""),"△内部转账建议在「往来单位」写上对方账户",IF($M975&lt;0,"△这一笔之后该账户余额成负数了，核一下","")))))))))))</f>
        <v/>
      </c>
    </row>
    <row r="976" ht="16.5" spans="1:19">
      <c r="A976" s="45"/>
      <c r="B976" s="46"/>
      <c r="C976" s="12" t="str">
        <f>IF($B976="","",IFERROR(INDEX(账户银行,MATCH($B976,账户名,0)),""))</f>
        <v/>
      </c>
      <c r="D976" s="12" t="str">
        <f>IF($B976="","",IFERROR(INDEX(账户币种,MATCH($B976,账户名,0)),""))</f>
        <v/>
      </c>
      <c r="E976" s="47"/>
      <c r="F976" s="12" t="str">
        <f>IF($E976="","",IFERROR(INDEX(类别属性,MATCH($E976,类别表,0)),""))</f>
        <v/>
      </c>
      <c r="G976" s="48"/>
      <c r="H976" s="48"/>
      <c r="I976" s="49"/>
      <c r="J976" s="24" t="str">
        <f>IF(OR($A976="",$B976=""),"",IF($I976&lt;&gt;"",$I976,IF($D976=本位币,1,IFERROR(LOOKUP(2,1/((汇率月份&lt;=$A976)*(INDEX(记账汇率区,0,MATCH($D976,汇率币种头,0))&lt;&gt;"")),INDEX(记账汇率区,0,MATCH($D976,汇率币种头,0))),""))))</f>
        <v/>
      </c>
      <c r="K976" s="23" t="str">
        <f t="shared" si="30"/>
        <v/>
      </c>
      <c r="L976" s="23" t="str">
        <f t="shared" si="31"/>
        <v/>
      </c>
      <c r="M976" s="23" t="str">
        <f>IF($B976="","",ROUND(SUMIF(账户名,$B976,账户期初)+SUMIFS($K$6:K976,$B$6:B976,$B976),2))</f>
        <v/>
      </c>
      <c r="N976" s="23" t="str">
        <f>IF($B976="","",IFERROR(ROUND(INDEX(账户期初本位,MATCH($B976,账户名,0))+SUMIFS($L$6:L976,$B$6:B976,$B976),2),""))</f>
        <v/>
      </c>
      <c r="O976" s="46"/>
      <c r="P976" s="47"/>
      <c r="Q976" s="46"/>
      <c r="R976" s="46"/>
      <c r="S976" s="6" t="str">
        <f>IF($B976="","",IF(ISNA(MATCH($B976,账户名,0)),"※这个账户不在【参数设置】的账户档案里",IF($A976="","※没填日期，这一笔不会进任何月份的报表",IF(AND($G976&lt;&gt;"",$H976&lt;&gt;""),"※收入和支出不能同时填",IF(AND(N($G976)=0,N($H976)=0),"※收入和支出都没填",IF($E976="","※没填收支类别，分类报表会漏掉这一笔",IF(ISNA(MATCH($E976,类别表,0)),"※收支类别不在【参数设置】的清单里",IF($J976="","△"&amp;$D976&amp;" 还没填汇率，去【月度汇率】补上就自动算了",IF(YEAR($A976)&lt;&gt;管理年度,"△不是管理年度的单据，年报里看不到",IF(AND($F976="内部转账",$Q976=""),"△内部转账建议在「往来单位」写上对方账户",IF($M976&lt;0,"△这一笔之后该账户余额成负数了，核一下","")))))))))))</f>
        <v/>
      </c>
    </row>
    <row r="977" ht="16.5" spans="1:19">
      <c r="A977" s="45"/>
      <c r="B977" s="46"/>
      <c r="C977" s="12" t="str">
        <f>IF($B977="","",IFERROR(INDEX(账户银行,MATCH($B977,账户名,0)),""))</f>
        <v/>
      </c>
      <c r="D977" s="12" t="str">
        <f>IF($B977="","",IFERROR(INDEX(账户币种,MATCH($B977,账户名,0)),""))</f>
        <v/>
      </c>
      <c r="E977" s="47"/>
      <c r="F977" s="12" t="str">
        <f>IF($E977="","",IFERROR(INDEX(类别属性,MATCH($E977,类别表,0)),""))</f>
        <v/>
      </c>
      <c r="G977" s="48"/>
      <c r="H977" s="48"/>
      <c r="I977" s="49"/>
      <c r="J977" s="24" t="str">
        <f>IF(OR($A977="",$B977=""),"",IF($I977&lt;&gt;"",$I977,IF($D977=本位币,1,IFERROR(LOOKUP(2,1/((汇率月份&lt;=$A977)*(INDEX(记账汇率区,0,MATCH($D977,汇率币种头,0))&lt;&gt;"")),INDEX(记账汇率区,0,MATCH($D977,汇率币种头,0))),""))))</f>
        <v/>
      </c>
      <c r="K977" s="23" t="str">
        <f t="shared" si="30"/>
        <v/>
      </c>
      <c r="L977" s="23" t="str">
        <f t="shared" si="31"/>
        <v/>
      </c>
      <c r="M977" s="23" t="str">
        <f>IF($B977="","",ROUND(SUMIF(账户名,$B977,账户期初)+SUMIFS($K$6:K977,$B$6:B977,$B977),2))</f>
        <v/>
      </c>
      <c r="N977" s="23" t="str">
        <f>IF($B977="","",IFERROR(ROUND(INDEX(账户期初本位,MATCH($B977,账户名,0))+SUMIFS($L$6:L977,$B$6:B977,$B977),2),""))</f>
        <v/>
      </c>
      <c r="O977" s="46"/>
      <c r="P977" s="47"/>
      <c r="Q977" s="46"/>
      <c r="R977" s="46"/>
      <c r="S977" s="6" t="str">
        <f>IF($B977="","",IF(ISNA(MATCH($B977,账户名,0)),"※这个账户不在【参数设置】的账户档案里",IF($A977="","※没填日期，这一笔不会进任何月份的报表",IF(AND($G977&lt;&gt;"",$H977&lt;&gt;""),"※收入和支出不能同时填",IF(AND(N($G977)=0,N($H977)=0),"※收入和支出都没填",IF($E977="","※没填收支类别，分类报表会漏掉这一笔",IF(ISNA(MATCH($E977,类别表,0)),"※收支类别不在【参数设置】的清单里",IF($J977="","△"&amp;$D977&amp;" 还没填汇率，去【月度汇率】补上就自动算了",IF(YEAR($A977)&lt;&gt;管理年度,"△不是管理年度的单据，年报里看不到",IF(AND($F977="内部转账",$Q977=""),"△内部转账建议在「往来单位」写上对方账户",IF($M977&lt;0,"△这一笔之后该账户余额成负数了，核一下","")))))))))))</f>
        <v/>
      </c>
    </row>
    <row r="978" ht="16.5" spans="1:19">
      <c r="A978" s="45"/>
      <c r="B978" s="46"/>
      <c r="C978" s="12" t="str">
        <f>IF($B978="","",IFERROR(INDEX(账户银行,MATCH($B978,账户名,0)),""))</f>
        <v/>
      </c>
      <c r="D978" s="12" t="str">
        <f>IF($B978="","",IFERROR(INDEX(账户币种,MATCH($B978,账户名,0)),""))</f>
        <v/>
      </c>
      <c r="E978" s="47"/>
      <c r="F978" s="12" t="str">
        <f>IF($E978="","",IFERROR(INDEX(类别属性,MATCH($E978,类别表,0)),""))</f>
        <v/>
      </c>
      <c r="G978" s="48"/>
      <c r="H978" s="48"/>
      <c r="I978" s="49"/>
      <c r="J978" s="24" t="str">
        <f>IF(OR($A978="",$B978=""),"",IF($I978&lt;&gt;"",$I978,IF($D978=本位币,1,IFERROR(LOOKUP(2,1/((汇率月份&lt;=$A978)*(INDEX(记账汇率区,0,MATCH($D978,汇率币种头,0))&lt;&gt;"")),INDEX(记账汇率区,0,MATCH($D978,汇率币种头,0))),""))))</f>
        <v/>
      </c>
      <c r="K978" s="23" t="str">
        <f t="shared" si="30"/>
        <v/>
      </c>
      <c r="L978" s="23" t="str">
        <f t="shared" si="31"/>
        <v/>
      </c>
      <c r="M978" s="23" t="str">
        <f>IF($B978="","",ROUND(SUMIF(账户名,$B978,账户期初)+SUMIFS($K$6:K978,$B$6:B978,$B978),2))</f>
        <v/>
      </c>
      <c r="N978" s="23" t="str">
        <f>IF($B978="","",IFERROR(ROUND(INDEX(账户期初本位,MATCH($B978,账户名,0))+SUMIFS($L$6:L978,$B$6:B978,$B978),2),""))</f>
        <v/>
      </c>
      <c r="O978" s="46"/>
      <c r="P978" s="47"/>
      <c r="Q978" s="46"/>
      <c r="R978" s="46"/>
      <c r="S978" s="6" t="str">
        <f>IF($B978="","",IF(ISNA(MATCH($B978,账户名,0)),"※这个账户不在【参数设置】的账户档案里",IF($A978="","※没填日期，这一笔不会进任何月份的报表",IF(AND($G978&lt;&gt;"",$H978&lt;&gt;""),"※收入和支出不能同时填",IF(AND(N($G978)=0,N($H978)=0),"※收入和支出都没填",IF($E978="","※没填收支类别，分类报表会漏掉这一笔",IF(ISNA(MATCH($E978,类别表,0)),"※收支类别不在【参数设置】的清单里",IF($J978="","△"&amp;$D978&amp;" 还没填汇率，去【月度汇率】补上就自动算了",IF(YEAR($A978)&lt;&gt;管理年度,"△不是管理年度的单据，年报里看不到",IF(AND($F978="内部转账",$Q978=""),"△内部转账建议在「往来单位」写上对方账户",IF($M978&lt;0,"△这一笔之后该账户余额成负数了，核一下","")))))))))))</f>
        <v/>
      </c>
    </row>
    <row r="979" ht="16.5" spans="1:19">
      <c r="A979" s="45"/>
      <c r="B979" s="46"/>
      <c r="C979" s="12" t="str">
        <f>IF($B979="","",IFERROR(INDEX(账户银行,MATCH($B979,账户名,0)),""))</f>
        <v/>
      </c>
      <c r="D979" s="12" t="str">
        <f>IF($B979="","",IFERROR(INDEX(账户币种,MATCH($B979,账户名,0)),""))</f>
        <v/>
      </c>
      <c r="E979" s="47"/>
      <c r="F979" s="12" t="str">
        <f>IF($E979="","",IFERROR(INDEX(类别属性,MATCH($E979,类别表,0)),""))</f>
        <v/>
      </c>
      <c r="G979" s="48"/>
      <c r="H979" s="48"/>
      <c r="I979" s="49"/>
      <c r="J979" s="24" t="str">
        <f>IF(OR($A979="",$B979=""),"",IF($I979&lt;&gt;"",$I979,IF($D979=本位币,1,IFERROR(LOOKUP(2,1/((汇率月份&lt;=$A979)*(INDEX(记账汇率区,0,MATCH($D979,汇率币种头,0))&lt;&gt;"")),INDEX(记账汇率区,0,MATCH($D979,汇率币种头,0))),""))))</f>
        <v/>
      </c>
      <c r="K979" s="23" t="str">
        <f t="shared" si="30"/>
        <v/>
      </c>
      <c r="L979" s="23" t="str">
        <f t="shared" si="31"/>
        <v/>
      </c>
      <c r="M979" s="23" t="str">
        <f>IF($B979="","",ROUND(SUMIF(账户名,$B979,账户期初)+SUMIFS($K$6:K979,$B$6:B979,$B979),2))</f>
        <v/>
      </c>
      <c r="N979" s="23" t="str">
        <f>IF($B979="","",IFERROR(ROUND(INDEX(账户期初本位,MATCH($B979,账户名,0))+SUMIFS($L$6:L979,$B$6:B979,$B979),2),""))</f>
        <v/>
      </c>
      <c r="O979" s="46"/>
      <c r="P979" s="47"/>
      <c r="Q979" s="46"/>
      <c r="R979" s="46"/>
      <c r="S979" s="6" t="str">
        <f>IF($B979="","",IF(ISNA(MATCH($B979,账户名,0)),"※这个账户不在【参数设置】的账户档案里",IF($A979="","※没填日期，这一笔不会进任何月份的报表",IF(AND($G979&lt;&gt;"",$H979&lt;&gt;""),"※收入和支出不能同时填",IF(AND(N($G979)=0,N($H979)=0),"※收入和支出都没填",IF($E979="","※没填收支类别，分类报表会漏掉这一笔",IF(ISNA(MATCH($E979,类别表,0)),"※收支类别不在【参数设置】的清单里",IF($J979="","△"&amp;$D979&amp;" 还没填汇率，去【月度汇率】补上就自动算了",IF(YEAR($A979)&lt;&gt;管理年度,"△不是管理年度的单据，年报里看不到",IF(AND($F979="内部转账",$Q979=""),"△内部转账建议在「往来单位」写上对方账户",IF($M979&lt;0,"△这一笔之后该账户余额成负数了，核一下","")))))))))))</f>
        <v/>
      </c>
    </row>
    <row r="980" ht="16.5" spans="1:19">
      <c r="A980" s="45"/>
      <c r="B980" s="46"/>
      <c r="C980" s="12" t="str">
        <f>IF($B980="","",IFERROR(INDEX(账户银行,MATCH($B980,账户名,0)),""))</f>
        <v/>
      </c>
      <c r="D980" s="12" t="str">
        <f>IF($B980="","",IFERROR(INDEX(账户币种,MATCH($B980,账户名,0)),""))</f>
        <v/>
      </c>
      <c r="E980" s="47"/>
      <c r="F980" s="12" t="str">
        <f>IF($E980="","",IFERROR(INDEX(类别属性,MATCH($E980,类别表,0)),""))</f>
        <v/>
      </c>
      <c r="G980" s="48"/>
      <c r="H980" s="48"/>
      <c r="I980" s="49"/>
      <c r="J980" s="24" t="str">
        <f>IF(OR($A980="",$B980=""),"",IF($I980&lt;&gt;"",$I980,IF($D980=本位币,1,IFERROR(LOOKUP(2,1/((汇率月份&lt;=$A980)*(INDEX(记账汇率区,0,MATCH($D980,汇率币种头,0))&lt;&gt;"")),INDEX(记账汇率区,0,MATCH($D980,汇率币种头,0))),""))))</f>
        <v/>
      </c>
      <c r="K980" s="23" t="str">
        <f t="shared" si="30"/>
        <v/>
      </c>
      <c r="L980" s="23" t="str">
        <f t="shared" si="31"/>
        <v/>
      </c>
      <c r="M980" s="23" t="str">
        <f>IF($B980="","",ROUND(SUMIF(账户名,$B980,账户期初)+SUMIFS($K$6:K980,$B$6:B980,$B980),2))</f>
        <v/>
      </c>
      <c r="N980" s="23" t="str">
        <f>IF($B980="","",IFERROR(ROUND(INDEX(账户期初本位,MATCH($B980,账户名,0))+SUMIFS($L$6:L980,$B$6:B980,$B980),2),""))</f>
        <v/>
      </c>
      <c r="O980" s="46"/>
      <c r="P980" s="47"/>
      <c r="Q980" s="46"/>
      <c r="R980" s="46"/>
      <c r="S980" s="6" t="str">
        <f>IF($B980="","",IF(ISNA(MATCH($B980,账户名,0)),"※这个账户不在【参数设置】的账户档案里",IF($A980="","※没填日期，这一笔不会进任何月份的报表",IF(AND($G980&lt;&gt;"",$H980&lt;&gt;""),"※收入和支出不能同时填",IF(AND(N($G980)=0,N($H980)=0),"※收入和支出都没填",IF($E980="","※没填收支类别，分类报表会漏掉这一笔",IF(ISNA(MATCH($E980,类别表,0)),"※收支类别不在【参数设置】的清单里",IF($J980="","△"&amp;$D980&amp;" 还没填汇率，去【月度汇率】补上就自动算了",IF(YEAR($A980)&lt;&gt;管理年度,"△不是管理年度的单据，年报里看不到",IF(AND($F980="内部转账",$Q980=""),"△内部转账建议在「往来单位」写上对方账户",IF($M980&lt;0,"△这一笔之后该账户余额成负数了，核一下","")))))))))))</f>
        <v/>
      </c>
    </row>
    <row r="981" ht="16.5" spans="1:19">
      <c r="A981" s="45"/>
      <c r="B981" s="46"/>
      <c r="C981" s="12" t="str">
        <f>IF($B981="","",IFERROR(INDEX(账户银行,MATCH($B981,账户名,0)),""))</f>
        <v/>
      </c>
      <c r="D981" s="12" t="str">
        <f>IF($B981="","",IFERROR(INDEX(账户币种,MATCH($B981,账户名,0)),""))</f>
        <v/>
      </c>
      <c r="E981" s="47"/>
      <c r="F981" s="12" t="str">
        <f>IF($E981="","",IFERROR(INDEX(类别属性,MATCH($E981,类别表,0)),""))</f>
        <v/>
      </c>
      <c r="G981" s="48"/>
      <c r="H981" s="48"/>
      <c r="I981" s="49"/>
      <c r="J981" s="24" t="str">
        <f>IF(OR($A981="",$B981=""),"",IF($I981&lt;&gt;"",$I981,IF($D981=本位币,1,IFERROR(LOOKUP(2,1/((汇率月份&lt;=$A981)*(INDEX(记账汇率区,0,MATCH($D981,汇率币种头,0))&lt;&gt;"")),INDEX(记账汇率区,0,MATCH($D981,汇率币种头,0))),""))))</f>
        <v/>
      </c>
      <c r="K981" s="23" t="str">
        <f t="shared" si="30"/>
        <v/>
      </c>
      <c r="L981" s="23" t="str">
        <f t="shared" si="31"/>
        <v/>
      </c>
      <c r="M981" s="23" t="str">
        <f>IF($B981="","",ROUND(SUMIF(账户名,$B981,账户期初)+SUMIFS($K$6:K981,$B$6:B981,$B981),2))</f>
        <v/>
      </c>
      <c r="N981" s="23" t="str">
        <f>IF($B981="","",IFERROR(ROUND(INDEX(账户期初本位,MATCH($B981,账户名,0))+SUMIFS($L$6:L981,$B$6:B981,$B981),2),""))</f>
        <v/>
      </c>
      <c r="O981" s="46"/>
      <c r="P981" s="47"/>
      <c r="Q981" s="46"/>
      <c r="R981" s="46"/>
      <c r="S981" s="6" t="str">
        <f>IF($B981="","",IF(ISNA(MATCH($B981,账户名,0)),"※这个账户不在【参数设置】的账户档案里",IF($A981="","※没填日期，这一笔不会进任何月份的报表",IF(AND($G981&lt;&gt;"",$H981&lt;&gt;""),"※收入和支出不能同时填",IF(AND(N($G981)=0,N($H981)=0),"※收入和支出都没填",IF($E981="","※没填收支类别，分类报表会漏掉这一笔",IF(ISNA(MATCH($E981,类别表,0)),"※收支类别不在【参数设置】的清单里",IF($J981="","△"&amp;$D981&amp;" 还没填汇率，去【月度汇率】补上就自动算了",IF(YEAR($A981)&lt;&gt;管理年度,"△不是管理年度的单据，年报里看不到",IF(AND($F981="内部转账",$Q981=""),"△内部转账建议在「往来单位」写上对方账户",IF($M981&lt;0,"△这一笔之后该账户余额成负数了，核一下","")))))))))))</f>
        <v/>
      </c>
    </row>
    <row r="982" ht="16.5" spans="1:19">
      <c r="A982" s="45"/>
      <c r="B982" s="46"/>
      <c r="C982" s="12" t="str">
        <f>IF($B982="","",IFERROR(INDEX(账户银行,MATCH($B982,账户名,0)),""))</f>
        <v/>
      </c>
      <c r="D982" s="12" t="str">
        <f>IF($B982="","",IFERROR(INDEX(账户币种,MATCH($B982,账户名,0)),""))</f>
        <v/>
      </c>
      <c r="E982" s="47"/>
      <c r="F982" s="12" t="str">
        <f>IF($E982="","",IFERROR(INDEX(类别属性,MATCH($E982,类别表,0)),""))</f>
        <v/>
      </c>
      <c r="G982" s="48"/>
      <c r="H982" s="48"/>
      <c r="I982" s="49"/>
      <c r="J982" s="24" t="str">
        <f>IF(OR($A982="",$B982=""),"",IF($I982&lt;&gt;"",$I982,IF($D982=本位币,1,IFERROR(LOOKUP(2,1/((汇率月份&lt;=$A982)*(INDEX(记账汇率区,0,MATCH($D982,汇率币种头,0))&lt;&gt;"")),INDEX(记账汇率区,0,MATCH($D982,汇率币种头,0))),""))))</f>
        <v/>
      </c>
      <c r="K982" s="23" t="str">
        <f t="shared" si="30"/>
        <v/>
      </c>
      <c r="L982" s="23" t="str">
        <f t="shared" si="31"/>
        <v/>
      </c>
      <c r="M982" s="23" t="str">
        <f>IF($B982="","",ROUND(SUMIF(账户名,$B982,账户期初)+SUMIFS($K$6:K982,$B$6:B982,$B982),2))</f>
        <v/>
      </c>
      <c r="N982" s="23" t="str">
        <f>IF($B982="","",IFERROR(ROUND(INDEX(账户期初本位,MATCH($B982,账户名,0))+SUMIFS($L$6:L982,$B$6:B982,$B982),2),""))</f>
        <v/>
      </c>
      <c r="O982" s="46"/>
      <c r="P982" s="47"/>
      <c r="Q982" s="46"/>
      <c r="R982" s="46"/>
      <c r="S982" s="6" t="str">
        <f>IF($B982="","",IF(ISNA(MATCH($B982,账户名,0)),"※这个账户不在【参数设置】的账户档案里",IF($A982="","※没填日期，这一笔不会进任何月份的报表",IF(AND($G982&lt;&gt;"",$H982&lt;&gt;""),"※收入和支出不能同时填",IF(AND(N($G982)=0,N($H982)=0),"※收入和支出都没填",IF($E982="","※没填收支类别，分类报表会漏掉这一笔",IF(ISNA(MATCH($E982,类别表,0)),"※收支类别不在【参数设置】的清单里",IF($J982="","△"&amp;$D982&amp;" 还没填汇率，去【月度汇率】补上就自动算了",IF(YEAR($A982)&lt;&gt;管理年度,"△不是管理年度的单据，年报里看不到",IF(AND($F982="内部转账",$Q982=""),"△内部转账建议在「往来单位」写上对方账户",IF($M982&lt;0,"△这一笔之后该账户余额成负数了，核一下","")))))))))))</f>
        <v/>
      </c>
    </row>
    <row r="983" ht="16.5" spans="1:19">
      <c r="A983" s="45"/>
      <c r="B983" s="46"/>
      <c r="C983" s="12" t="str">
        <f>IF($B983="","",IFERROR(INDEX(账户银行,MATCH($B983,账户名,0)),""))</f>
        <v/>
      </c>
      <c r="D983" s="12" t="str">
        <f>IF($B983="","",IFERROR(INDEX(账户币种,MATCH($B983,账户名,0)),""))</f>
        <v/>
      </c>
      <c r="E983" s="47"/>
      <c r="F983" s="12" t="str">
        <f>IF($E983="","",IFERROR(INDEX(类别属性,MATCH($E983,类别表,0)),""))</f>
        <v/>
      </c>
      <c r="G983" s="48"/>
      <c r="H983" s="48"/>
      <c r="I983" s="49"/>
      <c r="J983" s="24" t="str">
        <f>IF(OR($A983="",$B983=""),"",IF($I983&lt;&gt;"",$I983,IF($D983=本位币,1,IFERROR(LOOKUP(2,1/((汇率月份&lt;=$A983)*(INDEX(记账汇率区,0,MATCH($D983,汇率币种头,0))&lt;&gt;"")),INDEX(记账汇率区,0,MATCH($D983,汇率币种头,0))),""))))</f>
        <v/>
      </c>
      <c r="K983" s="23" t="str">
        <f t="shared" si="30"/>
        <v/>
      </c>
      <c r="L983" s="23" t="str">
        <f t="shared" si="31"/>
        <v/>
      </c>
      <c r="M983" s="23" t="str">
        <f>IF($B983="","",ROUND(SUMIF(账户名,$B983,账户期初)+SUMIFS($K$6:K983,$B$6:B983,$B983),2))</f>
        <v/>
      </c>
      <c r="N983" s="23" t="str">
        <f>IF($B983="","",IFERROR(ROUND(INDEX(账户期初本位,MATCH($B983,账户名,0))+SUMIFS($L$6:L983,$B$6:B983,$B983),2),""))</f>
        <v/>
      </c>
      <c r="O983" s="46"/>
      <c r="P983" s="47"/>
      <c r="Q983" s="46"/>
      <c r="R983" s="46"/>
      <c r="S983" s="6" t="str">
        <f>IF($B983="","",IF(ISNA(MATCH($B983,账户名,0)),"※这个账户不在【参数设置】的账户档案里",IF($A983="","※没填日期，这一笔不会进任何月份的报表",IF(AND($G983&lt;&gt;"",$H983&lt;&gt;""),"※收入和支出不能同时填",IF(AND(N($G983)=0,N($H983)=0),"※收入和支出都没填",IF($E983="","※没填收支类别，分类报表会漏掉这一笔",IF(ISNA(MATCH($E983,类别表,0)),"※收支类别不在【参数设置】的清单里",IF($J983="","△"&amp;$D983&amp;" 还没填汇率，去【月度汇率】补上就自动算了",IF(YEAR($A983)&lt;&gt;管理年度,"△不是管理年度的单据，年报里看不到",IF(AND($F983="内部转账",$Q983=""),"△内部转账建议在「往来单位」写上对方账户",IF($M983&lt;0,"△这一笔之后该账户余额成负数了，核一下","")))))))))))</f>
        <v/>
      </c>
    </row>
    <row r="984" ht="16.5" spans="1:19">
      <c r="A984" s="45"/>
      <c r="B984" s="46"/>
      <c r="C984" s="12" t="str">
        <f>IF($B984="","",IFERROR(INDEX(账户银行,MATCH($B984,账户名,0)),""))</f>
        <v/>
      </c>
      <c r="D984" s="12" t="str">
        <f>IF($B984="","",IFERROR(INDEX(账户币种,MATCH($B984,账户名,0)),""))</f>
        <v/>
      </c>
      <c r="E984" s="47"/>
      <c r="F984" s="12" t="str">
        <f>IF($E984="","",IFERROR(INDEX(类别属性,MATCH($E984,类别表,0)),""))</f>
        <v/>
      </c>
      <c r="G984" s="48"/>
      <c r="H984" s="48"/>
      <c r="I984" s="49"/>
      <c r="J984" s="24" t="str">
        <f>IF(OR($A984="",$B984=""),"",IF($I984&lt;&gt;"",$I984,IF($D984=本位币,1,IFERROR(LOOKUP(2,1/((汇率月份&lt;=$A984)*(INDEX(记账汇率区,0,MATCH($D984,汇率币种头,0))&lt;&gt;"")),INDEX(记账汇率区,0,MATCH($D984,汇率币种头,0))),""))))</f>
        <v/>
      </c>
      <c r="K984" s="23" t="str">
        <f t="shared" si="30"/>
        <v/>
      </c>
      <c r="L984" s="23" t="str">
        <f t="shared" si="31"/>
        <v/>
      </c>
      <c r="M984" s="23" t="str">
        <f>IF($B984="","",ROUND(SUMIF(账户名,$B984,账户期初)+SUMIFS($K$6:K984,$B$6:B984,$B984),2))</f>
        <v/>
      </c>
      <c r="N984" s="23" t="str">
        <f>IF($B984="","",IFERROR(ROUND(INDEX(账户期初本位,MATCH($B984,账户名,0))+SUMIFS($L$6:L984,$B$6:B984,$B984),2),""))</f>
        <v/>
      </c>
      <c r="O984" s="46"/>
      <c r="P984" s="47"/>
      <c r="Q984" s="46"/>
      <c r="R984" s="46"/>
      <c r="S984" s="6" t="str">
        <f>IF($B984="","",IF(ISNA(MATCH($B984,账户名,0)),"※这个账户不在【参数设置】的账户档案里",IF($A984="","※没填日期，这一笔不会进任何月份的报表",IF(AND($G984&lt;&gt;"",$H984&lt;&gt;""),"※收入和支出不能同时填",IF(AND(N($G984)=0,N($H984)=0),"※收入和支出都没填",IF($E984="","※没填收支类别，分类报表会漏掉这一笔",IF(ISNA(MATCH($E984,类别表,0)),"※收支类别不在【参数设置】的清单里",IF($J984="","△"&amp;$D984&amp;" 还没填汇率，去【月度汇率】补上就自动算了",IF(YEAR($A984)&lt;&gt;管理年度,"△不是管理年度的单据，年报里看不到",IF(AND($F984="内部转账",$Q984=""),"△内部转账建议在「往来单位」写上对方账户",IF($M984&lt;0,"△这一笔之后该账户余额成负数了，核一下","")))))))))))</f>
        <v/>
      </c>
    </row>
    <row r="985" ht="16.5" spans="1:19">
      <c r="A985" s="45"/>
      <c r="B985" s="46"/>
      <c r="C985" s="12" t="str">
        <f>IF($B985="","",IFERROR(INDEX(账户银行,MATCH($B985,账户名,0)),""))</f>
        <v/>
      </c>
      <c r="D985" s="12" t="str">
        <f>IF($B985="","",IFERROR(INDEX(账户币种,MATCH($B985,账户名,0)),""))</f>
        <v/>
      </c>
      <c r="E985" s="47"/>
      <c r="F985" s="12" t="str">
        <f>IF($E985="","",IFERROR(INDEX(类别属性,MATCH($E985,类别表,0)),""))</f>
        <v/>
      </c>
      <c r="G985" s="48"/>
      <c r="H985" s="48"/>
      <c r="I985" s="49"/>
      <c r="J985" s="24" t="str">
        <f>IF(OR($A985="",$B985=""),"",IF($I985&lt;&gt;"",$I985,IF($D985=本位币,1,IFERROR(LOOKUP(2,1/((汇率月份&lt;=$A985)*(INDEX(记账汇率区,0,MATCH($D985,汇率币种头,0))&lt;&gt;"")),INDEX(记账汇率区,0,MATCH($D985,汇率币种头,0))),""))))</f>
        <v/>
      </c>
      <c r="K985" s="23" t="str">
        <f t="shared" si="30"/>
        <v/>
      </c>
      <c r="L985" s="23" t="str">
        <f t="shared" si="31"/>
        <v/>
      </c>
      <c r="M985" s="23" t="str">
        <f>IF($B985="","",ROUND(SUMIF(账户名,$B985,账户期初)+SUMIFS($K$6:K985,$B$6:B985,$B985),2))</f>
        <v/>
      </c>
      <c r="N985" s="23" t="str">
        <f>IF($B985="","",IFERROR(ROUND(INDEX(账户期初本位,MATCH($B985,账户名,0))+SUMIFS($L$6:L985,$B$6:B985,$B985),2),""))</f>
        <v/>
      </c>
      <c r="O985" s="46"/>
      <c r="P985" s="47"/>
      <c r="Q985" s="46"/>
      <c r="R985" s="46"/>
      <c r="S985" s="6" t="str">
        <f>IF($B985="","",IF(ISNA(MATCH($B985,账户名,0)),"※这个账户不在【参数设置】的账户档案里",IF($A985="","※没填日期，这一笔不会进任何月份的报表",IF(AND($G985&lt;&gt;"",$H985&lt;&gt;""),"※收入和支出不能同时填",IF(AND(N($G985)=0,N($H985)=0),"※收入和支出都没填",IF($E985="","※没填收支类别，分类报表会漏掉这一笔",IF(ISNA(MATCH($E985,类别表,0)),"※收支类别不在【参数设置】的清单里",IF($J985="","△"&amp;$D985&amp;" 还没填汇率，去【月度汇率】补上就自动算了",IF(YEAR($A985)&lt;&gt;管理年度,"△不是管理年度的单据，年报里看不到",IF(AND($F985="内部转账",$Q985=""),"△内部转账建议在「往来单位」写上对方账户",IF($M985&lt;0,"△这一笔之后该账户余额成负数了，核一下","")))))))))))</f>
        <v/>
      </c>
    </row>
    <row r="986" ht="16.5" spans="1:19">
      <c r="A986" s="45"/>
      <c r="B986" s="46"/>
      <c r="C986" s="12" t="str">
        <f>IF($B986="","",IFERROR(INDEX(账户银行,MATCH($B986,账户名,0)),""))</f>
        <v/>
      </c>
      <c r="D986" s="12" t="str">
        <f>IF($B986="","",IFERROR(INDEX(账户币种,MATCH($B986,账户名,0)),""))</f>
        <v/>
      </c>
      <c r="E986" s="47"/>
      <c r="F986" s="12" t="str">
        <f>IF($E986="","",IFERROR(INDEX(类别属性,MATCH($E986,类别表,0)),""))</f>
        <v/>
      </c>
      <c r="G986" s="48"/>
      <c r="H986" s="48"/>
      <c r="I986" s="49"/>
      <c r="J986" s="24" t="str">
        <f>IF(OR($A986="",$B986=""),"",IF($I986&lt;&gt;"",$I986,IF($D986=本位币,1,IFERROR(LOOKUP(2,1/((汇率月份&lt;=$A986)*(INDEX(记账汇率区,0,MATCH($D986,汇率币种头,0))&lt;&gt;"")),INDEX(记账汇率区,0,MATCH($D986,汇率币种头,0))),""))))</f>
        <v/>
      </c>
      <c r="K986" s="23" t="str">
        <f t="shared" si="30"/>
        <v/>
      </c>
      <c r="L986" s="23" t="str">
        <f t="shared" si="31"/>
        <v/>
      </c>
      <c r="M986" s="23" t="str">
        <f>IF($B986="","",ROUND(SUMIF(账户名,$B986,账户期初)+SUMIFS($K$6:K986,$B$6:B986,$B986),2))</f>
        <v/>
      </c>
      <c r="N986" s="23" t="str">
        <f>IF($B986="","",IFERROR(ROUND(INDEX(账户期初本位,MATCH($B986,账户名,0))+SUMIFS($L$6:L986,$B$6:B986,$B986),2),""))</f>
        <v/>
      </c>
      <c r="O986" s="46"/>
      <c r="P986" s="47"/>
      <c r="Q986" s="46"/>
      <c r="R986" s="46"/>
      <c r="S986" s="6" t="str">
        <f>IF($B986="","",IF(ISNA(MATCH($B986,账户名,0)),"※这个账户不在【参数设置】的账户档案里",IF($A986="","※没填日期，这一笔不会进任何月份的报表",IF(AND($G986&lt;&gt;"",$H986&lt;&gt;""),"※收入和支出不能同时填",IF(AND(N($G986)=0,N($H986)=0),"※收入和支出都没填",IF($E986="","※没填收支类别，分类报表会漏掉这一笔",IF(ISNA(MATCH($E986,类别表,0)),"※收支类别不在【参数设置】的清单里",IF($J986="","△"&amp;$D986&amp;" 还没填汇率，去【月度汇率】补上就自动算了",IF(YEAR($A986)&lt;&gt;管理年度,"△不是管理年度的单据，年报里看不到",IF(AND($F986="内部转账",$Q986=""),"△内部转账建议在「往来单位」写上对方账户",IF($M986&lt;0,"△这一笔之后该账户余额成负数了，核一下","")))))))))))</f>
        <v/>
      </c>
    </row>
    <row r="987" ht="16.5" spans="1:19">
      <c r="A987" s="45"/>
      <c r="B987" s="46"/>
      <c r="C987" s="12" t="str">
        <f>IF($B987="","",IFERROR(INDEX(账户银行,MATCH($B987,账户名,0)),""))</f>
        <v/>
      </c>
      <c r="D987" s="12" t="str">
        <f>IF($B987="","",IFERROR(INDEX(账户币种,MATCH($B987,账户名,0)),""))</f>
        <v/>
      </c>
      <c r="E987" s="47"/>
      <c r="F987" s="12" t="str">
        <f>IF($E987="","",IFERROR(INDEX(类别属性,MATCH($E987,类别表,0)),""))</f>
        <v/>
      </c>
      <c r="G987" s="48"/>
      <c r="H987" s="48"/>
      <c r="I987" s="49"/>
      <c r="J987" s="24" t="str">
        <f>IF(OR($A987="",$B987=""),"",IF($I987&lt;&gt;"",$I987,IF($D987=本位币,1,IFERROR(LOOKUP(2,1/((汇率月份&lt;=$A987)*(INDEX(记账汇率区,0,MATCH($D987,汇率币种头,0))&lt;&gt;"")),INDEX(记账汇率区,0,MATCH($D987,汇率币种头,0))),""))))</f>
        <v/>
      </c>
      <c r="K987" s="23" t="str">
        <f t="shared" si="30"/>
        <v/>
      </c>
      <c r="L987" s="23" t="str">
        <f t="shared" si="31"/>
        <v/>
      </c>
      <c r="M987" s="23" t="str">
        <f>IF($B987="","",ROUND(SUMIF(账户名,$B987,账户期初)+SUMIFS($K$6:K987,$B$6:B987,$B987),2))</f>
        <v/>
      </c>
      <c r="N987" s="23" t="str">
        <f>IF($B987="","",IFERROR(ROUND(INDEX(账户期初本位,MATCH($B987,账户名,0))+SUMIFS($L$6:L987,$B$6:B987,$B987),2),""))</f>
        <v/>
      </c>
      <c r="O987" s="46"/>
      <c r="P987" s="47"/>
      <c r="Q987" s="46"/>
      <c r="R987" s="46"/>
      <c r="S987" s="6" t="str">
        <f>IF($B987="","",IF(ISNA(MATCH($B987,账户名,0)),"※这个账户不在【参数设置】的账户档案里",IF($A987="","※没填日期，这一笔不会进任何月份的报表",IF(AND($G987&lt;&gt;"",$H987&lt;&gt;""),"※收入和支出不能同时填",IF(AND(N($G987)=0,N($H987)=0),"※收入和支出都没填",IF($E987="","※没填收支类别，分类报表会漏掉这一笔",IF(ISNA(MATCH($E987,类别表,0)),"※收支类别不在【参数设置】的清单里",IF($J987="","△"&amp;$D987&amp;" 还没填汇率，去【月度汇率】补上就自动算了",IF(YEAR($A987)&lt;&gt;管理年度,"△不是管理年度的单据，年报里看不到",IF(AND($F987="内部转账",$Q987=""),"△内部转账建议在「往来单位」写上对方账户",IF($M987&lt;0,"△这一笔之后该账户余额成负数了，核一下","")))))))))))</f>
        <v/>
      </c>
    </row>
    <row r="988" ht="16.5" spans="1:19">
      <c r="A988" s="45"/>
      <c r="B988" s="46"/>
      <c r="C988" s="12" t="str">
        <f>IF($B988="","",IFERROR(INDEX(账户银行,MATCH($B988,账户名,0)),""))</f>
        <v/>
      </c>
      <c r="D988" s="12" t="str">
        <f>IF($B988="","",IFERROR(INDEX(账户币种,MATCH($B988,账户名,0)),""))</f>
        <v/>
      </c>
      <c r="E988" s="47"/>
      <c r="F988" s="12" t="str">
        <f>IF($E988="","",IFERROR(INDEX(类别属性,MATCH($E988,类别表,0)),""))</f>
        <v/>
      </c>
      <c r="G988" s="48"/>
      <c r="H988" s="48"/>
      <c r="I988" s="49"/>
      <c r="J988" s="24" t="str">
        <f>IF(OR($A988="",$B988=""),"",IF($I988&lt;&gt;"",$I988,IF($D988=本位币,1,IFERROR(LOOKUP(2,1/((汇率月份&lt;=$A988)*(INDEX(记账汇率区,0,MATCH($D988,汇率币种头,0))&lt;&gt;"")),INDEX(记账汇率区,0,MATCH($D988,汇率币种头,0))),""))))</f>
        <v/>
      </c>
      <c r="K988" s="23" t="str">
        <f t="shared" si="30"/>
        <v/>
      </c>
      <c r="L988" s="23" t="str">
        <f t="shared" si="31"/>
        <v/>
      </c>
      <c r="M988" s="23" t="str">
        <f>IF($B988="","",ROUND(SUMIF(账户名,$B988,账户期初)+SUMIFS($K$6:K988,$B$6:B988,$B988),2))</f>
        <v/>
      </c>
      <c r="N988" s="23" t="str">
        <f>IF($B988="","",IFERROR(ROUND(INDEX(账户期初本位,MATCH($B988,账户名,0))+SUMIFS($L$6:L988,$B$6:B988,$B988),2),""))</f>
        <v/>
      </c>
      <c r="O988" s="46"/>
      <c r="P988" s="47"/>
      <c r="Q988" s="46"/>
      <c r="R988" s="46"/>
      <c r="S988" s="6" t="str">
        <f>IF($B988="","",IF(ISNA(MATCH($B988,账户名,0)),"※这个账户不在【参数设置】的账户档案里",IF($A988="","※没填日期，这一笔不会进任何月份的报表",IF(AND($G988&lt;&gt;"",$H988&lt;&gt;""),"※收入和支出不能同时填",IF(AND(N($G988)=0,N($H988)=0),"※收入和支出都没填",IF($E988="","※没填收支类别，分类报表会漏掉这一笔",IF(ISNA(MATCH($E988,类别表,0)),"※收支类别不在【参数设置】的清单里",IF($J988="","△"&amp;$D988&amp;" 还没填汇率，去【月度汇率】补上就自动算了",IF(YEAR($A988)&lt;&gt;管理年度,"△不是管理年度的单据，年报里看不到",IF(AND($F988="内部转账",$Q988=""),"△内部转账建议在「往来单位」写上对方账户",IF($M988&lt;0,"△这一笔之后该账户余额成负数了，核一下","")))))))))))</f>
        <v/>
      </c>
    </row>
    <row r="989" ht="16.5" spans="1:19">
      <c r="A989" s="45"/>
      <c r="B989" s="46"/>
      <c r="C989" s="12" t="str">
        <f>IF($B989="","",IFERROR(INDEX(账户银行,MATCH($B989,账户名,0)),""))</f>
        <v/>
      </c>
      <c r="D989" s="12" t="str">
        <f>IF($B989="","",IFERROR(INDEX(账户币种,MATCH($B989,账户名,0)),""))</f>
        <v/>
      </c>
      <c r="E989" s="47"/>
      <c r="F989" s="12" t="str">
        <f>IF($E989="","",IFERROR(INDEX(类别属性,MATCH($E989,类别表,0)),""))</f>
        <v/>
      </c>
      <c r="G989" s="48"/>
      <c r="H989" s="48"/>
      <c r="I989" s="49"/>
      <c r="J989" s="24" t="str">
        <f>IF(OR($A989="",$B989=""),"",IF($I989&lt;&gt;"",$I989,IF($D989=本位币,1,IFERROR(LOOKUP(2,1/((汇率月份&lt;=$A989)*(INDEX(记账汇率区,0,MATCH($D989,汇率币种头,0))&lt;&gt;"")),INDEX(记账汇率区,0,MATCH($D989,汇率币种头,0))),""))))</f>
        <v/>
      </c>
      <c r="K989" s="23" t="str">
        <f t="shared" si="30"/>
        <v/>
      </c>
      <c r="L989" s="23" t="str">
        <f t="shared" si="31"/>
        <v/>
      </c>
      <c r="M989" s="23" t="str">
        <f>IF($B989="","",ROUND(SUMIF(账户名,$B989,账户期初)+SUMIFS($K$6:K989,$B$6:B989,$B989),2))</f>
        <v/>
      </c>
      <c r="N989" s="23" t="str">
        <f>IF($B989="","",IFERROR(ROUND(INDEX(账户期初本位,MATCH($B989,账户名,0))+SUMIFS($L$6:L989,$B$6:B989,$B989),2),""))</f>
        <v/>
      </c>
      <c r="O989" s="46"/>
      <c r="P989" s="47"/>
      <c r="Q989" s="46"/>
      <c r="R989" s="46"/>
      <c r="S989" s="6" t="str">
        <f>IF($B989="","",IF(ISNA(MATCH($B989,账户名,0)),"※这个账户不在【参数设置】的账户档案里",IF($A989="","※没填日期，这一笔不会进任何月份的报表",IF(AND($G989&lt;&gt;"",$H989&lt;&gt;""),"※收入和支出不能同时填",IF(AND(N($G989)=0,N($H989)=0),"※收入和支出都没填",IF($E989="","※没填收支类别，分类报表会漏掉这一笔",IF(ISNA(MATCH($E989,类别表,0)),"※收支类别不在【参数设置】的清单里",IF($J989="","△"&amp;$D989&amp;" 还没填汇率，去【月度汇率】补上就自动算了",IF(YEAR($A989)&lt;&gt;管理年度,"△不是管理年度的单据，年报里看不到",IF(AND($F989="内部转账",$Q989=""),"△内部转账建议在「往来单位」写上对方账户",IF($M989&lt;0,"△这一笔之后该账户余额成负数了，核一下","")))))))))))</f>
        <v/>
      </c>
    </row>
    <row r="990" ht="16.5" spans="1:19">
      <c r="A990" s="45"/>
      <c r="B990" s="46"/>
      <c r="C990" s="12" t="str">
        <f>IF($B990="","",IFERROR(INDEX(账户银行,MATCH($B990,账户名,0)),""))</f>
        <v/>
      </c>
      <c r="D990" s="12" t="str">
        <f>IF($B990="","",IFERROR(INDEX(账户币种,MATCH($B990,账户名,0)),""))</f>
        <v/>
      </c>
      <c r="E990" s="47"/>
      <c r="F990" s="12" t="str">
        <f>IF($E990="","",IFERROR(INDEX(类别属性,MATCH($E990,类别表,0)),""))</f>
        <v/>
      </c>
      <c r="G990" s="48"/>
      <c r="H990" s="48"/>
      <c r="I990" s="49"/>
      <c r="J990" s="24" t="str">
        <f>IF(OR($A990="",$B990=""),"",IF($I990&lt;&gt;"",$I990,IF($D990=本位币,1,IFERROR(LOOKUP(2,1/((汇率月份&lt;=$A990)*(INDEX(记账汇率区,0,MATCH($D990,汇率币种头,0))&lt;&gt;"")),INDEX(记账汇率区,0,MATCH($D990,汇率币种头,0))),""))))</f>
        <v/>
      </c>
      <c r="K990" s="23" t="str">
        <f t="shared" si="30"/>
        <v/>
      </c>
      <c r="L990" s="23" t="str">
        <f t="shared" si="31"/>
        <v/>
      </c>
      <c r="M990" s="23" t="str">
        <f>IF($B990="","",ROUND(SUMIF(账户名,$B990,账户期初)+SUMIFS($K$6:K990,$B$6:B990,$B990),2))</f>
        <v/>
      </c>
      <c r="N990" s="23" t="str">
        <f>IF($B990="","",IFERROR(ROUND(INDEX(账户期初本位,MATCH($B990,账户名,0))+SUMIFS($L$6:L990,$B$6:B990,$B990),2),""))</f>
        <v/>
      </c>
      <c r="O990" s="46"/>
      <c r="P990" s="47"/>
      <c r="Q990" s="46"/>
      <c r="R990" s="46"/>
      <c r="S990" s="6" t="str">
        <f>IF($B990="","",IF(ISNA(MATCH($B990,账户名,0)),"※这个账户不在【参数设置】的账户档案里",IF($A990="","※没填日期，这一笔不会进任何月份的报表",IF(AND($G990&lt;&gt;"",$H990&lt;&gt;""),"※收入和支出不能同时填",IF(AND(N($G990)=0,N($H990)=0),"※收入和支出都没填",IF($E990="","※没填收支类别，分类报表会漏掉这一笔",IF(ISNA(MATCH($E990,类别表,0)),"※收支类别不在【参数设置】的清单里",IF($J990="","△"&amp;$D990&amp;" 还没填汇率，去【月度汇率】补上就自动算了",IF(YEAR($A990)&lt;&gt;管理年度,"△不是管理年度的单据，年报里看不到",IF(AND($F990="内部转账",$Q990=""),"△内部转账建议在「往来单位」写上对方账户",IF($M990&lt;0,"△这一笔之后该账户余额成负数了，核一下","")))))))))))</f>
        <v/>
      </c>
    </row>
    <row r="991" ht="16.5" spans="1:19">
      <c r="A991" s="45"/>
      <c r="B991" s="46"/>
      <c r="C991" s="12" t="str">
        <f>IF($B991="","",IFERROR(INDEX(账户银行,MATCH($B991,账户名,0)),""))</f>
        <v/>
      </c>
      <c r="D991" s="12" t="str">
        <f>IF($B991="","",IFERROR(INDEX(账户币种,MATCH($B991,账户名,0)),""))</f>
        <v/>
      </c>
      <c r="E991" s="47"/>
      <c r="F991" s="12" t="str">
        <f>IF($E991="","",IFERROR(INDEX(类别属性,MATCH($E991,类别表,0)),""))</f>
        <v/>
      </c>
      <c r="G991" s="48"/>
      <c r="H991" s="48"/>
      <c r="I991" s="49"/>
      <c r="J991" s="24" t="str">
        <f>IF(OR($A991="",$B991=""),"",IF($I991&lt;&gt;"",$I991,IF($D991=本位币,1,IFERROR(LOOKUP(2,1/((汇率月份&lt;=$A991)*(INDEX(记账汇率区,0,MATCH($D991,汇率币种头,0))&lt;&gt;"")),INDEX(记账汇率区,0,MATCH($D991,汇率币种头,0))),""))))</f>
        <v/>
      </c>
      <c r="K991" s="23" t="str">
        <f t="shared" si="30"/>
        <v/>
      </c>
      <c r="L991" s="23" t="str">
        <f t="shared" si="31"/>
        <v/>
      </c>
      <c r="M991" s="23" t="str">
        <f>IF($B991="","",ROUND(SUMIF(账户名,$B991,账户期初)+SUMIFS($K$6:K991,$B$6:B991,$B991),2))</f>
        <v/>
      </c>
      <c r="N991" s="23" t="str">
        <f>IF($B991="","",IFERROR(ROUND(INDEX(账户期初本位,MATCH($B991,账户名,0))+SUMIFS($L$6:L991,$B$6:B991,$B991),2),""))</f>
        <v/>
      </c>
      <c r="O991" s="46"/>
      <c r="P991" s="47"/>
      <c r="Q991" s="46"/>
      <c r="R991" s="46"/>
      <c r="S991" s="6" t="str">
        <f>IF($B991="","",IF(ISNA(MATCH($B991,账户名,0)),"※这个账户不在【参数设置】的账户档案里",IF($A991="","※没填日期，这一笔不会进任何月份的报表",IF(AND($G991&lt;&gt;"",$H991&lt;&gt;""),"※收入和支出不能同时填",IF(AND(N($G991)=0,N($H991)=0),"※收入和支出都没填",IF($E991="","※没填收支类别，分类报表会漏掉这一笔",IF(ISNA(MATCH($E991,类别表,0)),"※收支类别不在【参数设置】的清单里",IF($J991="","△"&amp;$D991&amp;" 还没填汇率，去【月度汇率】补上就自动算了",IF(YEAR($A991)&lt;&gt;管理年度,"△不是管理年度的单据，年报里看不到",IF(AND($F991="内部转账",$Q991=""),"△内部转账建议在「往来单位」写上对方账户",IF($M991&lt;0,"△这一笔之后该账户余额成负数了，核一下","")))))))))))</f>
        <v/>
      </c>
    </row>
    <row r="992" ht="16.5" spans="1:19">
      <c r="A992" s="45"/>
      <c r="B992" s="46"/>
      <c r="C992" s="12" t="str">
        <f>IF($B992="","",IFERROR(INDEX(账户银行,MATCH($B992,账户名,0)),""))</f>
        <v/>
      </c>
      <c r="D992" s="12" t="str">
        <f>IF($B992="","",IFERROR(INDEX(账户币种,MATCH($B992,账户名,0)),""))</f>
        <v/>
      </c>
      <c r="E992" s="47"/>
      <c r="F992" s="12" t="str">
        <f>IF($E992="","",IFERROR(INDEX(类别属性,MATCH($E992,类别表,0)),""))</f>
        <v/>
      </c>
      <c r="G992" s="48"/>
      <c r="H992" s="48"/>
      <c r="I992" s="49"/>
      <c r="J992" s="24" t="str">
        <f>IF(OR($A992="",$B992=""),"",IF($I992&lt;&gt;"",$I992,IF($D992=本位币,1,IFERROR(LOOKUP(2,1/((汇率月份&lt;=$A992)*(INDEX(记账汇率区,0,MATCH($D992,汇率币种头,0))&lt;&gt;"")),INDEX(记账汇率区,0,MATCH($D992,汇率币种头,0))),""))))</f>
        <v/>
      </c>
      <c r="K992" s="23" t="str">
        <f t="shared" si="30"/>
        <v/>
      </c>
      <c r="L992" s="23" t="str">
        <f t="shared" si="31"/>
        <v/>
      </c>
      <c r="M992" s="23" t="str">
        <f>IF($B992="","",ROUND(SUMIF(账户名,$B992,账户期初)+SUMIFS($K$6:K992,$B$6:B992,$B992),2))</f>
        <v/>
      </c>
      <c r="N992" s="23" t="str">
        <f>IF($B992="","",IFERROR(ROUND(INDEX(账户期初本位,MATCH($B992,账户名,0))+SUMIFS($L$6:L992,$B$6:B992,$B992),2),""))</f>
        <v/>
      </c>
      <c r="O992" s="46"/>
      <c r="P992" s="47"/>
      <c r="Q992" s="46"/>
      <c r="R992" s="46"/>
      <c r="S992" s="6" t="str">
        <f>IF($B992="","",IF(ISNA(MATCH($B992,账户名,0)),"※这个账户不在【参数设置】的账户档案里",IF($A992="","※没填日期，这一笔不会进任何月份的报表",IF(AND($G992&lt;&gt;"",$H992&lt;&gt;""),"※收入和支出不能同时填",IF(AND(N($G992)=0,N($H992)=0),"※收入和支出都没填",IF($E992="","※没填收支类别，分类报表会漏掉这一笔",IF(ISNA(MATCH($E992,类别表,0)),"※收支类别不在【参数设置】的清单里",IF($J992="","△"&amp;$D992&amp;" 还没填汇率，去【月度汇率】补上就自动算了",IF(YEAR($A992)&lt;&gt;管理年度,"△不是管理年度的单据，年报里看不到",IF(AND($F992="内部转账",$Q992=""),"△内部转账建议在「往来单位」写上对方账户",IF($M992&lt;0,"△这一笔之后该账户余额成负数了，核一下","")))))))))))</f>
        <v/>
      </c>
    </row>
    <row r="993" ht="16.5" spans="1:19">
      <c r="A993" s="45"/>
      <c r="B993" s="46"/>
      <c r="C993" s="12" t="str">
        <f>IF($B993="","",IFERROR(INDEX(账户银行,MATCH($B993,账户名,0)),""))</f>
        <v/>
      </c>
      <c r="D993" s="12" t="str">
        <f>IF($B993="","",IFERROR(INDEX(账户币种,MATCH($B993,账户名,0)),""))</f>
        <v/>
      </c>
      <c r="E993" s="47"/>
      <c r="F993" s="12" t="str">
        <f>IF($E993="","",IFERROR(INDEX(类别属性,MATCH($E993,类别表,0)),""))</f>
        <v/>
      </c>
      <c r="G993" s="48"/>
      <c r="H993" s="48"/>
      <c r="I993" s="49"/>
      <c r="J993" s="24" t="str">
        <f>IF(OR($A993="",$B993=""),"",IF($I993&lt;&gt;"",$I993,IF($D993=本位币,1,IFERROR(LOOKUP(2,1/((汇率月份&lt;=$A993)*(INDEX(记账汇率区,0,MATCH($D993,汇率币种头,0))&lt;&gt;"")),INDEX(记账汇率区,0,MATCH($D993,汇率币种头,0))),""))))</f>
        <v/>
      </c>
      <c r="K993" s="23" t="str">
        <f t="shared" si="30"/>
        <v/>
      </c>
      <c r="L993" s="23" t="str">
        <f t="shared" si="31"/>
        <v/>
      </c>
      <c r="M993" s="23" t="str">
        <f>IF($B993="","",ROUND(SUMIF(账户名,$B993,账户期初)+SUMIFS($K$6:K993,$B$6:B993,$B993),2))</f>
        <v/>
      </c>
      <c r="N993" s="23" t="str">
        <f>IF($B993="","",IFERROR(ROUND(INDEX(账户期初本位,MATCH($B993,账户名,0))+SUMIFS($L$6:L993,$B$6:B993,$B993),2),""))</f>
        <v/>
      </c>
      <c r="O993" s="46"/>
      <c r="P993" s="47"/>
      <c r="Q993" s="46"/>
      <c r="R993" s="46"/>
      <c r="S993" s="6" t="str">
        <f>IF($B993="","",IF(ISNA(MATCH($B993,账户名,0)),"※这个账户不在【参数设置】的账户档案里",IF($A993="","※没填日期，这一笔不会进任何月份的报表",IF(AND($G993&lt;&gt;"",$H993&lt;&gt;""),"※收入和支出不能同时填",IF(AND(N($G993)=0,N($H993)=0),"※收入和支出都没填",IF($E993="","※没填收支类别，分类报表会漏掉这一笔",IF(ISNA(MATCH($E993,类别表,0)),"※收支类别不在【参数设置】的清单里",IF($J993="","△"&amp;$D993&amp;" 还没填汇率，去【月度汇率】补上就自动算了",IF(YEAR($A993)&lt;&gt;管理年度,"△不是管理年度的单据，年报里看不到",IF(AND($F993="内部转账",$Q993=""),"△内部转账建议在「往来单位」写上对方账户",IF($M993&lt;0,"△这一笔之后该账户余额成负数了，核一下","")))))))))))</f>
        <v/>
      </c>
    </row>
    <row r="994" ht="16.5" spans="1:19">
      <c r="A994" s="45"/>
      <c r="B994" s="46"/>
      <c r="C994" s="12" t="str">
        <f>IF($B994="","",IFERROR(INDEX(账户银行,MATCH($B994,账户名,0)),""))</f>
        <v/>
      </c>
      <c r="D994" s="12" t="str">
        <f>IF($B994="","",IFERROR(INDEX(账户币种,MATCH($B994,账户名,0)),""))</f>
        <v/>
      </c>
      <c r="E994" s="47"/>
      <c r="F994" s="12" t="str">
        <f>IF($E994="","",IFERROR(INDEX(类别属性,MATCH($E994,类别表,0)),""))</f>
        <v/>
      </c>
      <c r="G994" s="48"/>
      <c r="H994" s="48"/>
      <c r="I994" s="49"/>
      <c r="J994" s="24" t="str">
        <f>IF(OR($A994="",$B994=""),"",IF($I994&lt;&gt;"",$I994,IF($D994=本位币,1,IFERROR(LOOKUP(2,1/((汇率月份&lt;=$A994)*(INDEX(记账汇率区,0,MATCH($D994,汇率币种头,0))&lt;&gt;"")),INDEX(记账汇率区,0,MATCH($D994,汇率币种头,0))),""))))</f>
        <v/>
      </c>
      <c r="K994" s="23" t="str">
        <f t="shared" si="30"/>
        <v/>
      </c>
      <c r="L994" s="23" t="str">
        <f t="shared" si="31"/>
        <v/>
      </c>
      <c r="M994" s="23" t="str">
        <f>IF($B994="","",ROUND(SUMIF(账户名,$B994,账户期初)+SUMIFS($K$6:K994,$B$6:B994,$B994),2))</f>
        <v/>
      </c>
      <c r="N994" s="23" t="str">
        <f>IF($B994="","",IFERROR(ROUND(INDEX(账户期初本位,MATCH($B994,账户名,0))+SUMIFS($L$6:L994,$B$6:B994,$B994),2),""))</f>
        <v/>
      </c>
      <c r="O994" s="46"/>
      <c r="P994" s="47"/>
      <c r="Q994" s="46"/>
      <c r="R994" s="46"/>
      <c r="S994" s="6" t="str">
        <f>IF($B994="","",IF(ISNA(MATCH($B994,账户名,0)),"※这个账户不在【参数设置】的账户档案里",IF($A994="","※没填日期，这一笔不会进任何月份的报表",IF(AND($G994&lt;&gt;"",$H994&lt;&gt;""),"※收入和支出不能同时填",IF(AND(N($G994)=0,N($H994)=0),"※收入和支出都没填",IF($E994="","※没填收支类别，分类报表会漏掉这一笔",IF(ISNA(MATCH($E994,类别表,0)),"※收支类别不在【参数设置】的清单里",IF($J994="","△"&amp;$D994&amp;" 还没填汇率，去【月度汇率】补上就自动算了",IF(YEAR($A994)&lt;&gt;管理年度,"△不是管理年度的单据，年报里看不到",IF(AND($F994="内部转账",$Q994=""),"△内部转账建议在「往来单位」写上对方账户",IF($M994&lt;0,"△这一笔之后该账户余额成负数了，核一下","")))))))))))</f>
        <v/>
      </c>
    </row>
    <row r="995" ht="16.5" spans="1:19">
      <c r="A995" s="45"/>
      <c r="B995" s="46"/>
      <c r="C995" s="12" t="str">
        <f>IF($B995="","",IFERROR(INDEX(账户银行,MATCH($B995,账户名,0)),""))</f>
        <v/>
      </c>
      <c r="D995" s="12" t="str">
        <f>IF($B995="","",IFERROR(INDEX(账户币种,MATCH($B995,账户名,0)),""))</f>
        <v/>
      </c>
      <c r="E995" s="47"/>
      <c r="F995" s="12" t="str">
        <f>IF($E995="","",IFERROR(INDEX(类别属性,MATCH($E995,类别表,0)),""))</f>
        <v/>
      </c>
      <c r="G995" s="48"/>
      <c r="H995" s="48"/>
      <c r="I995" s="49"/>
      <c r="J995" s="24" t="str">
        <f>IF(OR($A995="",$B995=""),"",IF($I995&lt;&gt;"",$I995,IF($D995=本位币,1,IFERROR(LOOKUP(2,1/((汇率月份&lt;=$A995)*(INDEX(记账汇率区,0,MATCH($D995,汇率币种头,0))&lt;&gt;"")),INDEX(记账汇率区,0,MATCH($D995,汇率币种头,0))),""))))</f>
        <v/>
      </c>
      <c r="K995" s="23" t="str">
        <f t="shared" si="30"/>
        <v/>
      </c>
      <c r="L995" s="23" t="str">
        <f t="shared" si="31"/>
        <v/>
      </c>
      <c r="M995" s="23" t="str">
        <f>IF($B995="","",ROUND(SUMIF(账户名,$B995,账户期初)+SUMIFS($K$6:K995,$B$6:B995,$B995),2))</f>
        <v/>
      </c>
      <c r="N995" s="23" t="str">
        <f>IF($B995="","",IFERROR(ROUND(INDEX(账户期初本位,MATCH($B995,账户名,0))+SUMIFS($L$6:L995,$B$6:B995,$B995),2),""))</f>
        <v/>
      </c>
      <c r="O995" s="46"/>
      <c r="P995" s="47"/>
      <c r="Q995" s="46"/>
      <c r="R995" s="46"/>
      <c r="S995" s="6" t="str">
        <f>IF($B995="","",IF(ISNA(MATCH($B995,账户名,0)),"※这个账户不在【参数设置】的账户档案里",IF($A995="","※没填日期，这一笔不会进任何月份的报表",IF(AND($G995&lt;&gt;"",$H995&lt;&gt;""),"※收入和支出不能同时填",IF(AND(N($G995)=0,N($H995)=0),"※收入和支出都没填",IF($E995="","※没填收支类别，分类报表会漏掉这一笔",IF(ISNA(MATCH($E995,类别表,0)),"※收支类别不在【参数设置】的清单里",IF($J995="","△"&amp;$D995&amp;" 还没填汇率，去【月度汇率】补上就自动算了",IF(YEAR($A995)&lt;&gt;管理年度,"△不是管理年度的单据，年报里看不到",IF(AND($F995="内部转账",$Q995=""),"△内部转账建议在「往来单位」写上对方账户",IF($M995&lt;0,"△这一笔之后该账户余额成负数了，核一下","")))))))))))</f>
        <v/>
      </c>
    </row>
    <row r="996" ht="16.5" spans="1:19">
      <c r="A996" s="45"/>
      <c r="B996" s="46"/>
      <c r="C996" s="12" t="str">
        <f>IF($B996="","",IFERROR(INDEX(账户银行,MATCH($B996,账户名,0)),""))</f>
        <v/>
      </c>
      <c r="D996" s="12" t="str">
        <f>IF($B996="","",IFERROR(INDEX(账户币种,MATCH($B996,账户名,0)),""))</f>
        <v/>
      </c>
      <c r="E996" s="47"/>
      <c r="F996" s="12" t="str">
        <f>IF($E996="","",IFERROR(INDEX(类别属性,MATCH($E996,类别表,0)),""))</f>
        <v/>
      </c>
      <c r="G996" s="48"/>
      <c r="H996" s="48"/>
      <c r="I996" s="49"/>
      <c r="J996" s="24" t="str">
        <f>IF(OR($A996="",$B996=""),"",IF($I996&lt;&gt;"",$I996,IF($D996=本位币,1,IFERROR(LOOKUP(2,1/((汇率月份&lt;=$A996)*(INDEX(记账汇率区,0,MATCH($D996,汇率币种头,0))&lt;&gt;"")),INDEX(记账汇率区,0,MATCH($D996,汇率币种头,0))),""))))</f>
        <v/>
      </c>
      <c r="K996" s="23" t="str">
        <f t="shared" si="30"/>
        <v/>
      </c>
      <c r="L996" s="23" t="str">
        <f t="shared" si="31"/>
        <v/>
      </c>
      <c r="M996" s="23" t="str">
        <f>IF($B996="","",ROUND(SUMIF(账户名,$B996,账户期初)+SUMIFS($K$6:K996,$B$6:B996,$B996),2))</f>
        <v/>
      </c>
      <c r="N996" s="23" t="str">
        <f>IF($B996="","",IFERROR(ROUND(INDEX(账户期初本位,MATCH($B996,账户名,0))+SUMIFS($L$6:L996,$B$6:B996,$B996),2),""))</f>
        <v/>
      </c>
      <c r="O996" s="46"/>
      <c r="P996" s="47"/>
      <c r="Q996" s="46"/>
      <c r="R996" s="46"/>
      <c r="S996" s="6" t="str">
        <f>IF($B996="","",IF(ISNA(MATCH($B996,账户名,0)),"※这个账户不在【参数设置】的账户档案里",IF($A996="","※没填日期，这一笔不会进任何月份的报表",IF(AND($G996&lt;&gt;"",$H996&lt;&gt;""),"※收入和支出不能同时填",IF(AND(N($G996)=0,N($H996)=0),"※收入和支出都没填",IF($E996="","※没填收支类别，分类报表会漏掉这一笔",IF(ISNA(MATCH($E996,类别表,0)),"※收支类别不在【参数设置】的清单里",IF($J996="","△"&amp;$D996&amp;" 还没填汇率，去【月度汇率】补上就自动算了",IF(YEAR($A996)&lt;&gt;管理年度,"△不是管理年度的单据，年报里看不到",IF(AND($F996="内部转账",$Q996=""),"△内部转账建议在「往来单位」写上对方账户",IF($M996&lt;0,"△这一笔之后该账户余额成负数了，核一下","")))))))))))</f>
        <v/>
      </c>
    </row>
    <row r="997" ht="16.5" spans="1:19">
      <c r="A997" s="45"/>
      <c r="B997" s="46"/>
      <c r="C997" s="12" t="str">
        <f>IF($B997="","",IFERROR(INDEX(账户银行,MATCH($B997,账户名,0)),""))</f>
        <v/>
      </c>
      <c r="D997" s="12" t="str">
        <f>IF($B997="","",IFERROR(INDEX(账户币种,MATCH($B997,账户名,0)),""))</f>
        <v/>
      </c>
      <c r="E997" s="47"/>
      <c r="F997" s="12" t="str">
        <f>IF($E997="","",IFERROR(INDEX(类别属性,MATCH($E997,类别表,0)),""))</f>
        <v/>
      </c>
      <c r="G997" s="48"/>
      <c r="H997" s="48"/>
      <c r="I997" s="49"/>
      <c r="J997" s="24" t="str">
        <f>IF(OR($A997="",$B997=""),"",IF($I997&lt;&gt;"",$I997,IF($D997=本位币,1,IFERROR(LOOKUP(2,1/((汇率月份&lt;=$A997)*(INDEX(记账汇率区,0,MATCH($D997,汇率币种头,0))&lt;&gt;"")),INDEX(记账汇率区,0,MATCH($D997,汇率币种头,0))),""))))</f>
        <v/>
      </c>
      <c r="K997" s="23" t="str">
        <f t="shared" si="30"/>
        <v/>
      </c>
      <c r="L997" s="23" t="str">
        <f t="shared" si="31"/>
        <v/>
      </c>
      <c r="M997" s="23" t="str">
        <f>IF($B997="","",ROUND(SUMIF(账户名,$B997,账户期初)+SUMIFS($K$6:K997,$B$6:B997,$B997),2))</f>
        <v/>
      </c>
      <c r="N997" s="23" t="str">
        <f>IF($B997="","",IFERROR(ROUND(INDEX(账户期初本位,MATCH($B997,账户名,0))+SUMIFS($L$6:L997,$B$6:B997,$B997),2),""))</f>
        <v/>
      </c>
      <c r="O997" s="46"/>
      <c r="P997" s="47"/>
      <c r="Q997" s="46"/>
      <c r="R997" s="46"/>
      <c r="S997" s="6" t="str">
        <f>IF($B997="","",IF(ISNA(MATCH($B997,账户名,0)),"※这个账户不在【参数设置】的账户档案里",IF($A997="","※没填日期，这一笔不会进任何月份的报表",IF(AND($G997&lt;&gt;"",$H997&lt;&gt;""),"※收入和支出不能同时填",IF(AND(N($G997)=0,N($H997)=0),"※收入和支出都没填",IF($E997="","※没填收支类别，分类报表会漏掉这一笔",IF(ISNA(MATCH($E997,类别表,0)),"※收支类别不在【参数设置】的清单里",IF($J997="","△"&amp;$D997&amp;" 还没填汇率，去【月度汇率】补上就自动算了",IF(YEAR($A997)&lt;&gt;管理年度,"△不是管理年度的单据，年报里看不到",IF(AND($F997="内部转账",$Q997=""),"△内部转账建议在「往来单位」写上对方账户",IF($M997&lt;0,"△这一笔之后该账户余额成负数了，核一下","")))))))))))</f>
        <v/>
      </c>
    </row>
    <row r="998" ht="16.5" spans="1:19">
      <c r="A998" s="45"/>
      <c r="B998" s="46"/>
      <c r="C998" s="12" t="str">
        <f>IF($B998="","",IFERROR(INDEX(账户银行,MATCH($B998,账户名,0)),""))</f>
        <v/>
      </c>
      <c r="D998" s="12" t="str">
        <f>IF($B998="","",IFERROR(INDEX(账户币种,MATCH($B998,账户名,0)),""))</f>
        <v/>
      </c>
      <c r="E998" s="47"/>
      <c r="F998" s="12" t="str">
        <f>IF($E998="","",IFERROR(INDEX(类别属性,MATCH($E998,类别表,0)),""))</f>
        <v/>
      </c>
      <c r="G998" s="48"/>
      <c r="H998" s="48"/>
      <c r="I998" s="49"/>
      <c r="J998" s="24" t="str">
        <f>IF(OR($A998="",$B998=""),"",IF($I998&lt;&gt;"",$I998,IF($D998=本位币,1,IFERROR(LOOKUP(2,1/((汇率月份&lt;=$A998)*(INDEX(记账汇率区,0,MATCH($D998,汇率币种头,0))&lt;&gt;"")),INDEX(记账汇率区,0,MATCH($D998,汇率币种头,0))),""))))</f>
        <v/>
      </c>
      <c r="K998" s="23" t="str">
        <f t="shared" si="30"/>
        <v/>
      </c>
      <c r="L998" s="23" t="str">
        <f t="shared" si="31"/>
        <v/>
      </c>
      <c r="M998" s="23" t="str">
        <f>IF($B998="","",ROUND(SUMIF(账户名,$B998,账户期初)+SUMIFS($K$6:K998,$B$6:B998,$B998),2))</f>
        <v/>
      </c>
      <c r="N998" s="23" t="str">
        <f>IF($B998="","",IFERROR(ROUND(INDEX(账户期初本位,MATCH($B998,账户名,0))+SUMIFS($L$6:L998,$B$6:B998,$B998),2),""))</f>
        <v/>
      </c>
      <c r="O998" s="46"/>
      <c r="P998" s="47"/>
      <c r="Q998" s="46"/>
      <c r="R998" s="46"/>
      <c r="S998" s="6" t="str">
        <f>IF($B998="","",IF(ISNA(MATCH($B998,账户名,0)),"※这个账户不在【参数设置】的账户档案里",IF($A998="","※没填日期，这一笔不会进任何月份的报表",IF(AND($G998&lt;&gt;"",$H998&lt;&gt;""),"※收入和支出不能同时填",IF(AND(N($G998)=0,N($H998)=0),"※收入和支出都没填",IF($E998="","※没填收支类别，分类报表会漏掉这一笔",IF(ISNA(MATCH($E998,类别表,0)),"※收支类别不在【参数设置】的清单里",IF($J998="","△"&amp;$D998&amp;" 还没填汇率，去【月度汇率】补上就自动算了",IF(YEAR($A998)&lt;&gt;管理年度,"△不是管理年度的单据，年报里看不到",IF(AND($F998="内部转账",$Q998=""),"△内部转账建议在「往来单位」写上对方账户",IF($M998&lt;0,"△这一笔之后该账户余额成负数了，核一下","")))))))))))</f>
        <v/>
      </c>
    </row>
    <row r="999" ht="16.5" spans="1:19">
      <c r="A999" s="45"/>
      <c r="B999" s="46"/>
      <c r="C999" s="12" t="str">
        <f>IF($B999="","",IFERROR(INDEX(账户银行,MATCH($B999,账户名,0)),""))</f>
        <v/>
      </c>
      <c r="D999" s="12" t="str">
        <f>IF($B999="","",IFERROR(INDEX(账户币种,MATCH($B999,账户名,0)),""))</f>
        <v/>
      </c>
      <c r="E999" s="47"/>
      <c r="F999" s="12" t="str">
        <f>IF($E999="","",IFERROR(INDEX(类别属性,MATCH($E999,类别表,0)),""))</f>
        <v/>
      </c>
      <c r="G999" s="48"/>
      <c r="H999" s="48"/>
      <c r="I999" s="49"/>
      <c r="J999" s="24" t="str">
        <f>IF(OR($A999="",$B999=""),"",IF($I999&lt;&gt;"",$I999,IF($D999=本位币,1,IFERROR(LOOKUP(2,1/((汇率月份&lt;=$A999)*(INDEX(记账汇率区,0,MATCH($D999,汇率币种头,0))&lt;&gt;"")),INDEX(记账汇率区,0,MATCH($D999,汇率币种头,0))),""))))</f>
        <v/>
      </c>
      <c r="K999" s="23" t="str">
        <f t="shared" si="30"/>
        <v/>
      </c>
      <c r="L999" s="23" t="str">
        <f t="shared" si="31"/>
        <v/>
      </c>
      <c r="M999" s="23" t="str">
        <f>IF($B999="","",ROUND(SUMIF(账户名,$B999,账户期初)+SUMIFS($K$6:K999,$B$6:B999,$B999),2))</f>
        <v/>
      </c>
      <c r="N999" s="23" t="str">
        <f>IF($B999="","",IFERROR(ROUND(INDEX(账户期初本位,MATCH($B999,账户名,0))+SUMIFS($L$6:L999,$B$6:B999,$B999),2),""))</f>
        <v/>
      </c>
      <c r="O999" s="46"/>
      <c r="P999" s="47"/>
      <c r="Q999" s="46"/>
      <c r="R999" s="46"/>
      <c r="S999" s="6" t="str">
        <f>IF($B999="","",IF(ISNA(MATCH($B999,账户名,0)),"※这个账户不在【参数设置】的账户档案里",IF($A999="","※没填日期，这一笔不会进任何月份的报表",IF(AND($G999&lt;&gt;"",$H999&lt;&gt;""),"※收入和支出不能同时填",IF(AND(N($G999)=0,N($H999)=0),"※收入和支出都没填",IF($E999="","※没填收支类别，分类报表会漏掉这一笔",IF(ISNA(MATCH($E999,类别表,0)),"※收支类别不在【参数设置】的清单里",IF($J999="","△"&amp;$D999&amp;" 还没填汇率，去【月度汇率】补上就自动算了",IF(YEAR($A999)&lt;&gt;管理年度,"△不是管理年度的单据，年报里看不到",IF(AND($F999="内部转账",$Q999=""),"△内部转账建议在「往来单位」写上对方账户",IF($M999&lt;0,"△这一笔之后该账户余额成负数了，核一下","")))))))))))</f>
        <v/>
      </c>
    </row>
    <row r="1000" ht="16.5" spans="1:19">
      <c r="A1000" s="45"/>
      <c r="B1000" s="46"/>
      <c r="C1000" s="12" t="str">
        <f>IF($B1000="","",IFERROR(INDEX(账户银行,MATCH($B1000,账户名,0)),""))</f>
        <v/>
      </c>
      <c r="D1000" s="12" t="str">
        <f>IF($B1000="","",IFERROR(INDEX(账户币种,MATCH($B1000,账户名,0)),""))</f>
        <v/>
      </c>
      <c r="E1000" s="47"/>
      <c r="F1000" s="12" t="str">
        <f>IF($E1000="","",IFERROR(INDEX(类别属性,MATCH($E1000,类别表,0)),""))</f>
        <v/>
      </c>
      <c r="G1000" s="48"/>
      <c r="H1000" s="48"/>
      <c r="I1000" s="49"/>
      <c r="J1000" s="24" t="str">
        <f>IF(OR($A1000="",$B1000=""),"",IF($I1000&lt;&gt;"",$I1000,IF($D1000=本位币,1,IFERROR(LOOKUP(2,1/((汇率月份&lt;=$A1000)*(INDEX(记账汇率区,0,MATCH($D1000,汇率币种头,0))&lt;&gt;"")),INDEX(记账汇率区,0,MATCH($D1000,汇率币种头,0))),""))))</f>
        <v/>
      </c>
      <c r="K1000" s="23" t="str">
        <f t="shared" si="30"/>
        <v/>
      </c>
      <c r="L1000" s="23" t="str">
        <f t="shared" si="31"/>
        <v/>
      </c>
      <c r="M1000" s="23" t="str">
        <f>IF($B1000="","",ROUND(SUMIF(账户名,$B1000,账户期初)+SUMIFS($K$6:K1000,$B$6:B1000,$B1000),2))</f>
        <v/>
      </c>
      <c r="N1000" s="23" t="str">
        <f>IF($B1000="","",IFERROR(ROUND(INDEX(账户期初本位,MATCH($B1000,账户名,0))+SUMIFS($L$6:L1000,$B$6:B1000,$B1000),2),""))</f>
        <v/>
      </c>
      <c r="O1000" s="46"/>
      <c r="P1000" s="47"/>
      <c r="Q1000" s="46"/>
      <c r="R1000" s="46"/>
      <c r="S1000" s="6" t="str">
        <f>IF($B1000="","",IF(ISNA(MATCH($B1000,账户名,0)),"※这个账户不在【参数设置】的账户档案里",IF($A1000="","※没填日期，这一笔不会进任何月份的报表",IF(AND($G1000&lt;&gt;"",$H1000&lt;&gt;""),"※收入和支出不能同时填",IF(AND(N($G1000)=0,N($H1000)=0),"※收入和支出都没填",IF($E1000="","※没填收支类别，分类报表会漏掉这一笔",IF(ISNA(MATCH($E1000,类别表,0)),"※收支类别不在【参数设置】的清单里",IF($J1000="","△"&amp;$D1000&amp;" 还没填汇率，去【月度汇率】补上就自动算了",IF(YEAR($A1000)&lt;&gt;管理年度,"△不是管理年度的单据，年报里看不到",IF(AND($F1000="内部转账",$Q1000=""),"△内部转账建议在「往来单位」写上对方账户",IF($M1000&lt;0,"△这一笔之后该账户余额成负数了，核一下","")))))))))))</f>
        <v/>
      </c>
    </row>
    <row r="1001" ht="16.5" spans="1:19">
      <c r="A1001" s="45"/>
      <c r="B1001" s="46"/>
      <c r="C1001" s="12" t="str">
        <f>IF($B1001="","",IFERROR(INDEX(账户银行,MATCH($B1001,账户名,0)),""))</f>
        <v/>
      </c>
      <c r="D1001" s="12" t="str">
        <f>IF($B1001="","",IFERROR(INDEX(账户币种,MATCH($B1001,账户名,0)),""))</f>
        <v/>
      </c>
      <c r="E1001" s="47"/>
      <c r="F1001" s="12" t="str">
        <f>IF($E1001="","",IFERROR(INDEX(类别属性,MATCH($E1001,类别表,0)),""))</f>
        <v/>
      </c>
      <c r="G1001" s="48"/>
      <c r="H1001" s="48"/>
      <c r="I1001" s="49"/>
      <c r="J1001" s="24" t="str">
        <f>IF(OR($A1001="",$B1001=""),"",IF($I1001&lt;&gt;"",$I1001,IF($D1001=本位币,1,IFERROR(LOOKUP(2,1/((汇率月份&lt;=$A1001)*(INDEX(记账汇率区,0,MATCH($D1001,汇率币种头,0))&lt;&gt;"")),INDEX(记账汇率区,0,MATCH($D1001,汇率币种头,0))),""))))</f>
        <v/>
      </c>
      <c r="K1001" s="23" t="str">
        <f t="shared" si="30"/>
        <v/>
      </c>
      <c r="L1001" s="23" t="str">
        <f t="shared" si="31"/>
        <v/>
      </c>
      <c r="M1001" s="23" t="str">
        <f>IF($B1001="","",ROUND(SUMIF(账户名,$B1001,账户期初)+SUMIFS($K$6:K1001,$B$6:B1001,$B1001),2))</f>
        <v/>
      </c>
      <c r="N1001" s="23" t="str">
        <f>IF($B1001="","",IFERROR(ROUND(INDEX(账户期初本位,MATCH($B1001,账户名,0))+SUMIFS($L$6:L1001,$B$6:B1001,$B1001),2),""))</f>
        <v/>
      </c>
      <c r="O1001" s="46"/>
      <c r="P1001" s="47"/>
      <c r="Q1001" s="46"/>
      <c r="R1001" s="46"/>
      <c r="S1001" s="6" t="str">
        <f>IF($B1001="","",IF(ISNA(MATCH($B1001,账户名,0)),"※这个账户不在【参数设置】的账户档案里",IF($A1001="","※没填日期，这一笔不会进任何月份的报表",IF(AND($G1001&lt;&gt;"",$H1001&lt;&gt;""),"※收入和支出不能同时填",IF(AND(N($G1001)=0,N($H1001)=0),"※收入和支出都没填",IF($E1001="","※没填收支类别，分类报表会漏掉这一笔",IF(ISNA(MATCH($E1001,类别表,0)),"※收支类别不在【参数设置】的清单里",IF($J1001="","△"&amp;$D1001&amp;" 还没填汇率，去【月度汇率】补上就自动算了",IF(YEAR($A1001)&lt;&gt;管理年度,"△不是管理年度的单据，年报里看不到",IF(AND($F1001="内部转账",$Q1001=""),"△内部转账建议在「往来单位」写上对方账户",IF($M1001&lt;0,"△这一笔之后该账户余额成负数了，核一下","")))))))))))</f>
        <v/>
      </c>
    </row>
    <row r="1002" ht="16.5" spans="1:19">
      <c r="A1002" s="45"/>
      <c r="B1002" s="46"/>
      <c r="C1002" s="12" t="str">
        <f>IF($B1002="","",IFERROR(INDEX(账户银行,MATCH($B1002,账户名,0)),""))</f>
        <v/>
      </c>
      <c r="D1002" s="12" t="str">
        <f>IF($B1002="","",IFERROR(INDEX(账户币种,MATCH($B1002,账户名,0)),""))</f>
        <v/>
      </c>
      <c r="E1002" s="47"/>
      <c r="F1002" s="12" t="str">
        <f>IF($E1002="","",IFERROR(INDEX(类别属性,MATCH($E1002,类别表,0)),""))</f>
        <v/>
      </c>
      <c r="G1002" s="48"/>
      <c r="H1002" s="48"/>
      <c r="I1002" s="49"/>
      <c r="J1002" s="24" t="str">
        <f>IF(OR($A1002="",$B1002=""),"",IF($I1002&lt;&gt;"",$I1002,IF($D1002=本位币,1,IFERROR(LOOKUP(2,1/((汇率月份&lt;=$A1002)*(INDEX(记账汇率区,0,MATCH($D1002,汇率币种头,0))&lt;&gt;"")),INDEX(记账汇率区,0,MATCH($D1002,汇率币种头,0))),""))))</f>
        <v/>
      </c>
      <c r="K1002" s="23" t="str">
        <f t="shared" si="30"/>
        <v/>
      </c>
      <c r="L1002" s="23" t="str">
        <f t="shared" si="31"/>
        <v/>
      </c>
      <c r="M1002" s="23" t="str">
        <f>IF($B1002="","",ROUND(SUMIF(账户名,$B1002,账户期初)+SUMIFS($K$6:K1002,$B$6:B1002,$B1002),2))</f>
        <v/>
      </c>
      <c r="N1002" s="23" t="str">
        <f>IF($B1002="","",IFERROR(ROUND(INDEX(账户期初本位,MATCH($B1002,账户名,0))+SUMIFS($L$6:L1002,$B$6:B1002,$B1002),2),""))</f>
        <v/>
      </c>
      <c r="O1002" s="46"/>
      <c r="P1002" s="47"/>
      <c r="Q1002" s="46"/>
      <c r="R1002" s="46"/>
      <c r="S1002" s="6" t="str">
        <f>IF($B1002="","",IF(ISNA(MATCH($B1002,账户名,0)),"※这个账户不在【参数设置】的账户档案里",IF($A1002="","※没填日期，这一笔不会进任何月份的报表",IF(AND($G1002&lt;&gt;"",$H1002&lt;&gt;""),"※收入和支出不能同时填",IF(AND(N($G1002)=0,N($H1002)=0),"※收入和支出都没填",IF($E1002="","※没填收支类别，分类报表会漏掉这一笔",IF(ISNA(MATCH($E1002,类别表,0)),"※收支类别不在【参数设置】的清单里",IF($J1002="","△"&amp;$D1002&amp;" 还没填汇率，去【月度汇率】补上就自动算了",IF(YEAR($A1002)&lt;&gt;管理年度,"△不是管理年度的单据，年报里看不到",IF(AND($F1002="内部转账",$Q1002=""),"△内部转账建议在「往来单位」写上对方账户",IF($M1002&lt;0,"△这一笔之后该账户余额成负数了，核一下","")))))))))))</f>
        <v/>
      </c>
    </row>
    <row r="1003" ht="16.5" spans="1:19">
      <c r="A1003" s="45"/>
      <c r="B1003" s="46"/>
      <c r="C1003" s="12" t="str">
        <f>IF($B1003="","",IFERROR(INDEX(账户银行,MATCH($B1003,账户名,0)),""))</f>
        <v/>
      </c>
      <c r="D1003" s="12" t="str">
        <f>IF($B1003="","",IFERROR(INDEX(账户币种,MATCH($B1003,账户名,0)),""))</f>
        <v/>
      </c>
      <c r="E1003" s="47"/>
      <c r="F1003" s="12" t="str">
        <f>IF($E1003="","",IFERROR(INDEX(类别属性,MATCH($E1003,类别表,0)),""))</f>
        <v/>
      </c>
      <c r="G1003" s="48"/>
      <c r="H1003" s="48"/>
      <c r="I1003" s="49"/>
      <c r="J1003" s="24" t="str">
        <f>IF(OR($A1003="",$B1003=""),"",IF($I1003&lt;&gt;"",$I1003,IF($D1003=本位币,1,IFERROR(LOOKUP(2,1/((汇率月份&lt;=$A1003)*(INDEX(记账汇率区,0,MATCH($D1003,汇率币种头,0))&lt;&gt;"")),INDEX(记账汇率区,0,MATCH($D1003,汇率币种头,0))),""))))</f>
        <v/>
      </c>
      <c r="K1003" s="23" t="str">
        <f t="shared" si="30"/>
        <v/>
      </c>
      <c r="L1003" s="23" t="str">
        <f t="shared" si="31"/>
        <v/>
      </c>
      <c r="M1003" s="23" t="str">
        <f>IF($B1003="","",ROUND(SUMIF(账户名,$B1003,账户期初)+SUMIFS($K$6:K1003,$B$6:B1003,$B1003),2))</f>
        <v/>
      </c>
      <c r="N1003" s="23" t="str">
        <f>IF($B1003="","",IFERROR(ROUND(INDEX(账户期初本位,MATCH($B1003,账户名,0))+SUMIFS($L$6:L1003,$B$6:B1003,$B1003),2),""))</f>
        <v/>
      </c>
      <c r="O1003" s="46"/>
      <c r="P1003" s="47"/>
      <c r="Q1003" s="46"/>
      <c r="R1003" s="46"/>
      <c r="S1003" s="6" t="str">
        <f>IF($B1003="","",IF(ISNA(MATCH($B1003,账户名,0)),"※这个账户不在【参数设置】的账户档案里",IF($A1003="","※没填日期，这一笔不会进任何月份的报表",IF(AND($G1003&lt;&gt;"",$H1003&lt;&gt;""),"※收入和支出不能同时填",IF(AND(N($G1003)=0,N($H1003)=0),"※收入和支出都没填",IF($E1003="","※没填收支类别，分类报表会漏掉这一笔",IF(ISNA(MATCH($E1003,类别表,0)),"※收支类别不在【参数设置】的清单里",IF($J1003="","△"&amp;$D1003&amp;" 还没填汇率，去【月度汇率】补上就自动算了",IF(YEAR($A1003)&lt;&gt;管理年度,"△不是管理年度的单据，年报里看不到",IF(AND($F1003="内部转账",$Q1003=""),"△内部转账建议在「往来单位」写上对方账户",IF($M1003&lt;0,"△这一笔之后该账户余额成负数了，核一下","")))))))))))</f>
        <v/>
      </c>
    </row>
    <row r="1004" ht="16.5" spans="1:19">
      <c r="A1004" s="45"/>
      <c r="B1004" s="46"/>
      <c r="C1004" s="12" t="str">
        <f>IF($B1004="","",IFERROR(INDEX(账户银行,MATCH($B1004,账户名,0)),""))</f>
        <v/>
      </c>
      <c r="D1004" s="12" t="str">
        <f>IF($B1004="","",IFERROR(INDEX(账户币种,MATCH($B1004,账户名,0)),""))</f>
        <v/>
      </c>
      <c r="E1004" s="47"/>
      <c r="F1004" s="12" t="str">
        <f>IF($E1004="","",IFERROR(INDEX(类别属性,MATCH($E1004,类别表,0)),""))</f>
        <v/>
      </c>
      <c r="G1004" s="48"/>
      <c r="H1004" s="48"/>
      <c r="I1004" s="49"/>
      <c r="J1004" s="24" t="str">
        <f>IF(OR($A1004="",$B1004=""),"",IF($I1004&lt;&gt;"",$I1004,IF($D1004=本位币,1,IFERROR(LOOKUP(2,1/((汇率月份&lt;=$A1004)*(INDEX(记账汇率区,0,MATCH($D1004,汇率币种头,0))&lt;&gt;"")),INDEX(记账汇率区,0,MATCH($D1004,汇率币种头,0))),""))))</f>
        <v/>
      </c>
      <c r="K1004" s="23" t="str">
        <f t="shared" si="30"/>
        <v/>
      </c>
      <c r="L1004" s="23" t="str">
        <f t="shared" si="31"/>
        <v/>
      </c>
      <c r="M1004" s="23" t="str">
        <f>IF($B1004="","",ROUND(SUMIF(账户名,$B1004,账户期初)+SUMIFS($K$6:K1004,$B$6:B1004,$B1004),2))</f>
        <v/>
      </c>
      <c r="N1004" s="23" t="str">
        <f>IF($B1004="","",IFERROR(ROUND(INDEX(账户期初本位,MATCH($B1004,账户名,0))+SUMIFS($L$6:L1004,$B$6:B1004,$B1004),2),""))</f>
        <v/>
      </c>
      <c r="O1004" s="46"/>
      <c r="P1004" s="47"/>
      <c r="Q1004" s="46"/>
      <c r="R1004" s="46"/>
      <c r="S1004" s="6" t="str">
        <f>IF($B1004="","",IF(ISNA(MATCH($B1004,账户名,0)),"※这个账户不在【参数设置】的账户档案里",IF($A1004="","※没填日期，这一笔不会进任何月份的报表",IF(AND($G1004&lt;&gt;"",$H1004&lt;&gt;""),"※收入和支出不能同时填",IF(AND(N($G1004)=0,N($H1004)=0),"※收入和支出都没填",IF($E1004="","※没填收支类别，分类报表会漏掉这一笔",IF(ISNA(MATCH($E1004,类别表,0)),"※收支类别不在【参数设置】的清单里",IF($J1004="","△"&amp;$D1004&amp;" 还没填汇率，去【月度汇率】补上就自动算了",IF(YEAR($A1004)&lt;&gt;管理年度,"△不是管理年度的单据，年报里看不到",IF(AND($F1004="内部转账",$Q1004=""),"△内部转账建议在「往来单位」写上对方账户",IF($M1004&lt;0,"△这一笔之后该账户余额成负数了，核一下","")))))))))))</f>
        <v/>
      </c>
    </row>
    <row r="1005" ht="16.5" spans="1:19">
      <c r="A1005" s="45"/>
      <c r="B1005" s="46"/>
      <c r="C1005" s="12" t="str">
        <f>IF($B1005="","",IFERROR(INDEX(账户银行,MATCH($B1005,账户名,0)),""))</f>
        <v/>
      </c>
      <c r="D1005" s="12" t="str">
        <f>IF($B1005="","",IFERROR(INDEX(账户币种,MATCH($B1005,账户名,0)),""))</f>
        <v/>
      </c>
      <c r="E1005" s="47"/>
      <c r="F1005" s="12" t="str">
        <f>IF($E1005="","",IFERROR(INDEX(类别属性,MATCH($E1005,类别表,0)),""))</f>
        <v/>
      </c>
      <c r="G1005" s="48"/>
      <c r="H1005" s="48"/>
      <c r="I1005" s="49"/>
      <c r="J1005" s="24" t="str">
        <f>IF(OR($A1005="",$B1005=""),"",IF($I1005&lt;&gt;"",$I1005,IF($D1005=本位币,1,IFERROR(LOOKUP(2,1/((汇率月份&lt;=$A1005)*(INDEX(记账汇率区,0,MATCH($D1005,汇率币种头,0))&lt;&gt;"")),INDEX(记账汇率区,0,MATCH($D1005,汇率币种头,0))),""))))</f>
        <v/>
      </c>
      <c r="K1005" s="23" t="str">
        <f t="shared" si="30"/>
        <v/>
      </c>
      <c r="L1005" s="23" t="str">
        <f t="shared" si="31"/>
        <v/>
      </c>
      <c r="M1005" s="23" t="str">
        <f>IF($B1005="","",ROUND(SUMIF(账户名,$B1005,账户期初)+SUMIFS($K$6:K1005,$B$6:B1005,$B1005),2))</f>
        <v/>
      </c>
      <c r="N1005" s="23" t="str">
        <f>IF($B1005="","",IFERROR(ROUND(INDEX(账户期初本位,MATCH($B1005,账户名,0))+SUMIFS($L$6:L1005,$B$6:B1005,$B1005),2),""))</f>
        <v/>
      </c>
      <c r="O1005" s="46"/>
      <c r="P1005" s="47"/>
      <c r="Q1005" s="46"/>
      <c r="R1005" s="46"/>
      <c r="S1005" s="6" t="str">
        <f>IF($B1005="","",IF(ISNA(MATCH($B1005,账户名,0)),"※这个账户不在【参数设置】的账户档案里",IF($A1005="","※没填日期，这一笔不会进任何月份的报表",IF(AND($G1005&lt;&gt;"",$H1005&lt;&gt;""),"※收入和支出不能同时填",IF(AND(N($G1005)=0,N($H1005)=0),"※收入和支出都没填",IF($E1005="","※没填收支类别，分类报表会漏掉这一笔",IF(ISNA(MATCH($E1005,类别表,0)),"※收支类别不在【参数设置】的清单里",IF($J1005="","△"&amp;$D1005&amp;" 还没填汇率，去【月度汇率】补上就自动算了",IF(YEAR($A1005)&lt;&gt;管理年度,"△不是管理年度的单据，年报里看不到",IF(AND($F1005="内部转账",$Q1005=""),"△内部转账建议在「往来单位」写上对方账户",IF($M1005&lt;0,"△这一笔之后该账户余额成负数了，核一下","")))))))))))</f>
        <v/>
      </c>
    </row>
    <row r="1006" ht="16.5" spans="1:19">
      <c r="A1006" s="45"/>
      <c r="B1006" s="46"/>
      <c r="C1006" s="12" t="str">
        <f>IF($B1006="","",IFERROR(INDEX(账户银行,MATCH($B1006,账户名,0)),""))</f>
        <v/>
      </c>
      <c r="D1006" s="12" t="str">
        <f>IF($B1006="","",IFERROR(INDEX(账户币种,MATCH($B1006,账户名,0)),""))</f>
        <v/>
      </c>
      <c r="E1006" s="47"/>
      <c r="F1006" s="12" t="str">
        <f>IF($E1006="","",IFERROR(INDEX(类别属性,MATCH($E1006,类别表,0)),""))</f>
        <v/>
      </c>
      <c r="G1006" s="48"/>
      <c r="H1006" s="48"/>
      <c r="I1006" s="49"/>
      <c r="J1006" s="24" t="str">
        <f>IF(OR($A1006="",$B1006=""),"",IF($I1006&lt;&gt;"",$I1006,IF($D1006=本位币,1,IFERROR(LOOKUP(2,1/((汇率月份&lt;=$A1006)*(INDEX(记账汇率区,0,MATCH($D1006,汇率币种头,0))&lt;&gt;"")),INDEX(记账汇率区,0,MATCH($D1006,汇率币种头,0))),""))))</f>
        <v/>
      </c>
      <c r="K1006" s="23" t="str">
        <f t="shared" si="30"/>
        <v/>
      </c>
      <c r="L1006" s="23" t="str">
        <f t="shared" si="31"/>
        <v/>
      </c>
      <c r="M1006" s="23" t="str">
        <f>IF($B1006="","",ROUND(SUMIF(账户名,$B1006,账户期初)+SUMIFS($K$6:K1006,$B$6:B1006,$B1006),2))</f>
        <v/>
      </c>
      <c r="N1006" s="23" t="str">
        <f>IF($B1006="","",IFERROR(ROUND(INDEX(账户期初本位,MATCH($B1006,账户名,0))+SUMIFS($L$6:L1006,$B$6:B1006,$B1006),2),""))</f>
        <v/>
      </c>
      <c r="O1006" s="46"/>
      <c r="P1006" s="47"/>
      <c r="Q1006" s="46"/>
      <c r="R1006" s="46"/>
      <c r="S1006" s="6" t="str">
        <f>IF($B1006="","",IF(ISNA(MATCH($B1006,账户名,0)),"※这个账户不在【参数设置】的账户档案里",IF($A1006="","※没填日期，这一笔不会进任何月份的报表",IF(AND($G1006&lt;&gt;"",$H1006&lt;&gt;""),"※收入和支出不能同时填",IF(AND(N($G1006)=0,N($H1006)=0),"※收入和支出都没填",IF($E1006="","※没填收支类别，分类报表会漏掉这一笔",IF(ISNA(MATCH($E1006,类别表,0)),"※收支类别不在【参数设置】的清单里",IF($J1006="","△"&amp;$D1006&amp;" 还没填汇率，去【月度汇率】补上就自动算了",IF(YEAR($A1006)&lt;&gt;管理年度,"△不是管理年度的单据，年报里看不到",IF(AND($F1006="内部转账",$Q1006=""),"△内部转账建议在「往来单位」写上对方账户",IF($M1006&lt;0,"△这一笔之后该账户余额成负数了，核一下","")))))))))))</f>
        <v/>
      </c>
    </row>
    <row r="1007" ht="16.5" spans="1:19">
      <c r="A1007" s="45"/>
      <c r="B1007" s="46"/>
      <c r="C1007" s="12" t="str">
        <f>IF($B1007="","",IFERROR(INDEX(账户银行,MATCH($B1007,账户名,0)),""))</f>
        <v/>
      </c>
      <c r="D1007" s="12" t="str">
        <f>IF($B1007="","",IFERROR(INDEX(账户币种,MATCH($B1007,账户名,0)),""))</f>
        <v/>
      </c>
      <c r="E1007" s="47"/>
      <c r="F1007" s="12" t="str">
        <f>IF($E1007="","",IFERROR(INDEX(类别属性,MATCH($E1007,类别表,0)),""))</f>
        <v/>
      </c>
      <c r="G1007" s="48"/>
      <c r="H1007" s="48"/>
      <c r="I1007" s="49"/>
      <c r="J1007" s="24" t="str">
        <f>IF(OR($A1007="",$B1007=""),"",IF($I1007&lt;&gt;"",$I1007,IF($D1007=本位币,1,IFERROR(LOOKUP(2,1/((汇率月份&lt;=$A1007)*(INDEX(记账汇率区,0,MATCH($D1007,汇率币种头,0))&lt;&gt;"")),INDEX(记账汇率区,0,MATCH($D1007,汇率币种头,0))),""))))</f>
        <v/>
      </c>
      <c r="K1007" s="23" t="str">
        <f t="shared" si="30"/>
        <v/>
      </c>
      <c r="L1007" s="23" t="str">
        <f t="shared" si="31"/>
        <v/>
      </c>
      <c r="M1007" s="23" t="str">
        <f>IF($B1007="","",ROUND(SUMIF(账户名,$B1007,账户期初)+SUMIFS($K$6:K1007,$B$6:B1007,$B1007),2))</f>
        <v/>
      </c>
      <c r="N1007" s="23" t="str">
        <f>IF($B1007="","",IFERROR(ROUND(INDEX(账户期初本位,MATCH($B1007,账户名,0))+SUMIFS($L$6:L1007,$B$6:B1007,$B1007),2),""))</f>
        <v/>
      </c>
      <c r="O1007" s="46"/>
      <c r="P1007" s="47"/>
      <c r="Q1007" s="46"/>
      <c r="R1007" s="46"/>
      <c r="S1007" s="6" t="str">
        <f>IF($B1007="","",IF(ISNA(MATCH($B1007,账户名,0)),"※这个账户不在【参数设置】的账户档案里",IF($A1007="","※没填日期，这一笔不会进任何月份的报表",IF(AND($G1007&lt;&gt;"",$H1007&lt;&gt;""),"※收入和支出不能同时填",IF(AND(N($G1007)=0,N($H1007)=0),"※收入和支出都没填",IF($E1007="","※没填收支类别，分类报表会漏掉这一笔",IF(ISNA(MATCH($E1007,类别表,0)),"※收支类别不在【参数设置】的清单里",IF($J1007="","△"&amp;$D1007&amp;" 还没填汇率，去【月度汇率】补上就自动算了",IF(YEAR($A1007)&lt;&gt;管理年度,"△不是管理年度的单据，年报里看不到",IF(AND($F1007="内部转账",$Q1007=""),"△内部转账建议在「往来单位」写上对方账户",IF($M1007&lt;0,"△这一笔之后该账户余额成负数了，核一下","")))))))))))</f>
        <v/>
      </c>
    </row>
    <row r="1008" ht="16.5" spans="1:19">
      <c r="A1008" s="45"/>
      <c r="B1008" s="46"/>
      <c r="C1008" s="12" t="str">
        <f>IF($B1008="","",IFERROR(INDEX(账户银行,MATCH($B1008,账户名,0)),""))</f>
        <v/>
      </c>
      <c r="D1008" s="12" t="str">
        <f>IF($B1008="","",IFERROR(INDEX(账户币种,MATCH($B1008,账户名,0)),""))</f>
        <v/>
      </c>
      <c r="E1008" s="47"/>
      <c r="F1008" s="12" t="str">
        <f>IF($E1008="","",IFERROR(INDEX(类别属性,MATCH($E1008,类别表,0)),""))</f>
        <v/>
      </c>
      <c r="G1008" s="48"/>
      <c r="H1008" s="48"/>
      <c r="I1008" s="49"/>
      <c r="J1008" s="24" t="str">
        <f>IF(OR($A1008="",$B1008=""),"",IF($I1008&lt;&gt;"",$I1008,IF($D1008=本位币,1,IFERROR(LOOKUP(2,1/((汇率月份&lt;=$A1008)*(INDEX(记账汇率区,0,MATCH($D1008,汇率币种头,0))&lt;&gt;"")),INDEX(记账汇率区,0,MATCH($D1008,汇率币种头,0))),""))))</f>
        <v/>
      </c>
      <c r="K1008" s="23" t="str">
        <f t="shared" si="30"/>
        <v/>
      </c>
      <c r="L1008" s="23" t="str">
        <f t="shared" si="31"/>
        <v/>
      </c>
      <c r="M1008" s="23" t="str">
        <f>IF($B1008="","",ROUND(SUMIF(账户名,$B1008,账户期初)+SUMIFS($K$6:K1008,$B$6:B1008,$B1008),2))</f>
        <v/>
      </c>
      <c r="N1008" s="23" t="str">
        <f>IF($B1008="","",IFERROR(ROUND(INDEX(账户期初本位,MATCH($B1008,账户名,0))+SUMIFS($L$6:L1008,$B$6:B1008,$B1008),2),""))</f>
        <v/>
      </c>
      <c r="O1008" s="46"/>
      <c r="P1008" s="47"/>
      <c r="Q1008" s="46"/>
      <c r="R1008" s="46"/>
      <c r="S1008" s="6" t="str">
        <f>IF($B1008="","",IF(ISNA(MATCH($B1008,账户名,0)),"※这个账户不在【参数设置】的账户档案里",IF($A1008="","※没填日期，这一笔不会进任何月份的报表",IF(AND($G1008&lt;&gt;"",$H1008&lt;&gt;""),"※收入和支出不能同时填",IF(AND(N($G1008)=0,N($H1008)=0),"※收入和支出都没填",IF($E1008="","※没填收支类别，分类报表会漏掉这一笔",IF(ISNA(MATCH($E1008,类别表,0)),"※收支类别不在【参数设置】的清单里",IF($J1008="","△"&amp;$D1008&amp;" 还没填汇率，去【月度汇率】补上就自动算了",IF(YEAR($A1008)&lt;&gt;管理年度,"△不是管理年度的单据，年报里看不到",IF(AND($F1008="内部转账",$Q1008=""),"△内部转账建议在「往来单位」写上对方账户",IF($M1008&lt;0,"△这一笔之后该账户余额成负数了，核一下","")))))))))))</f>
        <v/>
      </c>
    </row>
    <row r="1009" ht="16.5" spans="1:19">
      <c r="A1009" s="45"/>
      <c r="B1009" s="46"/>
      <c r="C1009" s="12" t="str">
        <f>IF($B1009="","",IFERROR(INDEX(账户银行,MATCH($B1009,账户名,0)),""))</f>
        <v/>
      </c>
      <c r="D1009" s="12" t="str">
        <f>IF($B1009="","",IFERROR(INDEX(账户币种,MATCH($B1009,账户名,0)),""))</f>
        <v/>
      </c>
      <c r="E1009" s="47"/>
      <c r="F1009" s="12" t="str">
        <f>IF($E1009="","",IFERROR(INDEX(类别属性,MATCH($E1009,类别表,0)),""))</f>
        <v/>
      </c>
      <c r="G1009" s="48"/>
      <c r="H1009" s="48"/>
      <c r="I1009" s="49"/>
      <c r="J1009" s="24" t="str">
        <f>IF(OR($A1009="",$B1009=""),"",IF($I1009&lt;&gt;"",$I1009,IF($D1009=本位币,1,IFERROR(LOOKUP(2,1/((汇率月份&lt;=$A1009)*(INDEX(记账汇率区,0,MATCH($D1009,汇率币种头,0))&lt;&gt;"")),INDEX(记账汇率区,0,MATCH($D1009,汇率币种头,0))),""))))</f>
        <v/>
      </c>
      <c r="K1009" s="23" t="str">
        <f t="shared" si="30"/>
        <v/>
      </c>
      <c r="L1009" s="23" t="str">
        <f t="shared" si="31"/>
        <v/>
      </c>
      <c r="M1009" s="23" t="str">
        <f>IF($B1009="","",ROUND(SUMIF(账户名,$B1009,账户期初)+SUMIFS($K$6:K1009,$B$6:B1009,$B1009),2))</f>
        <v/>
      </c>
      <c r="N1009" s="23" t="str">
        <f>IF($B1009="","",IFERROR(ROUND(INDEX(账户期初本位,MATCH($B1009,账户名,0))+SUMIFS($L$6:L1009,$B$6:B1009,$B1009),2),""))</f>
        <v/>
      </c>
      <c r="O1009" s="46"/>
      <c r="P1009" s="47"/>
      <c r="Q1009" s="46"/>
      <c r="R1009" s="46"/>
      <c r="S1009" s="6" t="str">
        <f>IF($B1009="","",IF(ISNA(MATCH($B1009,账户名,0)),"※这个账户不在【参数设置】的账户档案里",IF($A1009="","※没填日期，这一笔不会进任何月份的报表",IF(AND($G1009&lt;&gt;"",$H1009&lt;&gt;""),"※收入和支出不能同时填",IF(AND(N($G1009)=0,N($H1009)=0),"※收入和支出都没填",IF($E1009="","※没填收支类别，分类报表会漏掉这一笔",IF(ISNA(MATCH($E1009,类别表,0)),"※收支类别不在【参数设置】的清单里",IF($J1009="","△"&amp;$D1009&amp;" 还没填汇率，去【月度汇率】补上就自动算了",IF(YEAR($A1009)&lt;&gt;管理年度,"△不是管理年度的单据，年报里看不到",IF(AND($F1009="内部转账",$Q1009=""),"△内部转账建议在「往来单位」写上对方账户",IF($M1009&lt;0,"△这一笔之后该账户余额成负数了，核一下","")))))))))))</f>
        <v/>
      </c>
    </row>
    <row r="1010" ht="16.5" spans="1:19">
      <c r="A1010" s="45"/>
      <c r="B1010" s="46"/>
      <c r="C1010" s="12" t="str">
        <f>IF($B1010="","",IFERROR(INDEX(账户银行,MATCH($B1010,账户名,0)),""))</f>
        <v/>
      </c>
      <c r="D1010" s="12" t="str">
        <f>IF($B1010="","",IFERROR(INDEX(账户币种,MATCH($B1010,账户名,0)),""))</f>
        <v/>
      </c>
      <c r="E1010" s="47"/>
      <c r="F1010" s="12" t="str">
        <f>IF($E1010="","",IFERROR(INDEX(类别属性,MATCH($E1010,类别表,0)),""))</f>
        <v/>
      </c>
      <c r="G1010" s="48"/>
      <c r="H1010" s="48"/>
      <c r="I1010" s="49"/>
      <c r="J1010" s="24" t="str">
        <f>IF(OR($A1010="",$B1010=""),"",IF($I1010&lt;&gt;"",$I1010,IF($D1010=本位币,1,IFERROR(LOOKUP(2,1/((汇率月份&lt;=$A1010)*(INDEX(记账汇率区,0,MATCH($D1010,汇率币种头,0))&lt;&gt;"")),INDEX(记账汇率区,0,MATCH($D1010,汇率币种头,0))),""))))</f>
        <v/>
      </c>
      <c r="K1010" s="23" t="str">
        <f t="shared" si="30"/>
        <v/>
      </c>
      <c r="L1010" s="23" t="str">
        <f t="shared" si="31"/>
        <v/>
      </c>
      <c r="M1010" s="23" t="str">
        <f>IF($B1010="","",ROUND(SUMIF(账户名,$B1010,账户期初)+SUMIFS($K$6:K1010,$B$6:B1010,$B1010),2))</f>
        <v/>
      </c>
      <c r="N1010" s="23" t="str">
        <f>IF($B1010="","",IFERROR(ROUND(INDEX(账户期初本位,MATCH($B1010,账户名,0))+SUMIFS($L$6:L1010,$B$6:B1010,$B1010),2),""))</f>
        <v/>
      </c>
      <c r="O1010" s="46"/>
      <c r="P1010" s="47"/>
      <c r="Q1010" s="46"/>
      <c r="R1010" s="46"/>
      <c r="S1010" s="6" t="str">
        <f>IF($B1010="","",IF(ISNA(MATCH($B1010,账户名,0)),"※这个账户不在【参数设置】的账户档案里",IF($A1010="","※没填日期，这一笔不会进任何月份的报表",IF(AND($G1010&lt;&gt;"",$H1010&lt;&gt;""),"※收入和支出不能同时填",IF(AND(N($G1010)=0,N($H1010)=0),"※收入和支出都没填",IF($E1010="","※没填收支类别，分类报表会漏掉这一笔",IF(ISNA(MATCH($E1010,类别表,0)),"※收支类别不在【参数设置】的清单里",IF($J1010="","△"&amp;$D1010&amp;" 还没填汇率，去【月度汇率】补上就自动算了",IF(YEAR($A1010)&lt;&gt;管理年度,"△不是管理年度的单据，年报里看不到",IF(AND($F1010="内部转账",$Q1010=""),"△内部转账建议在「往来单位」写上对方账户",IF($M1010&lt;0,"△这一笔之后该账户余额成负数了，核一下","")))))))))))</f>
        <v/>
      </c>
    </row>
    <row r="1011" ht="16.5" spans="1:19">
      <c r="A1011" s="45"/>
      <c r="B1011" s="46"/>
      <c r="C1011" s="12" t="str">
        <f>IF($B1011="","",IFERROR(INDEX(账户银行,MATCH($B1011,账户名,0)),""))</f>
        <v/>
      </c>
      <c r="D1011" s="12" t="str">
        <f>IF($B1011="","",IFERROR(INDEX(账户币种,MATCH($B1011,账户名,0)),""))</f>
        <v/>
      </c>
      <c r="E1011" s="47"/>
      <c r="F1011" s="12" t="str">
        <f>IF($E1011="","",IFERROR(INDEX(类别属性,MATCH($E1011,类别表,0)),""))</f>
        <v/>
      </c>
      <c r="G1011" s="48"/>
      <c r="H1011" s="48"/>
      <c r="I1011" s="49"/>
      <c r="J1011" s="24" t="str">
        <f>IF(OR($A1011="",$B1011=""),"",IF($I1011&lt;&gt;"",$I1011,IF($D1011=本位币,1,IFERROR(LOOKUP(2,1/((汇率月份&lt;=$A1011)*(INDEX(记账汇率区,0,MATCH($D1011,汇率币种头,0))&lt;&gt;"")),INDEX(记账汇率区,0,MATCH($D1011,汇率币种头,0))),""))))</f>
        <v/>
      </c>
      <c r="K1011" s="23" t="str">
        <f t="shared" si="30"/>
        <v/>
      </c>
      <c r="L1011" s="23" t="str">
        <f t="shared" si="31"/>
        <v/>
      </c>
      <c r="M1011" s="23" t="str">
        <f>IF($B1011="","",ROUND(SUMIF(账户名,$B1011,账户期初)+SUMIFS($K$6:K1011,$B$6:B1011,$B1011),2))</f>
        <v/>
      </c>
      <c r="N1011" s="23" t="str">
        <f>IF($B1011="","",IFERROR(ROUND(INDEX(账户期初本位,MATCH($B1011,账户名,0))+SUMIFS($L$6:L1011,$B$6:B1011,$B1011),2),""))</f>
        <v/>
      </c>
      <c r="O1011" s="46"/>
      <c r="P1011" s="47"/>
      <c r="Q1011" s="46"/>
      <c r="R1011" s="46"/>
      <c r="S1011" s="6" t="str">
        <f>IF($B1011="","",IF(ISNA(MATCH($B1011,账户名,0)),"※这个账户不在【参数设置】的账户档案里",IF($A1011="","※没填日期，这一笔不会进任何月份的报表",IF(AND($G1011&lt;&gt;"",$H1011&lt;&gt;""),"※收入和支出不能同时填",IF(AND(N($G1011)=0,N($H1011)=0),"※收入和支出都没填",IF($E1011="","※没填收支类别，分类报表会漏掉这一笔",IF(ISNA(MATCH($E1011,类别表,0)),"※收支类别不在【参数设置】的清单里",IF($J1011="","△"&amp;$D1011&amp;" 还没填汇率，去【月度汇率】补上就自动算了",IF(YEAR($A1011)&lt;&gt;管理年度,"△不是管理年度的单据，年报里看不到",IF(AND($F1011="内部转账",$Q1011=""),"△内部转账建议在「往来单位」写上对方账户",IF($M1011&lt;0,"△这一笔之后该账户余额成负数了，核一下","")))))))))))</f>
        <v/>
      </c>
    </row>
    <row r="1012" ht="16.5" spans="1:19">
      <c r="A1012" s="45"/>
      <c r="B1012" s="46"/>
      <c r="C1012" s="12" t="str">
        <f>IF($B1012="","",IFERROR(INDEX(账户银行,MATCH($B1012,账户名,0)),""))</f>
        <v/>
      </c>
      <c r="D1012" s="12" t="str">
        <f>IF($B1012="","",IFERROR(INDEX(账户币种,MATCH($B1012,账户名,0)),""))</f>
        <v/>
      </c>
      <c r="E1012" s="47"/>
      <c r="F1012" s="12" t="str">
        <f>IF($E1012="","",IFERROR(INDEX(类别属性,MATCH($E1012,类别表,0)),""))</f>
        <v/>
      </c>
      <c r="G1012" s="48"/>
      <c r="H1012" s="48"/>
      <c r="I1012" s="49"/>
      <c r="J1012" s="24" t="str">
        <f>IF(OR($A1012="",$B1012=""),"",IF($I1012&lt;&gt;"",$I1012,IF($D1012=本位币,1,IFERROR(LOOKUP(2,1/((汇率月份&lt;=$A1012)*(INDEX(记账汇率区,0,MATCH($D1012,汇率币种头,0))&lt;&gt;"")),INDEX(记账汇率区,0,MATCH($D1012,汇率币种头,0))),""))))</f>
        <v/>
      </c>
      <c r="K1012" s="23" t="str">
        <f t="shared" si="30"/>
        <v/>
      </c>
      <c r="L1012" s="23" t="str">
        <f t="shared" si="31"/>
        <v/>
      </c>
      <c r="M1012" s="23" t="str">
        <f>IF($B1012="","",ROUND(SUMIF(账户名,$B1012,账户期初)+SUMIFS($K$6:K1012,$B$6:B1012,$B1012),2))</f>
        <v/>
      </c>
      <c r="N1012" s="23" t="str">
        <f>IF($B1012="","",IFERROR(ROUND(INDEX(账户期初本位,MATCH($B1012,账户名,0))+SUMIFS($L$6:L1012,$B$6:B1012,$B1012),2),""))</f>
        <v/>
      </c>
      <c r="O1012" s="46"/>
      <c r="P1012" s="47"/>
      <c r="Q1012" s="46"/>
      <c r="R1012" s="46"/>
      <c r="S1012" s="6" t="str">
        <f>IF($B1012="","",IF(ISNA(MATCH($B1012,账户名,0)),"※这个账户不在【参数设置】的账户档案里",IF($A1012="","※没填日期，这一笔不会进任何月份的报表",IF(AND($G1012&lt;&gt;"",$H1012&lt;&gt;""),"※收入和支出不能同时填",IF(AND(N($G1012)=0,N($H1012)=0),"※收入和支出都没填",IF($E1012="","※没填收支类别，分类报表会漏掉这一笔",IF(ISNA(MATCH($E1012,类别表,0)),"※收支类别不在【参数设置】的清单里",IF($J1012="","△"&amp;$D1012&amp;" 还没填汇率，去【月度汇率】补上就自动算了",IF(YEAR($A1012)&lt;&gt;管理年度,"△不是管理年度的单据，年报里看不到",IF(AND($F1012="内部转账",$Q1012=""),"△内部转账建议在「往来单位」写上对方账户",IF($M1012&lt;0,"△这一笔之后该账户余额成负数了，核一下","")))))))))))</f>
        <v/>
      </c>
    </row>
    <row r="1013" ht="16.5" spans="1:19">
      <c r="A1013" s="45"/>
      <c r="B1013" s="46"/>
      <c r="C1013" s="12" t="str">
        <f>IF($B1013="","",IFERROR(INDEX(账户银行,MATCH($B1013,账户名,0)),""))</f>
        <v/>
      </c>
      <c r="D1013" s="12" t="str">
        <f>IF($B1013="","",IFERROR(INDEX(账户币种,MATCH($B1013,账户名,0)),""))</f>
        <v/>
      </c>
      <c r="E1013" s="47"/>
      <c r="F1013" s="12" t="str">
        <f>IF($E1013="","",IFERROR(INDEX(类别属性,MATCH($E1013,类别表,0)),""))</f>
        <v/>
      </c>
      <c r="G1013" s="48"/>
      <c r="H1013" s="48"/>
      <c r="I1013" s="49"/>
      <c r="J1013" s="24" t="str">
        <f>IF(OR($A1013="",$B1013=""),"",IF($I1013&lt;&gt;"",$I1013,IF($D1013=本位币,1,IFERROR(LOOKUP(2,1/((汇率月份&lt;=$A1013)*(INDEX(记账汇率区,0,MATCH($D1013,汇率币种头,0))&lt;&gt;"")),INDEX(记账汇率区,0,MATCH($D1013,汇率币种头,0))),""))))</f>
        <v/>
      </c>
      <c r="K1013" s="23" t="str">
        <f t="shared" si="30"/>
        <v/>
      </c>
      <c r="L1013" s="23" t="str">
        <f t="shared" si="31"/>
        <v/>
      </c>
      <c r="M1013" s="23" t="str">
        <f>IF($B1013="","",ROUND(SUMIF(账户名,$B1013,账户期初)+SUMIFS($K$6:K1013,$B$6:B1013,$B1013),2))</f>
        <v/>
      </c>
      <c r="N1013" s="23" t="str">
        <f>IF($B1013="","",IFERROR(ROUND(INDEX(账户期初本位,MATCH($B1013,账户名,0))+SUMIFS($L$6:L1013,$B$6:B1013,$B1013),2),""))</f>
        <v/>
      </c>
      <c r="O1013" s="46"/>
      <c r="P1013" s="47"/>
      <c r="Q1013" s="46"/>
      <c r="R1013" s="46"/>
      <c r="S1013" s="6" t="str">
        <f>IF($B1013="","",IF(ISNA(MATCH($B1013,账户名,0)),"※这个账户不在【参数设置】的账户档案里",IF($A1013="","※没填日期，这一笔不会进任何月份的报表",IF(AND($G1013&lt;&gt;"",$H1013&lt;&gt;""),"※收入和支出不能同时填",IF(AND(N($G1013)=0,N($H1013)=0),"※收入和支出都没填",IF($E1013="","※没填收支类别，分类报表会漏掉这一笔",IF(ISNA(MATCH($E1013,类别表,0)),"※收支类别不在【参数设置】的清单里",IF($J1013="","△"&amp;$D1013&amp;" 还没填汇率，去【月度汇率】补上就自动算了",IF(YEAR($A1013)&lt;&gt;管理年度,"△不是管理年度的单据，年报里看不到",IF(AND($F1013="内部转账",$Q1013=""),"△内部转账建议在「往来单位」写上对方账户",IF($M1013&lt;0,"△这一笔之后该账户余额成负数了，核一下","")))))))))))</f>
        <v/>
      </c>
    </row>
    <row r="1014" ht="16.5" spans="1:19">
      <c r="A1014" s="45"/>
      <c r="B1014" s="46"/>
      <c r="C1014" s="12" t="str">
        <f>IF($B1014="","",IFERROR(INDEX(账户银行,MATCH($B1014,账户名,0)),""))</f>
        <v/>
      </c>
      <c r="D1014" s="12" t="str">
        <f>IF($B1014="","",IFERROR(INDEX(账户币种,MATCH($B1014,账户名,0)),""))</f>
        <v/>
      </c>
      <c r="E1014" s="47"/>
      <c r="F1014" s="12" t="str">
        <f>IF($E1014="","",IFERROR(INDEX(类别属性,MATCH($E1014,类别表,0)),""))</f>
        <v/>
      </c>
      <c r="G1014" s="48"/>
      <c r="H1014" s="48"/>
      <c r="I1014" s="49"/>
      <c r="J1014" s="24" t="str">
        <f>IF(OR($A1014="",$B1014=""),"",IF($I1014&lt;&gt;"",$I1014,IF($D1014=本位币,1,IFERROR(LOOKUP(2,1/((汇率月份&lt;=$A1014)*(INDEX(记账汇率区,0,MATCH($D1014,汇率币种头,0))&lt;&gt;"")),INDEX(记账汇率区,0,MATCH($D1014,汇率币种头,0))),""))))</f>
        <v/>
      </c>
      <c r="K1014" s="23" t="str">
        <f t="shared" si="30"/>
        <v/>
      </c>
      <c r="L1014" s="23" t="str">
        <f t="shared" si="31"/>
        <v/>
      </c>
      <c r="M1014" s="23" t="str">
        <f>IF($B1014="","",ROUND(SUMIF(账户名,$B1014,账户期初)+SUMIFS($K$6:K1014,$B$6:B1014,$B1014),2))</f>
        <v/>
      </c>
      <c r="N1014" s="23" t="str">
        <f>IF($B1014="","",IFERROR(ROUND(INDEX(账户期初本位,MATCH($B1014,账户名,0))+SUMIFS($L$6:L1014,$B$6:B1014,$B1014),2),""))</f>
        <v/>
      </c>
      <c r="O1014" s="46"/>
      <c r="P1014" s="47"/>
      <c r="Q1014" s="46"/>
      <c r="R1014" s="46"/>
      <c r="S1014" s="6" t="str">
        <f>IF($B1014="","",IF(ISNA(MATCH($B1014,账户名,0)),"※这个账户不在【参数设置】的账户档案里",IF($A1014="","※没填日期，这一笔不会进任何月份的报表",IF(AND($G1014&lt;&gt;"",$H1014&lt;&gt;""),"※收入和支出不能同时填",IF(AND(N($G1014)=0,N($H1014)=0),"※收入和支出都没填",IF($E1014="","※没填收支类别，分类报表会漏掉这一笔",IF(ISNA(MATCH($E1014,类别表,0)),"※收支类别不在【参数设置】的清单里",IF($J1014="","△"&amp;$D1014&amp;" 还没填汇率，去【月度汇率】补上就自动算了",IF(YEAR($A1014)&lt;&gt;管理年度,"△不是管理年度的单据，年报里看不到",IF(AND($F1014="内部转账",$Q1014=""),"△内部转账建议在「往来单位」写上对方账户",IF($M1014&lt;0,"△这一笔之后该账户余额成负数了，核一下","")))))))))))</f>
        <v/>
      </c>
    </row>
    <row r="1015" ht="16.5" spans="1:19">
      <c r="A1015" s="45"/>
      <c r="B1015" s="46"/>
      <c r="C1015" s="12" t="str">
        <f>IF($B1015="","",IFERROR(INDEX(账户银行,MATCH($B1015,账户名,0)),""))</f>
        <v/>
      </c>
      <c r="D1015" s="12" t="str">
        <f>IF($B1015="","",IFERROR(INDEX(账户币种,MATCH($B1015,账户名,0)),""))</f>
        <v/>
      </c>
      <c r="E1015" s="47"/>
      <c r="F1015" s="12" t="str">
        <f>IF($E1015="","",IFERROR(INDEX(类别属性,MATCH($E1015,类别表,0)),""))</f>
        <v/>
      </c>
      <c r="G1015" s="48"/>
      <c r="H1015" s="48"/>
      <c r="I1015" s="49"/>
      <c r="J1015" s="24" t="str">
        <f>IF(OR($A1015="",$B1015=""),"",IF($I1015&lt;&gt;"",$I1015,IF($D1015=本位币,1,IFERROR(LOOKUP(2,1/((汇率月份&lt;=$A1015)*(INDEX(记账汇率区,0,MATCH($D1015,汇率币种头,0))&lt;&gt;"")),INDEX(记账汇率区,0,MATCH($D1015,汇率币种头,0))),""))))</f>
        <v/>
      </c>
      <c r="K1015" s="23" t="str">
        <f t="shared" si="30"/>
        <v/>
      </c>
      <c r="L1015" s="23" t="str">
        <f t="shared" si="31"/>
        <v/>
      </c>
      <c r="M1015" s="23" t="str">
        <f>IF($B1015="","",ROUND(SUMIF(账户名,$B1015,账户期初)+SUMIFS($K$6:K1015,$B$6:B1015,$B1015),2))</f>
        <v/>
      </c>
      <c r="N1015" s="23" t="str">
        <f>IF($B1015="","",IFERROR(ROUND(INDEX(账户期初本位,MATCH($B1015,账户名,0))+SUMIFS($L$6:L1015,$B$6:B1015,$B1015),2),""))</f>
        <v/>
      </c>
      <c r="O1015" s="46"/>
      <c r="P1015" s="47"/>
      <c r="Q1015" s="46"/>
      <c r="R1015" s="46"/>
      <c r="S1015" s="6" t="str">
        <f>IF($B1015="","",IF(ISNA(MATCH($B1015,账户名,0)),"※这个账户不在【参数设置】的账户档案里",IF($A1015="","※没填日期，这一笔不会进任何月份的报表",IF(AND($G1015&lt;&gt;"",$H1015&lt;&gt;""),"※收入和支出不能同时填",IF(AND(N($G1015)=0,N($H1015)=0),"※收入和支出都没填",IF($E1015="","※没填收支类别，分类报表会漏掉这一笔",IF(ISNA(MATCH($E1015,类别表,0)),"※收支类别不在【参数设置】的清单里",IF($J1015="","△"&amp;$D1015&amp;" 还没填汇率，去【月度汇率】补上就自动算了",IF(YEAR($A1015)&lt;&gt;管理年度,"△不是管理年度的单据，年报里看不到",IF(AND($F1015="内部转账",$Q1015=""),"△内部转账建议在「往来单位」写上对方账户",IF($M1015&lt;0,"△这一笔之后该账户余额成负数了，核一下","")))))))))))</f>
        <v/>
      </c>
    </row>
    <row r="1016" ht="16.5" spans="1:19">
      <c r="A1016" s="45"/>
      <c r="B1016" s="46"/>
      <c r="C1016" s="12" t="str">
        <f>IF($B1016="","",IFERROR(INDEX(账户银行,MATCH($B1016,账户名,0)),""))</f>
        <v/>
      </c>
      <c r="D1016" s="12" t="str">
        <f>IF($B1016="","",IFERROR(INDEX(账户币种,MATCH($B1016,账户名,0)),""))</f>
        <v/>
      </c>
      <c r="E1016" s="47"/>
      <c r="F1016" s="12" t="str">
        <f>IF($E1016="","",IFERROR(INDEX(类别属性,MATCH($E1016,类别表,0)),""))</f>
        <v/>
      </c>
      <c r="G1016" s="48"/>
      <c r="H1016" s="48"/>
      <c r="I1016" s="49"/>
      <c r="J1016" s="24" t="str">
        <f>IF(OR($A1016="",$B1016=""),"",IF($I1016&lt;&gt;"",$I1016,IF($D1016=本位币,1,IFERROR(LOOKUP(2,1/((汇率月份&lt;=$A1016)*(INDEX(记账汇率区,0,MATCH($D1016,汇率币种头,0))&lt;&gt;"")),INDEX(记账汇率区,0,MATCH($D1016,汇率币种头,0))),""))))</f>
        <v/>
      </c>
      <c r="K1016" s="23" t="str">
        <f t="shared" si="30"/>
        <v/>
      </c>
      <c r="L1016" s="23" t="str">
        <f t="shared" si="31"/>
        <v/>
      </c>
      <c r="M1016" s="23" t="str">
        <f>IF($B1016="","",ROUND(SUMIF(账户名,$B1016,账户期初)+SUMIFS($K$6:K1016,$B$6:B1016,$B1016),2))</f>
        <v/>
      </c>
      <c r="N1016" s="23" t="str">
        <f>IF($B1016="","",IFERROR(ROUND(INDEX(账户期初本位,MATCH($B1016,账户名,0))+SUMIFS($L$6:L1016,$B$6:B1016,$B1016),2),""))</f>
        <v/>
      </c>
      <c r="O1016" s="46"/>
      <c r="P1016" s="47"/>
      <c r="Q1016" s="46"/>
      <c r="R1016" s="46"/>
      <c r="S1016" s="6" t="str">
        <f>IF($B1016="","",IF(ISNA(MATCH($B1016,账户名,0)),"※这个账户不在【参数设置】的账户档案里",IF($A1016="","※没填日期，这一笔不会进任何月份的报表",IF(AND($G1016&lt;&gt;"",$H1016&lt;&gt;""),"※收入和支出不能同时填",IF(AND(N($G1016)=0,N($H1016)=0),"※收入和支出都没填",IF($E1016="","※没填收支类别，分类报表会漏掉这一笔",IF(ISNA(MATCH($E1016,类别表,0)),"※收支类别不在【参数设置】的清单里",IF($J1016="","△"&amp;$D1016&amp;" 还没填汇率，去【月度汇率】补上就自动算了",IF(YEAR($A1016)&lt;&gt;管理年度,"△不是管理年度的单据，年报里看不到",IF(AND($F1016="内部转账",$Q1016=""),"△内部转账建议在「往来单位」写上对方账户",IF($M1016&lt;0,"△这一笔之后该账户余额成负数了，核一下","")))))))))))</f>
        <v/>
      </c>
    </row>
    <row r="1017" ht="16.5" spans="1:19">
      <c r="A1017" s="45"/>
      <c r="B1017" s="46"/>
      <c r="C1017" s="12" t="str">
        <f>IF($B1017="","",IFERROR(INDEX(账户银行,MATCH($B1017,账户名,0)),""))</f>
        <v/>
      </c>
      <c r="D1017" s="12" t="str">
        <f>IF($B1017="","",IFERROR(INDEX(账户币种,MATCH($B1017,账户名,0)),""))</f>
        <v/>
      </c>
      <c r="E1017" s="47"/>
      <c r="F1017" s="12" t="str">
        <f>IF($E1017="","",IFERROR(INDEX(类别属性,MATCH($E1017,类别表,0)),""))</f>
        <v/>
      </c>
      <c r="G1017" s="48"/>
      <c r="H1017" s="48"/>
      <c r="I1017" s="49"/>
      <c r="J1017" s="24" t="str">
        <f>IF(OR($A1017="",$B1017=""),"",IF($I1017&lt;&gt;"",$I1017,IF($D1017=本位币,1,IFERROR(LOOKUP(2,1/((汇率月份&lt;=$A1017)*(INDEX(记账汇率区,0,MATCH($D1017,汇率币种头,0))&lt;&gt;"")),INDEX(记账汇率区,0,MATCH($D1017,汇率币种头,0))),""))))</f>
        <v/>
      </c>
      <c r="K1017" s="23" t="str">
        <f t="shared" si="30"/>
        <v/>
      </c>
      <c r="L1017" s="23" t="str">
        <f t="shared" si="31"/>
        <v/>
      </c>
      <c r="M1017" s="23" t="str">
        <f>IF($B1017="","",ROUND(SUMIF(账户名,$B1017,账户期初)+SUMIFS($K$6:K1017,$B$6:B1017,$B1017),2))</f>
        <v/>
      </c>
      <c r="N1017" s="23" t="str">
        <f>IF($B1017="","",IFERROR(ROUND(INDEX(账户期初本位,MATCH($B1017,账户名,0))+SUMIFS($L$6:L1017,$B$6:B1017,$B1017),2),""))</f>
        <v/>
      </c>
      <c r="O1017" s="46"/>
      <c r="P1017" s="47"/>
      <c r="Q1017" s="46"/>
      <c r="R1017" s="46"/>
      <c r="S1017" s="6" t="str">
        <f>IF($B1017="","",IF(ISNA(MATCH($B1017,账户名,0)),"※这个账户不在【参数设置】的账户档案里",IF($A1017="","※没填日期，这一笔不会进任何月份的报表",IF(AND($G1017&lt;&gt;"",$H1017&lt;&gt;""),"※收入和支出不能同时填",IF(AND(N($G1017)=0,N($H1017)=0),"※收入和支出都没填",IF($E1017="","※没填收支类别，分类报表会漏掉这一笔",IF(ISNA(MATCH($E1017,类别表,0)),"※收支类别不在【参数设置】的清单里",IF($J1017="","△"&amp;$D1017&amp;" 还没填汇率，去【月度汇率】补上就自动算了",IF(YEAR($A1017)&lt;&gt;管理年度,"△不是管理年度的单据，年报里看不到",IF(AND($F1017="内部转账",$Q1017=""),"△内部转账建议在「往来单位」写上对方账户",IF($M1017&lt;0,"△这一笔之后该账户余额成负数了，核一下","")))))))))))</f>
        <v/>
      </c>
    </row>
    <row r="1018" ht="16.5" spans="1:19">
      <c r="A1018" s="45"/>
      <c r="B1018" s="46"/>
      <c r="C1018" s="12" t="str">
        <f>IF($B1018="","",IFERROR(INDEX(账户银行,MATCH($B1018,账户名,0)),""))</f>
        <v/>
      </c>
      <c r="D1018" s="12" t="str">
        <f>IF($B1018="","",IFERROR(INDEX(账户币种,MATCH($B1018,账户名,0)),""))</f>
        <v/>
      </c>
      <c r="E1018" s="47"/>
      <c r="F1018" s="12" t="str">
        <f>IF($E1018="","",IFERROR(INDEX(类别属性,MATCH($E1018,类别表,0)),""))</f>
        <v/>
      </c>
      <c r="G1018" s="48"/>
      <c r="H1018" s="48"/>
      <c r="I1018" s="49"/>
      <c r="J1018" s="24" t="str">
        <f>IF(OR($A1018="",$B1018=""),"",IF($I1018&lt;&gt;"",$I1018,IF($D1018=本位币,1,IFERROR(LOOKUP(2,1/((汇率月份&lt;=$A1018)*(INDEX(记账汇率区,0,MATCH($D1018,汇率币种头,0))&lt;&gt;"")),INDEX(记账汇率区,0,MATCH($D1018,汇率币种头,0))),""))))</f>
        <v/>
      </c>
      <c r="K1018" s="23" t="str">
        <f t="shared" si="30"/>
        <v/>
      </c>
      <c r="L1018" s="23" t="str">
        <f t="shared" si="31"/>
        <v/>
      </c>
      <c r="M1018" s="23" t="str">
        <f>IF($B1018="","",ROUND(SUMIF(账户名,$B1018,账户期初)+SUMIFS($K$6:K1018,$B$6:B1018,$B1018),2))</f>
        <v/>
      </c>
      <c r="N1018" s="23" t="str">
        <f>IF($B1018="","",IFERROR(ROUND(INDEX(账户期初本位,MATCH($B1018,账户名,0))+SUMIFS($L$6:L1018,$B$6:B1018,$B1018),2),""))</f>
        <v/>
      </c>
      <c r="O1018" s="46"/>
      <c r="P1018" s="47"/>
      <c r="Q1018" s="46"/>
      <c r="R1018" s="46"/>
      <c r="S1018" s="6" t="str">
        <f>IF($B1018="","",IF(ISNA(MATCH($B1018,账户名,0)),"※这个账户不在【参数设置】的账户档案里",IF($A1018="","※没填日期，这一笔不会进任何月份的报表",IF(AND($G1018&lt;&gt;"",$H1018&lt;&gt;""),"※收入和支出不能同时填",IF(AND(N($G1018)=0,N($H1018)=0),"※收入和支出都没填",IF($E1018="","※没填收支类别，分类报表会漏掉这一笔",IF(ISNA(MATCH($E1018,类别表,0)),"※收支类别不在【参数设置】的清单里",IF($J1018="","△"&amp;$D1018&amp;" 还没填汇率，去【月度汇率】补上就自动算了",IF(YEAR($A1018)&lt;&gt;管理年度,"△不是管理年度的单据，年报里看不到",IF(AND($F1018="内部转账",$Q1018=""),"△内部转账建议在「往来单位」写上对方账户",IF($M1018&lt;0,"△这一笔之后该账户余额成负数了，核一下","")))))))))))</f>
        <v/>
      </c>
    </row>
    <row r="1019" ht="16.5" spans="1:19">
      <c r="A1019" s="45"/>
      <c r="B1019" s="46"/>
      <c r="C1019" s="12" t="str">
        <f>IF($B1019="","",IFERROR(INDEX(账户银行,MATCH($B1019,账户名,0)),""))</f>
        <v/>
      </c>
      <c r="D1019" s="12" t="str">
        <f>IF($B1019="","",IFERROR(INDEX(账户币种,MATCH($B1019,账户名,0)),""))</f>
        <v/>
      </c>
      <c r="E1019" s="47"/>
      <c r="F1019" s="12" t="str">
        <f>IF($E1019="","",IFERROR(INDEX(类别属性,MATCH($E1019,类别表,0)),""))</f>
        <v/>
      </c>
      <c r="G1019" s="48"/>
      <c r="H1019" s="48"/>
      <c r="I1019" s="49"/>
      <c r="J1019" s="24" t="str">
        <f>IF(OR($A1019="",$B1019=""),"",IF($I1019&lt;&gt;"",$I1019,IF($D1019=本位币,1,IFERROR(LOOKUP(2,1/((汇率月份&lt;=$A1019)*(INDEX(记账汇率区,0,MATCH($D1019,汇率币种头,0))&lt;&gt;"")),INDEX(记账汇率区,0,MATCH($D1019,汇率币种头,0))),""))))</f>
        <v/>
      </c>
      <c r="K1019" s="23" t="str">
        <f t="shared" si="30"/>
        <v/>
      </c>
      <c r="L1019" s="23" t="str">
        <f t="shared" si="31"/>
        <v/>
      </c>
      <c r="M1019" s="23" t="str">
        <f>IF($B1019="","",ROUND(SUMIF(账户名,$B1019,账户期初)+SUMIFS($K$6:K1019,$B$6:B1019,$B1019),2))</f>
        <v/>
      </c>
      <c r="N1019" s="23" t="str">
        <f>IF($B1019="","",IFERROR(ROUND(INDEX(账户期初本位,MATCH($B1019,账户名,0))+SUMIFS($L$6:L1019,$B$6:B1019,$B1019),2),""))</f>
        <v/>
      </c>
      <c r="O1019" s="46"/>
      <c r="P1019" s="47"/>
      <c r="Q1019" s="46"/>
      <c r="R1019" s="46"/>
      <c r="S1019" s="6" t="str">
        <f>IF($B1019="","",IF(ISNA(MATCH($B1019,账户名,0)),"※这个账户不在【参数设置】的账户档案里",IF($A1019="","※没填日期，这一笔不会进任何月份的报表",IF(AND($G1019&lt;&gt;"",$H1019&lt;&gt;""),"※收入和支出不能同时填",IF(AND(N($G1019)=0,N($H1019)=0),"※收入和支出都没填",IF($E1019="","※没填收支类别，分类报表会漏掉这一笔",IF(ISNA(MATCH($E1019,类别表,0)),"※收支类别不在【参数设置】的清单里",IF($J1019="","△"&amp;$D1019&amp;" 还没填汇率，去【月度汇率】补上就自动算了",IF(YEAR($A1019)&lt;&gt;管理年度,"△不是管理年度的单据，年报里看不到",IF(AND($F1019="内部转账",$Q1019=""),"△内部转账建议在「往来单位」写上对方账户",IF($M1019&lt;0,"△这一笔之后该账户余额成负数了，核一下","")))))))))))</f>
        <v/>
      </c>
    </row>
    <row r="1020" ht="16.5" spans="1:19">
      <c r="A1020" s="45"/>
      <c r="B1020" s="46"/>
      <c r="C1020" s="12" t="str">
        <f>IF($B1020="","",IFERROR(INDEX(账户银行,MATCH($B1020,账户名,0)),""))</f>
        <v/>
      </c>
      <c r="D1020" s="12" t="str">
        <f>IF($B1020="","",IFERROR(INDEX(账户币种,MATCH($B1020,账户名,0)),""))</f>
        <v/>
      </c>
      <c r="E1020" s="47"/>
      <c r="F1020" s="12" t="str">
        <f>IF($E1020="","",IFERROR(INDEX(类别属性,MATCH($E1020,类别表,0)),""))</f>
        <v/>
      </c>
      <c r="G1020" s="48"/>
      <c r="H1020" s="48"/>
      <c r="I1020" s="49"/>
      <c r="J1020" s="24" t="str">
        <f>IF(OR($A1020="",$B1020=""),"",IF($I1020&lt;&gt;"",$I1020,IF($D1020=本位币,1,IFERROR(LOOKUP(2,1/((汇率月份&lt;=$A1020)*(INDEX(记账汇率区,0,MATCH($D1020,汇率币种头,0))&lt;&gt;"")),INDEX(记账汇率区,0,MATCH($D1020,汇率币种头,0))),""))))</f>
        <v/>
      </c>
      <c r="K1020" s="23" t="str">
        <f t="shared" si="30"/>
        <v/>
      </c>
      <c r="L1020" s="23" t="str">
        <f t="shared" si="31"/>
        <v/>
      </c>
      <c r="M1020" s="23" t="str">
        <f>IF($B1020="","",ROUND(SUMIF(账户名,$B1020,账户期初)+SUMIFS($K$6:K1020,$B$6:B1020,$B1020),2))</f>
        <v/>
      </c>
      <c r="N1020" s="23" t="str">
        <f>IF($B1020="","",IFERROR(ROUND(INDEX(账户期初本位,MATCH($B1020,账户名,0))+SUMIFS($L$6:L1020,$B$6:B1020,$B1020),2),""))</f>
        <v/>
      </c>
      <c r="O1020" s="46"/>
      <c r="P1020" s="47"/>
      <c r="Q1020" s="46"/>
      <c r="R1020" s="46"/>
      <c r="S1020" s="6" t="str">
        <f>IF($B1020="","",IF(ISNA(MATCH($B1020,账户名,0)),"※这个账户不在【参数设置】的账户档案里",IF($A1020="","※没填日期，这一笔不会进任何月份的报表",IF(AND($G1020&lt;&gt;"",$H1020&lt;&gt;""),"※收入和支出不能同时填",IF(AND(N($G1020)=0,N($H1020)=0),"※收入和支出都没填",IF($E1020="","※没填收支类别，分类报表会漏掉这一笔",IF(ISNA(MATCH($E1020,类别表,0)),"※收支类别不在【参数设置】的清单里",IF($J1020="","△"&amp;$D1020&amp;" 还没填汇率，去【月度汇率】补上就自动算了",IF(YEAR($A1020)&lt;&gt;管理年度,"△不是管理年度的单据，年报里看不到",IF(AND($F1020="内部转账",$Q1020=""),"△内部转账建议在「往来单位」写上对方账户",IF($M1020&lt;0,"△这一笔之后该账户余额成负数了，核一下","")))))))))))</f>
        <v/>
      </c>
    </row>
    <row r="1021" ht="16.5" spans="1:19">
      <c r="A1021" s="45"/>
      <c r="B1021" s="46"/>
      <c r="C1021" s="12" t="str">
        <f>IF($B1021="","",IFERROR(INDEX(账户银行,MATCH($B1021,账户名,0)),""))</f>
        <v/>
      </c>
      <c r="D1021" s="12" t="str">
        <f>IF($B1021="","",IFERROR(INDEX(账户币种,MATCH($B1021,账户名,0)),""))</f>
        <v/>
      </c>
      <c r="E1021" s="47"/>
      <c r="F1021" s="12" t="str">
        <f>IF($E1021="","",IFERROR(INDEX(类别属性,MATCH($E1021,类别表,0)),""))</f>
        <v/>
      </c>
      <c r="G1021" s="48"/>
      <c r="H1021" s="48"/>
      <c r="I1021" s="49"/>
      <c r="J1021" s="24" t="str">
        <f>IF(OR($A1021="",$B1021=""),"",IF($I1021&lt;&gt;"",$I1021,IF($D1021=本位币,1,IFERROR(LOOKUP(2,1/((汇率月份&lt;=$A1021)*(INDEX(记账汇率区,0,MATCH($D1021,汇率币种头,0))&lt;&gt;"")),INDEX(记账汇率区,0,MATCH($D1021,汇率币种头,0))),""))))</f>
        <v/>
      </c>
      <c r="K1021" s="23" t="str">
        <f t="shared" si="30"/>
        <v/>
      </c>
      <c r="L1021" s="23" t="str">
        <f t="shared" si="31"/>
        <v/>
      </c>
      <c r="M1021" s="23" t="str">
        <f>IF($B1021="","",ROUND(SUMIF(账户名,$B1021,账户期初)+SUMIFS($K$6:K1021,$B$6:B1021,$B1021),2))</f>
        <v/>
      </c>
      <c r="N1021" s="23" t="str">
        <f>IF($B1021="","",IFERROR(ROUND(INDEX(账户期初本位,MATCH($B1021,账户名,0))+SUMIFS($L$6:L1021,$B$6:B1021,$B1021),2),""))</f>
        <v/>
      </c>
      <c r="O1021" s="46"/>
      <c r="P1021" s="47"/>
      <c r="Q1021" s="46"/>
      <c r="R1021" s="46"/>
      <c r="S1021" s="6" t="str">
        <f>IF($B1021="","",IF(ISNA(MATCH($B1021,账户名,0)),"※这个账户不在【参数设置】的账户档案里",IF($A1021="","※没填日期，这一笔不会进任何月份的报表",IF(AND($G1021&lt;&gt;"",$H1021&lt;&gt;""),"※收入和支出不能同时填",IF(AND(N($G1021)=0,N($H1021)=0),"※收入和支出都没填",IF($E1021="","※没填收支类别，分类报表会漏掉这一笔",IF(ISNA(MATCH($E1021,类别表,0)),"※收支类别不在【参数设置】的清单里",IF($J1021="","△"&amp;$D1021&amp;" 还没填汇率，去【月度汇率】补上就自动算了",IF(YEAR($A1021)&lt;&gt;管理年度,"△不是管理年度的单据，年报里看不到",IF(AND($F1021="内部转账",$Q1021=""),"△内部转账建议在「往来单位」写上对方账户",IF($M1021&lt;0,"△这一笔之后该账户余额成负数了，核一下","")))))))))))</f>
        <v/>
      </c>
    </row>
    <row r="1022" ht="16.5" spans="1:19">
      <c r="A1022" s="45"/>
      <c r="B1022" s="46"/>
      <c r="C1022" s="12" t="str">
        <f>IF($B1022="","",IFERROR(INDEX(账户银行,MATCH($B1022,账户名,0)),""))</f>
        <v/>
      </c>
      <c r="D1022" s="12" t="str">
        <f>IF($B1022="","",IFERROR(INDEX(账户币种,MATCH($B1022,账户名,0)),""))</f>
        <v/>
      </c>
      <c r="E1022" s="47"/>
      <c r="F1022" s="12" t="str">
        <f>IF($E1022="","",IFERROR(INDEX(类别属性,MATCH($E1022,类别表,0)),""))</f>
        <v/>
      </c>
      <c r="G1022" s="48"/>
      <c r="H1022" s="48"/>
      <c r="I1022" s="49"/>
      <c r="J1022" s="24" t="str">
        <f>IF(OR($A1022="",$B1022=""),"",IF($I1022&lt;&gt;"",$I1022,IF($D1022=本位币,1,IFERROR(LOOKUP(2,1/((汇率月份&lt;=$A1022)*(INDEX(记账汇率区,0,MATCH($D1022,汇率币种头,0))&lt;&gt;"")),INDEX(记账汇率区,0,MATCH($D1022,汇率币种头,0))),""))))</f>
        <v/>
      </c>
      <c r="K1022" s="23" t="str">
        <f t="shared" si="30"/>
        <v/>
      </c>
      <c r="L1022" s="23" t="str">
        <f t="shared" si="31"/>
        <v/>
      </c>
      <c r="M1022" s="23" t="str">
        <f>IF($B1022="","",ROUND(SUMIF(账户名,$B1022,账户期初)+SUMIFS($K$6:K1022,$B$6:B1022,$B1022),2))</f>
        <v/>
      </c>
      <c r="N1022" s="23" t="str">
        <f>IF($B1022="","",IFERROR(ROUND(INDEX(账户期初本位,MATCH($B1022,账户名,0))+SUMIFS($L$6:L1022,$B$6:B1022,$B1022),2),""))</f>
        <v/>
      </c>
      <c r="O1022" s="46"/>
      <c r="P1022" s="47"/>
      <c r="Q1022" s="46"/>
      <c r="R1022" s="46"/>
      <c r="S1022" s="6" t="str">
        <f>IF($B1022="","",IF(ISNA(MATCH($B1022,账户名,0)),"※这个账户不在【参数设置】的账户档案里",IF($A1022="","※没填日期，这一笔不会进任何月份的报表",IF(AND($G1022&lt;&gt;"",$H1022&lt;&gt;""),"※收入和支出不能同时填",IF(AND(N($G1022)=0,N($H1022)=0),"※收入和支出都没填",IF($E1022="","※没填收支类别，分类报表会漏掉这一笔",IF(ISNA(MATCH($E1022,类别表,0)),"※收支类别不在【参数设置】的清单里",IF($J1022="","△"&amp;$D1022&amp;" 还没填汇率，去【月度汇率】补上就自动算了",IF(YEAR($A1022)&lt;&gt;管理年度,"△不是管理年度的单据，年报里看不到",IF(AND($F1022="内部转账",$Q1022=""),"△内部转账建议在「往来单位」写上对方账户",IF($M1022&lt;0,"△这一笔之后该账户余额成负数了，核一下","")))))))))))</f>
        <v/>
      </c>
    </row>
    <row r="1023" ht="16.5" spans="1:19">
      <c r="A1023" s="45"/>
      <c r="B1023" s="46"/>
      <c r="C1023" s="12" t="str">
        <f>IF($B1023="","",IFERROR(INDEX(账户银行,MATCH($B1023,账户名,0)),""))</f>
        <v/>
      </c>
      <c r="D1023" s="12" t="str">
        <f>IF($B1023="","",IFERROR(INDEX(账户币种,MATCH($B1023,账户名,0)),""))</f>
        <v/>
      </c>
      <c r="E1023" s="47"/>
      <c r="F1023" s="12" t="str">
        <f>IF($E1023="","",IFERROR(INDEX(类别属性,MATCH($E1023,类别表,0)),""))</f>
        <v/>
      </c>
      <c r="G1023" s="48"/>
      <c r="H1023" s="48"/>
      <c r="I1023" s="49"/>
      <c r="J1023" s="24" t="str">
        <f>IF(OR($A1023="",$B1023=""),"",IF($I1023&lt;&gt;"",$I1023,IF($D1023=本位币,1,IFERROR(LOOKUP(2,1/((汇率月份&lt;=$A1023)*(INDEX(记账汇率区,0,MATCH($D1023,汇率币种头,0))&lt;&gt;"")),INDEX(记账汇率区,0,MATCH($D1023,汇率币种头,0))),""))))</f>
        <v/>
      </c>
      <c r="K1023" s="23" t="str">
        <f t="shared" si="30"/>
        <v/>
      </c>
      <c r="L1023" s="23" t="str">
        <f t="shared" si="31"/>
        <v/>
      </c>
      <c r="M1023" s="23" t="str">
        <f>IF($B1023="","",ROUND(SUMIF(账户名,$B1023,账户期初)+SUMIFS($K$6:K1023,$B$6:B1023,$B1023),2))</f>
        <v/>
      </c>
      <c r="N1023" s="23" t="str">
        <f>IF($B1023="","",IFERROR(ROUND(INDEX(账户期初本位,MATCH($B1023,账户名,0))+SUMIFS($L$6:L1023,$B$6:B1023,$B1023),2),""))</f>
        <v/>
      </c>
      <c r="O1023" s="46"/>
      <c r="P1023" s="47"/>
      <c r="Q1023" s="46"/>
      <c r="R1023" s="46"/>
      <c r="S1023" s="6" t="str">
        <f>IF($B1023="","",IF(ISNA(MATCH($B1023,账户名,0)),"※这个账户不在【参数设置】的账户档案里",IF($A1023="","※没填日期，这一笔不会进任何月份的报表",IF(AND($G1023&lt;&gt;"",$H1023&lt;&gt;""),"※收入和支出不能同时填",IF(AND(N($G1023)=0,N($H1023)=0),"※收入和支出都没填",IF($E1023="","※没填收支类别，分类报表会漏掉这一笔",IF(ISNA(MATCH($E1023,类别表,0)),"※收支类别不在【参数设置】的清单里",IF($J1023="","△"&amp;$D1023&amp;" 还没填汇率，去【月度汇率】补上就自动算了",IF(YEAR($A1023)&lt;&gt;管理年度,"△不是管理年度的单据，年报里看不到",IF(AND($F1023="内部转账",$Q1023=""),"△内部转账建议在「往来单位」写上对方账户",IF($M1023&lt;0,"△这一笔之后该账户余额成负数了，核一下","")))))))))))</f>
        <v/>
      </c>
    </row>
    <row r="1024" ht="16.5" spans="1:19">
      <c r="A1024" s="45"/>
      <c r="B1024" s="46"/>
      <c r="C1024" s="12" t="str">
        <f>IF($B1024="","",IFERROR(INDEX(账户银行,MATCH($B1024,账户名,0)),""))</f>
        <v/>
      </c>
      <c r="D1024" s="12" t="str">
        <f>IF($B1024="","",IFERROR(INDEX(账户币种,MATCH($B1024,账户名,0)),""))</f>
        <v/>
      </c>
      <c r="E1024" s="47"/>
      <c r="F1024" s="12" t="str">
        <f>IF($E1024="","",IFERROR(INDEX(类别属性,MATCH($E1024,类别表,0)),""))</f>
        <v/>
      </c>
      <c r="G1024" s="48"/>
      <c r="H1024" s="48"/>
      <c r="I1024" s="49"/>
      <c r="J1024" s="24" t="str">
        <f>IF(OR($A1024="",$B1024=""),"",IF($I1024&lt;&gt;"",$I1024,IF($D1024=本位币,1,IFERROR(LOOKUP(2,1/((汇率月份&lt;=$A1024)*(INDEX(记账汇率区,0,MATCH($D1024,汇率币种头,0))&lt;&gt;"")),INDEX(记账汇率区,0,MATCH($D1024,汇率币种头,0))),""))))</f>
        <v/>
      </c>
      <c r="K1024" s="23" t="str">
        <f t="shared" si="30"/>
        <v/>
      </c>
      <c r="L1024" s="23" t="str">
        <f t="shared" si="31"/>
        <v/>
      </c>
      <c r="M1024" s="23" t="str">
        <f>IF($B1024="","",ROUND(SUMIF(账户名,$B1024,账户期初)+SUMIFS($K$6:K1024,$B$6:B1024,$B1024),2))</f>
        <v/>
      </c>
      <c r="N1024" s="23" t="str">
        <f>IF($B1024="","",IFERROR(ROUND(INDEX(账户期初本位,MATCH($B1024,账户名,0))+SUMIFS($L$6:L1024,$B$6:B1024,$B1024),2),""))</f>
        <v/>
      </c>
      <c r="O1024" s="46"/>
      <c r="P1024" s="47"/>
      <c r="Q1024" s="46"/>
      <c r="R1024" s="46"/>
      <c r="S1024" s="6" t="str">
        <f>IF($B1024="","",IF(ISNA(MATCH($B1024,账户名,0)),"※这个账户不在【参数设置】的账户档案里",IF($A1024="","※没填日期，这一笔不会进任何月份的报表",IF(AND($G1024&lt;&gt;"",$H1024&lt;&gt;""),"※收入和支出不能同时填",IF(AND(N($G1024)=0,N($H1024)=0),"※收入和支出都没填",IF($E1024="","※没填收支类别，分类报表会漏掉这一笔",IF(ISNA(MATCH($E1024,类别表,0)),"※收支类别不在【参数设置】的清单里",IF($J1024="","△"&amp;$D1024&amp;" 还没填汇率，去【月度汇率】补上就自动算了",IF(YEAR($A1024)&lt;&gt;管理年度,"△不是管理年度的单据，年报里看不到",IF(AND($F1024="内部转账",$Q1024=""),"△内部转账建议在「往来单位」写上对方账户",IF($M1024&lt;0,"△这一笔之后该账户余额成负数了，核一下","")))))))))))</f>
        <v/>
      </c>
    </row>
    <row r="1025" ht="16.5" spans="1:19">
      <c r="A1025" s="45"/>
      <c r="B1025" s="46"/>
      <c r="C1025" s="12" t="str">
        <f>IF($B1025="","",IFERROR(INDEX(账户银行,MATCH($B1025,账户名,0)),""))</f>
        <v/>
      </c>
      <c r="D1025" s="12" t="str">
        <f>IF($B1025="","",IFERROR(INDEX(账户币种,MATCH($B1025,账户名,0)),""))</f>
        <v/>
      </c>
      <c r="E1025" s="47"/>
      <c r="F1025" s="12" t="str">
        <f>IF($E1025="","",IFERROR(INDEX(类别属性,MATCH($E1025,类别表,0)),""))</f>
        <v/>
      </c>
      <c r="G1025" s="48"/>
      <c r="H1025" s="48"/>
      <c r="I1025" s="49"/>
      <c r="J1025" s="24" t="str">
        <f>IF(OR($A1025="",$B1025=""),"",IF($I1025&lt;&gt;"",$I1025,IF($D1025=本位币,1,IFERROR(LOOKUP(2,1/((汇率月份&lt;=$A1025)*(INDEX(记账汇率区,0,MATCH($D1025,汇率币种头,0))&lt;&gt;"")),INDEX(记账汇率区,0,MATCH($D1025,汇率币种头,0))),""))))</f>
        <v/>
      </c>
      <c r="K1025" s="23" t="str">
        <f t="shared" si="30"/>
        <v/>
      </c>
      <c r="L1025" s="23" t="str">
        <f t="shared" si="31"/>
        <v/>
      </c>
      <c r="M1025" s="23" t="str">
        <f>IF($B1025="","",ROUND(SUMIF(账户名,$B1025,账户期初)+SUMIFS($K$6:K1025,$B$6:B1025,$B1025),2))</f>
        <v/>
      </c>
      <c r="N1025" s="23" t="str">
        <f>IF($B1025="","",IFERROR(ROUND(INDEX(账户期初本位,MATCH($B1025,账户名,0))+SUMIFS($L$6:L1025,$B$6:B1025,$B1025),2),""))</f>
        <v/>
      </c>
      <c r="O1025" s="46"/>
      <c r="P1025" s="47"/>
      <c r="Q1025" s="46"/>
      <c r="R1025" s="46"/>
      <c r="S1025" s="6" t="str">
        <f>IF($B1025="","",IF(ISNA(MATCH($B1025,账户名,0)),"※这个账户不在【参数设置】的账户档案里",IF($A1025="","※没填日期，这一笔不会进任何月份的报表",IF(AND($G1025&lt;&gt;"",$H1025&lt;&gt;""),"※收入和支出不能同时填",IF(AND(N($G1025)=0,N($H1025)=0),"※收入和支出都没填",IF($E1025="","※没填收支类别，分类报表会漏掉这一笔",IF(ISNA(MATCH($E1025,类别表,0)),"※收支类别不在【参数设置】的清单里",IF($J1025="","△"&amp;$D1025&amp;" 还没填汇率，去【月度汇率】补上就自动算了",IF(YEAR($A1025)&lt;&gt;管理年度,"△不是管理年度的单据，年报里看不到",IF(AND($F1025="内部转账",$Q1025=""),"△内部转账建议在「往来单位」写上对方账户",IF($M1025&lt;0,"△这一笔之后该账户余额成负数了，核一下","")))))))))))</f>
        <v/>
      </c>
    </row>
    <row r="1026" ht="16.5" spans="1:19">
      <c r="A1026" s="45"/>
      <c r="B1026" s="46"/>
      <c r="C1026" s="12" t="str">
        <f>IF($B1026="","",IFERROR(INDEX(账户银行,MATCH($B1026,账户名,0)),""))</f>
        <v/>
      </c>
      <c r="D1026" s="12" t="str">
        <f>IF($B1026="","",IFERROR(INDEX(账户币种,MATCH($B1026,账户名,0)),""))</f>
        <v/>
      </c>
      <c r="E1026" s="47"/>
      <c r="F1026" s="12" t="str">
        <f>IF($E1026="","",IFERROR(INDEX(类别属性,MATCH($E1026,类别表,0)),""))</f>
        <v/>
      </c>
      <c r="G1026" s="48"/>
      <c r="H1026" s="48"/>
      <c r="I1026" s="49"/>
      <c r="J1026" s="24" t="str">
        <f>IF(OR($A1026="",$B1026=""),"",IF($I1026&lt;&gt;"",$I1026,IF($D1026=本位币,1,IFERROR(LOOKUP(2,1/((汇率月份&lt;=$A1026)*(INDEX(记账汇率区,0,MATCH($D1026,汇率币种头,0))&lt;&gt;"")),INDEX(记账汇率区,0,MATCH($D1026,汇率币种头,0))),""))))</f>
        <v/>
      </c>
      <c r="K1026" s="23" t="str">
        <f t="shared" si="30"/>
        <v/>
      </c>
      <c r="L1026" s="23" t="str">
        <f t="shared" si="31"/>
        <v/>
      </c>
      <c r="M1026" s="23" t="str">
        <f>IF($B1026="","",ROUND(SUMIF(账户名,$B1026,账户期初)+SUMIFS($K$6:K1026,$B$6:B1026,$B1026),2))</f>
        <v/>
      </c>
      <c r="N1026" s="23" t="str">
        <f>IF($B1026="","",IFERROR(ROUND(INDEX(账户期初本位,MATCH($B1026,账户名,0))+SUMIFS($L$6:L1026,$B$6:B1026,$B1026),2),""))</f>
        <v/>
      </c>
      <c r="O1026" s="46"/>
      <c r="P1026" s="47"/>
      <c r="Q1026" s="46"/>
      <c r="R1026" s="46"/>
      <c r="S1026" s="6" t="str">
        <f>IF($B1026="","",IF(ISNA(MATCH($B1026,账户名,0)),"※这个账户不在【参数设置】的账户档案里",IF($A1026="","※没填日期，这一笔不会进任何月份的报表",IF(AND($G1026&lt;&gt;"",$H1026&lt;&gt;""),"※收入和支出不能同时填",IF(AND(N($G1026)=0,N($H1026)=0),"※收入和支出都没填",IF($E1026="","※没填收支类别，分类报表会漏掉这一笔",IF(ISNA(MATCH($E1026,类别表,0)),"※收支类别不在【参数设置】的清单里",IF($J1026="","△"&amp;$D1026&amp;" 还没填汇率，去【月度汇率】补上就自动算了",IF(YEAR($A1026)&lt;&gt;管理年度,"△不是管理年度的单据，年报里看不到",IF(AND($F1026="内部转账",$Q1026=""),"△内部转账建议在「往来单位」写上对方账户",IF($M1026&lt;0,"△这一笔之后该账户余额成负数了，核一下","")))))))))))</f>
        <v/>
      </c>
    </row>
    <row r="1027" ht="16.5" spans="1:19">
      <c r="A1027" s="45"/>
      <c r="B1027" s="46"/>
      <c r="C1027" s="12" t="str">
        <f>IF($B1027="","",IFERROR(INDEX(账户银行,MATCH($B1027,账户名,0)),""))</f>
        <v/>
      </c>
      <c r="D1027" s="12" t="str">
        <f>IF($B1027="","",IFERROR(INDEX(账户币种,MATCH($B1027,账户名,0)),""))</f>
        <v/>
      </c>
      <c r="E1027" s="47"/>
      <c r="F1027" s="12" t="str">
        <f>IF($E1027="","",IFERROR(INDEX(类别属性,MATCH($E1027,类别表,0)),""))</f>
        <v/>
      </c>
      <c r="G1027" s="48"/>
      <c r="H1027" s="48"/>
      <c r="I1027" s="49"/>
      <c r="J1027" s="24" t="str">
        <f>IF(OR($A1027="",$B1027=""),"",IF($I1027&lt;&gt;"",$I1027,IF($D1027=本位币,1,IFERROR(LOOKUP(2,1/((汇率月份&lt;=$A1027)*(INDEX(记账汇率区,0,MATCH($D1027,汇率币种头,0))&lt;&gt;"")),INDEX(记账汇率区,0,MATCH($D1027,汇率币种头,0))),""))))</f>
        <v/>
      </c>
      <c r="K1027" s="23" t="str">
        <f t="shared" si="30"/>
        <v/>
      </c>
      <c r="L1027" s="23" t="str">
        <f t="shared" si="31"/>
        <v/>
      </c>
      <c r="M1027" s="23" t="str">
        <f>IF($B1027="","",ROUND(SUMIF(账户名,$B1027,账户期初)+SUMIFS($K$6:K1027,$B$6:B1027,$B1027),2))</f>
        <v/>
      </c>
      <c r="N1027" s="23" t="str">
        <f>IF($B1027="","",IFERROR(ROUND(INDEX(账户期初本位,MATCH($B1027,账户名,0))+SUMIFS($L$6:L1027,$B$6:B1027,$B1027),2),""))</f>
        <v/>
      </c>
      <c r="O1027" s="46"/>
      <c r="P1027" s="47"/>
      <c r="Q1027" s="46"/>
      <c r="R1027" s="46"/>
      <c r="S1027" s="6" t="str">
        <f>IF($B1027="","",IF(ISNA(MATCH($B1027,账户名,0)),"※这个账户不在【参数设置】的账户档案里",IF($A1027="","※没填日期，这一笔不会进任何月份的报表",IF(AND($G1027&lt;&gt;"",$H1027&lt;&gt;""),"※收入和支出不能同时填",IF(AND(N($G1027)=0,N($H1027)=0),"※收入和支出都没填",IF($E1027="","※没填收支类别，分类报表会漏掉这一笔",IF(ISNA(MATCH($E1027,类别表,0)),"※收支类别不在【参数设置】的清单里",IF($J1027="","△"&amp;$D1027&amp;" 还没填汇率，去【月度汇率】补上就自动算了",IF(YEAR($A1027)&lt;&gt;管理年度,"△不是管理年度的单据，年报里看不到",IF(AND($F1027="内部转账",$Q1027=""),"△内部转账建议在「往来单位」写上对方账户",IF($M1027&lt;0,"△这一笔之后该账户余额成负数了，核一下","")))))))))))</f>
        <v/>
      </c>
    </row>
    <row r="1028" ht="16.5" spans="1:19">
      <c r="A1028" s="45"/>
      <c r="B1028" s="46"/>
      <c r="C1028" s="12" t="str">
        <f>IF($B1028="","",IFERROR(INDEX(账户银行,MATCH($B1028,账户名,0)),""))</f>
        <v/>
      </c>
      <c r="D1028" s="12" t="str">
        <f>IF($B1028="","",IFERROR(INDEX(账户币种,MATCH($B1028,账户名,0)),""))</f>
        <v/>
      </c>
      <c r="E1028" s="47"/>
      <c r="F1028" s="12" t="str">
        <f>IF($E1028="","",IFERROR(INDEX(类别属性,MATCH($E1028,类别表,0)),""))</f>
        <v/>
      </c>
      <c r="G1028" s="48"/>
      <c r="H1028" s="48"/>
      <c r="I1028" s="49"/>
      <c r="J1028" s="24" t="str">
        <f>IF(OR($A1028="",$B1028=""),"",IF($I1028&lt;&gt;"",$I1028,IF($D1028=本位币,1,IFERROR(LOOKUP(2,1/((汇率月份&lt;=$A1028)*(INDEX(记账汇率区,0,MATCH($D1028,汇率币种头,0))&lt;&gt;"")),INDEX(记账汇率区,0,MATCH($D1028,汇率币种头,0))),""))))</f>
        <v/>
      </c>
      <c r="K1028" s="23" t="str">
        <f t="shared" si="30"/>
        <v/>
      </c>
      <c r="L1028" s="23" t="str">
        <f t="shared" si="31"/>
        <v/>
      </c>
      <c r="M1028" s="23" t="str">
        <f>IF($B1028="","",ROUND(SUMIF(账户名,$B1028,账户期初)+SUMIFS($K$6:K1028,$B$6:B1028,$B1028),2))</f>
        <v/>
      </c>
      <c r="N1028" s="23" t="str">
        <f>IF($B1028="","",IFERROR(ROUND(INDEX(账户期初本位,MATCH($B1028,账户名,0))+SUMIFS($L$6:L1028,$B$6:B1028,$B1028),2),""))</f>
        <v/>
      </c>
      <c r="O1028" s="46"/>
      <c r="P1028" s="47"/>
      <c r="Q1028" s="46"/>
      <c r="R1028" s="46"/>
      <c r="S1028" s="6" t="str">
        <f>IF($B1028="","",IF(ISNA(MATCH($B1028,账户名,0)),"※这个账户不在【参数设置】的账户档案里",IF($A1028="","※没填日期，这一笔不会进任何月份的报表",IF(AND($G1028&lt;&gt;"",$H1028&lt;&gt;""),"※收入和支出不能同时填",IF(AND(N($G1028)=0,N($H1028)=0),"※收入和支出都没填",IF($E1028="","※没填收支类别，分类报表会漏掉这一笔",IF(ISNA(MATCH($E1028,类别表,0)),"※收支类别不在【参数设置】的清单里",IF($J1028="","△"&amp;$D1028&amp;" 还没填汇率，去【月度汇率】补上就自动算了",IF(YEAR($A1028)&lt;&gt;管理年度,"△不是管理年度的单据，年报里看不到",IF(AND($F1028="内部转账",$Q1028=""),"△内部转账建议在「往来单位」写上对方账户",IF($M1028&lt;0,"△这一笔之后该账户余额成负数了，核一下","")))))))))))</f>
        <v/>
      </c>
    </row>
    <row r="1029" ht="16.5" spans="1:19">
      <c r="A1029" s="45"/>
      <c r="B1029" s="46"/>
      <c r="C1029" s="12" t="str">
        <f>IF($B1029="","",IFERROR(INDEX(账户银行,MATCH($B1029,账户名,0)),""))</f>
        <v/>
      </c>
      <c r="D1029" s="12" t="str">
        <f>IF($B1029="","",IFERROR(INDEX(账户币种,MATCH($B1029,账户名,0)),""))</f>
        <v/>
      </c>
      <c r="E1029" s="47"/>
      <c r="F1029" s="12" t="str">
        <f>IF($E1029="","",IFERROR(INDEX(类别属性,MATCH($E1029,类别表,0)),""))</f>
        <v/>
      </c>
      <c r="G1029" s="48"/>
      <c r="H1029" s="48"/>
      <c r="I1029" s="49"/>
      <c r="J1029" s="24" t="str">
        <f>IF(OR($A1029="",$B1029=""),"",IF($I1029&lt;&gt;"",$I1029,IF($D1029=本位币,1,IFERROR(LOOKUP(2,1/((汇率月份&lt;=$A1029)*(INDEX(记账汇率区,0,MATCH($D1029,汇率币种头,0))&lt;&gt;"")),INDEX(记账汇率区,0,MATCH($D1029,汇率币种头,0))),""))))</f>
        <v/>
      </c>
      <c r="K1029" s="23" t="str">
        <f t="shared" si="30"/>
        <v/>
      </c>
      <c r="L1029" s="23" t="str">
        <f t="shared" si="31"/>
        <v/>
      </c>
      <c r="M1029" s="23" t="str">
        <f>IF($B1029="","",ROUND(SUMIF(账户名,$B1029,账户期初)+SUMIFS($K$6:K1029,$B$6:B1029,$B1029),2))</f>
        <v/>
      </c>
      <c r="N1029" s="23" t="str">
        <f>IF($B1029="","",IFERROR(ROUND(INDEX(账户期初本位,MATCH($B1029,账户名,0))+SUMIFS($L$6:L1029,$B$6:B1029,$B1029),2),""))</f>
        <v/>
      </c>
      <c r="O1029" s="46"/>
      <c r="P1029" s="47"/>
      <c r="Q1029" s="46"/>
      <c r="R1029" s="46"/>
      <c r="S1029" s="6" t="str">
        <f>IF($B1029="","",IF(ISNA(MATCH($B1029,账户名,0)),"※这个账户不在【参数设置】的账户档案里",IF($A1029="","※没填日期，这一笔不会进任何月份的报表",IF(AND($G1029&lt;&gt;"",$H1029&lt;&gt;""),"※收入和支出不能同时填",IF(AND(N($G1029)=0,N($H1029)=0),"※收入和支出都没填",IF($E1029="","※没填收支类别，分类报表会漏掉这一笔",IF(ISNA(MATCH($E1029,类别表,0)),"※收支类别不在【参数设置】的清单里",IF($J1029="","△"&amp;$D1029&amp;" 还没填汇率，去【月度汇率】补上就自动算了",IF(YEAR($A1029)&lt;&gt;管理年度,"△不是管理年度的单据，年报里看不到",IF(AND($F1029="内部转账",$Q1029=""),"△内部转账建议在「往来单位」写上对方账户",IF($M1029&lt;0,"△这一笔之后该账户余额成负数了，核一下","")))))))))))</f>
        <v/>
      </c>
    </row>
    <row r="1030" ht="16.5" spans="1:19">
      <c r="A1030" s="45"/>
      <c r="B1030" s="46"/>
      <c r="C1030" s="12" t="str">
        <f>IF($B1030="","",IFERROR(INDEX(账户银行,MATCH($B1030,账户名,0)),""))</f>
        <v/>
      </c>
      <c r="D1030" s="12" t="str">
        <f>IF($B1030="","",IFERROR(INDEX(账户币种,MATCH($B1030,账户名,0)),""))</f>
        <v/>
      </c>
      <c r="E1030" s="47"/>
      <c r="F1030" s="12" t="str">
        <f>IF($E1030="","",IFERROR(INDEX(类别属性,MATCH($E1030,类别表,0)),""))</f>
        <v/>
      </c>
      <c r="G1030" s="48"/>
      <c r="H1030" s="48"/>
      <c r="I1030" s="49"/>
      <c r="J1030" s="24" t="str">
        <f>IF(OR($A1030="",$B1030=""),"",IF($I1030&lt;&gt;"",$I1030,IF($D1030=本位币,1,IFERROR(LOOKUP(2,1/((汇率月份&lt;=$A1030)*(INDEX(记账汇率区,0,MATCH($D1030,汇率币种头,0))&lt;&gt;"")),INDEX(记账汇率区,0,MATCH($D1030,汇率币种头,0))),""))))</f>
        <v/>
      </c>
      <c r="K1030" s="23" t="str">
        <f t="shared" ref="K1030:K1093" si="32">IF(AND($G1030="",$H1030=""),"",ROUND(N($G1030)-N($H1030),2))</f>
        <v/>
      </c>
      <c r="L1030" s="23" t="str">
        <f t="shared" ref="L1030:L1093" si="33">IF(OR($K1030="",$J1030=""),"",ROUND($K1030*$J1030,2))</f>
        <v/>
      </c>
      <c r="M1030" s="23" t="str">
        <f>IF($B1030="","",ROUND(SUMIF(账户名,$B1030,账户期初)+SUMIFS($K$6:K1030,$B$6:B1030,$B1030),2))</f>
        <v/>
      </c>
      <c r="N1030" s="23" t="str">
        <f>IF($B1030="","",IFERROR(ROUND(INDEX(账户期初本位,MATCH($B1030,账户名,0))+SUMIFS($L$6:L1030,$B$6:B1030,$B1030),2),""))</f>
        <v/>
      </c>
      <c r="O1030" s="46"/>
      <c r="P1030" s="47"/>
      <c r="Q1030" s="46"/>
      <c r="R1030" s="46"/>
      <c r="S1030" s="6" t="str">
        <f>IF($B1030="","",IF(ISNA(MATCH($B1030,账户名,0)),"※这个账户不在【参数设置】的账户档案里",IF($A1030="","※没填日期，这一笔不会进任何月份的报表",IF(AND($G1030&lt;&gt;"",$H1030&lt;&gt;""),"※收入和支出不能同时填",IF(AND(N($G1030)=0,N($H1030)=0),"※收入和支出都没填",IF($E1030="","※没填收支类别，分类报表会漏掉这一笔",IF(ISNA(MATCH($E1030,类别表,0)),"※收支类别不在【参数设置】的清单里",IF($J1030="","△"&amp;$D1030&amp;" 还没填汇率，去【月度汇率】补上就自动算了",IF(YEAR($A1030)&lt;&gt;管理年度,"△不是管理年度的单据，年报里看不到",IF(AND($F1030="内部转账",$Q1030=""),"△内部转账建议在「往来单位」写上对方账户",IF($M1030&lt;0,"△这一笔之后该账户余额成负数了，核一下","")))))))))))</f>
        <v/>
      </c>
    </row>
    <row r="1031" ht="16.5" spans="1:19">
      <c r="A1031" s="45"/>
      <c r="B1031" s="46"/>
      <c r="C1031" s="12" t="str">
        <f>IF($B1031="","",IFERROR(INDEX(账户银行,MATCH($B1031,账户名,0)),""))</f>
        <v/>
      </c>
      <c r="D1031" s="12" t="str">
        <f>IF($B1031="","",IFERROR(INDEX(账户币种,MATCH($B1031,账户名,0)),""))</f>
        <v/>
      </c>
      <c r="E1031" s="47"/>
      <c r="F1031" s="12" t="str">
        <f>IF($E1031="","",IFERROR(INDEX(类别属性,MATCH($E1031,类别表,0)),""))</f>
        <v/>
      </c>
      <c r="G1031" s="48"/>
      <c r="H1031" s="48"/>
      <c r="I1031" s="49"/>
      <c r="J1031" s="24" t="str">
        <f>IF(OR($A1031="",$B1031=""),"",IF($I1031&lt;&gt;"",$I1031,IF($D1031=本位币,1,IFERROR(LOOKUP(2,1/((汇率月份&lt;=$A1031)*(INDEX(记账汇率区,0,MATCH($D1031,汇率币种头,0))&lt;&gt;"")),INDEX(记账汇率区,0,MATCH($D1031,汇率币种头,0))),""))))</f>
        <v/>
      </c>
      <c r="K1031" s="23" t="str">
        <f t="shared" si="32"/>
        <v/>
      </c>
      <c r="L1031" s="23" t="str">
        <f t="shared" si="33"/>
        <v/>
      </c>
      <c r="M1031" s="23" t="str">
        <f>IF($B1031="","",ROUND(SUMIF(账户名,$B1031,账户期初)+SUMIFS($K$6:K1031,$B$6:B1031,$B1031),2))</f>
        <v/>
      </c>
      <c r="N1031" s="23" t="str">
        <f>IF($B1031="","",IFERROR(ROUND(INDEX(账户期初本位,MATCH($B1031,账户名,0))+SUMIFS($L$6:L1031,$B$6:B1031,$B1031),2),""))</f>
        <v/>
      </c>
      <c r="O1031" s="46"/>
      <c r="P1031" s="47"/>
      <c r="Q1031" s="46"/>
      <c r="R1031" s="46"/>
      <c r="S1031" s="6" t="str">
        <f>IF($B1031="","",IF(ISNA(MATCH($B1031,账户名,0)),"※这个账户不在【参数设置】的账户档案里",IF($A1031="","※没填日期，这一笔不会进任何月份的报表",IF(AND($G1031&lt;&gt;"",$H1031&lt;&gt;""),"※收入和支出不能同时填",IF(AND(N($G1031)=0,N($H1031)=0),"※收入和支出都没填",IF($E1031="","※没填收支类别，分类报表会漏掉这一笔",IF(ISNA(MATCH($E1031,类别表,0)),"※收支类别不在【参数设置】的清单里",IF($J1031="","△"&amp;$D1031&amp;" 还没填汇率，去【月度汇率】补上就自动算了",IF(YEAR($A1031)&lt;&gt;管理年度,"△不是管理年度的单据，年报里看不到",IF(AND($F1031="内部转账",$Q1031=""),"△内部转账建议在「往来单位」写上对方账户",IF($M1031&lt;0,"△这一笔之后该账户余额成负数了，核一下","")))))))))))</f>
        <v/>
      </c>
    </row>
    <row r="1032" ht="16.5" spans="1:19">
      <c r="A1032" s="45"/>
      <c r="B1032" s="46"/>
      <c r="C1032" s="12" t="str">
        <f>IF($B1032="","",IFERROR(INDEX(账户银行,MATCH($B1032,账户名,0)),""))</f>
        <v/>
      </c>
      <c r="D1032" s="12" t="str">
        <f>IF($B1032="","",IFERROR(INDEX(账户币种,MATCH($B1032,账户名,0)),""))</f>
        <v/>
      </c>
      <c r="E1032" s="47"/>
      <c r="F1032" s="12" t="str">
        <f>IF($E1032="","",IFERROR(INDEX(类别属性,MATCH($E1032,类别表,0)),""))</f>
        <v/>
      </c>
      <c r="G1032" s="48"/>
      <c r="H1032" s="48"/>
      <c r="I1032" s="49"/>
      <c r="J1032" s="24" t="str">
        <f>IF(OR($A1032="",$B1032=""),"",IF($I1032&lt;&gt;"",$I1032,IF($D1032=本位币,1,IFERROR(LOOKUP(2,1/((汇率月份&lt;=$A1032)*(INDEX(记账汇率区,0,MATCH($D1032,汇率币种头,0))&lt;&gt;"")),INDEX(记账汇率区,0,MATCH($D1032,汇率币种头,0))),""))))</f>
        <v/>
      </c>
      <c r="K1032" s="23" t="str">
        <f t="shared" si="32"/>
        <v/>
      </c>
      <c r="L1032" s="23" t="str">
        <f t="shared" si="33"/>
        <v/>
      </c>
      <c r="M1032" s="23" t="str">
        <f>IF($B1032="","",ROUND(SUMIF(账户名,$B1032,账户期初)+SUMIFS($K$6:K1032,$B$6:B1032,$B1032),2))</f>
        <v/>
      </c>
      <c r="N1032" s="23" t="str">
        <f>IF($B1032="","",IFERROR(ROUND(INDEX(账户期初本位,MATCH($B1032,账户名,0))+SUMIFS($L$6:L1032,$B$6:B1032,$B1032),2),""))</f>
        <v/>
      </c>
      <c r="O1032" s="46"/>
      <c r="P1032" s="47"/>
      <c r="Q1032" s="46"/>
      <c r="R1032" s="46"/>
      <c r="S1032" s="6" t="str">
        <f>IF($B1032="","",IF(ISNA(MATCH($B1032,账户名,0)),"※这个账户不在【参数设置】的账户档案里",IF($A1032="","※没填日期，这一笔不会进任何月份的报表",IF(AND($G1032&lt;&gt;"",$H1032&lt;&gt;""),"※收入和支出不能同时填",IF(AND(N($G1032)=0,N($H1032)=0),"※收入和支出都没填",IF($E1032="","※没填收支类别，分类报表会漏掉这一笔",IF(ISNA(MATCH($E1032,类别表,0)),"※收支类别不在【参数设置】的清单里",IF($J1032="","△"&amp;$D1032&amp;" 还没填汇率，去【月度汇率】补上就自动算了",IF(YEAR($A1032)&lt;&gt;管理年度,"△不是管理年度的单据，年报里看不到",IF(AND($F1032="内部转账",$Q1032=""),"△内部转账建议在「往来单位」写上对方账户",IF($M1032&lt;0,"△这一笔之后该账户余额成负数了，核一下","")))))))))))</f>
        <v/>
      </c>
    </row>
    <row r="1033" ht="16.5" spans="1:19">
      <c r="A1033" s="45"/>
      <c r="B1033" s="46"/>
      <c r="C1033" s="12" t="str">
        <f>IF($B1033="","",IFERROR(INDEX(账户银行,MATCH($B1033,账户名,0)),""))</f>
        <v/>
      </c>
      <c r="D1033" s="12" t="str">
        <f>IF($B1033="","",IFERROR(INDEX(账户币种,MATCH($B1033,账户名,0)),""))</f>
        <v/>
      </c>
      <c r="E1033" s="47"/>
      <c r="F1033" s="12" t="str">
        <f>IF($E1033="","",IFERROR(INDEX(类别属性,MATCH($E1033,类别表,0)),""))</f>
        <v/>
      </c>
      <c r="G1033" s="48"/>
      <c r="H1033" s="48"/>
      <c r="I1033" s="49"/>
      <c r="J1033" s="24" t="str">
        <f>IF(OR($A1033="",$B1033=""),"",IF($I1033&lt;&gt;"",$I1033,IF($D1033=本位币,1,IFERROR(LOOKUP(2,1/((汇率月份&lt;=$A1033)*(INDEX(记账汇率区,0,MATCH($D1033,汇率币种头,0))&lt;&gt;"")),INDEX(记账汇率区,0,MATCH($D1033,汇率币种头,0))),""))))</f>
        <v/>
      </c>
      <c r="K1033" s="23" t="str">
        <f t="shared" si="32"/>
        <v/>
      </c>
      <c r="L1033" s="23" t="str">
        <f t="shared" si="33"/>
        <v/>
      </c>
      <c r="M1033" s="23" t="str">
        <f>IF($B1033="","",ROUND(SUMIF(账户名,$B1033,账户期初)+SUMIFS($K$6:K1033,$B$6:B1033,$B1033),2))</f>
        <v/>
      </c>
      <c r="N1033" s="23" t="str">
        <f>IF($B1033="","",IFERROR(ROUND(INDEX(账户期初本位,MATCH($B1033,账户名,0))+SUMIFS($L$6:L1033,$B$6:B1033,$B1033),2),""))</f>
        <v/>
      </c>
      <c r="O1033" s="46"/>
      <c r="P1033" s="47"/>
      <c r="Q1033" s="46"/>
      <c r="R1033" s="46"/>
      <c r="S1033" s="6" t="str">
        <f>IF($B1033="","",IF(ISNA(MATCH($B1033,账户名,0)),"※这个账户不在【参数设置】的账户档案里",IF($A1033="","※没填日期，这一笔不会进任何月份的报表",IF(AND($G1033&lt;&gt;"",$H1033&lt;&gt;""),"※收入和支出不能同时填",IF(AND(N($G1033)=0,N($H1033)=0),"※收入和支出都没填",IF($E1033="","※没填收支类别，分类报表会漏掉这一笔",IF(ISNA(MATCH($E1033,类别表,0)),"※收支类别不在【参数设置】的清单里",IF($J1033="","△"&amp;$D1033&amp;" 还没填汇率，去【月度汇率】补上就自动算了",IF(YEAR($A1033)&lt;&gt;管理年度,"△不是管理年度的单据，年报里看不到",IF(AND($F1033="内部转账",$Q1033=""),"△内部转账建议在「往来单位」写上对方账户",IF($M1033&lt;0,"△这一笔之后该账户余额成负数了，核一下","")))))))))))</f>
        <v/>
      </c>
    </row>
    <row r="1034" ht="16.5" spans="1:19">
      <c r="A1034" s="45"/>
      <c r="B1034" s="46"/>
      <c r="C1034" s="12" t="str">
        <f>IF($B1034="","",IFERROR(INDEX(账户银行,MATCH($B1034,账户名,0)),""))</f>
        <v/>
      </c>
      <c r="D1034" s="12" t="str">
        <f>IF($B1034="","",IFERROR(INDEX(账户币种,MATCH($B1034,账户名,0)),""))</f>
        <v/>
      </c>
      <c r="E1034" s="47"/>
      <c r="F1034" s="12" t="str">
        <f>IF($E1034="","",IFERROR(INDEX(类别属性,MATCH($E1034,类别表,0)),""))</f>
        <v/>
      </c>
      <c r="G1034" s="48"/>
      <c r="H1034" s="48"/>
      <c r="I1034" s="49"/>
      <c r="J1034" s="24" t="str">
        <f>IF(OR($A1034="",$B1034=""),"",IF($I1034&lt;&gt;"",$I1034,IF($D1034=本位币,1,IFERROR(LOOKUP(2,1/((汇率月份&lt;=$A1034)*(INDEX(记账汇率区,0,MATCH($D1034,汇率币种头,0))&lt;&gt;"")),INDEX(记账汇率区,0,MATCH($D1034,汇率币种头,0))),""))))</f>
        <v/>
      </c>
      <c r="K1034" s="23" t="str">
        <f t="shared" si="32"/>
        <v/>
      </c>
      <c r="L1034" s="23" t="str">
        <f t="shared" si="33"/>
        <v/>
      </c>
      <c r="M1034" s="23" t="str">
        <f>IF($B1034="","",ROUND(SUMIF(账户名,$B1034,账户期初)+SUMIFS($K$6:K1034,$B$6:B1034,$B1034),2))</f>
        <v/>
      </c>
      <c r="N1034" s="23" t="str">
        <f>IF($B1034="","",IFERROR(ROUND(INDEX(账户期初本位,MATCH($B1034,账户名,0))+SUMIFS($L$6:L1034,$B$6:B1034,$B1034),2),""))</f>
        <v/>
      </c>
      <c r="O1034" s="46"/>
      <c r="P1034" s="47"/>
      <c r="Q1034" s="46"/>
      <c r="R1034" s="46"/>
      <c r="S1034" s="6" t="str">
        <f>IF($B1034="","",IF(ISNA(MATCH($B1034,账户名,0)),"※这个账户不在【参数设置】的账户档案里",IF($A1034="","※没填日期，这一笔不会进任何月份的报表",IF(AND($G1034&lt;&gt;"",$H1034&lt;&gt;""),"※收入和支出不能同时填",IF(AND(N($G1034)=0,N($H1034)=0),"※收入和支出都没填",IF($E1034="","※没填收支类别，分类报表会漏掉这一笔",IF(ISNA(MATCH($E1034,类别表,0)),"※收支类别不在【参数设置】的清单里",IF($J1034="","△"&amp;$D1034&amp;" 还没填汇率，去【月度汇率】补上就自动算了",IF(YEAR($A1034)&lt;&gt;管理年度,"△不是管理年度的单据，年报里看不到",IF(AND($F1034="内部转账",$Q1034=""),"△内部转账建议在「往来单位」写上对方账户",IF($M1034&lt;0,"△这一笔之后该账户余额成负数了，核一下","")))))))))))</f>
        <v/>
      </c>
    </row>
    <row r="1035" ht="16.5" spans="1:19">
      <c r="A1035" s="45"/>
      <c r="B1035" s="46"/>
      <c r="C1035" s="12" t="str">
        <f>IF($B1035="","",IFERROR(INDEX(账户银行,MATCH($B1035,账户名,0)),""))</f>
        <v/>
      </c>
      <c r="D1035" s="12" t="str">
        <f>IF($B1035="","",IFERROR(INDEX(账户币种,MATCH($B1035,账户名,0)),""))</f>
        <v/>
      </c>
      <c r="E1035" s="47"/>
      <c r="F1035" s="12" t="str">
        <f>IF($E1035="","",IFERROR(INDEX(类别属性,MATCH($E1035,类别表,0)),""))</f>
        <v/>
      </c>
      <c r="G1035" s="48"/>
      <c r="H1035" s="48"/>
      <c r="I1035" s="49"/>
      <c r="J1035" s="24" t="str">
        <f>IF(OR($A1035="",$B1035=""),"",IF($I1035&lt;&gt;"",$I1035,IF($D1035=本位币,1,IFERROR(LOOKUP(2,1/((汇率月份&lt;=$A1035)*(INDEX(记账汇率区,0,MATCH($D1035,汇率币种头,0))&lt;&gt;"")),INDEX(记账汇率区,0,MATCH($D1035,汇率币种头,0))),""))))</f>
        <v/>
      </c>
      <c r="K1035" s="23" t="str">
        <f t="shared" si="32"/>
        <v/>
      </c>
      <c r="L1035" s="23" t="str">
        <f t="shared" si="33"/>
        <v/>
      </c>
      <c r="M1035" s="23" t="str">
        <f>IF($B1035="","",ROUND(SUMIF(账户名,$B1035,账户期初)+SUMIFS($K$6:K1035,$B$6:B1035,$B1035),2))</f>
        <v/>
      </c>
      <c r="N1035" s="23" t="str">
        <f>IF($B1035="","",IFERROR(ROUND(INDEX(账户期初本位,MATCH($B1035,账户名,0))+SUMIFS($L$6:L1035,$B$6:B1035,$B1035),2),""))</f>
        <v/>
      </c>
      <c r="O1035" s="46"/>
      <c r="P1035" s="47"/>
      <c r="Q1035" s="46"/>
      <c r="R1035" s="46"/>
      <c r="S1035" s="6" t="str">
        <f>IF($B1035="","",IF(ISNA(MATCH($B1035,账户名,0)),"※这个账户不在【参数设置】的账户档案里",IF($A1035="","※没填日期，这一笔不会进任何月份的报表",IF(AND($G1035&lt;&gt;"",$H1035&lt;&gt;""),"※收入和支出不能同时填",IF(AND(N($G1035)=0,N($H1035)=0),"※收入和支出都没填",IF($E1035="","※没填收支类别，分类报表会漏掉这一笔",IF(ISNA(MATCH($E1035,类别表,0)),"※收支类别不在【参数设置】的清单里",IF($J1035="","△"&amp;$D1035&amp;" 还没填汇率，去【月度汇率】补上就自动算了",IF(YEAR($A1035)&lt;&gt;管理年度,"△不是管理年度的单据，年报里看不到",IF(AND($F1035="内部转账",$Q1035=""),"△内部转账建议在「往来单位」写上对方账户",IF($M1035&lt;0,"△这一笔之后该账户余额成负数了，核一下","")))))))))))</f>
        <v/>
      </c>
    </row>
    <row r="1036" ht="16.5" spans="1:19">
      <c r="A1036" s="45"/>
      <c r="B1036" s="46"/>
      <c r="C1036" s="12" t="str">
        <f>IF($B1036="","",IFERROR(INDEX(账户银行,MATCH($B1036,账户名,0)),""))</f>
        <v/>
      </c>
      <c r="D1036" s="12" t="str">
        <f>IF($B1036="","",IFERROR(INDEX(账户币种,MATCH($B1036,账户名,0)),""))</f>
        <v/>
      </c>
      <c r="E1036" s="47"/>
      <c r="F1036" s="12" t="str">
        <f>IF($E1036="","",IFERROR(INDEX(类别属性,MATCH($E1036,类别表,0)),""))</f>
        <v/>
      </c>
      <c r="G1036" s="48"/>
      <c r="H1036" s="48"/>
      <c r="I1036" s="49"/>
      <c r="J1036" s="24" t="str">
        <f>IF(OR($A1036="",$B1036=""),"",IF($I1036&lt;&gt;"",$I1036,IF($D1036=本位币,1,IFERROR(LOOKUP(2,1/((汇率月份&lt;=$A1036)*(INDEX(记账汇率区,0,MATCH($D1036,汇率币种头,0))&lt;&gt;"")),INDEX(记账汇率区,0,MATCH($D1036,汇率币种头,0))),""))))</f>
        <v/>
      </c>
      <c r="K1036" s="23" t="str">
        <f t="shared" si="32"/>
        <v/>
      </c>
      <c r="L1036" s="23" t="str">
        <f t="shared" si="33"/>
        <v/>
      </c>
      <c r="M1036" s="23" t="str">
        <f>IF($B1036="","",ROUND(SUMIF(账户名,$B1036,账户期初)+SUMIFS($K$6:K1036,$B$6:B1036,$B1036),2))</f>
        <v/>
      </c>
      <c r="N1036" s="23" t="str">
        <f>IF($B1036="","",IFERROR(ROUND(INDEX(账户期初本位,MATCH($B1036,账户名,0))+SUMIFS($L$6:L1036,$B$6:B1036,$B1036),2),""))</f>
        <v/>
      </c>
      <c r="O1036" s="46"/>
      <c r="P1036" s="47"/>
      <c r="Q1036" s="46"/>
      <c r="R1036" s="46"/>
      <c r="S1036" s="6" t="str">
        <f>IF($B1036="","",IF(ISNA(MATCH($B1036,账户名,0)),"※这个账户不在【参数设置】的账户档案里",IF($A1036="","※没填日期，这一笔不会进任何月份的报表",IF(AND($G1036&lt;&gt;"",$H1036&lt;&gt;""),"※收入和支出不能同时填",IF(AND(N($G1036)=0,N($H1036)=0),"※收入和支出都没填",IF($E1036="","※没填收支类别，分类报表会漏掉这一笔",IF(ISNA(MATCH($E1036,类别表,0)),"※收支类别不在【参数设置】的清单里",IF($J1036="","△"&amp;$D1036&amp;" 还没填汇率，去【月度汇率】补上就自动算了",IF(YEAR($A1036)&lt;&gt;管理年度,"△不是管理年度的单据，年报里看不到",IF(AND($F1036="内部转账",$Q1036=""),"△内部转账建议在「往来单位」写上对方账户",IF($M1036&lt;0,"△这一笔之后该账户余额成负数了，核一下","")))))))))))</f>
        <v/>
      </c>
    </row>
    <row r="1037" ht="16.5" spans="1:19">
      <c r="A1037" s="45"/>
      <c r="B1037" s="46"/>
      <c r="C1037" s="12" t="str">
        <f>IF($B1037="","",IFERROR(INDEX(账户银行,MATCH($B1037,账户名,0)),""))</f>
        <v/>
      </c>
      <c r="D1037" s="12" t="str">
        <f>IF($B1037="","",IFERROR(INDEX(账户币种,MATCH($B1037,账户名,0)),""))</f>
        <v/>
      </c>
      <c r="E1037" s="47"/>
      <c r="F1037" s="12" t="str">
        <f>IF($E1037="","",IFERROR(INDEX(类别属性,MATCH($E1037,类别表,0)),""))</f>
        <v/>
      </c>
      <c r="G1037" s="48"/>
      <c r="H1037" s="48"/>
      <c r="I1037" s="49"/>
      <c r="J1037" s="24" t="str">
        <f>IF(OR($A1037="",$B1037=""),"",IF($I1037&lt;&gt;"",$I1037,IF($D1037=本位币,1,IFERROR(LOOKUP(2,1/((汇率月份&lt;=$A1037)*(INDEX(记账汇率区,0,MATCH($D1037,汇率币种头,0))&lt;&gt;"")),INDEX(记账汇率区,0,MATCH($D1037,汇率币种头,0))),""))))</f>
        <v/>
      </c>
      <c r="K1037" s="23" t="str">
        <f t="shared" si="32"/>
        <v/>
      </c>
      <c r="L1037" s="23" t="str">
        <f t="shared" si="33"/>
        <v/>
      </c>
      <c r="M1037" s="23" t="str">
        <f>IF($B1037="","",ROUND(SUMIF(账户名,$B1037,账户期初)+SUMIFS($K$6:K1037,$B$6:B1037,$B1037),2))</f>
        <v/>
      </c>
      <c r="N1037" s="23" t="str">
        <f>IF($B1037="","",IFERROR(ROUND(INDEX(账户期初本位,MATCH($B1037,账户名,0))+SUMIFS($L$6:L1037,$B$6:B1037,$B1037),2),""))</f>
        <v/>
      </c>
      <c r="O1037" s="46"/>
      <c r="P1037" s="47"/>
      <c r="Q1037" s="46"/>
      <c r="R1037" s="46"/>
      <c r="S1037" s="6" t="str">
        <f>IF($B1037="","",IF(ISNA(MATCH($B1037,账户名,0)),"※这个账户不在【参数设置】的账户档案里",IF($A1037="","※没填日期，这一笔不会进任何月份的报表",IF(AND($G1037&lt;&gt;"",$H1037&lt;&gt;""),"※收入和支出不能同时填",IF(AND(N($G1037)=0,N($H1037)=0),"※收入和支出都没填",IF($E1037="","※没填收支类别，分类报表会漏掉这一笔",IF(ISNA(MATCH($E1037,类别表,0)),"※收支类别不在【参数设置】的清单里",IF($J1037="","△"&amp;$D1037&amp;" 还没填汇率，去【月度汇率】补上就自动算了",IF(YEAR($A1037)&lt;&gt;管理年度,"△不是管理年度的单据，年报里看不到",IF(AND($F1037="内部转账",$Q1037=""),"△内部转账建议在「往来单位」写上对方账户",IF($M1037&lt;0,"△这一笔之后该账户余额成负数了，核一下","")))))))))))</f>
        <v/>
      </c>
    </row>
    <row r="1038" ht="16.5" spans="1:19">
      <c r="A1038" s="45"/>
      <c r="B1038" s="46"/>
      <c r="C1038" s="12" t="str">
        <f>IF($B1038="","",IFERROR(INDEX(账户银行,MATCH($B1038,账户名,0)),""))</f>
        <v/>
      </c>
      <c r="D1038" s="12" t="str">
        <f>IF($B1038="","",IFERROR(INDEX(账户币种,MATCH($B1038,账户名,0)),""))</f>
        <v/>
      </c>
      <c r="E1038" s="47"/>
      <c r="F1038" s="12" t="str">
        <f>IF($E1038="","",IFERROR(INDEX(类别属性,MATCH($E1038,类别表,0)),""))</f>
        <v/>
      </c>
      <c r="G1038" s="48"/>
      <c r="H1038" s="48"/>
      <c r="I1038" s="49"/>
      <c r="J1038" s="24" t="str">
        <f>IF(OR($A1038="",$B1038=""),"",IF($I1038&lt;&gt;"",$I1038,IF($D1038=本位币,1,IFERROR(LOOKUP(2,1/((汇率月份&lt;=$A1038)*(INDEX(记账汇率区,0,MATCH($D1038,汇率币种头,0))&lt;&gt;"")),INDEX(记账汇率区,0,MATCH($D1038,汇率币种头,0))),""))))</f>
        <v/>
      </c>
      <c r="K1038" s="23" t="str">
        <f t="shared" si="32"/>
        <v/>
      </c>
      <c r="L1038" s="23" t="str">
        <f t="shared" si="33"/>
        <v/>
      </c>
      <c r="M1038" s="23" t="str">
        <f>IF($B1038="","",ROUND(SUMIF(账户名,$B1038,账户期初)+SUMIFS($K$6:K1038,$B$6:B1038,$B1038),2))</f>
        <v/>
      </c>
      <c r="N1038" s="23" t="str">
        <f>IF($B1038="","",IFERROR(ROUND(INDEX(账户期初本位,MATCH($B1038,账户名,0))+SUMIFS($L$6:L1038,$B$6:B1038,$B1038),2),""))</f>
        <v/>
      </c>
      <c r="O1038" s="46"/>
      <c r="P1038" s="47"/>
      <c r="Q1038" s="46"/>
      <c r="R1038" s="46"/>
      <c r="S1038" s="6" t="str">
        <f>IF($B1038="","",IF(ISNA(MATCH($B1038,账户名,0)),"※这个账户不在【参数设置】的账户档案里",IF($A1038="","※没填日期，这一笔不会进任何月份的报表",IF(AND($G1038&lt;&gt;"",$H1038&lt;&gt;""),"※收入和支出不能同时填",IF(AND(N($G1038)=0,N($H1038)=0),"※收入和支出都没填",IF($E1038="","※没填收支类别，分类报表会漏掉这一笔",IF(ISNA(MATCH($E1038,类别表,0)),"※收支类别不在【参数设置】的清单里",IF($J1038="","△"&amp;$D1038&amp;" 还没填汇率，去【月度汇率】补上就自动算了",IF(YEAR($A1038)&lt;&gt;管理年度,"△不是管理年度的单据，年报里看不到",IF(AND($F1038="内部转账",$Q1038=""),"△内部转账建议在「往来单位」写上对方账户",IF($M1038&lt;0,"△这一笔之后该账户余额成负数了，核一下","")))))))))))</f>
        <v/>
      </c>
    </row>
    <row r="1039" ht="16.5" spans="1:19">
      <c r="A1039" s="45"/>
      <c r="B1039" s="46"/>
      <c r="C1039" s="12" t="str">
        <f>IF($B1039="","",IFERROR(INDEX(账户银行,MATCH($B1039,账户名,0)),""))</f>
        <v/>
      </c>
      <c r="D1039" s="12" t="str">
        <f>IF($B1039="","",IFERROR(INDEX(账户币种,MATCH($B1039,账户名,0)),""))</f>
        <v/>
      </c>
      <c r="E1039" s="47"/>
      <c r="F1039" s="12" t="str">
        <f>IF($E1039="","",IFERROR(INDEX(类别属性,MATCH($E1039,类别表,0)),""))</f>
        <v/>
      </c>
      <c r="G1039" s="48"/>
      <c r="H1039" s="48"/>
      <c r="I1039" s="49"/>
      <c r="J1039" s="24" t="str">
        <f>IF(OR($A1039="",$B1039=""),"",IF($I1039&lt;&gt;"",$I1039,IF($D1039=本位币,1,IFERROR(LOOKUP(2,1/((汇率月份&lt;=$A1039)*(INDEX(记账汇率区,0,MATCH($D1039,汇率币种头,0))&lt;&gt;"")),INDEX(记账汇率区,0,MATCH($D1039,汇率币种头,0))),""))))</f>
        <v/>
      </c>
      <c r="K1039" s="23" t="str">
        <f t="shared" si="32"/>
        <v/>
      </c>
      <c r="L1039" s="23" t="str">
        <f t="shared" si="33"/>
        <v/>
      </c>
      <c r="M1039" s="23" t="str">
        <f>IF($B1039="","",ROUND(SUMIF(账户名,$B1039,账户期初)+SUMIFS($K$6:K1039,$B$6:B1039,$B1039),2))</f>
        <v/>
      </c>
      <c r="N1039" s="23" t="str">
        <f>IF($B1039="","",IFERROR(ROUND(INDEX(账户期初本位,MATCH($B1039,账户名,0))+SUMIFS($L$6:L1039,$B$6:B1039,$B1039),2),""))</f>
        <v/>
      </c>
      <c r="O1039" s="46"/>
      <c r="P1039" s="47"/>
      <c r="Q1039" s="46"/>
      <c r="R1039" s="46"/>
      <c r="S1039" s="6" t="str">
        <f>IF($B1039="","",IF(ISNA(MATCH($B1039,账户名,0)),"※这个账户不在【参数设置】的账户档案里",IF($A1039="","※没填日期，这一笔不会进任何月份的报表",IF(AND($G1039&lt;&gt;"",$H1039&lt;&gt;""),"※收入和支出不能同时填",IF(AND(N($G1039)=0,N($H1039)=0),"※收入和支出都没填",IF($E1039="","※没填收支类别，分类报表会漏掉这一笔",IF(ISNA(MATCH($E1039,类别表,0)),"※收支类别不在【参数设置】的清单里",IF($J1039="","△"&amp;$D1039&amp;" 还没填汇率，去【月度汇率】补上就自动算了",IF(YEAR($A1039)&lt;&gt;管理年度,"△不是管理年度的单据，年报里看不到",IF(AND($F1039="内部转账",$Q1039=""),"△内部转账建议在「往来单位」写上对方账户",IF($M1039&lt;0,"△这一笔之后该账户余额成负数了，核一下","")))))))))))</f>
        <v/>
      </c>
    </row>
    <row r="1040" ht="16.5" spans="1:19">
      <c r="A1040" s="45"/>
      <c r="B1040" s="46"/>
      <c r="C1040" s="12" t="str">
        <f>IF($B1040="","",IFERROR(INDEX(账户银行,MATCH($B1040,账户名,0)),""))</f>
        <v/>
      </c>
      <c r="D1040" s="12" t="str">
        <f>IF($B1040="","",IFERROR(INDEX(账户币种,MATCH($B1040,账户名,0)),""))</f>
        <v/>
      </c>
      <c r="E1040" s="47"/>
      <c r="F1040" s="12" t="str">
        <f>IF($E1040="","",IFERROR(INDEX(类别属性,MATCH($E1040,类别表,0)),""))</f>
        <v/>
      </c>
      <c r="G1040" s="48"/>
      <c r="H1040" s="48"/>
      <c r="I1040" s="49"/>
      <c r="J1040" s="24" t="str">
        <f>IF(OR($A1040="",$B1040=""),"",IF($I1040&lt;&gt;"",$I1040,IF($D1040=本位币,1,IFERROR(LOOKUP(2,1/((汇率月份&lt;=$A1040)*(INDEX(记账汇率区,0,MATCH($D1040,汇率币种头,0))&lt;&gt;"")),INDEX(记账汇率区,0,MATCH($D1040,汇率币种头,0))),""))))</f>
        <v/>
      </c>
      <c r="K1040" s="23" t="str">
        <f t="shared" si="32"/>
        <v/>
      </c>
      <c r="L1040" s="23" t="str">
        <f t="shared" si="33"/>
        <v/>
      </c>
      <c r="M1040" s="23" t="str">
        <f>IF($B1040="","",ROUND(SUMIF(账户名,$B1040,账户期初)+SUMIFS($K$6:K1040,$B$6:B1040,$B1040),2))</f>
        <v/>
      </c>
      <c r="N1040" s="23" t="str">
        <f>IF($B1040="","",IFERROR(ROUND(INDEX(账户期初本位,MATCH($B1040,账户名,0))+SUMIFS($L$6:L1040,$B$6:B1040,$B1040),2),""))</f>
        <v/>
      </c>
      <c r="O1040" s="46"/>
      <c r="P1040" s="47"/>
      <c r="Q1040" s="46"/>
      <c r="R1040" s="46"/>
      <c r="S1040" s="6" t="str">
        <f>IF($B1040="","",IF(ISNA(MATCH($B1040,账户名,0)),"※这个账户不在【参数设置】的账户档案里",IF($A1040="","※没填日期，这一笔不会进任何月份的报表",IF(AND($G1040&lt;&gt;"",$H1040&lt;&gt;""),"※收入和支出不能同时填",IF(AND(N($G1040)=0,N($H1040)=0),"※收入和支出都没填",IF($E1040="","※没填收支类别，分类报表会漏掉这一笔",IF(ISNA(MATCH($E1040,类别表,0)),"※收支类别不在【参数设置】的清单里",IF($J1040="","△"&amp;$D1040&amp;" 还没填汇率，去【月度汇率】补上就自动算了",IF(YEAR($A1040)&lt;&gt;管理年度,"△不是管理年度的单据，年报里看不到",IF(AND($F1040="内部转账",$Q1040=""),"△内部转账建议在「往来单位」写上对方账户",IF($M1040&lt;0,"△这一笔之后该账户余额成负数了，核一下","")))))))))))</f>
        <v/>
      </c>
    </row>
    <row r="1041" ht="16.5" spans="1:19">
      <c r="A1041" s="45"/>
      <c r="B1041" s="46"/>
      <c r="C1041" s="12" t="str">
        <f>IF($B1041="","",IFERROR(INDEX(账户银行,MATCH($B1041,账户名,0)),""))</f>
        <v/>
      </c>
      <c r="D1041" s="12" t="str">
        <f>IF($B1041="","",IFERROR(INDEX(账户币种,MATCH($B1041,账户名,0)),""))</f>
        <v/>
      </c>
      <c r="E1041" s="47"/>
      <c r="F1041" s="12" t="str">
        <f>IF($E1041="","",IFERROR(INDEX(类别属性,MATCH($E1041,类别表,0)),""))</f>
        <v/>
      </c>
      <c r="G1041" s="48"/>
      <c r="H1041" s="48"/>
      <c r="I1041" s="49"/>
      <c r="J1041" s="24" t="str">
        <f>IF(OR($A1041="",$B1041=""),"",IF($I1041&lt;&gt;"",$I1041,IF($D1041=本位币,1,IFERROR(LOOKUP(2,1/((汇率月份&lt;=$A1041)*(INDEX(记账汇率区,0,MATCH($D1041,汇率币种头,0))&lt;&gt;"")),INDEX(记账汇率区,0,MATCH($D1041,汇率币种头,0))),""))))</f>
        <v/>
      </c>
      <c r="K1041" s="23" t="str">
        <f t="shared" si="32"/>
        <v/>
      </c>
      <c r="L1041" s="23" t="str">
        <f t="shared" si="33"/>
        <v/>
      </c>
      <c r="M1041" s="23" t="str">
        <f>IF($B1041="","",ROUND(SUMIF(账户名,$B1041,账户期初)+SUMIFS($K$6:K1041,$B$6:B1041,$B1041),2))</f>
        <v/>
      </c>
      <c r="N1041" s="23" t="str">
        <f>IF($B1041="","",IFERROR(ROUND(INDEX(账户期初本位,MATCH($B1041,账户名,0))+SUMIFS($L$6:L1041,$B$6:B1041,$B1041),2),""))</f>
        <v/>
      </c>
      <c r="O1041" s="46"/>
      <c r="P1041" s="47"/>
      <c r="Q1041" s="46"/>
      <c r="R1041" s="46"/>
      <c r="S1041" s="6" t="str">
        <f>IF($B1041="","",IF(ISNA(MATCH($B1041,账户名,0)),"※这个账户不在【参数设置】的账户档案里",IF($A1041="","※没填日期，这一笔不会进任何月份的报表",IF(AND($G1041&lt;&gt;"",$H1041&lt;&gt;""),"※收入和支出不能同时填",IF(AND(N($G1041)=0,N($H1041)=0),"※收入和支出都没填",IF($E1041="","※没填收支类别，分类报表会漏掉这一笔",IF(ISNA(MATCH($E1041,类别表,0)),"※收支类别不在【参数设置】的清单里",IF($J1041="","△"&amp;$D1041&amp;" 还没填汇率，去【月度汇率】补上就自动算了",IF(YEAR($A1041)&lt;&gt;管理年度,"△不是管理年度的单据，年报里看不到",IF(AND($F1041="内部转账",$Q1041=""),"△内部转账建议在「往来单位」写上对方账户",IF($M1041&lt;0,"△这一笔之后该账户余额成负数了，核一下","")))))))))))</f>
        <v/>
      </c>
    </row>
    <row r="1042" ht="16.5" spans="1:19">
      <c r="A1042" s="45"/>
      <c r="B1042" s="46"/>
      <c r="C1042" s="12" t="str">
        <f>IF($B1042="","",IFERROR(INDEX(账户银行,MATCH($B1042,账户名,0)),""))</f>
        <v/>
      </c>
      <c r="D1042" s="12" t="str">
        <f>IF($B1042="","",IFERROR(INDEX(账户币种,MATCH($B1042,账户名,0)),""))</f>
        <v/>
      </c>
      <c r="E1042" s="47"/>
      <c r="F1042" s="12" t="str">
        <f>IF($E1042="","",IFERROR(INDEX(类别属性,MATCH($E1042,类别表,0)),""))</f>
        <v/>
      </c>
      <c r="G1042" s="48"/>
      <c r="H1042" s="48"/>
      <c r="I1042" s="49"/>
      <c r="J1042" s="24" t="str">
        <f>IF(OR($A1042="",$B1042=""),"",IF($I1042&lt;&gt;"",$I1042,IF($D1042=本位币,1,IFERROR(LOOKUP(2,1/((汇率月份&lt;=$A1042)*(INDEX(记账汇率区,0,MATCH($D1042,汇率币种头,0))&lt;&gt;"")),INDEX(记账汇率区,0,MATCH($D1042,汇率币种头,0))),""))))</f>
        <v/>
      </c>
      <c r="K1042" s="23" t="str">
        <f t="shared" si="32"/>
        <v/>
      </c>
      <c r="L1042" s="23" t="str">
        <f t="shared" si="33"/>
        <v/>
      </c>
      <c r="M1042" s="23" t="str">
        <f>IF($B1042="","",ROUND(SUMIF(账户名,$B1042,账户期初)+SUMIFS($K$6:K1042,$B$6:B1042,$B1042),2))</f>
        <v/>
      </c>
      <c r="N1042" s="23" t="str">
        <f>IF($B1042="","",IFERROR(ROUND(INDEX(账户期初本位,MATCH($B1042,账户名,0))+SUMIFS($L$6:L1042,$B$6:B1042,$B1042),2),""))</f>
        <v/>
      </c>
      <c r="O1042" s="46"/>
      <c r="P1042" s="47"/>
      <c r="Q1042" s="46"/>
      <c r="R1042" s="46"/>
      <c r="S1042" s="6" t="str">
        <f>IF($B1042="","",IF(ISNA(MATCH($B1042,账户名,0)),"※这个账户不在【参数设置】的账户档案里",IF($A1042="","※没填日期，这一笔不会进任何月份的报表",IF(AND($G1042&lt;&gt;"",$H1042&lt;&gt;""),"※收入和支出不能同时填",IF(AND(N($G1042)=0,N($H1042)=0),"※收入和支出都没填",IF($E1042="","※没填收支类别，分类报表会漏掉这一笔",IF(ISNA(MATCH($E1042,类别表,0)),"※收支类别不在【参数设置】的清单里",IF($J1042="","△"&amp;$D1042&amp;" 还没填汇率，去【月度汇率】补上就自动算了",IF(YEAR($A1042)&lt;&gt;管理年度,"△不是管理年度的单据，年报里看不到",IF(AND($F1042="内部转账",$Q1042=""),"△内部转账建议在「往来单位」写上对方账户",IF($M1042&lt;0,"△这一笔之后该账户余额成负数了，核一下","")))))))))))</f>
        <v/>
      </c>
    </row>
    <row r="1043" ht="16.5" spans="1:19">
      <c r="A1043" s="45"/>
      <c r="B1043" s="46"/>
      <c r="C1043" s="12" t="str">
        <f>IF($B1043="","",IFERROR(INDEX(账户银行,MATCH($B1043,账户名,0)),""))</f>
        <v/>
      </c>
      <c r="D1043" s="12" t="str">
        <f>IF($B1043="","",IFERROR(INDEX(账户币种,MATCH($B1043,账户名,0)),""))</f>
        <v/>
      </c>
      <c r="E1043" s="47"/>
      <c r="F1043" s="12" t="str">
        <f>IF($E1043="","",IFERROR(INDEX(类别属性,MATCH($E1043,类别表,0)),""))</f>
        <v/>
      </c>
      <c r="G1043" s="48"/>
      <c r="H1043" s="48"/>
      <c r="I1043" s="49"/>
      <c r="J1043" s="24" t="str">
        <f>IF(OR($A1043="",$B1043=""),"",IF($I1043&lt;&gt;"",$I1043,IF($D1043=本位币,1,IFERROR(LOOKUP(2,1/((汇率月份&lt;=$A1043)*(INDEX(记账汇率区,0,MATCH($D1043,汇率币种头,0))&lt;&gt;"")),INDEX(记账汇率区,0,MATCH($D1043,汇率币种头,0))),""))))</f>
        <v/>
      </c>
      <c r="K1043" s="23" t="str">
        <f t="shared" si="32"/>
        <v/>
      </c>
      <c r="L1043" s="23" t="str">
        <f t="shared" si="33"/>
        <v/>
      </c>
      <c r="M1043" s="23" t="str">
        <f>IF($B1043="","",ROUND(SUMIF(账户名,$B1043,账户期初)+SUMIFS($K$6:K1043,$B$6:B1043,$B1043),2))</f>
        <v/>
      </c>
      <c r="N1043" s="23" t="str">
        <f>IF($B1043="","",IFERROR(ROUND(INDEX(账户期初本位,MATCH($B1043,账户名,0))+SUMIFS($L$6:L1043,$B$6:B1043,$B1043),2),""))</f>
        <v/>
      </c>
      <c r="O1043" s="46"/>
      <c r="P1043" s="47"/>
      <c r="Q1043" s="46"/>
      <c r="R1043" s="46"/>
      <c r="S1043" s="6" t="str">
        <f>IF($B1043="","",IF(ISNA(MATCH($B1043,账户名,0)),"※这个账户不在【参数设置】的账户档案里",IF($A1043="","※没填日期，这一笔不会进任何月份的报表",IF(AND($G1043&lt;&gt;"",$H1043&lt;&gt;""),"※收入和支出不能同时填",IF(AND(N($G1043)=0,N($H1043)=0),"※收入和支出都没填",IF($E1043="","※没填收支类别，分类报表会漏掉这一笔",IF(ISNA(MATCH($E1043,类别表,0)),"※收支类别不在【参数设置】的清单里",IF($J1043="","△"&amp;$D1043&amp;" 还没填汇率，去【月度汇率】补上就自动算了",IF(YEAR($A1043)&lt;&gt;管理年度,"△不是管理年度的单据，年报里看不到",IF(AND($F1043="内部转账",$Q1043=""),"△内部转账建议在「往来单位」写上对方账户",IF($M1043&lt;0,"△这一笔之后该账户余额成负数了，核一下","")))))))))))</f>
        <v/>
      </c>
    </row>
    <row r="1044" ht="16.5" spans="1:19">
      <c r="A1044" s="45"/>
      <c r="B1044" s="46"/>
      <c r="C1044" s="12" t="str">
        <f>IF($B1044="","",IFERROR(INDEX(账户银行,MATCH($B1044,账户名,0)),""))</f>
        <v/>
      </c>
      <c r="D1044" s="12" t="str">
        <f>IF($B1044="","",IFERROR(INDEX(账户币种,MATCH($B1044,账户名,0)),""))</f>
        <v/>
      </c>
      <c r="E1044" s="47"/>
      <c r="F1044" s="12" t="str">
        <f>IF($E1044="","",IFERROR(INDEX(类别属性,MATCH($E1044,类别表,0)),""))</f>
        <v/>
      </c>
      <c r="G1044" s="48"/>
      <c r="H1044" s="48"/>
      <c r="I1044" s="49"/>
      <c r="J1044" s="24" t="str">
        <f>IF(OR($A1044="",$B1044=""),"",IF($I1044&lt;&gt;"",$I1044,IF($D1044=本位币,1,IFERROR(LOOKUP(2,1/((汇率月份&lt;=$A1044)*(INDEX(记账汇率区,0,MATCH($D1044,汇率币种头,0))&lt;&gt;"")),INDEX(记账汇率区,0,MATCH($D1044,汇率币种头,0))),""))))</f>
        <v/>
      </c>
      <c r="K1044" s="23" t="str">
        <f t="shared" si="32"/>
        <v/>
      </c>
      <c r="L1044" s="23" t="str">
        <f t="shared" si="33"/>
        <v/>
      </c>
      <c r="M1044" s="23" t="str">
        <f>IF($B1044="","",ROUND(SUMIF(账户名,$B1044,账户期初)+SUMIFS($K$6:K1044,$B$6:B1044,$B1044),2))</f>
        <v/>
      </c>
      <c r="N1044" s="23" t="str">
        <f>IF($B1044="","",IFERROR(ROUND(INDEX(账户期初本位,MATCH($B1044,账户名,0))+SUMIFS($L$6:L1044,$B$6:B1044,$B1044),2),""))</f>
        <v/>
      </c>
      <c r="O1044" s="46"/>
      <c r="P1044" s="47"/>
      <c r="Q1044" s="46"/>
      <c r="R1044" s="46"/>
      <c r="S1044" s="6" t="str">
        <f>IF($B1044="","",IF(ISNA(MATCH($B1044,账户名,0)),"※这个账户不在【参数设置】的账户档案里",IF($A1044="","※没填日期，这一笔不会进任何月份的报表",IF(AND($G1044&lt;&gt;"",$H1044&lt;&gt;""),"※收入和支出不能同时填",IF(AND(N($G1044)=0,N($H1044)=0),"※收入和支出都没填",IF($E1044="","※没填收支类别，分类报表会漏掉这一笔",IF(ISNA(MATCH($E1044,类别表,0)),"※收支类别不在【参数设置】的清单里",IF($J1044="","△"&amp;$D1044&amp;" 还没填汇率，去【月度汇率】补上就自动算了",IF(YEAR($A1044)&lt;&gt;管理年度,"△不是管理年度的单据，年报里看不到",IF(AND($F1044="内部转账",$Q1044=""),"△内部转账建议在「往来单位」写上对方账户",IF($M1044&lt;0,"△这一笔之后该账户余额成负数了，核一下","")))))))))))</f>
        <v/>
      </c>
    </row>
    <row r="1045" ht="16.5" spans="1:19">
      <c r="A1045" s="45"/>
      <c r="B1045" s="46"/>
      <c r="C1045" s="12" t="str">
        <f>IF($B1045="","",IFERROR(INDEX(账户银行,MATCH($B1045,账户名,0)),""))</f>
        <v/>
      </c>
      <c r="D1045" s="12" t="str">
        <f>IF($B1045="","",IFERROR(INDEX(账户币种,MATCH($B1045,账户名,0)),""))</f>
        <v/>
      </c>
      <c r="E1045" s="47"/>
      <c r="F1045" s="12" t="str">
        <f>IF($E1045="","",IFERROR(INDEX(类别属性,MATCH($E1045,类别表,0)),""))</f>
        <v/>
      </c>
      <c r="G1045" s="48"/>
      <c r="H1045" s="48"/>
      <c r="I1045" s="49"/>
      <c r="J1045" s="24" t="str">
        <f>IF(OR($A1045="",$B1045=""),"",IF($I1045&lt;&gt;"",$I1045,IF($D1045=本位币,1,IFERROR(LOOKUP(2,1/((汇率月份&lt;=$A1045)*(INDEX(记账汇率区,0,MATCH($D1045,汇率币种头,0))&lt;&gt;"")),INDEX(记账汇率区,0,MATCH($D1045,汇率币种头,0))),""))))</f>
        <v/>
      </c>
      <c r="K1045" s="23" t="str">
        <f t="shared" si="32"/>
        <v/>
      </c>
      <c r="L1045" s="23" t="str">
        <f t="shared" si="33"/>
        <v/>
      </c>
      <c r="M1045" s="23" t="str">
        <f>IF($B1045="","",ROUND(SUMIF(账户名,$B1045,账户期初)+SUMIFS($K$6:K1045,$B$6:B1045,$B1045),2))</f>
        <v/>
      </c>
      <c r="N1045" s="23" t="str">
        <f>IF($B1045="","",IFERROR(ROUND(INDEX(账户期初本位,MATCH($B1045,账户名,0))+SUMIFS($L$6:L1045,$B$6:B1045,$B1045),2),""))</f>
        <v/>
      </c>
      <c r="O1045" s="46"/>
      <c r="P1045" s="47"/>
      <c r="Q1045" s="46"/>
      <c r="R1045" s="46"/>
      <c r="S1045" s="6" t="str">
        <f>IF($B1045="","",IF(ISNA(MATCH($B1045,账户名,0)),"※这个账户不在【参数设置】的账户档案里",IF($A1045="","※没填日期，这一笔不会进任何月份的报表",IF(AND($G1045&lt;&gt;"",$H1045&lt;&gt;""),"※收入和支出不能同时填",IF(AND(N($G1045)=0,N($H1045)=0),"※收入和支出都没填",IF($E1045="","※没填收支类别，分类报表会漏掉这一笔",IF(ISNA(MATCH($E1045,类别表,0)),"※收支类别不在【参数设置】的清单里",IF($J1045="","△"&amp;$D1045&amp;" 还没填汇率，去【月度汇率】补上就自动算了",IF(YEAR($A1045)&lt;&gt;管理年度,"△不是管理年度的单据，年报里看不到",IF(AND($F1045="内部转账",$Q1045=""),"△内部转账建议在「往来单位」写上对方账户",IF($M1045&lt;0,"△这一笔之后该账户余额成负数了，核一下","")))))))))))</f>
        <v/>
      </c>
    </row>
    <row r="1046" ht="16.5" spans="1:19">
      <c r="A1046" s="45"/>
      <c r="B1046" s="46"/>
      <c r="C1046" s="12" t="str">
        <f>IF($B1046="","",IFERROR(INDEX(账户银行,MATCH($B1046,账户名,0)),""))</f>
        <v/>
      </c>
      <c r="D1046" s="12" t="str">
        <f>IF($B1046="","",IFERROR(INDEX(账户币种,MATCH($B1046,账户名,0)),""))</f>
        <v/>
      </c>
      <c r="E1046" s="47"/>
      <c r="F1046" s="12" t="str">
        <f>IF($E1046="","",IFERROR(INDEX(类别属性,MATCH($E1046,类别表,0)),""))</f>
        <v/>
      </c>
      <c r="G1046" s="48"/>
      <c r="H1046" s="48"/>
      <c r="I1046" s="49"/>
      <c r="J1046" s="24" t="str">
        <f>IF(OR($A1046="",$B1046=""),"",IF($I1046&lt;&gt;"",$I1046,IF($D1046=本位币,1,IFERROR(LOOKUP(2,1/((汇率月份&lt;=$A1046)*(INDEX(记账汇率区,0,MATCH($D1046,汇率币种头,0))&lt;&gt;"")),INDEX(记账汇率区,0,MATCH($D1046,汇率币种头,0))),""))))</f>
        <v/>
      </c>
      <c r="K1046" s="23" t="str">
        <f t="shared" si="32"/>
        <v/>
      </c>
      <c r="L1046" s="23" t="str">
        <f t="shared" si="33"/>
        <v/>
      </c>
      <c r="M1046" s="23" t="str">
        <f>IF($B1046="","",ROUND(SUMIF(账户名,$B1046,账户期初)+SUMIFS($K$6:K1046,$B$6:B1046,$B1046),2))</f>
        <v/>
      </c>
      <c r="N1046" s="23" t="str">
        <f>IF($B1046="","",IFERROR(ROUND(INDEX(账户期初本位,MATCH($B1046,账户名,0))+SUMIFS($L$6:L1046,$B$6:B1046,$B1046),2),""))</f>
        <v/>
      </c>
      <c r="O1046" s="46"/>
      <c r="P1046" s="47"/>
      <c r="Q1046" s="46"/>
      <c r="R1046" s="46"/>
      <c r="S1046" s="6" t="str">
        <f>IF($B1046="","",IF(ISNA(MATCH($B1046,账户名,0)),"※这个账户不在【参数设置】的账户档案里",IF($A1046="","※没填日期，这一笔不会进任何月份的报表",IF(AND($G1046&lt;&gt;"",$H1046&lt;&gt;""),"※收入和支出不能同时填",IF(AND(N($G1046)=0,N($H1046)=0),"※收入和支出都没填",IF($E1046="","※没填收支类别，分类报表会漏掉这一笔",IF(ISNA(MATCH($E1046,类别表,0)),"※收支类别不在【参数设置】的清单里",IF($J1046="","△"&amp;$D1046&amp;" 还没填汇率，去【月度汇率】补上就自动算了",IF(YEAR($A1046)&lt;&gt;管理年度,"△不是管理年度的单据，年报里看不到",IF(AND($F1046="内部转账",$Q1046=""),"△内部转账建议在「往来单位」写上对方账户",IF($M1046&lt;0,"△这一笔之后该账户余额成负数了，核一下","")))))))))))</f>
        <v/>
      </c>
    </row>
    <row r="1047" ht="16.5" spans="1:19">
      <c r="A1047" s="45"/>
      <c r="B1047" s="46"/>
      <c r="C1047" s="12" t="str">
        <f>IF($B1047="","",IFERROR(INDEX(账户银行,MATCH($B1047,账户名,0)),""))</f>
        <v/>
      </c>
      <c r="D1047" s="12" t="str">
        <f>IF($B1047="","",IFERROR(INDEX(账户币种,MATCH($B1047,账户名,0)),""))</f>
        <v/>
      </c>
      <c r="E1047" s="47"/>
      <c r="F1047" s="12" t="str">
        <f>IF($E1047="","",IFERROR(INDEX(类别属性,MATCH($E1047,类别表,0)),""))</f>
        <v/>
      </c>
      <c r="G1047" s="48"/>
      <c r="H1047" s="48"/>
      <c r="I1047" s="49"/>
      <c r="J1047" s="24" t="str">
        <f>IF(OR($A1047="",$B1047=""),"",IF($I1047&lt;&gt;"",$I1047,IF($D1047=本位币,1,IFERROR(LOOKUP(2,1/((汇率月份&lt;=$A1047)*(INDEX(记账汇率区,0,MATCH($D1047,汇率币种头,0))&lt;&gt;"")),INDEX(记账汇率区,0,MATCH($D1047,汇率币种头,0))),""))))</f>
        <v/>
      </c>
      <c r="K1047" s="23" t="str">
        <f t="shared" si="32"/>
        <v/>
      </c>
      <c r="L1047" s="23" t="str">
        <f t="shared" si="33"/>
        <v/>
      </c>
      <c r="M1047" s="23" t="str">
        <f>IF($B1047="","",ROUND(SUMIF(账户名,$B1047,账户期初)+SUMIFS($K$6:K1047,$B$6:B1047,$B1047),2))</f>
        <v/>
      </c>
      <c r="N1047" s="23" t="str">
        <f>IF($B1047="","",IFERROR(ROUND(INDEX(账户期初本位,MATCH($B1047,账户名,0))+SUMIFS($L$6:L1047,$B$6:B1047,$B1047),2),""))</f>
        <v/>
      </c>
      <c r="O1047" s="46"/>
      <c r="P1047" s="47"/>
      <c r="Q1047" s="46"/>
      <c r="R1047" s="46"/>
      <c r="S1047" s="6" t="str">
        <f>IF($B1047="","",IF(ISNA(MATCH($B1047,账户名,0)),"※这个账户不在【参数设置】的账户档案里",IF($A1047="","※没填日期，这一笔不会进任何月份的报表",IF(AND($G1047&lt;&gt;"",$H1047&lt;&gt;""),"※收入和支出不能同时填",IF(AND(N($G1047)=0,N($H1047)=0),"※收入和支出都没填",IF($E1047="","※没填收支类别，分类报表会漏掉这一笔",IF(ISNA(MATCH($E1047,类别表,0)),"※收支类别不在【参数设置】的清单里",IF($J1047="","△"&amp;$D1047&amp;" 还没填汇率，去【月度汇率】补上就自动算了",IF(YEAR($A1047)&lt;&gt;管理年度,"△不是管理年度的单据，年报里看不到",IF(AND($F1047="内部转账",$Q1047=""),"△内部转账建议在「往来单位」写上对方账户",IF($M1047&lt;0,"△这一笔之后该账户余额成负数了，核一下","")))))))))))</f>
        <v/>
      </c>
    </row>
    <row r="1048" ht="16.5" spans="1:19">
      <c r="A1048" s="45"/>
      <c r="B1048" s="46"/>
      <c r="C1048" s="12" t="str">
        <f>IF($B1048="","",IFERROR(INDEX(账户银行,MATCH($B1048,账户名,0)),""))</f>
        <v/>
      </c>
      <c r="D1048" s="12" t="str">
        <f>IF($B1048="","",IFERROR(INDEX(账户币种,MATCH($B1048,账户名,0)),""))</f>
        <v/>
      </c>
      <c r="E1048" s="47"/>
      <c r="F1048" s="12" t="str">
        <f>IF($E1048="","",IFERROR(INDEX(类别属性,MATCH($E1048,类别表,0)),""))</f>
        <v/>
      </c>
      <c r="G1048" s="48"/>
      <c r="H1048" s="48"/>
      <c r="I1048" s="49"/>
      <c r="J1048" s="24" t="str">
        <f>IF(OR($A1048="",$B1048=""),"",IF($I1048&lt;&gt;"",$I1048,IF($D1048=本位币,1,IFERROR(LOOKUP(2,1/((汇率月份&lt;=$A1048)*(INDEX(记账汇率区,0,MATCH($D1048,汇率币种头,0))&lt;&gt;"")),INDEX(记账汇率区,0,MATCH($D1048,汇率币种头,0))),""))))</f>
        <v/>
      </c>
      <c r="K1048" s="23" t="str">
        <f t="shared" si="32"/>
        <v/>
      </c>
      <c r="L1048" s="23" t="str">
        <f t="shared" si="33"/>
        <v/>
      </c>
      <c r="M1048" s="23" t="str">
        <f>IF($B1048="","",ROUND(SUMIF(账户名,$B1048,账户期初)+SUMIFS($K$6:K1048,$B$6:B1048,$B1048),2))</f>
        <v/>
      </c>
      <c r="N1048" s="23" t="str">
        <f>IF($B1048="","",IFERROR(ROUND(INDEX(账户期初本位,MATCH($B1048,账户名,0))+SUMIFS($L$6:L1048,$B$6:B1048,$B1048),2),""))</f>
        <v/>
      </c>
      <c r="O1048" s="46"/>
      <c r="P1048" s="47"/>
      <c r="Q1048" s="46"/>
      <c r="R1048" s="46"/>
      <c r="S1048" s="6" t="str">
        <f>IF($B1048="","",IF(ISNA(MATCH($B1048,账户名,0)),"※这个账户不在【参数设置】的账户档案里",IF($A1048="","※没填日期，这一笔不会进任何月份的报表",IF(AND($G1048&lt;&gt;"",$H1048&lt;&gt;""),"※收入和支出不能同时填",IF(AND(N($G1048)=0,N($H1048)=0),"※收入和支出都没填",IF($E1048="","※没填收支类别，分类报表会漏掉这一笔",IF(ISNA(MATCH($E1048,类别表,0)),"※收支类别不在【参数设置】的清单里",IF($J1048="","△"&amp;$D1048&amp;" 还没填汇率，去【月度汇率】补上就自动算了",IF(YEAR($A1048)&lt;&gt;管理年度,"△不是管理年度的单据，年报里看不到",IF(AND($F1048="内部转账",$Q1048=""),"△内部转账建议在「往来单位」写上对方账户",IF($M1048&lt;0,"△这一笔之后该账户余额成负数了，核一下","")))))))))))</f>
        <v/>
      </c>
    </row>
    <row r="1049" ht="16.5" spans="1:19">
      <c r="A1049" s="45"/>
      <c r="B1049" s="46"/>
      <c r="C1049" s="12" t="str">
        <f>IF($B1049="","",IFERROR(INDEX(账户银行,MATCH($B1049,账户名,0)),""))</f>
        <v/>
      </c>
      <c r="D1049" s="12" t="str">
        <f>IF($B1049="","",IFERROR(INDEX(账户币种,MATCH($B1049,账户名,0)),""))</f>
        <v/>
      </c>
      <c r="E1049" s="47"/>
      <c r="F1049" s="12" t="str">
        <f>IF($E1049="","",IFERROR(INDEX(类别属性,MATCH($E1049,类别表,0)),""))</f>
        <v/>
      </c>
      <c r="G1049" s="48"/>
      <c r="H1049" s="48"/>
      <c r="I1049" s="49"/>
      <c r="J1049" s="24" t="str">
        <f>IF(OR($A1049="",$B1049=""),"",IF($I1049&lt;&gt;"",$I1049,IF($D1049=本位币,1,IFERROR(LOOKUP(2,1/((汇率月份&lt;=$A1049)*(INDEX(记账汇率区,0,MATCH($D1049,汇率币种头,0))&lt;&gt;"")),INDEX(记账汇率区,0,MATCH($D1049,汇率币种头,0))),""))))</f>
        <v/>
      </c>
      <c r="K1049" s="23" t="str">
        <f t="shared" si="32"/>
        <v/>
      </c>
      <c r="L1049" s="23" t="str">
        <f t="shared" si="33"/>
        <v/>
      </c>
      <c r="M1049" s="23" t="str">
        <f>IF($B1049="","",ROUND(SUMIF(账户名,$B1049,账户期初)+SUMIFS($K$6:K1049,$B$6:B1049,$B1049),2))</f>
        <v/>
      </c>
      <c r="N1049" s="23" t="str">
        <f>IF($B1049="","",IFERROR(ROUND(INDEX(账户期初本位,MATCH($B1049,账户名,0))+SUMIFS($L$6:L1049,$B$6:B1049,$B1049),2),""))</f>
        <v/>
      </c>
      <c r="O1049" s="46"/>
      <c r="P1049" s="47"/>
      <c r="Q1049" s="46"/>
      <c r="R1049" s="46"/>
      <c r="S1049" s="6" t="str">
        <f>IF($B1049="","",IF(ISNA(MATCH($B1049,账户名,0)),"※这个账户不在【参数设置】的账户档案里",IF($A1049="","※没填日期，这一笔不会进任何月份的报表",IF(AND($G1049&lt;&gt;"",$H1049&lt;&gt;""),"※收入和支出不能同时填",IF(AND(N($G1049)=0,N($H1049)=0),"※收入和支出都没填",IF($E1049="","※没填收支类别，分类报表会漏掉这一笔",IF(ISNA(MATCH($E1049,类别表,0)),"※收支类别不在【参数设置】的清单里",IF($J1049="","△"&amp;$D1049&amp;" 还没填汇率，去【月度汇率】补上就自动算了",IF(YEAR($A1049)&lt;&gt;管理年度,"△不是管理年度的单据，年报里看不到",IF(AND($F1049="内部转账",$Q1049=""),"△内部转账建议在「往来单位」写上对方账户",IF($M1049&lt;0,"△这一笔之后该账户余额成负数了，核一下","")))))))))))</f>
        <v/>
      </c>
    </row>
    <row r="1050" ht="16.5" spans="1:19">
      <c r="A1050" s="45"/>
      <c r="B1050" s="46"/>
      <c r="C1050" s="12" t="str">
        <f>IF($B1050="","",IFERROR(INDEX(账户银行,MATCH($B1050,账户名,0)),""))</f>
        <v/>
      </c>
      <c r="D1050" s="12" t="str">
        <f>IF($B1050="","",IFERROR(INDEX(账户币种,MATCH($B1050,账户名,0)),""))</f>
        <v/>
      </c>
      <c r="E1050" s="47"/>
      <c r="F1050" s="12" t="str">
        <f>IF($E1050="","",IFERROR(INDEX(类别属性,MATCH($E1050,类别表,0)),""))</f>
        <v/>
      </c>
      <c r="G1050" s="48"/>
      <c r="H1050" s="48"/>
      <c r="I1050" s="49"/>
      <c r="J1050" s="24" t="str">
        <f>IF(OR($A1050="",$B1050=""),"",IF($I1050&lt;&gt;"",$I1050,IF($D1050=本位币,1,IFERROR(LOOKUP(2,1/((汇率月份&lt;=$A1050)*(INDEX(记账汇率区,0,MATCH($D1050,汇率币种头,0))&lt;&gt;"")),INDEX(记账汇率区,0,MATCH($D1050,汇率币种头,0))),""))))</f>
        <v/>
      </c>
      <c r="K1050" s="23" t="str">
        <f t="shared" si="32"/>
        <v/>
      </c>
      <c r="L1050" s="23" t="str">
        <f t="shared" si="33"/>
        <v/>
      </c>
      <c r="M1050" s="23" t="str">
        <f>IF($B1050="","",ROUND(SUMIF(账户名,$B1050,账户期初)+SUMIFS($K$6:K1050,$B$6:B1050,$B1050),2))</f>
        <v/>
      </c>
      <c r="N1050" s="23" t="str">
        <f>IF($B1050="","",IFERROR(ROUND(INDEX(账户期初本位,MATCH($B1050,账户名,0))+SUMIFS($L$6:L1050,$B$6:B1050,$B1050),2),""))</f>
        <v/>
      </c>
      <c r="O1050" s="46"/>
      <c r="P1050" s="47"/>
      <c r="Q1050" s="46"/>
      <c r="R1050" s="46"/>
      <c r="S1050" s="6" t="str">
        <f>IF($B1050="","",IF(ISNA(MATCH($B1050,账户名,0)),"※这个账户不在【参数设置】的账户档案里",IF($A1050="","※没填日期，这一笔不会进任何月份的报表",IF(AND($G1050&lt;&gt;"",$H1050&lt;&gt;""),"※收入和支出不能同时填",IF(AND(N($G1050)=0,N($H1050)=0),"※收入和支出都没填",IF($E1050="","※没填收支类别，分类报表会漏掉这一笔",IF(ISNA(MATCH($E1050,类别表,0)),"※收支类别不在【参数设置】的清单里",IF($J1050="","△"&amp;$D1050&amp;" 还没填汇率，去【月度汇率】补上就自动算了",IF(YEAR($A1050)&lt;&gt;管理年度,"△不是管理年度的单据，年报里看不到",IF(AND($F1050="内部转账",$Q1050=""),"△内部转账建议在「往来单位」写上对方账户",IF($M1050&lt;0,"△这一笔之后该账户余额成负数了，核一下","")))))))))))</f>
        <v/>
      </c>
    </row>
    <row r="1051" ht="16.5" spans="1:19">
      <c r="A1051" s="45"/>
      <c r="B1051" s="46"/>
      <c r="C1051" s="12" t="str">
        <f>IF($B1051="","",IFERROR(INDEX(账户银行,MATCH($B1051,账户名,0)),""))</f>
        <v/>
      </c>
      <c r="D1051" s="12" t="str">
        <f>IF($B1051="","",IFERROR(INDEX(账户币种,MATCH($B1051,账户名,0)),""))</f>
        <v/>
      </c>
      <c r="E1051" s="47"/>
      <c r="F1051" s="12" t="str">
        <f>IF($E1051="","",IFERROR(INDEX(类别属性,MATCH($E1051,类别表,0)),""))</f>
        <v/>
      </c>
      <c r="G1051" s="48"/>
      <c r="H1051" s="48"/>
      <c r="I1051" s="49"/>
      <c r="J1051" s="24" t="str">
        <f>IF(OR($A1051="",$B1051=""),"",IF($I1051&lt;&gt;"",$I1051,IF($D1051=本位币,1,IFERROR(LOOKUP(2,1/((汇率月份&lt;=$A1051)*(INDEX(记账汇率区,0,MATCH($D1051,汇率币种头,0))&lt;&gt;"")),INDEX(记账汇率区,0,MATCH($D1051,汇率币种头,0))),""))))</f>
        <v/>
      </c>
      <c r="K1051" s="23" t="str">
        <f t="shared" si="32"/>
        <v/>
      </c>
      <c r="L1051" s="23" t="str">
        <f t="shared" si="33"/>
        <v/>
      </c>
      <c r="M1051" s="23" t="str">
        <f>IF($B1051="","",ROUND(SUMIF(账户名,$B1051,账户期初)+SUMIFS($K$6:K1051,$B$6:B1051,$B1051),2))</f>
        <v/>
      </c>
      <c r="N1051" s="23" t="str">
        <f>IF($B1051="","",IFERROR(ROUND(INDEX(账户期初本位,MATCH($B1051,账户名,0))+SUMIFS($L$6:L1051,$B$6:B1051,$B1051),2),""))</f>
        <v/>
      </c>
      <c r="O1051" s="46"/>
      <c r="P1051" s="47"/>
      <c r="Q1051" s="46"/>
      <c r="R1051" s="46"/>
      <c r="S1051" s="6" t="str">
        <f>IF($B1051="","",IF(ISNA(MATCH($B1051,账户名,0)),"※这个账户不在【参数设置】的账户档案里",IF($A1051="","※没填日期，这一笔不会进任何月份的报表",IF(AND($G1051&lt;&gt;"",$H1051&lt;&gt;""),"※收入和支出不能同时填",IF(AND(N($G1051)=0,N($H1051)=0),"※收入和支出都没填",IF($E1051="","※没填收支类别，分类报表会漏掉这一笔",IF(ISNA(MATCH($E1051,类别表,0)),"※收支类别不在【参数设置】的清单里",IF($J1051="","△"&amp;$D1051&amp;" 还没填汇率，去【月度汇率】补上就自动算了",IF(YEAR($A1051)&lt;&gt;管理年度,"△不是管理年度的单据，年报里看不到",IF(AND($F1051="内部转账",$Q1051=""),"△内部转账建议在「往来单位」写上对方账户",IF($M1051&lt;0,"△这一笔之后该账户余额成负数了，核一下","")))))))))))</f>
        <v/>
      </c>
    </row>
    <row r="1052" ht="16.5" spans="1:19">
      <c r="A1052" s="45"/>
      <c r="B1052" s="46"/>
      <c r="C1052" s="12" t="str">
        <f>IF($B1052="","",IFERROR(INDEX(账户银行,MATCH($B1052,账户名,0)),""))</f>
        <v/>
      </c>
      <c r="D1052" s="12" t="str">
        <f>IF($B1052="","",IFERROR(INDEX(账户币种,MATCH($B1052,账户名,0)),""))</f>
        <v/>
      </c>
      <c r="E1052" s="47"/>
      <c r="F1052" s="12" t="str">
        <f>IF($E1052="","",IFERROR(INDEX(类别属性,MATCH($E1052,类别表,0)),""))</f>
        <v/>
      </c>
      <c r="G1052" s="48"/>
      <c r="H1052" s="48"/>
      <c r="I1052" s="49"/>
      <c r="J1052" s="24" t="str">
        <f>IF(OR($A1052="",$B1052=""),"",IF($I1052&lt;&gt;"",$I1052,IF($D1052=本位币,1,IFERROR(LOOKUP(2,1/((汇率月份&lt;=$A1052)*(INDEX(记账汇率区,0,MATCH($D1052,汇率币种头,0))&lt;&gt;"")),INDEX(记账汇率区,0,MATCH($D1052,汇率币种头,0))),""))))</f>
        <v/>
      </c>
      <c r="K1052" s="23" t="str">
        <f t="shared" si="32"/>
        <v/>
      </c>
      <c r="L1052" s="23" t="str">
        <f t="shared" si="33"/>
        <v/>
      </c>
      <c r="M1052" s="23" t="str">
        <f>IF($B1052="","",ROUND(SUMIF(账户名,$B1052,账户期初)+SUMIFS($K$6:K1052,$B$6:B1052,$B1052),2))</f>
        <v/>
      </c>
      <c r="N1052" s="23" t="str">
        <f>IF($B1052="","",IFERROR(ROUND(INDEX(账户期初本位,MATCH($B1052,账户名,0))+SUMIFS($L$6:L1052,$B$6:B1052,$B1052),2),""))</f>
        <v/>
      </c>
      <c r="O1052" s="46"/>
      <c r="P1052" s="47"/>
      <c r="Q1052" s="46"/>
      <c r="R1052" s="46"/>
      <c r="S1052" s="6" t="str">
        <f>IF($B1052="","",IF(ISNA(MATCH($B1052,账户名,0)),"※这个账户不在【参数设置】的账户档案里",IF($A1052="","※没填日期，这一笔不会进任何月份的报表",IF(AND($G1052&lt;&gt;"",$H1052&lt;&gt;""),"※收入和支出不能同时填",IF(AND(N($G1052)=0,N($H1052)=0),"※收入和支出都没填",IF($E1052="","※没填收支类别，分类报表会漏掉这一笔",IF(ISNA(MATCH($E1052,类别表,0)),"※收支类别不在【参数设置】的清单里",IF($J1052="","△"&amp;$D1052&amp;" 还没填汇率，去【月度汇率】补上就自动算了",IF(YEAR($A1052)&lt;&gt;管理年度,"△不是管理年度的单据，年报里看不到",IF(AND($F1052="内部转账",$Q1052=""),"△内部转账建议在「往来单位」写上对方账户",IF($M1052&lt;0,"△这一笔之后该账户余额成负数了，核一下","")))))))))))</f>
        <v/>
      </c>
    </row>
    <row r="1053" ht="16.5" spans="1:19">
      <c r="A1053" s="45"/>
      <c r="B1053" s="46"/>
      <c r="C1053" s="12" t="str">
        <f>IF($B1053="","",IFERROR(INDEX(账户银行,MATCH($B1053,账户名,0)),""))</f>
        <v/>
      </c>
      <c r="D1053" s="12" t="str">
        <f>IF($B1053="","",IFERROR(INDEX(账户币种,MATCH($B1053,账户名,0)),""))</f>
        <v/>
      </c>
      <c r="E1053" s="47"/>
      <c r="F1053" s="12" t="str">
        <f>IF($E1053="","",IFERROR(INDEX(类别属性,MATCH($E1053,类别表,0)),""))</f>
        <v/>
      </c>
      <c r="G1053" s="48"/>
      <c r="H1053" s="48"/>
      <c r="I1053" s="49"/>
      <c r="J1053" s="24" t="str">
        <f>IF(OR($A1053="",$B1053=""),"",IF($I1053&lt;&gt;"",$I1053,IF($D1053=本位币,1,IFERROR(LOOKUP(2,1/((汇率月份&lt;=$A1053)*(INDEX(记账汇率区,0,MATCH($D1053,汇率币种头,0))&lt;&gt;"")),INDEX(记账汇率区,0,MATCH($D1053,汇率币种头,0))),""))))</f>
        <v/>
      </c>
      <c r="K1053" s="23" t="str">
        <f t="shared" si="32"/>
        <v/>
      </c>
      <c r="L1053" s="23" t="str">
        <f t="shared" si="33"/>
        <v/>
      </c>
      <c r="M1053" s="23" t="str">
        <f>IF($B1053="","",ROUND(SUMIF(账户名,$B1053,账户期初)+SUMIFS($K$6:K1053,$B$6:B1053,$B1053),2))</f>
        <v/>
      </c>
      <c r="N1053" s="23" t="str">
        <f>IF($B1053="","",IFERROR(ROUND(INDEX(账户期初本位,MATCH($B1053,账户名,0))+SUMIFS($L$6:L1053,$B$6:B1053,$B1053),2),""))</f>
        <v/>
      </c>
      <c r="O1053" s="46"/>
      <c r="P1053" s="47"/>
      <c r="Q1053" s="46"/>
      <c r="R1053" s="46"/>
      <c r="S1053" s="6" t="str">
        <f>IF($B1053="","",IF(ISNA(MATCH($B1053,账户名,0)),"※这个账户不在【参数设置】的账户档案里",IF($A1053="","※没填日期，这一笔不会进任何月份的报表",IF(AND($G1053&lt;&gt;"",$H1053&lt;&gt;""),"※收入和支出不能同时填",IF(AND(N($G1053)=0,N($H1053)=0),"※收入和支出都没填",IF($E1053="","※没填收支类别，分类报表会漏掉这一笔",IF(ISNA(MATCH($E1053,类别表,0)),"※收支类别不在【参数设置】的清单里",IF($J1053="","△"&amp;$D1053&amp;" 还没填汇率，去【月度汇率】补上就自动算了",IF(YEAR($A1053)&lt;&gt;管理年度,"△不是管理年度的单据，年报里看不到",IF(AND($F1053="内部转账",$Q1053=""),"△内部转账建议在「往来单位」写上对方账户",IF($M1053&lt;0,"△这一笔之后该账户余额成负数了，核一下","")))))))))))</f>
        <v/>
      </c>
    </row>
    <row r="1054" ht="16.5" spans="1:19">
      <c r="A1054" s="45"/>
      <c r="B1054" s="46"/>
      <c r="C1054" s="12" t="str">
        <f>IF($B1054="","",IFERROR(INDEX(账户银行,MATCH($B1054,账户名,0)),""))</f>
        <v/>
      </c>
      <c r="D1054" s="12" t="str">
        <f>IF($B1054="","",IFERROR(INDEX(账户币种,MATCH($B1054,账户名,0)),""))</f>
        <v/>
      </c>
      <c r="E1054" s="47"/>
      <c r="F1054" s="12" t="str">
        <f>IF($E1054="","",IFERROR(INDEX(类别属性,MATCH($E1054,类别表,0)),""))</f>
        <v/>
      </c>
      <c r="G1054" s="48"/>
      <c r="H1054" s="48"/>
      <c r="I1054" s="49"/>
      <c r="J1054" s="24" t="str">
        <f>IF(OR($A1054="",$B1054=""),"",IF($I1054&lt;&gt;"",$I1054,IF($D1054=本位币,1,IFERROR(LOOKUP(2,1/((汇率月份&lt;=$A1054)*(INDEX(记账汇率区,0,MATCH($D1054,汇率币种头,0))&lt;&gt;"")),INDEX(记账汇率区,0,MATCH($D1054,汇率币种头,0))),""))))</f>
        <v/>
      </c>
      <c r="K1054" s="23" t="str">
        <f t="shared" si="32"/>
        <v/>
      </c>
      <c r="L1054" s="23" t="str">
        <f t="shared" si="33"/>
        <v/>
      </c>
      <c r="M1054" s="23" t="str">
        <f>IF($B1054="","",ROUND(SUMIF(账户名,$B1054,账户期初)+SUMIFS($K$6:K1054,$B$6:B1054,$B1054),2))</f>
        <v/>
      </c>
      <c r="N1054" s="23" t="str">
        <f>IF($B1054="","",IFERROR(ROUND(INDEX(账户期初本位,MATCH($B1054,账户名,0))+SUMIFS($L$6:L1054,$B$6:B1054,$B1054),2),""))</f>
        <v/>
      </c>
      <c r="O1054" s="46"/>
      <c r="P1054" s="47"/>
      <c r="Q1054" s="46"/>
      <c r="R1054" s="46"/>
      <c r="S1054" s="6" t="str">
        <f>IF($B1054="","",IF(ISNA(MATCH($B1054,账户名,0)),"※这个账户不在【参数设置】的账户档案里",IF($A1054="","※没填日期，这一笔不会进任何月份的报表",IF(AND($G1054&lt;&gt;"",$H1054&lt;&gt;""),"※收入和支出不能同时填",IF(AND(N($G1054)=0,N($H1054)=0),"※收入和支出都没填",IF($E1054="","※没填收支类别，分类报表会漏掉这一笔",IF(ISNA(MATCH($E1054,类别表,0)),"※收支类别不在【参数设置】的清单里",IF($J1054="","△"&amp;$D1054&amp;" 还没填汇率，去【月度汇率】补上就自动算了",IF(YEAR($A1054)&lt;&gt;管理年度,"△不是管理年度的单据，年报里看不到",IF(AND($F1054="内部转账",$Q1054=""),"△内部转账建议在「往来单位」写上对方账户",IF($M1054&lt;0,"△这一笔之后该账户余额成负数了，核一下","")))))))))))</f>
        <v/>
      </c>
    </row>
    <row r="1055" ht="16.5" spans="1:19">
      <c r="A1055" s="45"/>
      <c r="B1055" s="46"/>
      <c r="C1055" s="12" t="str">
        <f>IF($B1055="","",IFERROR(INDEX(账户银行,MATCH($B1055,账户名,0)),""))</f>
        <v/>
      </c>
      <c r="D1055" s="12" t="str">
        <f>IF($B1055="","",IFERROR(INDEX(账户币种,MATCH($B1055,账户名,0)),""))</f>
        <v/>
      </c>
      <c r="E1055" s="47"/>
      <c r="F1055" s="12" t="str">
        <f>IF($E1055="","",IFERROR(INDEX(类别属性,MATCH($E1055,类别表,0)),""))</f>
        <v/>
      </c>
      <c r="G1055" s="48"/>
      <c r="H1055" s="48"/>
      <c r="I1055" s="49"/>
      <c r="J1055" s="24" t="str">
        <f>IF(OR($A1055="",$B1055=""),"",IF($I1055&lt;&gt;"",$I1055,IF($D1055=本位币,1,IFERROR(LOOKUP(2,1/((汇率月份&lt;=$A1055)*(INDEX(记账汇率区,0,MATCH($D1055,汇率币种头,0))&lt;&gt;"")),INDEX(记账汇率区,0,MATCH($D1055,汇率币种头,0))),""))))</f>
        <v/>
      </c>
      <c r="K1055" s="23" t="str">
        <f t="shared" si="32"/>
        <v/>
      </c>
      <c r="L1055" s="23" t="str">
        <f t="shared" si="33"/>
        <v/>
      </c>
      <c r="M1055" s="23" t="str">
        <f>IF($B1055="","",ROUND(SUMIF(账户名,$B1055,账户期初)+SUMIFS($K$6:K1055,$B$6:B1055,$B1055),2))</f>
        <v/>
      </c>
      <c r="N1055" s="23" t="str">
        <f>IF($B1055="","",IFERROR(ROUND(INDEX(账户期初本位,MATCH($B1055,账户名,0))+SUMIFS($L$6:L1055,$B$6:B1055,$B1055),2),""))</f>
        <v/>
      </c>
      <c r="O1055" s="46"/>
      <c r="P1055" s="47"/>
      <c r="Q1055" s="46"/>
      <c r="R1055" s="46"/>
      <c r="S1055" s="6" t="str">
        <f>IF($B1055="","",IF(ISNA(MATCH($B1055,账户名,0)),"※这个账户不在【参数设置】的账户档案里",IF($A1055="","※没填日期，这一笔不会进任何月份的报表",IF(AND($G1055&lt;&gt;"",$H1055&lt;&gt;""),"※收入和支出不能同时填",IF(AND(N($G1055)=0,N($H1055)=0),"※收入和支出都没填",IF($E1055="","※没填收支类别，分类报表会漏掉这一笔",IF(ISNA(MATCH($E1055,类别表,0)),"※收支类别不在【参数设置】的清单里",IF($J1055="","△"&amp;$D1055&amp;" 还没填汇率，去【月度汇率】补上就自动算了",IF(YEAR($A1055)&lt;&gt;管理年度,"△不是管理年度的单据，年报里看不到",IF(AND($F1055="内部转账",$Q1055=""),"△内部转账建议在「往来单位」写上对方账户",IF($M1055&lt;0,"△这一笔之后该账户余额成负数了，核一下","")))))))))))</f>
        <v/>
      </c>
    </row>
    <row r="1056" ht="16.5" spans="1:19">
      <c r="A1056" s="45"/>
      <c r="B1056" s="46"/>
      <c r="C1056" s="12" t="str">
        <f>IF($B1056="","",IFERROR(INDEX(账户银行,MATCH($B1056,账户名,0)),""))</f>
        <v/>
      </c>
      <c r="D1056" s="12" t="str">
        <f>IF($B1056="","",IFERROR(INDEX(账户币种,MATCH($B1056,账户名,0)),""))</f>
        <v/>
      </c>
      <c r="E1056" s="47"/>
      <c r="F1056" s="12" t="str">
        <f>IF($E1056="","",IFERROR(INDEX(类别属性,MATCH($E1056,类别表,0)),""))</f>
        <v/>
      </c>
      <c r="G1056" s="48"/>
      <c r="H1056" s="48"/>
      <c r="I1056" s="49"/>
      <c r="J1056" s="24" t="str">
        <f>IF(OR($A1056="",$B1056=""),"",IF($I1056&lt;&gt;"",$I1056,IF($D1056=本位币,1,IFERROR(LOOKUP(2,1/((汇率月份&lt;=$A1056)*(INDEX(记账汇率区,0,MATCH($D1056,汇率币种头,0))&lt;&gt;"")),INDEX(记账汇率区,0,MATCH($D1056,汇率币种头,0))),""))))</f>
        <v/>
      </c>
      <c r="K1056" s="23" t="str">
        <f t="shared" si="32"/>
        <v/>
      </c>
      <c r="L1056" s="23" t="str">
        <f t="shared" si="33"/>
        <v/>
      </c>
      <c r="M1056" s="23" t="str">
        <f>IF($B1056="","",ROUND(SUMIF(账户名,$B1056,账户期初)+SUMIFS($K$6:K1056,$B$6:B1056,$B1056),2))</f>
        <v/>
      </c>
      <c r="N1056" s="23" t="str">
        <f>IF($B1056="","",IFERROR(ROUND(INDEX(账户期初本位,MATCH($B1056,账户名,0))+SUMIFS($L$6:L1056,$B$6:B1056,$B1056),2),""))</f>
        <v/>
      </c>
      <c r="O1056" s="46"/>
      <c r="P1056" s="47"/>
      <c r="Q1056" s="46"/>
      <c r="R1056" s="46"/>
      <c r="S1056" s="6" t="str">
        <f>IF($B1056="","",IF(ISNA(MATCH($B1056,账户名,0)),"※这个账户不在【参数设置】的账户档案里",IF($A1056="","※没填日期，这一笔不会进任何月份的报表",IF(AND($G1056&lt;&gt;"",$H1056&lt;&gt;""),"※收入和支出不能同时填",IF(AND(N($G1056)=0,N($H1056)=0),"※收入和支出都没填",IF($E1056="","※没填收支类别，分类报表会漏掉这一笔",IF(ISNA(MATCH($E1056,类别表,0)),"※收支类别不在【参数设置】的清单里",IF($J1056="","△"&amp;$D1056&amp;" 还没填汇率，去【月度汇率】补上就自动算了",IF(YEAR($A1056)&lt;&gt;管理年度,"△不是管理年度的单据，年报里看不到",IF(AND($F1056="内部转账",$Q1056=""),"△内部转账建议在「往来单位」写上对方账户",IF($M1056&lt;0,"△这一笔之后该账户余额成负数了，核一下","")))))))))))</f>
        <v/>
      </c>
    </row>
    <row r="1057" ht="16.5" spans="1:19">
      <c r="A1057" s="45"/>
      <c r="B1057" s="46"/>
      <c r="C1057" s="12" t="str">
        <f>IF($B1057="","",IFERROR(INDEX(账户银行,MATCH($B1057,账户名,0)),""))</f>
        <v/>
      </c>
      <c r="D1057" s="12" t="str">
        <f>IF($B1057="","",IFERROR(INDEX(账户币种,MATCH($B1057,账户名,0)),""))</f>
        <v/>
      </c>
      <c r="E1057" s="47"/>
      <c r="F1057" s="12" t="str">
        <f>IF($E1057="","",IFERROR(INDEX(类别属性,MATCH($E1057,类别表,0)),""))</f>
        <v/>
      </c>
      <c r="G1057" s="48"/>
      <c r="H1057" s="48"/>
      <c r="I1057" s="49"/>
      <c r="J1057" s="24" t="str">
        <f>IF(OR($A1057="",$B1057=""),"",IF($I1057&lt;&gt;"",$I1057,IF($D1057=本位币,1,IFERROR(LOOKUP(2,1/((汇率月份&lt;=$A1057)*(INDEX(记账汇率区,0,MATCH($D1057,汇率币种头,0))&lt;&gt;"")),INDEX(记账汇率区,0,MATCH($D1057,汇率币种头,0))),""))))</f>
        <v/>
      </c>
      <c r="K1057" s="23" t="str">
        <f t="shared" si="32"/>
        <v/>
      </c>
      <c r="L1057" s="23" t="str">
        <f t="shared" si="33"/>
        <v/>
      </c>
      <c r="M1057" s="23" t="str">
        <f>IF($B1057="","",ROUND(SUMIF(账户名,$B1057,账户期初)+SUMIFS($K$6:K1057,$B$6:B1057,$B1057),2))</f>
        <v/>
      </c>
      <c r="N1057" s="23" t="str">
        <f>IF($B1057="","",IFERROR(ROUND(INDEX(账户期初本位,MATCH($B1057,账户名,0))+SUMIFS($L$6:L1057,$B$6:B1057,$B1057),2),""))</f>
        <v/>
      </c>
      <c r="O1057" s="46"/>
      <c r="P1057" s="47"/>
      <c r="Q1057" s="46"/>
      <c r="R1057" s="46"/>
      <c r="S1057" s="6" t="str">
        <f>IF($B1057="","",IF(ISNA(MATCH($B1057,账户名,0)),"※这个账户不在【参数设置】的账户档案里",IF($A1057="","※没填日期，这一笔不会进任何月份的报表",IF(AND($G1057&lt;&gt;"",$H1057&lt;&gt;""),"※收入和支出不能同时填",IF(AND(N($G1057)=0,N($H1057)=0),"※收入和支出都没填",IF($E1057="","※没填收支类别，分类报表会漏掉这一笔",IF(ISNA(MATCH($E1057,类别表,0)),"※收支类别不在【参数设置】的清单里",IF($J1057="","△"&amp;$D1057&amp;" 还没填汇率，去【月度汇率】补上就自动算了",IF(YEAR($A1057)&lt;&gt;管理年度,"△不是管理年度的单据，年报里看不到",IF(AND($F1057="内部转账",$Q1057=""),"△内部转账建议在「往来单位」写上对方账户",IF($M1057&lt;0,"△这一笔之后该账户余额成负数了，核一下","")))))))))))</f>
        <v/>
      </c>
    </row>
    <row r="1058" ht="16.5" spans="1:19">
      <c r="A1058" s="45"/>
      <c r="B1058" s="46"/>
      <c r="C1058" s="12" t="str">
        <f>IF($B1058="","",IFERROR(INDEX(账户银行,MATCH($B1058,账户名,0)),""))</f>
        <v/>
      </c>
      <c r="D1058" s="12" t="str">
        <f>IF($B1058="","",IFERROR(INDEX(账户币种,MATCH($B1058,账户名,0)),""))</f>
        <v/>
      </c>
      <c r="E1058" s="47"/>
      <c r="F1058" s="12" t="str">
        <f>IF($E1058="","",IFERROR(INDEX(类别属性,MATCH($E1058,类别表,0)),""))</f>
        <v/>
      </c>
      <c r="G1058" s="48"/>
      <c r="H1058" s="48"/>
      <c r="I1058" s="49"/>
      <c r="J1058" s="24" t="str">
        <f>IF(OR($A1058="",$B1058=""),"",IF($I1058&lt;&gt;"",$I1058,IF($D1058=本位币,1,IFERROR(LOOKUP(2,1/((汇率月份&lt;=$A1058)*(INDEX(记账汇率区,0,MATCH($D1058,汇率币种头,0))&lt;&gt;"")),INDEX(记账汇率区,0,MATCH($D1058,汇率币种头,0))),""))))</f>
        <v/>
      </c>
      <c r="K1058" s="23" t="str">
        <f t="shared" si="32"/>
        <v/>
      </c>
      <c r="L1058" s="23" t="str">
        <f t="shared" si="33"/>
        <v/>
      </c>
      <c r="M1058" s="23" t="str">
        <f>IF($B1058="","",ROUND(SUMIF(账户名,$B1058,账户期初)+SUMIFS($K$6:K1058,$B$6:B1058,$B1058),2))</f>
        <v/>
      </c>
      <c r="N1058" s="23" t="str">
        <f>IF($B1058="","",IFERROR(ROUND(INDEX(账户期初本位,MATCH($B1058,账户名,0))+SUMIFS($L$6:L1058,$B$6:B1058,$B1058),2),""))</f>
        <v/>
      </c>
      <c r="O1058" s="46"/>
      <c r="P1058" s="47"/>
      <c r="Q1058" s="46"/>
      <c r="R1058" s="46"/>
      <c r="S1058" s="6" t="str">
        <f>IF($B1058="","",IF(ISNA(MATCH($B1058,账户名,0)),"※这个账户不在【参数设置】的账户档案里",IF($A1058="","※没填日期，这一笔不会进任何月份的报表",IF(AND($G1058&lt;&gt;"",$H1058&lt;&gt;""),"※收入和支出不能同时填",IF(AND(N($G1058)=0,N($H1058)=0),"※收入和支出都没填",IF($E1058="","※没填收支类别，分类报表会漏掉这一笔",IF(ISNA(MATCH($E1058,类别表,0)),"※收支类别不在【参数设置】的清单里",IF($J1058="","△"&amp;$D1058&amp;" 还没填汇率，去【月度汇率】补上就自动算了",IF(YEAR($A1058)&lt;&gt;管理年度,"△不是管理年度的单据，年报里看不到",IF(AND($F1058="内部转账",$Q1058=""),"△内部转账建议在「往来单位」写上对方账户",IF($M1058&lt;0,"△这一笔之后该账户余额成负数了，核一下","")))))))))))</f>
        <v/>
      </c>
    </row>
    <row r="1059" ht="16.5" spans="1:19">
      <c r="A1059" s="45"/>
      <c r="B1059" s="46"/>
      <c r="C1059" s="12" t="str">
        <f>IF($B1059="","",IFERROR(INDEX(账户银行,MATCH($B1059,账户名,0)),""))</f>
        <v/>
      </c>
      <c r="D1059" s="12" t="str">
        <f>IF($B1059="","",IFERROR(INDEX(账户币种,MATCH($B1059,账户名,0)),""))</f>
        <v/>
      </c>
      <c r="E1059" s="47"/>
      <c r="F1059" s="12" t="str">
        <f>IF($E1059="","",IFERROR(INDEX(类别属性,MATCH($E1059,类别表,0)),""))</f>
        <v/>
      </c>
      <c r="G1059" s="48"/>
      <c r="H1059" s="48"/>
      <c r="I1059" s="49"/>
      <c r="J1059" s="24" t="str">
        <f>IF(OR($A1059="",$B1059=""),"",IF($I1059&lt;&gt;"",$I1059,IF($D1059=本位币,1,IFERROR(LOOKUP(2,1/((汇率月份&lt;=$A1059)*(INDEX(记账汇率区,0,MATCH($D1059,汇率币种头,0))&lt;&gt;"")),INDEX(记账汇率区,0,MATCH($D1059,汇率币种头,0))),""))))</f>
        <v/>
      </c>
      <c r="K1059" s="23" t="str">
        <f t="shared" si="32"/>
        <v/>
      </c>
      <c r="L1059" s="23" t="str">
        <f t="shared" si="33"/>
        <v/>
      </c>
      <c r="M1059" s="23" t="str">
        <f>IF($B1059="","",ROUND(SUMIF(账户名,$B1059,账户期初)+SUMIFS($K$6:K1059,$B$6:B1059,$B1059),2))</f>
        <v/>
      </c>
      <c r="N1059" s="23" t="str">
        <f>IF($B1059="","",IFERROR(ROUND(INDEX(账户期初本位,MATCH($B1059,账户名,0))+SUMIFS($L$6:L1059,$B$6:B1059,$B1059),2),""))</f>
        <v/>
      </c>
      <c r="O1059" s="46"/>
      <c r="P1059" s="47"/>
      <c r="Q1059" s="46"/>
      <c r="R1059" s="46"/>
      <c r="S1059" s="6" t="str">
        <f>IF($B1059="","",IF(ISNA(MATCH($B1059,账户名,0)),"※这个账户不在【参数设置】的账户档案里",IF($A1059="","※没填日期，这一笔不会进任何月份的报表",IF(AND($G1059&lt;&gt;"",$H1059&lt;&gt;""),"※收入和支出不能同时填",IF(AND(N($G1059)=0,N($H1059)=0),"※收入和支出都没填",IF($E1059="","※没填收支类别，分类报表会漏掉这一笔",IF(ISNA(MATCH($E1059,类别表,0)),"※收支类别不在【参数设置】的清单里",IF($J1059="","△"&amp;$D1059&amp;" 还没填汇率，去【月度汇率】补上就自动算了",IF(YEAR($A1059)&lt;&gt;管理年度,"△不是管理年度的单据，年报里看不到",IF(AND($F1059="内部转账",$Q1059=""),"△内部转账建议在「往来单位」写上对方账户",IF($M1059&lt;0,"△这一笔之后该账户余额成负数了，核一下","")))))))))))</f>
        <v/>
      </c>
    </row>
    <row r="1060" ht="16.5" spans="1:19">
      <c r="A1060" s="45"/>
      <c r="B1060" s="46"/>
      <c r="C1060" s="12" t="str">
        <f>IF($B1060="","",IFERROR(INDEX(账户银行,MATCH($B1060,账户名,0)),""))</f>
        <v/>
      </c>
      <c r="D1060" s="12" t="str">
        <f>IF($B1060="","",IFERROR(INDEX(账户币种,MATCH($B1060,账户名,0)),""))</f>
        <v/>
      </c>
      <c r="E1060" s="47"/>
      <c r="F1060" s="12" t="str">
        <f>IF($E1060="","",IFERROR(INDEX(类别属性,MATCH($E1060,类别表,0)),""))</f>
        <v/>
      </c>
      <c r="G1060" s="48"/>
      <c r="H1060" s="48"/>
      <c r="I1060" s="49"/>
      <c r="J1060" s="24" t="str">
        <f>IF(OR($A1060="",$B1060=""),"",IF($I1060&lt;&gt;"",$I1060,IF($D1060=本位币,1,IFERROR(LOOKUP(2,1/((汇率月份&lt;=$A1060)*(INDEX(记账汇率区,0,MATCH($D1060,汇率币种头,0))&lt;&gt;"")),INDEX(记账汇率区,0,MATCH($D1060,汇率币种头,0))),""))))</f>
        <v/>
      </c>
      <c r="K1060" s="23" t="str">
        <f t="shared" si="32"/>
        <v/>
      </c>
      <c r="L1060" s="23" t="str">
        <f t="shared" si="33"/>
        <v/>
      </c>
      <c r="M1060" s="23" t="str">
        <f>IF($B1060="","",ROUND(SUMIF(账户名,$B1060,账户期初)+SUMIFS($K$6:K1060,$B$6:B1060,$B1060),2))</f>
        <v/>
      </c>
      <c r="N1060" s="23" t="str">
        <f>IF($B1060="","",IFERROR(ROUND(INDEX(账户期初本位,MATCH($B1060,账户名,0))+SUMIFS($L$6:L1060,$B$6:B1060,$B1060),2),""))</f>
        <v/>
      </c>
      <c r="O1060" s="46"/>
      <c r="P1060" s="47"/>
      <c r="Q1060" s="46"/>
      <c r="R1060" s="46"/>
      <c r="S1060" s="6" t="str">
        <f>IF($B1060="","",IF(ISNA(MATCH($B1060,账户名,0)),"※这个账户不在【参数设置】的账户档案里",IF($A1060="","※没填日期，这一笔不会进任何月份的报表",IF(AND($G1060&lt;&gt;"",$H1060&lt;&gt;""),"※收入和支出不能同时填",IF(AND(N($G1060)=0,N($H1060)=0),"※收入和支出都没填",IF($E1060="","※没填收支类别，分类报表会漏掉这一笔",IF(ISNA(MATCH($E1060,类别表,0)),"※收支类别不在【参数设置】的清单里",IF($J1060="","△"&amp;$D1060&amp;" 还没填汇率，去【月度汇率】补上就自动算了",IF(YEAR($A1060)&lt;&gt;管理年度,"△不是管理年度的单据，年报里看不到",IF(AND($F1060="内部转账",$Q1060=""),"△内部转账建议在「往来单位」写上对方账户",IF($M1060&lt;0,"△这一笔之后该账户余额成负数了，核一下","")))))))))))</f>
        <v/>
      </c>
    </row>
    <row r="1061" ht="16.5" spans="1:19">
      <c r="A1061" s="45"/>
      <c r="B1061" s="46"/>
      <c r="C1061" s="12" t="str">
        <f>IF($B1061="","",IFERROR(INDEX(账户银行,MATCH($B1061,账户名,0)),""))</f>
        <v/>
      </c>
      <c r="D1061" s="12" t="str">
        <f>IF($B1061="","",IFERROR(INDEX(账户币种,MATCH($B1061,账户名,0)),""))</f>
        <v/>
      </c>
      <c r="E1061" s="47"/>
      <c r="F1061" s="12" t="str">
        <f>IF($E1061="","",IFERROR(INDEX(类别属性,MATCH($E1061,类别表,0)),""))</f>
        <v/>
      </c>
      <c r="G1061" s="48"/>
      <c r="H1061" s="48"/>
      <c r="I1061" s="49"/>
      <c r="J1061" s="24" t="str">
        <f>IF(OR($A1061="",$B1061=""),"",IF($I1061&lt;&gt;"",$I1061,IF($D1061=本位币,1,IFERROR(LOOKUP(2,1/((汇率月份&lt;=$A1061)*(INDEX(记账汇率区,0,MATCH($D1061,汇率币种头,0))&lt;&gt;"")),INDEX(记账汇率区,0,MATCH($D1061,汇率币种头,0))),""))))</f>
        <v/>
      </c>
      <c r="K1061" s="23" t="str">
        <f t="shared" si="32"/>
        <v/>
      </c>
      <c r="L1061" s="23" t="str">
        <f t="shared" si="33"/>
        <v/>
      </c>
      <c r="M1061" s="23" t="str">
        <f>IF($B1061="","",ROUND(SUMIF(账户名,$B1061,账户期初)+SUMIFS($K$6:K1061,$B$6:B1061,$B1061),2))</f>
        <v/>
      </c>
      <c r="N1061" s="23" t="str">
        <f>IF($B1061="","",IFERROR(ROUND(INDEX(账户期初本位,MATCH($B1061,账户名,0))+SUMIFS($L$6:L1061,$B$6:B1061,$B1061),2),""))</f>
        <v/>
      </c>
      <c r="O1061" s="46"/>
      <c r="P1061" s="47"/>
      <c r="Q1061" s="46"/>
      <c r="R1061" s="46"/>
      <c r="S1061" s="6" t="str">
        <f>IF($B1061="","",IF(ISNA(MATCH($B1061,账户名,0)),"※这个账户不在【参数设置】的账户档案里",IF($A1061="","※没填日期，这一笔不会进任何月份的报表",IF(AND($G1061&lt;&gt;"",$H1061&lt;&gt;""),"※收入和支出不能同时填",IF(AND(N($G1061)=0,N($H1061)=0),"※收入和支出都没填",IF($E1061="","※没填收支类别，分类报表会漏掉这一笔",IF(ISNA(MATCH($E1061,类别表,0)),"※收支类别不在【参数设置】的清单里",IF($J1061="","△"&amp;$D1061&amp;" 还没填汇率，去【月度汇率】补上就自动算了",IF(YEAR($A1061)&lt;&gt;管理年度,"△不是管理年度的单据，年报里看不到",IF(AND($F1061="内部转账",$Q1061=""),"△内部转账建议在「往来单位」写上对方账户",IF($M1061&lt;0,"△这一笔之后该账户余额成负数了，核一下","")))))))))))</f>
        <v/>
      </c>
    </row>
    <row r="1062" ht="16.5" spans="1:19">
      <c r="A1062" s="45"/>
      <c r="B1062" s="46"/>
      <c r="C1062" s="12" t="str">
        <f>IF($B1062="","",IFERROR(INDEX(账户银行,MATCH($B1062,账户名,0)),""))</f>
        <v/>
      </c>
      <c r="D1062" s="12" t="str">
        <f>IF($B1062="","",IFERROR(INDEX(账户币种,MATCH($B1062,账户名,0)),""))</f>
        <v/>
      </c>
      <c r="E1062" s="47"/>
      <c r="F1062" s="12" t="str">
        <f>IF($E1062="","",IFERROR(INDEX(类别属性,MATCH($E1062,类别表,0)),""))</f>
        <v/>
      </c>
      <c r="G1062" s="48"/>
      <c r="H1062" s="48"/>
      <c r="I1062" s="49"/>
      <c r="J1062" s="24" t="str">
        <f>IF(OR($A1062="",$B1062=""),"",IF($I1062&lt;&gt;"",$I1062,IF($D1062=本位币,1,IFERROR(LOOKUP(2,1/((汇率月份&lt;=$A1062)*(INDEX(记账汇率区,0,MATCH($D1062,汇率币种头,0))&lt;&gt;"")),INDEX(记账汇率区,0,MATCH($D1062,汇率币种头,0))),""))))</f>
        <v/>
      </c>
      <c r="K1062" s="23" t="str">
        <f t="shared" si="32"/>
        <v/>
      </c>
      <c r="L1062" s="23" t="str">
        <f t="shared" si="33"/>
        <v/>
      </c>
      <c r="M1062" s="23" t="str">
        <f>IF($B1062="","",ROUND(SUMIF(账户名,$B1062,账户期初)+SUMIFS($K$6:K1062,$B$6:B1062,$B1062),2))</f>
        <v/>
      </c>
      <c r="N1062" s="23" t="str">
        <f>IF($B1062="","",IFERROR(ROUND(INDEX(账户期初本位,MATCH($B1062,账户名,0))+SUMIFS($L$6:L1062,$B$6:B1062,$B1062),2),""))</f>
        <v/>
      </c>
      <c r="O1062" s="46"/>
      <c r="P1062" s="47"/>
      <c r="Q1062" s="46"/>
      <c r="R1062" s="46"/>
      <c r="S1062" s="6" t="str">
        <f>IF($B1062="","",IF(ISNA(MATCH($B1062,账户名,0)),"※这个账户不在【参数设置】的账户档案里",IF($A1062="","※没填日期，这一笔不会进任何月份的报表",IF(AND($G1062&lt;&gt;"",$H1062&lt;&gt;""),"※收入和支出不能同时填",IF(AND(N($G1062)=0,N($H1062)=0),"※收入和支出都没填",IF($E1062="","※没填收支类别，分类报表会漏掉这一笔",IF(ISNA(MATCH($E1062,类别表,0)),"※收支类别不在【参数设置】的清单里",IF($J1062="","△"&amp;$D1062&amp;" 还没填汇率，去【月度汇率】补上就自动算了",IF(YEAR($A1062)&lt;&gt;管理年度,"△不是管理年度的单据，年报里看不到",IF(AND($F1062="内部转账",$Q1062=""),"△内部转账建议在「往来单位」写上对方账户",IF($M1062&lt;0,"△这一笔之后该账户余额成负数了，核一下","")))))))))))</f>
        <v/>
      </c>
    </row>
    <row r="1063" ht="16.5" spans="1:19">
      <c r="A1063" s="45"/>
      <c r="B1063" s="46"/>
      <c r="C1063" s="12" t="str">
        <f>IF($B1063="","",IFERROR(INDEX(账户银行,MATCH($B1063,账户名,0)),""))</f>
        <v/>
      </c>
      <c r="D1063" s="12" t="str">
        <f>IF($B1063="","",IFERROR(INDEX(账户币种,MATCH($B1063,账户名,0)),""))</f>
        <v/>
      </c>
      <c r="E1063" s="47"/>
      <c r="F1063" s="12" t="str">
        <f>IF($E1063="","",IFERROR(INDEX(类别属性,MATCH($E1063,类别表,0)),""))</f>
        <v/>
      </c>
      <c r="G1063" s="48"/>
      <c r="H1063" s="48"/>
      <c r="I1063" s="49"/>
      <c r="J1063" s="24" t="str">
        <f>IF(OR($A1063="",$B1063=""),"",IF($I1063&lt;&gt;"",$I1063,IF($D1063=本位币,1,IFERROR(LOOKUP(2,1/((汇率月份&lt;=$A1063)*(INDEX(记账汇率区,0,MATCH($D1063,汇率币种头,0))&lt;&gt;"")),INDEX(记账汇率区,0,MATCH($D1063,汇率币种头,0))),""))))</f>
        <v/>
      </c>
      <c r="K1063" s="23" t="str">
        <f t="shared" si="32"/>
        <v/>
      </c>
      <c r="L1063" s="23" t="str">
        <f t="shared" si="33"/>
        <v/>
      </c>
      <c r="M1063" s="23" t="str">
        <f>IF($B1063="","",ROUND(SUMIF(账户名,$B1063,账户期初)+SUMIFS($K$6:K1063,$B$6:B1063,$B1063),2))</f>
        <v/>
      </c>
      <c r="N1063" s="23" t="str">
        <f>IF($B1063="","",IFERROR(ROUND(INDEX(账户期初本位,MATCH($B1063,账户名,0))+SUMIFS($L$6:L1063,$B$6:B1063,$B1063),2),""))</f>
        <v/>
      </c>
      <c r="O1063" s="46"/>
      <c r="P1063" s="47"/>
      <c r="Q1063" s="46"/>
      <c r="R1063" s="46"/>
      <c r="S1063" s="6" t="str">
        <f>IF($B1063="","",IF(ISNA(MATCH($B1063,账户名,0)),"※这个账户不在【参数设置】的账户档案里",IF($A1063="","※没填日期，这一笔不会进任何月份的报表",IF(AND($G1063&lt;&gt;"",$H1063&lt;&gt;""),"※收入和支出不能同时填",IF(AND(N($G1063)=0,N($H1063)=0),"※收入和支出都没填",IF($E1063="","※没填收支类别，分类报表会漏掉这一笔",IF(ISNA(MATCH($E1063,类别表,0)),"※收支类别不在【参数设置】的清单里",IF($J1063="","△"&amp;$D1063&amp;" 还没填汇率，去【月度汇率】补上就自动算了",IF(YEAR($A1063)&lt;&gt;管理年度,"△不是管理年度的单据，年报里看不到",IF(AND($F1063="内部转账",$Q1063=""),"△内部转账建议在「往来单位」写上对方账户",IF($M1063&lt;0,"△这一笔之后该账户余额成负数了，核一下","")))))))))))</f>
        <v/>
      </c>
    </row>
    <row r="1064" ht="16.5" spans="1:19">
      <c r="A1064" s="45"/>
      <c r="B1064" s="46"/>
      <c r="C1064" s="12" t="str">
        <f>IF($B1064="","",IFERROR(INDEX(账户银行,MATCH($B1064,账户名,0)),""))</f>
        <v/>
      </c>
      <c r="D1064" s="12" t="str">
        <f>IF($B1064="","",IFERROR(INDEX(账户币种,MATCH($B1064,账户名,0)),""))</f>
        <v/>
      </c>
      <c r="E1064" s="47"/>
      <c r="F1064" s="12" t="str">
        <f>IF($E1064="","",IFERROR(INDEX(类别属性,MATCH($E1064,类别表,0)),""))</f>
        <v/>
      </c>
      <c r="G1064" s="48"/>
      <c r="H1064" s="48"/>
      <c r="I1064" s="49"/>
      <c r="J1064" s="24" t="str">
        <f>IF(OR($A1064="",$B1064=""),"",IF($I1064&lt;&gt;"",$I1064,IF($D1064=本位币,1,IFERROR(LOOKUP(2,1/((汇率月份&lt;=$A1064)*(INDEX(记账汇率区,0,MATCH($D1064,汇率币种头,0))&lt;&gt;"")),INDEX(记账汇率区,0,MATCH($D1064,汇率币种头,0))),""))))</f>
        <v/>
      </c>
      <c r="K1064" s="23" t="str">
        <f t="shared" si="32"/>
        <v/>
      </c>
      <c r="L1064" s="23" t="str">
        <f t="shared" si="33"/>
        <v/>
      </c>
      <c r="M1064" s="23" t="str">
        <f>IF($B1064="","",ROUND(SUMIF(账户名,$B1064,账户期初)+SUMIFS($K$6:K1064,$B$6:B1064,$B1064),2))</f>
        <v/>
      </c>
      <c r="N1064" s="23" t="str">
        <f>IF($B1064="","",IFERROR(ROUND(INDEX(账户期初本位,MATCH($B1064,账户名,0))+SUMIFS($L$6:L1064,$B$6:B1064,$B1064),2),""))</f>
        <v/>
      </c>
      <c r="O1064" s="46"/>
      <c r="P1064" s="47"/>
      <c r="Q1064" s="46"/>
      <c r="R1064" s="46"/>
      <c r="S1064" s="6" t="str">
        <f>IF($B1064="","",IF(ISNA(MATCH($B1064,账户名,0)),"※这个账户不在【参数设置】的账户档案里",IF($A1064="","※没填日期，这一笔不会进任何月份的报表",IF(AND($G1064&lt;&gt;"",$H1064&lt;&gt;""),"※收入和支出不能同时填",IF(AND(N($G1064)=0,N($H1064)=0),"※收入和支出都没填",IF($E1064="","※没填收支类别，分类报表会漏掉这一笔",IF(ISNA(MATCH($E1064,类别表,0)),"※收支类别不在【参数设置】的清单里",IF($J1064="","△"&amp;$D1064&amp;" 还没填汇率，去【月度汇率】补上就自动算了",IF(YEAR($A1064)&lt;&gt;管理年度,"△不是管理年度的单据，年报里看不到",IF(AND($F1064="内部转账",$Q1064=""),"△内部转账建议在「往来单位」写上对方账户",IF($M1064&lt;0,"△这一笔之后该账户余额成负数了，核一下","")))))))))))</f>
        <v/>
      </c>
    </row>
    <row r="1065" ht="16.5" spans="1:19">
      <c r="A1065" s="45"/>
      <c r="B1065" s="46"/>
      <c r="C1065" s="12" t="str">
        <f>IF($B1065="","",IFERROR(INDEX(账户银行,MATCH($B1065,账户名,0)),""))</f>
        <v/>
      </c>
      <c r="D1065" s="12" t="str">
        <f>IF($B1065="","",IFERROR(INDEX(账户币种,MATCH($B1065,账户名,0)),""))</f>
        <v/>
      </c>
      <c r="E1065" s="47"/>
      <c r="F1065" s="12" t="str">
        <f>IF($E1065="","",IFERROR(INDEX(类别属性,MATCH($E1065,类别表,0)),""))</f>
        <v/>
      </c>
      <c r="G1065" s="48"/>
      <c r="H1065" s="48"/>
      <c r="I1065" s="49"/>
      <c r="J1065" s="24" t="str">
        <f>IF(OR($A1065="",$B1065=""),"",IF($I1065&lt;&gt;"",$I1065,IF($D1065=本位币,1,IFERROR(LOOKUP(2,1/((汇率月份&lt;=$A1065)*(INDEX(记账汇率区,0,MATCH($D1065,汇率币种头,0))&lt;&gt;"")),INDEX(记账汇率区,0,MATCH($D1065,汇率币种头,0))),""))))</f>
        <v/>
      </c>
      <c r="K1065" s="23" t="str">
        <f t="shared" si="32"/>
        <v/>
      </c>
      <c r="L1065" s="23" t="str">
        <f t="shared" si="33"/>
        <v/>
      </c>
      <c r="M1065" s="23" t="str">
        <f>IF($B1065="","",ROUND(SUMIF(账户名,$B1065,账户期初)+SUMIFS($K$6:K1065,$B$6:B1065,$B1065),2))</f>
        <v/>
      </c>
      <c r="N1065" s="23" t="str">
        <f>IF($B1065="","",IFERROR(ROUND(INDEX(账户期初本位,MATCH($B1065,账户名,0))+SUMIFS($L$6:L1065,$B$6:B1065,$B1065),2),""))</f>
        <v/>
      </c>
      <c r="O1065" s="46"/>
      <c r="P1065" s="47"/>
      <c r="Q1065" s="46"/>
      <c r="R1065" s="46"/>
      <c r="S1065" s="6" t="str">
        <f>IF($B1065="","",IF(ISNA(MATCH($B1065,账户名,0)),"※这个账户不在【参数设置】的账户档案里",IF($A1065="","※没填日期，这一笔不会进任何月份的报表",IF(AND($G1065&lt;&gt;"",$H1065&lt;&gt;""),"※收入和支出不能同时填",IF(AND(N($G1065)=0,N($H1065)=0),"※收入和支出都没填",IF($E1065="","※没填收支类别，分类报表会漏掉这一笔",IF(ISNA(MATCH($E1065,类别表,0)),"※收支类别不在【参数设置】的清单里",IF($J1065="","△"&amp;$D1065&amp;" 还没填汇率，去【月度汇率】补上就自动算了",IF(YEAR($A1065)&lt;&gt;管理年度,"△不是管理年度的单据，年报里看不到",IF(AND($F1065="内部转账",$Q1065=""),"△内部转账建议在「往来单位」写上对方账户",IF($M1065&lt;0,"△这一笔之后该账户余额成负数了，核一下","")))))))))))</f>
        <v/>
      </c>
    </row>
    <row r="1066" ht="16.5" spans="1:19">
      <c r="A1066" s="45"/>
      <c r="B1066" s="46"/>
      <c r="C1066" s="12" t="str">
        <f>IF($B1066="","",IFERROR(INDEX(账户银行,MATCH($B1066,账户名,0)),""))</f>
        <v/>
      </c>
      <c r="D1066" s="12" t="str">
        <f>IF($B1066="","",IFERROR(INDEX(账户币种,MATCH($B1066,账户名,0)),""))</f>
        <v/>
      </c>
      <c r="E1066" s="47"/>
      <c r="F1066" s="12" t="str">
        <f>IF($E1066="","",IFERROR(INDEX(类别属性,MATCH($E1066,类别表,0)),""))</f>
        <v/>
      </c>
      <c r="G1066" s="48"/>
      <c r="H1066" s="48"/>
      <c r="I1066" s="49"/>
      <c r="J1066" s="24" t="str">
        <f>IF(OR($A1066="",$B1066=""),"",IF($I1066&lt;&gt;"",$I1066,IF($D1066=本位币,1,IFERROR(LOOKUP(2,1/((汇率月份&lt;=$A1066)*(INDEX(记账汇率区,0,MATCH($D1066,汇率币种头,0))&lt;&gt;"")),INDEX(记账汇率区,0,MATCH($D1066,汇率币种头,0))),""))))</f>
        <v/>
      </c>
      <c r="K1066" s="23" t="str">
        <f t="shared" si="32"/>
        <v/>
      </c>
      <c r="L1066" s="23" t="str">
        <f t="shared" si="33"/>
        <v/>
      </c>
      <c r="M1066" s="23" t="str">
        <f>IF($B1066="","",ROUND(SUMIF(账户名,$B1066,账户期初)+SUMIFS($K$6:K1066,$B$6:B1066,$B1066),2))</f>
        <v/>
      </c>
      <c r="N1066" s="23" t="str">
        <f>IF($B1066="","",IFERROR(ROUND(INDEX(账户期初本位,MATCH($B1066,账户名,0))+SUMIFS($L$6:L1066,$B$6:B1066,$B1066),2),""))</f>
        <v/>
      </c>
      <c r="O1066" s="46"/>
      <c r="P1066" s="47"/>
      <c r="Q1066" s="46"/>
      <c r="R1066" s="46"/>
      <c r="S1066" s="6" t="str">
        <f>IF($B1066="","",IF(ISNA(MATCH($B1066,账户名,0)),"※这个账户不在【参数设置】的账户档案里",IF($A1066="","※没填日期，这一笔不会进任何月份的报表",IF(AND($G1066&lt;&gt;"",$H1066&lt;&gt;""),"※收入和支出不能同时填",IF(AND(N($G1066)=0,N($H1066)=0),"※收入和支出都没填",IF($E1066="","※没填收支类别，分类报表会漏掉这一笔",IF(ISNA(MATCH($E1066,类别表,0)),"※收支类别不在【参数设置】的清单里",IF($J1066="","△"&amp;$D1066&amp;" 还没填汇率，去【月度汇率】补上就自动算了",IF(YEAR($A1066)&lt;&gt;管理年度,"△不是管理年度的单据，年报里看不到",IF(AND($F1066="内部转账",$Q1066=""),"△内部转账建议在「往来单位」写上对方账户",IF($M1066&lt;0,"△这一笔之后该账户余额成负数了，核一下","")))))))))))</f>
        <v/>
      </c>
    </row>
    <row r="1067" ht="16.5" spans="1:19">
      <c r="A1067" s="45"/>
      <c r="B1067" s="46"/>
      <c r="C1067" s="12" t="str">
        <f>IF($B1067="","",IFERROR(INDEX(账户银行,MATCH($B1067,账户名,0)),""))</f>
        <v/>
      </c>
      <c r="D1067" s="12" t="str">
        <f>IF($B1067="","",IFERROR(INDEX(账户币种,MATCH($B1067,账户名,0)),""))</f>
        <v/>
      </c>
      <c r="E1067" s="47"/>
      <c r="F1067" s="12" t="str">
        <f>IF($E1067="","",IFERROR(INDEX(类别属性,MATCH($E1067,类别表,0)),""))</f>
        <v/>
      </c>
      <c r="G1067" s="48"/>
      <c r="H1067" s="48"/>
      <c r="I1067" s="49"/>
      <c r="J1067" s="24" t="str">
        <f>IF(OR($A1067="",$B1067=""),"",IF($I1067&lt;&gt;"",$I1067,IF($D1067=本位币,1,IFERROR(LOOKUP(2,1/((汇率月份&lt;=$A1067)*(INDEX(记账汇率区,0,MATCH($D1067,汇率币种头,0))&lt;&gt;"")),INDEX(记账汇率区,0,MATCH($D1067,汇率币种头,0))),""))))</f>
        <v/>
      </c>
      <c r="K1067" s="23" t="str">
        <f t="shared" si="32"/>
        <v/>
      </c>
      <c r="L1067" s="23" t="str">
        <f t="shared" si="33"/>
        <v/>
      </c>
      <c r="M1067" s="23" t="str">
        <f>IF($B1067="","",ROUND(SUMIF(账户名,$B1067,账户期初)+SUMIFS($K$6:K1067,$B$6:B1067,$B1067),2))</f>
        <v/>
      </c>
      <c r="N1067" s="23" t="str">
        <f>IF($B1067="","",IFERROR(ROUND(INDEX(账户期初本位,MATCH($B1067,账户名,0))+SUMIFS($L$6:L1067,$B$6:B1067,$B1067),2),""))</f>
        <v/>
      </c>
      <c r="O1067" s="46"/>
      <c r="P1067" s="47"/>
      <c r="Q1067" s="46"/>
      <c r="R1067" s="46"/>
      <c r="S1067" s="6" t="str">
        <f>IF($B1067="","",IF(ISNA(MATCH($B1067,账户名,0)),"※这个账户不在【参数设置】的账户档案里",IF($A1067="","※没填日期，这一笔不会进任何月份的报表",IF(AND($G1067&lt;&gt;"",$H1067&lt;&gt;""),"※收入和支出不能同时填",IF(AND(N($G1067)=0,N($H1067)=0),"※收入和支出都没填",IF($E1067="","※没填收支类别，分类报表会漏掉这一笔",IF(ISNA(MATCH($E1067,类别表,0)),"※收支类别不在【参数设置】的清单里",IF($J1067="","△"&amp;$D1067&amp;" 还没填汇率，去【月度汇率】补上就自动算了",IF(YEAR($A1067)&lt;&gt;管理年度,"△不是管理年度的单据，年报里看不到",IF(AND($F1067="内部转账",$Q1067=""),"△内部转账建议在「往来单位」写上对方账户",IF($M1067&lt;0,"△这一笔之后该账户余额成负数了，核一下","")))))))))))</f>
        <v/>
      </c>
    </row>
    <row r="1068" ht="16.5" spans="1:19">
      <c r="A1068" s="45"/>
      <c r="B1068" s="46"/>
      <c r="C1068" s="12" t="str">
        <f>IF($B1068="","",IFERROR(INDEX(账户银行,MATCH($B1068,账户名,0)),""))</f>
        <v/>
      </c>
      <c r="D1068" s="12" t="str">
        <f>IF($B1068="","",IFERROR(INDEX(账户币种,MATCH($B1068,账户名,0)),""))</f>
        <v/>
      </c>
      <c r="E1068" s="47"/>
      <c r="F1068" s="12" t="str">
        <f>IF($E1068="","",IFERROR(INDEX(类别属性,MATCH($E1068,类别表,0)),""))</f>
        <v/>
      </c>
      <c r="G1068" s="48"/>
      <c r="H1068" s="48"/>
      <c r="I1068" s="49"/>
      <c r="J1068" s="24" t="str">
        <f>IF(OR($A1068="",$B1068=""),"",IF($I1068&lt;&gt;"",$I1068,IF($D1068=本位币,1,IFERROR(LOOKUP(2,1/((汇率月份&lt;=$A1068)*(INDEX(记账汇率区,0,MATCH($D1068,汇率币种头,0))&lt;&gt;"")),INDEX(记账汇率区,0,MATCH($D1068,汇率币种头,0))),""))))</f>
        <v/>
      </c>
      <c r="K1068" s="23" t="str">
        <f t="shared" si="32"/>
        <v/>
      </c>
      <c r="L1068" s="23" t="str">
        <f t="shared" si="33"/>
        <v/>
      </c>
      <c r="M1068" s="23" t="str">
        <f>IF($B1068="","",ROUND(SUMIF(账户名,$B1068,账户期初)+SUMIFS($K$6:K1068,$B$6:B1068,$B1068),2))</f>
        <v/>
      </c>
      <c r="N1068" s="23" t="str">
        <f>IF($B1068="","",IFERROR(ROUND(INDEX(账户期初本位,MATCH($B1068,账户名,0))+SUMIFS($L$6:L1068,$B$6:B1068,$B1068),2),""))</f>
        <v/>
      </c>
      <c r="O1068" s="46"/>
      <c r="P1068" s="47"/>
      <c r="Q1068" s="46"/>
      <c r="R1068" s="46"/>
      <c r="S1068" s="6" t="str">
        <f>IF($B1068="","",IF(ISNA(MATCH($B1068,账户名,0)),"※这个账户不在【参数设置】的账户档案里",IF($A1068="","※没填日期，这一笔不会进任何月份的报表",IF(AND($G1068&lt;&gt;"",$H1068&lt;&gt;""),"※收入和支出不能同时填",IF(AND(N($G1068)=0,N($H1068)=0),"※收入和支出都没填",IF($E1068="","※没填收支类别，分类报表会漏掉这一笔",IF(ISNA(MATCH($E1068,类别表,0)),"※收支类别不在【参数设置】的清单里",IF($J1068="","△"&amp;$D1068&amp;" 还没填汇率，去【月度汇率】补上就自动算了",IF(YEAR($A1068)&lt;&gt;管理年度,"△不是管理年度的单据，年报里看不到",IF(AND($F1068="内部转账",$Q1068=""),"△内部转账建议在「往来单位」写上对方账户",IF($M1068&lt;0,"△这一笔之后该账户余额成负数了，核一下","")))))))))))</f>
        <v/>
      </c>
    </row>
    <row r="1069" ht="16.5" spans="1:19">
      <c r="A1069" s="45"/>
      <c r="B1069" s="46"/>
      <c r="C1069" s="12" t="str">
        <f>IF($B1069="","",IFERROR(INDEX(账户银行,MATCH($B1069,账户名,0)),""))</f>
        <v/>
      </c>
      <c r="D1069" s="12" t="str">
        <f>IF($B1069="","",IFERROR(INDEX(账户币种,MATCH($B1069,账户名,0)),""))</f>
        <v/>
      </c>
      <c r="E1069" s="47"/>
      <c r="F1069" s="12" t="str">
        <f>IF($E1069="","",IFERROR(INDEX(类别属性,MATCH($E1069,类别表,0)),""))</f>
        <v/>
      </c>
      <c r="G1069" s="48"/>
      <c r="H1069" s="48"/>
      <c r="I1069" s="49"/>
      <c r="J1069" s="24" t="str">
        <f>IF(OR($A1069="",$B1069=""),"",IF($I1069&lt;&gt;"",$I1069,IF($D1069=本位币,1,IFERROR(LOOKUP(2,1/((汇率月份&lt;=$A1069)*(INDEX(记账汇率区,0,MATCH($D1069,汇率币种头,0))&lt;&gt;"")),INDEX(记账汇率区,0,MATCH($D1069,汇率币种头,0))),""))))</f>
        <v/>
      </c>
      <c r="K1069" s="23" t="str">
        <f t="shared" si="32"/>
        <v/>
      </c>
      <c r="L1069" s="23" t="str">
        <f t="shared" si="33"/>
        <v/>
      </c>
      <c r="M1069" s="23" t="str">
        <f>IF($B1069="","",ROUND(SUMIF(账户名,$B1069,账户期初)+SUMIFS($K$6:K1069,$B$6:B1069,$B1069),2))</f>
        <v/>
      </c>
      <c r="N1069" s="23" t="str">
        <f>IF($B1069="","",IFERROR(ROUND(INDEX(账户期初本位,MATCH($B1069,账户名,0))+SUMIFS($L$6:L1069,$B$6:B1069,$B1069),2),""))</f>
        <v/>
      </c>
      <c r="O1069" s="46"/>
      <c r="P1069" s="47"/>
      <c r="Q1069" s="46"/>
      <c r="R1069" s="46"/>
      <c r="S1069" s="6" t="str">
        <f>IF($B1069="","",IF(ISNA(MATCH($B1069,账户名,0)),"※这个账户不在【参数设置】的账户档案里",IF($A1069="","※没填日期，这一笔不会进任何月份的报表",IF(AND($G1069&lt;&gt;"",$H1069&lt;&gt;""),"※收入和支出不能同时填",IF(AND(N($G1069)=0,N($H1069)=0),"※收入和支出都没填",IF($E1069="","※没填收支类别，分类报表会漏掉这一笔",IF(ISNA(MATCH($E1069,类别表,0)),"※收支类别不在【参数设置】的清单里",IF($J1069="","△"&amp;$D1069&amp;" 还没填汇率，去【月度汇率】补上就自动算了",IF(YEAR($A1069)&lt;&gt;管理年度,"△不是管理年度的单据，年报里看不到",IF(AND($F1069="内部转账",$Q1069=""),"△内部转账建议在「往来单位」写上对方账户",IF($M1069&lt;0,"△这一笔之后该账户余额成负数了，核一下","")))))))))))</f>
        <v/>
      </c>
    </row>
    <row r="1070" ht="16.5" spans="1:19">
      <c r="A1070" s="45"/>
      <c r="B1070" s="46"/>
      <c r="C1070" s="12" t="str">
        <f>IF($B1070="","",IFERROR(INDEX(账户银行,MATCH($B1070,账户名,0)),""))</f>
        <v/>
      </c>
      <c r="D1070" s="12" t="str">
        <f>IF($B1070="","",IFERROR(INDEX(账户币种,MATCH($B1070,账户名,0)),""))</f>
        <v/>
      </c>
      <c r="E1070" s="47"/>
      <c r="F1070" s="12" t="str">
        <f>IF($E1070="","",IFERROR(INDEX(类别属性,MATCH($E1070,类别表,0)),""))</f>
        <v/>
      </c>
      <c r="G1070" s="48"/>
      <c r="H1070" s="48"/>
      <c r="I1070" s="49"/>
      <c r="J1070" s="24" t="str">
        <f>IF(OR($A1070="",$B1070=""),"",IF($I1070&lt;&gt;"",$I1070,IF($D1070=本位币,1,IFERROR(LOOKUP(2,1/((汇率月份&lt;=$A1070)*(INDEX(记账汇率区,0,MATCH($D1070,汇率币种头,0))&lt;&gt;"")),INDEX(记账汇率区,0,MATCH($D1070,汇率币种头,0))),""))))</f>
        <v/>
      </c>
      <c r="K1070" s="23" t="str">
        <f t="shared" si="32"/>
        <v/>
      </c>
      <c r="L1070" s="23" t="str">
        <f t="shared" si="33"/>
        <v/>
      </c>
      <c r="M1070" s="23" t="str">
        <f>IF($B1070="","",ROUND(SUMIF(账户名,$B1070,账户期初)+SUMIFS($K$6:K1070,$B$6:B1070,$B1070),2))</f>
        <v/>
      </c>
      <c r="N1070" s="23" t="str">
        <f>IF($B1070="","",IFERROR(ROUND(INDEX(账户期初本位,MATCH($B1070,账户名,0))+SUMIFS($L$6:L1070,$B$6:B1070,$B1070),2),""))</f>
        <v/>
      </c>
      <c r="O1070" s="46"/>
      <c r="P1070" s="47"/>
      <c r="Q1070" s="46"/>
      <c r="R1070" s="46"/>
      <c r="S1070" s="6" t="str">
        <f>IF($B1070="","",IF(ISNA(MATCH($B1070,账户名,0)),"※这个账户不在【参数设置】的账户档案里",IF($A1070="","※没填日期，这一笔不会进任何月份的报表",IF(AND($G1070&lt;&gt;"",$H1070&lt;&gt;""),"※收入和支出不能同时填",IF(AND(N($G1070)=0,N($H1070)=0),"※收入和支出都没填",IF($E1070="","※没填收支类别，分类报表会漏掉这一笔",IF(ISNA(MATCH($E1070,类别表,0)),"※收支类别不在【参数设置】的清单里",IF($J1070="","△"&amp;$D1070&amp;" 还没填汇率，去【月度汇率】补上就自动算了",IF(YEAR($A1070)&lt;&gt;管理年度,"△不是管理年度的单据，年报里看不到",IF(AND($F1070="内部转账",$Q1070=""),"△内部转账建议在「往来单位」写上对方账户",IF($M1070&lt;0,"△这一笔之后该账户余额成负数了，核一下","")))))))))))</f>
        <v/>
      </c>
    </row>
    <row r="1071" ht="16.5" spans="1:19">
      <c r="A1071" s="45"/>
      <c r="B1071" s="46"/>
      <c r="C1071" s="12" t="str">
        <f>IF($B1071="","",IFERROR(INDEX(账户银行,MATCH($B1071,账户名,0)),""))</f>
        <v/>
      </c>
      <c r="D1071" s="12" t="str">
        <f>IF($B1071="","",IFERROR(INDEX(账户币种,MATCH($B1071,账户名,0)),""))</f>
        <v/>
      </c>
      <c r="E1071" s="47"/>
      <c r="F1071" s="12" t="str">
        <f>IF($E1071="","",IFERROR(INDEX(类别属性,MATCH($E1071,类别表,0)),""))</f>
        <v/>
      </c>
      <c r="G1071" s="48"/>
      <c r="H1071" s="48"/>
      <c r="I1071" s="49"/>
      <c r="J1071" s="24" t="str">
        <f>IF(OR($A1071="",$B1071=""),"",IF($I1071&lt;&gt;"",$I1071,IF($D1071=本位币,1,IFERROR(LOOKUP(2,1/((汇率月份&lt;=$A1071)*(INDEX(记账汇率区,0,MATCH($D1071,汇率币种头,0))&lt;&gt;"")),INDEX(记账汇率区,0,MATCH($D1071,汇率币种头,0))),""))))</f>
        <v/>
      </c>
      <c r="K1071" s="23" t="str">
        <f t="shared" si="32"/>
        <v/>
      </c>
      <c r="L1071" s="23" t="str">
        <f t="shared" si="33"/>
        <v/>
      </c>
      <c r="M1071" s="23" t="str">
        <f>IF($B1071="","",ROUND(SUMIF(账户名,$B1071,账户期初)+SUMIFS($K$6:K1071,$B$6:B1071,$B1071),2))</f>
        <v/>
      </c>
      <c r="N1071" s="23" t="str">
        <f>IF($B1071="","",IFERROR(ROUND(INDEX(账户期初本位,MATCH($B1071,账户名,0))+SUMIFS($L$6:L1071,$B$6:B1071,$B1071),2),""))</f>
        <v/>
      </c>
      <c r="O1071" s="46"/>
      <c r="P1071" s="47"/>
      <c r="Q1071" s="46"/>
      <c r="R1071" s="46"/>
      <c r="S1071" s="6" t="str">
        <f>IF($B1071="","",IF(ISNA(MATCH($B1071,账户名,0)),"※这个账户不在【参数设置】的账户档案里",IF($A1071="","※没填日期，这一笔不会进任何月份的报表",IF(AND($G1071&lt;&gt;"",$H1071&lt;&gt;""),"※收入和支出不能同时填",IF(AND(N($G1071)=0,N($H1071)=0),"※收入和支出都没填",IF($E1071="","※没填收支类别，分类报表会漏掉这一笔",IF(ISNA(MATCH($E1071,类别表,0)),"※收支类别不在【参数设置】的清单里",IF($J1071="","△"&amp;$D1071&amp;" 还没填汇率，去【月度汇率】补上就自动算了",IF(YEAR($A1071)&lt;&gt;管理年度,"△不是管理年度的单据，年报里看不到",IF(AND($F1071="内部转账",$Q1071=""),"△内部转账建议在「往来单位」写上对方账户",IF($M1071&lt;0,"△这一笔之后该账户余额成负数了，核一下","")))))))))))</f>
        <v/>
      </c>
    </row>
    <row r="1072" ht="16.5" spans="1:19">
      <c r="A1072" s="45"/>
      <c r="B1072" s="46"/>
      <c r="C1072" s="12" t="str">
        <f>IF($B1072="","",IFERROR(INDEX(账户银行,MATCH($B1072,账户名,0)),""))</f>
        <v/>
      </c>
      <c r="D1072" s="12" t="str">
        <f>IF($B1072="","",IFERROR(INDEX(账户币种,MATCH($B1072,账户名,0)),""))</f>
        <v/>
      </c>
      <c r="E1072" s="47"/>
      <c r="F1072" s="12" t="str">
        <f>IF($E1072="","",IFERROR(INDEX(类别属性,MATCH($E1072,类别表,0)),""))</f>
        <v/>
      </c>
      <c r="G1072" s="48"/>
      <c r="H1072" s="48"/>
      <c r="I1072" s="49"/>
      <c r="J1072" s="24" t="str">
        <f>IF(OR($A1072="",$B1072=""),"",IF($I1072&lt;&gt;"",$I1072,IF($D1072=本位币,1,IFERROR(LOOKUP(2,1/((汇率月份&lt;=$A1072)*(INDEX(记账汇率区,0,MATCH($D1072,汇率币种头,0))&lt;&gt;"")),INDEX(记账汇率区,0,MATCH($D1072,汇率币种头,0))),""))))</f>
        <v/>
      </c>
      <c r="K1072" s="23" t="str">
        <f t="shared" si="32"/>
        <v/>
      </c>
      <c r="L1072" s="23" t="str">
        <f t="shared" si="33"/>
        <v/>
      </c>
      <c r="M1072" s="23" t="str">
        <f>IF($B1072="","",ROUND(SUMIF(账户名,$B1072,账户期初)+SUMIFS($K$6:K1072,$B$6:B1072,$B1072),2))</f>
        <v/>
      </c>
      <c r="N1072" s="23" t="str">
        <f>IF($B1072="","",IFERROR(ROUND(INDEX(账户期初本位,MATCH($B1072,账户名,0))+SUMIFS($L$6:L1072,$B$6:B1072,$B1072),2),""))</f>
        <v/>
      </c>
      <c r="O1072" s="46"/>
      <c r="P1072" s="47"/>
      <c r="Q1072" s="46"/>
      <c r="R1072" s="46"/>
      <c r="S1072" s="6" t="str">
        <f>IF($B1072="","",IF(ISNA(MATCH($B1072,账户名,0)),"※这个账户不在【参数设置】的账户档案里",IF($A1072="","※没填日期，这一笔不会进任何月份的报表",IF(AND($G1072&lt;&gt;"",$H1072&lt;&gt;""),"※收入和支出不能同时填",IF(AND(N($G1072)=0,N($H1072)=0),"※收入和支出都没填",IF($E1072="","※没填收支类别，分类报表会漏掉这一笔",IF(ISNA(MATCH($E1072,类别表,0)),"※收支类别不在【参数设置】的清单里",IF($J1072="","△"&amp;$D1072&amp;" 还没填汇率，去【月度汇率】补上就自动算了",IF(YEAR($A1072)&lt;&gt;管理年度,"△不是管理年度的单据，年报里看不到",IF(AND($F1072="内部转账",$Q1072=""),"△内部转账建议在「往来单位」写上对方账户",IF($M1072&lt;0,"△这一笔之后该账户余额成负数了，核一下","")))))))))))</f>
        <v/>
      </c>
    </row>
    <row r="1073" ht="16.5" spans="1:19">
      <c r="A1073" s="45"/>
      <c r="B1073" s="46"/>
      <c r="C1073" s="12" t="str">
        <f>IF($B1073="","",IFERROR(INDEX(账户银行,MATCH($B1073,账户名,0)),""))</f>
        <v/>
      </c>
      <c r="D1073" s="12" t="str">
        <f>IF($B1073="","",IFERROR(INDEX(账户币种,MATCH($B1073,账户名,0)),""))</f>
        <v/>
      </c>
      <c r="E1073" s="47"/>
      <c r="F1073" s="12" t="str">
        <f>IF($E1073="","",IFERROR(INDEX(类别属性,MATCH($E1073,类别表,0)),""))</f>
        <v/>
      </c>
      <c r="G1073" s="48"/>
      <c r="H1073" s="48"/>
      <c r="I1073" s="49"/>
      <c r="J1073" s="24" t="str">
        <f>IF(OR($A1073="",$B1073=""),"",IF($I1073&lt;&gt;"",$I1073,IF($D1073=本位币,1,IFERROR(LOOKUP(2,1/((汇率月份&lt;=$A1073)*(INDEX(记账汇率区,0,MATCH($D1073,汇率币种头,0))&lt;&gt;"")),INDEX(记账汇率区,0,MATCH($D1073,汇率币种头,0))),""))))</f>
        <v/>
      </c>
      <c r="K1073" s="23" t="str">
        <f t="shared" si="32"/>
        <v/>
      </c>
      <c r="L1073" s="23" t="str">
        <f t="shared" si="33"/>
        <v/>
      </c>
      <c r="M1073" s="23" t="str">
        <f>IF($B1073="","",ROUND(SUMIF(账户名,$B1073,账户期初)+SUMIFS($K$6:K1073,$B$6:B1073,$B1073),2))</f>
        <v/>
      </c>
      <c r="N1073" s="23" t="str">
        <f>IF($B1073="","",IFERROR(ROUND(INDEX(账户期初本位,MATCH($B1073,账户名,0))+SUMIFS($L$6:L1073,$B$6:B1073,$B1073),2),""))</f>
        <v/>
      </c>
      <c r="O1073" s="46"/>
      <c r="P1073" s="47"/>
      <c r="Q1073" s="46"/>
      <c r="R1073" s="46"/>
      <c r="S1073" s="6" t="str">
        <f>IF($B1073="","",IF(ISNA(MATCH($B1073,账户名,0)),"※这个账户不在【参数设置】的账户档案里",IF($A1073="","※没填日期，这一笔不会进任何月份的报表",IF(AND($G1073&lt;&gt;"",$H1073&lt;&gt;""),"※收入和支出不能同时填",IF(AND(N($G1073)=0,N($H1073)=0),"※收入和支出都没填",IF($E1073="","※没填收支类别，分类报表会漏掉这一笔",IF(ISNA(MATCH($E1073,类别表,0)),"※收支类别不在【参数设置】的清单里",IF($J1073="","△"&amp;$D1073&amp;" 还没填汇率，去【月度汇率】补上就自动算了",IF(YEAR($A1073)&lt;&gt;管理年度,"△不是管理年度的单据，年报里看不到",IF(AND($F1073="内部转账",$Q1073=""),"△内部转账建议在「往来单位」写上对方账户",IF($M1073&lt;0,"△这一笔之后该账户余额成负数了，核一下","")))))))))))</f>
        <v/>
      </c>
    </row>
    <row r="1074" ht="16.5" spans="1:19">
      <c r="A1074" s="45"/>
      <c r="B1074" s="46"/>
      <c r="C1074" s="12" t="str">
        <f>IF($B1074="","",IFERROR(INDEX(账户银行,MATCH($B1074,账户名,0)),""))</f>
        <v/>
      </c>
      <c r="D1074" s="12" t="str">
        <f>IF($B1074="","",IFERROR(INDEX(账户币种,MATCH($B1074,账户名,0)),""))</f>
        <v/>
      </c>
      <c r="E1074" s="47"/>
      <c r="F1074" s="12" t="str">
        <f>IF($E1074="","",IFERROR(INDEX(类别属性,MATCH($E1074,类别表,0)),""))</f>
        <v/>
      </c>
      <c r="G1074" s="48"/>
      <c r="H1074" s="48"/>
      <c r="I1074" s="49"/>
      <c r="J1074" s="24" t="str">
        <f>IF(OR($A1074="",$B1074=""),"",IF($I1074&lt;&gt;"",$I1074,IF($D1074=本位币,1,IFERROR(LOOKUP(2,1/((汇率月份&lt;=$A1074)*(INDEX(记账汇率区,0,MATCH($D1074,汇率币种头,0))&lt;&gt;"")),INDEX(记账汇率区,0,MATCH($D1074,汇率币种头,0))),""))))</f>
        <v/>
      </c>
      <c r="K1074" s="23" t="str">
        <f t="shared" si="32"/>
        <v/>
      </c>
      <c r="L1074" s="23" t="str">
        <f t="shared" si="33"/>
        <v/>
      </c>
      <c r="M1074" s="23" t="str">
        <f>IF($B1074="","",ROUND(SUMIF(账户名,$B1074,账户期初)+SUMIFS($K$6:K1074,$B$6:B1074,$B1074),2))</f>
        <v/>
      </c>
      <c r="N1074" s="23" t="str">
        <f>IF($B1074="","",IFERROR(ROUND(INDEX(账户期初本位,MATCH($B1074,账户名,0))+SUMIFS($L$6:L1074,$B$6:B1074,$B1074),2),""))</f>
        <v/>
      </c>
      <c r="O1074" s="46"/>
      <c r="P1074" s="47"/>
      <c r="Q1074" s="46"/>
      <c r="R1074" s="46"/>
      <c r="S1074" s="6" t="str">
        <f>IF($B1074="","",IF(ISNA(MATCH($B1074,账户名,0)),"※这个账户不在【参数设置】的账户档案里",IF($A1074="","※没填日期，这一笔不会进任何月份的报表",IF(AND($G1074&lt;&gt;"",$H1074&lt;&gt;""),"※收入和支出不能同时填",IF(AND(N($G1074)=0,N($H1074)=0),"※收入和支出都没填",IF($E1074="","※没填收支类别，分类报表会漏掉这一笔",IF(ISNA(MATCH($E1074,类别表,0)),"※收支类别不在【参数设置】的清单里",IF($J1074="","△"&amp;$D1074&amp;" 还没填汇率，去【月度汇率】补上就自动算了",IF(YEAR($A1074)&lt;&gt;管理年度,"△不是管理年度的单据，年报里看不到",IF(AND($F1074="内部转账",$Q1074=""),"△内部转账建议在「往来单位」写上对方账户",IF($M1074&lt;0,"△这一笔之后该账户余额成负数了，核一下","")))))))))))</f>
        <v/>
      </c>
    </row>
    <row r="1075" ht="16.5" spans="1:19">
      <c r="A1075" s="45"/>
      <c r="B1075" s="46"/>
      <c r="C1075" s="12" t="str">
        <f>IF($B1075="","",IFERROR(INDEX(账户银行,MATCH($B1075,账户名,0)),""))</f>
        <v/>
      </c>
      <c r="D1075" s="12" t="str">
        <f>IF($B1075="","",IFERROR(INDEX(账户币种,MATCH($B1075,账户名,0)),""))</f>
        <v/>
      </c>
      <c r="E1075" s="47"/>
      <c r="F1075" s="12" t="str">
        <f>IF($E1075="","",IFERROR(INDEX(类别属性,MATCH($E1075,类别表,0)),""))</f>
        <v/>
      </c>
      <c r="G1075" s="48"/>
      <c r="H1075" s="48"/>
      <c r="I1075" s="49"/>
      <c r="J1075" s="24" t="str">
        <f>IF(OR($A1075="",$B1075=""),"",IF($I1075&lt;&gt;"",$I1075,IF($D1075=本位币,1,IFERROR(LOOKUP(2,1/((汇率月份&lt;=$A1075)*(INDEX(记账汇率区,0,MATCH($D1075,汇率币种头,0))&lt;&gt;"")),INDEX(记账汇率区,0,MATCH($D1075,汇率币种头,0))),""))))</f>
        <v/>
      </c>
      <c r="K1075" s="23" t="str">
        <f t="shared" si="32"/>
        <v/>
      </c>
      <c r="L1075" s="23" t="str">
        <f t="shared" si="33"/>
        <v/>
      </c>
      <c r="M1075" s="23" t="str">
        <f>IF($B1075="","",ROUND(SUMIF(账户名,$B1075,账户期初)+SUMIFS($K$6:K1075,$B$6:B1075,$B1075),2))</f>
        <v/>
      </c>
      <c r="N1075" s="23" t="str">
        <f>IF($B1075="","",IFERROR(ROUND(INDEX(账户期初本位,MATCH($B1075,账户名,0))+SUMIFS($L$6:L1075,$B$6:B1075,$B1075),2),""))</f>
        <v/>
      </c>
      <c r="O1075" s="46"/>
      <c r="P1075" s="47"/>
      <c r="Q1075" s="46"/>
      <c r="R1075" s="46"/>
      <c r="S1075" s="6" t="str">
        <f>IF($B1075="","",IF(ISNA(MATCH($B1075,账户名,0)),"※这个账户不在【参数设置】的账户档案里",IF($A1075="","※没填日期，这一笔不会进任何月份的报表",IF(AND($G1075&lt;&gt;"",$H1075&lt;&gt;""),"※收入和支出不能同时填",IF(AND(N($G1075)=0,N($H1075)=0),"※收入和支出都没填",IF($E1075="","※没填收支类别，分类报表会漏掉这一笔",IF(ISNA(MATCH($E1075,类别表,0)),"※收支类别不在【参数设置】的清单里",IF($J1075="","△"&amp;$D1075&amp;" 还没填汇率，去【月度汇率】补上就自动算了",IF(YEAR($A1075)&lt;&gt;管理年度,"△不是管理年度的单据，年报里看不到",IF(AND($F1075="内部转账",$Q1075=""),"△内部转账建议在「往来单位」写上对方账户",IF($M1075&lt;0,"△这一笔之后该账户余额成负数了，核一下","")))))))))))</f>
        <v/>
      </c>
    </row>
    <row r="1076" ht="16.5" spans="1:19">
      <c r="A1076" s="45"/>
      <c r="B1076" s="46"/>
      <c r="C1076" s="12" t="str">
        <f>IF($B1076="","",IFERROR(INDEX(账户银行,MATCH($B1076,账户名,0)),""))</f>
        <v/>
      </c>
      <c r="D1076" s="12" t="str">
        <f>IF($B1076="","",IFERROR(INDEX(账户币种,MATCH($B1076,账户名,0)),""))</f>
        <v/>
      </c>
      <c r="E1076" s="47"/>
      <c r="F1076" s="12" t="str">
        <f>IF($E1076="","",IFERROR(INDEX(类别属性,MATCH($E1076,类别表,0)),""))</f>
        <v/>
      </c>
      <c r="G1076" s="48"/>
      <c r="H1076" s="48"/>
      <c r="I1076" s="49"/>
      <c r="J1076" s="24" t="str">
        <f>IF(OR($A1076="",$B1076=""),"",IF($I1076&lt;&gt;"",$I1076,IF($D1076=本位币,1,IFERROR(LOOKUP(2,1/((汇率月份&lt;=$A1076)*(INDEX(记账汇率区,0,MATCH($D1076,汇率币种头,0))&lt;&gt;"")),INDEX(记账汇率区,0,MATCH($D1076,汇率币种头,0))),""))))</f>
        <v/>
      </c>
      <c r="K1076" s="23" t="str">
        <f t="shared" si="32"/>
        <v/>
      </c>
      <c r="L1076" s="23" t="str">
        <f t="shared" si="33"/>
        <v/>
      </c>
      <c r="M1076" s="23" t="str">
        <f>IF($B1076="","",ROUND(SUMIF(账户名,$B1076,账户期初)+SUMIFS($K$6:K1076,$B$6:B1076,$B1076),2))</f>
        <v/>
      </c>
      <c r="N1076" s="23" t="str">
        <f>IF($B1076="","",IFERROR(ROUND(INDEX(账户期初本位,MATCH($B1076,账户名,0))+SUMIFS($L$6:L1076,$B$6:B1076,$B1076),2),""))</f>
        <v/>
      </c>
      <c r="O1076" s="46"/>
      <c r="P1076" s="47"/>
      <c r="Q1076" s="46"/>
      <c r="R1076" s="46"/>
      <c r="S1076" s="6" t="str">
        <f>IF($B1076="","",IF(ISNA(MATCH($B1076,账户名,0)),"※这个账户不在【参数设置】的账户档案里",IF($A1076="","※没填日期，这一笔不会进任何月份的报表",IF(AND($G1076&lt;&gt;"",$H1076&lt;&gt;""),"※收入和支出不能同时填",IF(AND(N($G1076)=0,N($H1076)=0),"※收入和支出都没填",IF($E1076="","※没填收支类别，分类报表会漏掉这一笔",IF(ISNA(MATCH($E1076,类别表,0)),"※收支类别不在【参数设置】的清单里",IF($J1076="","△"&amp;$D1076&amp;" 还没填汇率，去【月度汇率】补上就自动算了",IF(YEAR($A1076)&lt;&gt;管理年度,"△不是管理年度的单据，年报里看不到",IF(AND($F1076="内部转账",$Q1076=""),"△内部转账建议在「往来单位」写上对方账户",IF($M1076&lt;0,"△这一笔之后该账户余额成负数了，核一下","")))))))))))</f>
        <v/>
      </c>
    </row>
    <row r="1077" ht="16.5" spans="1:19">
      <c r="A1077" s="45"/>
      <c r="B1077" s="46"/>
      <c r="C1077" s="12" t="str">
        <f>IF($B1077="","",IFERROR(INDEX(账户银行,MATCH($B1077,账户名,0)),""))</f>
        <v/>
      </c>
      <c r="D1077" s="12" t="str">
        <f>IF($B1077="","",IFERROR(INDEX(账户币种,MATCH($B1077,账户名,0)),""))</f>
        <v/>
      </c>
      <c r="E1077" s="47"/>
      <c r="F1077" s="12" t="str">
        <f>IF($E1077="","",IFERROR(INDEX(类别属性,MATCH($E1077,类别表,0)),""))</f>
        <v/>
      </c>
      <c r="G1077" s="48"/>
      <c r="H1077" s="48"/>
      <c r="I1077" s="49"/>
      <c r="J1077" s="24" t="str">
        <f>IF(OR($A1077="",$B1077=""),"",IF($I1077&lt;&gt;"",$I1077,IF($D1077=本位币,1,IFERROR(LOOKUP(2,1/((汇率月份&lt;=$A1077)*(INDEX(记账汇率区,0,MATCH($D1077,汇率币种头,0))&lt;&gt;"")),INDEX(记账汇率区,0,MATCH($D1077,汇率币种头,0))),""))))</f>
        <v/>
      </c>
      <c r="K1077" s="23" t="str">
        <f t="shared" si="32"/>
        <v/>
      </c>
      <c r="L1077" s="23" t="str">
        <f t="shared" si="33"/>
        <v/>
      </c>
      <c r="M1077" s="23" t="str">
        <f>IF($B1077="","",ROUND(SUMIF(账户名,$B1077,账户期初)+SUMIFS($K$6:K1077,$B$6:B1077,$B1077),2))</f>
        <v/>
      </c>
      <c r="N1077" s="23" t="str">
        <f>IF($B1077="","",IFERROR(ROUND(INDEX(账户期初本位,MATCH($B1077,账户名,0))+SUMIFS($L$6:L1077,$B$6:B1077,$B1077),2),""))</f>
        <v/>
      </c>
      <c r="O1077" s="46"/>
      <c r="P1077" s="47"/>
      <c r="Q1077" s="46"/>
      <c r="R1077" s="46"/>
      <c r="S1077" s="6" t="str">
        <f>IF($B1077="","",IF(ISNA(MATCH($B1077,账户名,0)),"※这个账户不在【参数设置】的账户档案里",IF($A1077="","※没填日期，这一笔不会进任何月份的报表",IF(AND($G1077&lt;&gt;"",$H1077&lt;&gt;""),"※收入和支出不能同时填",IF(AND(N($G1077)=0,N($H1077)=0),"※收入和支出都没填",IF($E1077="","※没填收支类别，分类报表会漏掉这一笔",IF(ISNA(MATCH($E1077,类别表,0)),"※收支类别不在【参数设置】的清单里",IF($J1077="","△"&amp;$D1077&amp;" 还没填汇率，去【月度汇率】补上就自动算了",IF(YEAR($A1077)&lt;&gt;管理年度,"△不是管理年度的单据，年报里看不到",IF(AND($F1077="内部转账",$Q1077=""),"△内部转账建议在「往来单位」写上对方账户",IF($M1077&lt;0,"△这一笔之后该账户余额成负数了，核一下","")))))))))))</f>
        <v/>
      </c>
    </row>
    <row r="1078" ht="16.5" spans="1:19">
      <c r="A1078" s="45"/>
      <c r="B1078" s="46"/>
      <c r="C1078" s="12" t="str">
        <f>IF($B1078="","",IFERROR(INDEX(账户银行,MATCH($B1078,账户名,0)),""))</f>
        <v/>
      </c>
      <c r="D1078" s="12" t="str">
        <f>IF($B1078="","",IFERROR(INDEX(账户币种,MATCH($B1078,账户名,0)),""))</f>
        <v/>
      </c>
      <c r="E1078" s="47"/>
      <c r="F1078" s="12" t="str">
        <f>IF($E1078="","",IFERROR(INDEX(类别属性,MATCH($E1078,类别表,0)),""))</f>
        <v/>
      </c>
      <c r="G1078" s="48"/>
      <c r="H1078" s="48"/>
      <c r="I1078" s="49"/>
      <c r="J1078" s="24" t="str">
        <f>IF(OR($A1078="",$B1078=""),"",IF($I1078&lt;&gt;"",$I1078,IF($D1078=本位币,1,IFERROR(LOOKUP(2,1/((汇率月份&lt;=$A1078)*(INDEX(记账汇率区,0,MATCH($D1078,汇率币种头,0))&lt;&gt;"")),INDEX(记账汇率区,0,MATCH($D1078,汇率币种头,0))),""))))</f>
        <v/>
      </c>
      <c r="K1078" s="23" t="str">
        <f t="shared" si="32"/>
        <v/>
      </c>
      <c r="L1078" s="23" t="str">
        <f t="shared" si="33"/>
        <v/>
      </c>
      <c r="M1078" s="23" t="str">
        <f>IF($B1078="","",ROUND(SUMIF(账户名,$B1078,账户期初)+SUMIFS($K$6:K1078,$B$6:B1078,$B1078),2))</f>
        <v/>
      </c>
      <c r="N1078" s="23" t="str">
        <f>IF($B1078="","",IFERROR(ROUND(INDEX(账户期初本位,MATCH($B1078,账户名,0))+SUMIFS($L$6:L1078,$B$6:B1078,$B1078),2),""))</f>
        <v/>
      </c>
      <c r="O1078" s="46"/>
      <c r="P1078" s="47"/>
      <c r="Q1078" s="46"/>
      <c r="R1078" s="46"/>
      <c r="S1078" s="6" t="str">
        <f>IF($B1078="","",IF(ISNA(MATCH($B1078,账户名,0)),"※这个账户不在【参数设置】的账户档案里",IF($A1078="","※没填日期，这一笔不会进任何月份的报表",IF(AND($G1078&lt;&gt;"",$H1078&lt;&gt;""),"※收入和支出不能同时填",IF(AND(N($G1078)=0,N($H1078)=0),"※收入和支出都没填",IF($E1078="","※没填收支类别，分类报表会漏掉这一笔",IF(ISNA(MATCH($E1078,类别表,0)),"※收支类别不在【参数设置】的清单里",IF($J1078="","△"&amp;$D1078&amp;" 还没填汇率，去【月度汇率】补上就自动算了",IF(YEAR($A1078)&lt;&gt;管理年度,"△不是管理年度的单据，年报里看不到",IF(AND($F1078="内部转账",$Q1078=""),"△内部转账建议在「往来单位」写上对方账户",IF($M1078&lt;0,"△这一笔之后该账户余额成负数了，核一下","")))))))))))</f>
        <v/>
      </c>
    </row>
    <row r="1079" ht="16.5" spans="1:19">
      <c r="A1079" s="45"/>
      <c r="B1079" s="46"/>
      <c r="C1079" s="12" t="str">
        <f>IF($B1079="","",IFERROR(INDEX(账户银行,MATCH($B1079,账户名,0)),""))</f>
        <v/>
      </c>
      <c r="D1079" s="12" t="str">
        <f>IF($B1079="","",IFERROR(INDEX(账户币种,MATCH($B1079,账户名,0)),""))</f>
        <v/>
      </c>
      <c r="E1079" s="47"/>
      <c r="F1079" s="12" t="str">
        <f>IF($E1079="","",IFERROR(INDEX(类别属性,MATCH($E1079,类别表,0)),""))</f>
        <v/>
      </c>
      <c r="G1079" s="48"/>
      <c r="H1079" s="48"/>
      <c r="I1079" s="49"/>
      <c r="J1079" s="24" t="str">
        <f>IF(OR($A1079="",$B1079=""),"",IF($I1079&lt;&gt;"",$I1079,IF($D1079=本位币,1,IFERROR(LOOKUP(2,1/((汇率月份&lt;=$A1079)*(INDEX(记账汇率区,0,MATCH($D1079,汇率币种头,0))&lt;&gt;"")),INDEX(记账汇率区,0,MATCH($D1079,汇率币种头,0))),""))))</f>
        <v/>
      </c>
      <c r="K1079" s="23" t="str">
        <f t="shared" si="32"/>
        <v/>
      </c>
      <c r="L1079" s="23" t="str">
        <f t="shared" si="33"/>
        <v/>
      </c>
      <c r="M1079" s="23" t="str">
        <f>IF($B1079="","",ROUND(SUMIF(账户名,$B1079,账户期初)+SUMIFS($K$6:K1079,$B$6:B1079,$B1079),2))</f>
        <v/>
      </c>
      <c r="N1079" s="23" t="str">
        <f>IF($B1079="","",IFERROR(ROUND(INDEX(账户期初本位,MATCH($B1079,账户名,0))+SUMIFS($L$6:L1079,$B$6:B1079,$B1079),2),""))</f>
        <v/>
      </c>
      <c r="O1079" s="46"/>
      <c r="P1079" s="47"/>
      <c r="Q1079" s="46"/>
      <c r="R1079" s="46"/>
      <c r="S1079" s="6" t="str">
        <f>IF($B1079="","",IF(ISNA(MATCH($B1079,账户名,0)),"※这个账户不在【参数设置】的账户档案里",IF($A1079="","※没填日期，这一笔不会进任何月份的报表",IF(AND($G1079&lt;&gt;"",$H1079&lt;&gt;""),"※收入和支出不能同时填",IF(AND(N($G1079)=0,N($H1079)=0),"※收入和支出都没填",IF($E1079="","※没填收支类别，分类报表会漏掉这一笔",IF(ISNA(MATCH($E1079,类别表,0)),"※收支类别不在【参数设置】的清单里",IF($J1079="","△"&amp;$D1079&amp;" 还没填汇率，去【月度汇率】补上就自动算了",IF(YEAR($A1079)&lt;&gt;管理年度,"△不是管理年度的单据，年报里看不到",IF(AND($F1079="内部转账",$Q1079=""),"△内部转账建议在「往来单位」写上对方账户",IF($M1079&lt;0,"△这一笔之后该账户余额成负数了，核一下","")))))))))))</f>
        <v/>
      </c>
    </row>
    <row r="1080" ht="16.5" spans="1:19">
      <c r="A1080" s="45"/>
      <c r="B1080" s="46"/>
      <c r="C1080" s="12" t="str">
        <f>IF($B1080="","",IFERROR(INDEX(账户银行,MATCH($B1080,账户名,0)),""))</f>
        <v/>
      </c>
      <c r="D1080" s="12" t="str">
        <f>IF($B1080="","",IFERROR(INDEX(账户币种,MATCH($B1080,账户名,0)),""))</f>
        <v/>
      </c>
      <c r="E1080" s="47"/>
      <c r="F1080" s="12" t="str">
        <f>IF($E1080="","",IFERROR(INDEX(类别属性,MATCH($E1080,类别表,0)),""))</f>
        <v/>
      </c>
      <c r="G1080" s="48"/>
      <c r="H1080" s="48"/>
      <c r="I1080" s="49"/>
      <c r="J1080" s="24" t="str">
        <f>IF(OR($A1080="",$B1080=""),"",IF($I1080&lt;&gt;"",$I1080,IF($D1080=本位币,1,IFERROR(LOOKUP(2,1/((汇率月份&lt;=$A1080)*(INDEX(记账汇率区,0,MATCH($D1080,汇率币种头,0))&lt;&gt;"")),INDEX(记账汇率区,0,MATCH($D1080,汇率币种头,0))),""))))</f>
        <v/>
      </c>
      <c r="K1080" s="23" t="str">
        <f t="shared" si="32"/>
        <v/>
      </c>
      <c r="L1080" s="23" t="str">
        <f t="shared" si="33"/>
        <v/>
      </c>
      <c r="M1080" s="23" t="str">
        <f>IF($B1080="","",ROUND(SUMIF(账户名,$B1080,账户期初)+SUMIFS($K$6:K1080,$B$6:B1080,$B1080),2))</f>
        <v/>
      </c>
      <c r="N1080" s="23" t="str">
        <f>IF($B1080="","",IFERROR(ROUND(INDEX(账户期初本位,MATCH($B1080,账户名,0))+SUMIFS($L$6:L1080,$B$6:B1080,$B1080),2),""))</f>
        <v/>
      </c>
      <c r="O1080" s="46"/>
      <c r="P1080" s="47"/>
      <c r="Q1080" s="46"/>
      <c r="R1080" s="46"/>
      <c r="S1080" s="6" t="str">
        <f>IF($B1080="","",IF(ISNA(MATCH($B1080,账户名,0)),"※这个账户不在【参数设置】的账户档案里",IF($A1080="","※没填日期，这一笔不会进任何月份的报表",IF(AND($G1080&lt;&gt;"",$H1080&lt;&gt;""),"※收入和支出不能同时填",IF(AND(N($G1080)=0,N($H1080)=0),"※收入和支出都没填",IF($E1080="","※没填收支类别，分类报表会漏掉这一笔",IF(ISNA(MATCH($E1080,类别表,0)),"※收支类别不在【参数设置】的清单里",IF($J1080="","△"&amp;$D1080&amp;" 还没填汇率，去【月度汇率】补上就自动算了",IF(YEAR($A1080)&lt;&gt;管理年度,"△不是管理年度的单据，年报里看不到",IF(AND($F1080="内部转账",$Q1080=""),"△内部转账建议在「往来单位」写上对方账户",IF($M1080&lt;0,"△这一笔之后该账户余额成负数了，核一下","")))))))))))</f>
        <v/>
      </c>
    </row>
    <row r="1081" ht="16.5" spans="1:19">
      <c r="A1081" s="45"/>
      <c r="B1081" s="46"/>
      <c r="C1081" s="12" t="str">
        <f>IF($B1081="","",IFERROR(INDEX(账户银行,MATCH($B1081,账户名,0)),""))</f>
        <v/>
      </c>
      <c r="D1081" s="12" t="str">
        <f>IF($B1081="","",IFERROR(INDEX(账户币种,MATCH($B1081,账户名,0)),""))</f>
        <v/>
      </c>
      <c r="E1081" s="47"/>
      <c r="F1081" s="12" t="str">
        <f>IF($E1081="","",IFERROR(INDEX(类别属性,MATCH($E1081,类别表,0)),""))</f>
        <v/>
      </c>
      <c r="G1081" s="48"/>
      <c r="H1081" s="48"/>
      <c r="I1081" s="49"/>
      <c r="J1081" s="24" t="str">
        <f>IF(OR($A1081="",$B1081=""),"",IF($I1081&lt;&gt;"",$I1081,IF($D1081=本位币,1,IFERROR(LOOKUP(2,1/((汇率月份&lt;=$A1081)*(INDEX(记账汇率区,0,MATCH($D1081,汇率币种头,0))&lt;&gt;"")),INDEX(记账汇率区,0,MATCH($D1081,汇率币种头,0))),""))))</f>
        <v/>
      </c>
      <c r="K1081" s="23" t="str">
        <f t="shared" si="32"/>
        <v/>
      </c>
      <c r="L1081" s="23" t="str">
        <f t="shared" si="33"/>
        <v/>
      </c>
      <c r="M1081" s="23" t="str">
        <f>IF($B1081="","",ROUND(SUMIF(账户名,$B1081,账户期初)+SUMIFS($K$6:K1081,$B$6:B1081,$B1081),2))</f>
        <v/>
      </c>
      <c r="N1081" s="23" t="str">
        <f>IF($B1081="","",IFERROR(ROUND(INDEX(账户期初本位,MATCH($B1081,账户名,0))+SUMIFS($L$6:L1081,$B$6:B1081,$B1081),2),""))</f>
        <v/>
      </c>
      <c r="O1081" s="46"/>
      <c r="P1081" s="47"/>
      <c r="Q1081" s="46"/>
      <c r="R1081" s="46"/>
      <c r="S1081" s="6" t="str">
        <f>IF($B1081="","",IF(ISNA(MATCH($B1081,账户名,0)),"※这个账户不在【参数设置】的账户档案里",IF($A1081="","※没填日期，这一笔不会进任何月份的报表",IF(AND($G1081&lt;&gt;"",$H1081&lt;&gt;""),"※收入和支出不能同时填",IF(AND(N($G1081)=0,N($H1081)=0),"※收入和支出都没填",IF($E1081="","※没填收支类别，分类报表会漏掉这一笔",IF(ISNA(MATCH($E1081,类别表,0)),"※收支类别不在【参数设置】的清单里",IF($J1081="","△"&amp;$D1081&amp;" 还没填汇率，去【月度汇率】补上就自动算了",IF(YEAR($A1081)&lt;&gt;管理年度,"△不是管理年度的单据，年报里看不到",IF(AND($F1081="内部转账",$Q1081=""),"△内部转账建议在「往来单位」写上对方账户",IF($M1081&lt;0,"△这一笔之后该账户余额成负数了，核一下","")))))))))))</f>
        <v/>
      </c>
    </row>
    <row r="1082" ht="16.5" spans="1:19">
      <c r="A1082" s="45"/>
      <c r="B1082" s="46"/>
      <c r="C1082" s="12" t="str">
        <f>IF($B1082="","",IFERROR(INDEX(账户银行,MATCH($B1082,账户名,0)),""))</f>
        <v/>
      </c>
      <c r="D1082" s="12" t="str">
        <f>IF($B1082="","",IFERROR(INDEX(账户币种,MATCH($B1082,账户名,0)),""))</f>
        <v/>
      </c>
      <c r="E1082" s="47"/>
      <c r="F1082" s="12" t="str">
        <f>IF($E1082="","",IFERROR(INDEX(类别属性,MATCH($E1082,类别表,0)),""))</f>
        <v/>
      </c>
      <c r="G1082" s="48"/>
      <c r="H1082" s="48"/>
      <c r="I1082" s="49"/>
      <c r="J1082" s="24" t="str">
        <f>IF(OR($A1082="",$B1082=""),"",IF($I1082&lt;&gt;"",$I1082,IF($D1082=本位币,1,IFERROR(LOOKUP(2,1/((汇率月份&lt;=$A1082)*(INDEX(记账汇率区,0,MATCH($D1082,汇率币种头,0))&lt;&gt;"")),INDEX(记账汇率区,0,MATCH($D1082,汇率币种头,0))),""))))</f>
        <v/>
      </c>
      <c r="K1082" s="23" t="str">
        <f t="shared" si="32"/>
        <v/>
      </c>
      <c r="L1082" s="23" t="str">
        <f t="shared" si="33"/>
        <v/>
      </c>
      <c r="M1082" s="23" t="str">
        <f>IF($B1082="","",ROUND(SUMIF(账户名,$B1082,账户期初)+SUMIFS($K$6:K1082,$B$6:B1082,$B1082),2))</f>
        <v/>
      </c>
      <c r="N1082" s="23" t="str">
        <f>IF($B1082="","",IFERROR(ROUND(INDEX(账户期初本位,MATCH($B1082,账户名,0))+SUMIFS($L$6:L1082,$B$6:B1082,$B1082),2),""))</f>
        <v/>
      </c>
      <c r="O1082" s="46"/>
      <c r="P1082" s="47"/>
      <c r="Q1082" s="46"/>
      <c r="R1082" s="46"/>
      <c r="S1082" s="6" t="str">
        <f>IF($B1082="","",IF(ISNA(MATCH($B1082,账户名,0)),"※这个账户不在【参数设置】的账户档案里",IF($A1082="","※没填日期，这一笔不会进任何月份的报表",IF(AND($G1082&lt;&gt;"",$H1082&lt;&gt;""),"※收入和支出不能同时填",IF(AND(N($G1082)=0,N($H1082)=0),"※收入和支出都没填",IF($E1082="","※没填收支类别，分类报表会漏掉这一笔",IF(ISNA(MATCH($E1082,类别表,0)),"※收支类别不在【参数设置】的清单里",IF($J1082="","△"&amp;$D1082&amp;" 还没填汇率，去【月度汇率】补上就自动算了",IF(YEAR($A1082)&lt;&gt;管理年度,"△不是管理年度的单据，年报里看不到",IF(AND($F1082="内部转账",$Q1082=""),"△内部转账建议在「往来单位」写上对方账户",IF($M1082&lt;0,"△这一笔之后该账户余额成负数了，核一下","")))))))))))</f>
        <v/>
      </c>
    </row>
    <row r="1083" ht="16.5" spans="1:19">
      <c r="A1083" s="45"/>
      <c r="B1083" s="46"/>
      <c r="C1083" s="12" t="str">
        <f>IF($B1083="","",IFERROR(INDEX(账户银行,MATCH($B1083,账户名,0)),""))</f>
        <v/>
      </c>
      <c r="D1083" s="12" t="str">
        <f>IF($B1083="","",IFERROR(INDEX(账户币种,MATCH($B1083,账户名,0)),""))</f>
        <v/>
      </c>
      <c r="E1083" s="47"/>
      <c r="F1083" s="12" t="str">
        <f>IF($E1083="","",IFERROR(INDEX(类别属性,MATCH($E1083,类别表,0)),""))</f>
        <v/>
      </c>
      <c r="G1083" s="48"/>
      <c r="H1083" s="48"/>
      <c r="I1083" s="49"/>
      <c r="J1083" s="24" t="str">
        <f>IF(OR($A1083="",$B1083=""),"",IF($I1083&lt;&gt;"",$I1083,IF($D1083=本位币,1,IFERROR(LOOKUP(2,1/((汇率月份&lt;=$A1083)*(INDEX(记账汇率区,0,MATCH($D1083,汇率币种头,0))&lt;&gt;"")),INDEX(记账汇率区,0,MATCH($D1083,汇率币种头,0))),""))))</f>
        <v/>
      </c>
      <c r="K1083" s="23" t="str">
        <f t="shared" si="32"/>
        <v/>
      </c>
      <c r="L1083" s="23" t="str">
        <f t="shared" si="33"/>
        <v/>
      </c>
      <c r="M1083" s="23" t="str">
        <f>IF($B1083="","",ROUND(SUMIF(账户名,$B1083,账户期初)+SUMIFS($K$6:K1083,$B$6:B1083,$B1083),2))</f>
        <v/>
      </c>
      <c r="N1083" s="23" t="str">
        <f>IF($B1083="","",IFERROR(ROUND(INDEX(账户期初本位,MATCH($B1083,账户名,0))+SUMIFS($L$6:L1083,$B$6:B1083,$B1083),2),""))</f>
        <v/>
      </c>
      <c r="O1083" s="46"/>
      <c r="P1083" s="47"/>
      <c r="Q1083" s="46"/>
      <c r="R1083" s="46"/>
      <c r="S1083" s="6" t="str">
        <f>IF($B1083="","",IF(ISNA(MATCH($B1083,账户名,0)),"※这个账户不在【参数设置】的账户档案里",IF($A1083="","※没填日期，这一笔不会进任何月份的报表",IF(AND($G1083&lt;&gt;"",$H1083&lt;&gt;""),"※收入和支出不能同时填",IF(AND(N($G1083)=0,N($H1083)=0),"※收入和支出都没填",IF($E1083="","※没填收支类别，分类报表会漏掉这一笔",IF(ISNA(MATCH($E1083,类别表,0)),"※收支类别不在【参数设置】的清单里",IF($J1083="","△"&amp;$D1083&amp;" 还没填汇率，去【月度汇率】补上就自动算了",IF(YEAR($A1083)&lt;&gt;管理年度,"△不是管理年度的单据，年报里看不到",IF(AND($F1083="内部转账",$Q1083=""),"△内部转账建议在「往来单位」写上对方账户",IF($M1083&lt;0,"△这一笔之后该账户余额成负数了，核一下","")))))))))))</f>
        <v/>
      </c>
    </row>
    <row r="1084" ht="16.5" spans="1:19">
      <c r="A1084" s="45"/>
      <c r="B1084" s="46"/>
      <c r="C1084" s="12" t="str">
        <f>IF($B1084="","",IFERROR(INDEX(账户银行,MATCH($B1084,账户名,0)),""))</f>
        <v/>
      </c>
      <c r="D1084" s="12" t="str">
        <f>IF($B1084="","",IFERROR(INDEX(账户币种,MATCH($B1084,账户名,0)),""))</f>
        <v/>
      </c>
      <c r="E1084" s="47"/>
      <c r="F1084" s="12" t="str">
        <f>IF($E1084="","",IFERROR(INDEX(类别属性,MATCH($E1084,类别表,0)),""))</f>
        <v/>
      </c>
      <c r="G1084" s="48"/>
      <c r="H1084" s="48"/>
      <c r="I1084" s="49"/>
      <c r="J1084" s="24" t="str">
        <f>IF(OR($A1084="",$B1084=""),"",IF($I1084&lt;&gt;"",$I1084,IF($D1084=本位币,1,IFERROR(LOOKUP(2,1/((汇率月份&lt;=$A1084)*(INDEX(记账汇率区,0,MATCH($D1084,汇率币种头,0))&lt;&gt;"")),INDEX(记账汇率区,0,MATCH($D1084,汇率币种头,0))),""))))</f>
        <v/>
      </c>
      <c r="K1084" s="23" t="str">
        <f t="shared" si="32"/>
        <v/>
      </c>
      <c r="L1084" s="23" t="str">
        <f t="shared" si="33"/>
        <v/>
      </c>
      <c r="M1084" s="23" t="str">
        <f>IF($B1084="","",ROUND(SUMIF(账户名,$B1084,账户期初)+SUMIFS($K$6:K1084,$B$6:B1084,$B1084),2))</f>
        <v/>
      </c>
      <c r="N1084" s="23" t="str">
        <f>IF($B1084="","",IFERROR(ROUND(INDEX(账户期初本位,MATCH($B1084,账户名,0))+SUMIFS($L$6:L1084,$B$6:B1084,$B1084),2),""))</f>
        <v/>
      </c>
      <c r="O1084" s="46"/>
      <c r="P1084" s="47"/>
      <c r="Q1084" s="46"/>
      <c r="R1084" s="46"/>
      <c r="S1084" s="6" t="str">
        <f>IF($B1084="","",IF(ISNA(MATCH($B1084,账户名,0)),"※这个账户不在【参数设置】的账户档案里",IF($A1084="","※没填日期，这一笔不会进任何月份的报表",IF(AND($G1084&lt;&gt;"",$H1084&lt;&gt;""),"※收入和支出不能同时填",IF(AND(N($G1084)=0,N($H1084)=0),"※收入和支出都没填",IF($E1084="","※没填收支类别，分类报表会漏掉这一笔",IF(ISNA(MATCH($E1084,类别表,0)),"※收支类别不在【参数设置】的清单里",IF($J1084="","△"&amp;$D1084&amp;" 还没填汇率，去【月度汇率】补上就自动算了",IF(YEAR($A1084)&lt;&gt;管理年度,"△不是管理年度的单据，年报里看不到",IF(AND($F1084="内部转账",$Q1084=""),"△内部转账建议在「往来单位」写上对方账户",IF($M1084&lt;0,"△这一笔之后该账户余额成负数了，核一下","")))))))))))</f>
        <v/>
      </c>
    </row>
    <row r="1085" ht="16.5" spans="1:19">
      <c r="A1085" s="45"/>
      <c r="B1085" s="46"/>
      <c r="C1085" s="12" t="str">
        <f>IF($B1085="","",IFERROR(INDEX(账户银行,MATCH($B1085,账户名,0)),""))</f>
        <v/>
      </c>
      <c r="D1085" s="12" t="str">
        <f>IF($B1085="","",IFERROR(INDEX(账户币种,MATCH($B1085,账户名,0)),""))</f>
        <v/>
      </c>
      <c r="E1085" s="47"/>
      <c r="F1085" s="12" t="str">
        <f>IF($E1085="","",IFERROR(INDEX(类别属性,MATCH($E1085,类别表,0)),""))</f>
        <v/>
      </c>
      <c r="G1085" s="48"/>
      <c r="H1085" s="48"/>
      <c r="I1085" s="49"/>
      <c r="J1085" s="24" t="str">
        <f>IF(OR($A1085="",$B1085=""),"",IF($I1085&lt;&gt;"",$I1085,IF($D1085=本位币,1,IFERROR(LOOKUP(2,1/((汇率月份&lt;=$A1085)*(INDEX(记账汇率区,0,MATCH($D1085,汇率币种头,0))&lt;&gt;"")),INDEX(记账汇率区,0,MATCH($D1085,汇率币种头,0))),""))))</f>
        <v/>
      </c>
      <c r="K1085" s="23" t="str">
        <f t="shared" si="32"/>
        <v/>
      </c>
      <c r="L1085" s="23" t="str">
        <f t="shared" si="33"/>
        <v/>
      </c>
      <c r="M1085" s="23" t="str">
        <f>IF($B1085="","",ROUND(SUMIF(账户名,$B1085,账户期初)+SUMIFS($K$6:K1085,$B$6:B1085,$B1085),2))</f>
        <v/>
      </c>
      <c r="N1085" s="23" t="str">
        <f>IF($B1085="","",IFERROR(ROUND(INDEX(账户期初本位,MATCH($B1085,账户名,0))+SUMIFS($L$6:L1085,$B$6:B1085,$B1085),2),""))</f>
        <v/>
      </c>
      <c r="O1085" s="46"/>
      <c r="P1085" s="47"/>
      <c r="Q1085" s="46"/>
      <c r="R1085" s="46"/>
      <c r="S1085" s="6" t="str">
        <f>IF($B1085="","",IF(ISNA(MATCH($B1085,账户名,0)),"※这个账户不在【参数设置】的账户档案里",IF($A1085="","※没填日期，这一笔不会进任何月份的报表",IF(AND($G1085&lt;&gt;"",$H1085&lt;&gt;""),"※收入和支出不能同时填",IF(AND(N($G1085)=0,N($H1085)=0),"※收入和支出都没填",IF($E1085="","※没填收支类别，分类报表会漏掉这一笔",IF(ISNA(MATCH($E1085,类别表,0)),"※收支类别不在【参数设置】的清单里",IF($J1085="","△"&amp;$D1085&amp;" 还没填汇率，去【月度汇率】补上就自动算了",IF(YEAR($A1085)&lt;&gt;管理年度,"△不是管理年度的单据，年报里看不到",IF(AND($F1085="内部转账",$Q1085=""),"△内部转账建议在「往来单位」写上对方账户",IF($M1085&lt;0,"△这一笔之后该账户余额成负数了，核一下","")))))))))))</f>
        <v/>
      </c>
    </row>
    <row r="1086" ht="16.5" spans="1:19">
      <c r="A1086" s="45"/>
      <c r="B1086" s="46"/>
      <c r="C1086" s="12" t="str">
        <f>IF($B1086="","",IFERROR(INDEX(账户银行,MATCH($B1086,账户名,0)),""))</f>
        <v/>
      </c>
      <c r="D1086" s="12" t="str">
        <f>IF($B1086="","",IFERROR(INDEX(账户币种,MATCH($B1086,账户名,0)),""))</f>
        <v/>
      </c>
      <c r="E1086" s="47"/>
      <c r="F1086" s="12" t="str">
        <f>IF($E1086="","",IFERROR(INDEX(类别属性,MATCH($E1086,类别表,0)),""))</f>
        <v/>
      </c>
      <c r="G1086" s="48"/>
      <c r="H1086" s="48"/>
      <c r="I1086" s="49"/>
      <c r="J1086" s="24" t="str">
        <f>IF(OR($A1086="",$B1086=""),"",IF($I1086&lt;&gt;"",$I1086,IF($D1086=本位币,1,IFERROR(LOOKUP(2,1/((汇率月份&lt;=$A1086)*(INDEX(记账汇率区,0,MATCH($D1086,汇率币种头,0))&lt;&gt;"")),INDEX(记账汇率区,0,MATCH($D1086,汇率币种头,0))),""))))</f>
        <v/>
      </c>
      <c r="K1086" s="23" t="str">
        <f t="shared" si="32"/>
        <v/>
      </c>
      <c r="L1086" s="23" t="str">
        <f t="shared" si="33"/>
        <v/>
      </c>
      <c r="M1086" s="23" t="str">
        <f>IF($B1086="","",ROUND(SUMIF(账户名,$B1086,账户期初)+SUMIFS($K$6:K1086,$B$6:B1086,$B1086),2))</f>
        <v/>
      </c>
      <c r="N1086" s="23" t="str">
        <f>IF($B1086="","",IFERROR(ROUND(INDEX(账户期初本位,MATCH($B1086,账户名,0))+SUMIFS($L$6:L1086,$B$6:B1086,$B1086),2),""))</f>
        <v/>
      </c>
      <c r="O1086" s="46"/>
      <c r="P1086" s="47"/>
      <c r="Q1086" s="46"/>
      <c r="R1086" s="46"/>
      <c r="S1086" s="6" t="str">
        <f>IF($B1086="","",IF(ISNA(MATCH($B1086,账户名,0)),"※这个账户不在【参数设置】的账户档案里",IF($A1086="","※没填日期，这一笔不会进任何月份的报表",IF(AND($G1086&lt;&gt;"",$H1086&lt;&gt;""),"※收入和支出不能同时填",IF(AND(N($G1086)=0,N($H1086)=0),"※收入和支出都没填",IF($E1086="","※没填收支类别，分类报表会漏掉这一笔",IF(ISNA(MATCH($E1086,类别表,0)),"※收支类别不在【参数设置】的清单里",IF($J1086="","△"&amp;$D1086&amp;" 还没填汇率，去【月度汇率】补上就自动算了",IF(YEAR($A1086)&lt;&gt;管理年度,"△不是管理年度的单据，年报里看不到",IF(AND($F1086="内部转账",$Q1086=""),"△内部转账建议在「往来单位」写上对方账户",IF($M1086&lt;0,"△这一笔之后该账户余额成负数了，核一下","")))))))))))</f>
        <v/>
      </c>
    </row>
    <row r="1087" ht="16.5" spans="1:19">
      <c r="A1087" s="45"/>
      <c r="B1087" s="46"/>
      <c r="C1087" s="12" t="str">
        <f>IF($B1087="","",IFERROR(INDEX(账户银行,MATCH($B1087,账户名,0)),""))</f>
        <v/>
      </c>
      <c r="D1087" s="12" t="str">
        <f>IF($B1087="","",IFERROR(INDEX(账户币种,MATCH($B1087,账户名,0)),""))</f>
        <v/>
      </c>
      <c r="E1087" s="47"/>
      <c r="F1087" s="12" t="str">
        <f>IF($E1087="","",IFERROR(INDEX(类别属性,MATCH($E1087,类别表,0)),""))</f>
        <v/>
      </c>
      <c r="G1087" s="48"/>
      <c r="H1087" s="48"/>
      <c r="I1087" s="49"/>
      <c r="J1087" s="24" t="str">
        <f>IF(OR($A1087="",$B1087=""),"",IF($I1087&lt;&gt;"",$I1087,IF($D1087=本位币,1,IFERROR(LOOKUP(2,1/((汇率月份&lt;=$A1087)*(INDEX(记账汇率区,0,MATCH($D1087,汇率币种头,0))&lt;&gt;"")),INDEX(记账汇率区,0,MATCH($D1087,汇率币种头,0))),""))))</f>
        <v/>
      </c>
      <c r="K1087" s="23" t="str">
        <f t="shared" si="32"/>
        <v/>
      </c>
      <c r="L1087" s="23" t="str">
        <f t="shared" si="33"/>
        <v/>
      </c>
      <c r="M1087" s="23" t="str">
        <f>IF($B1087="","",ROUND(SUMIF(账户名,$B1087,账户期初)+SUMIFS($K$6:K1087,$B$6:B1087,$B1087),2))</f>
        <v/>
      </c>
      <c r="N1087" s="23" t="str">
        <f>IF($B1087="","",IFERROR(ROUND(INDEX(账户期初本位,MATCH($B1087,账户名,0))+SUMIFS($L$6:L1087,$B$6:B1087,$B1087),2),""))</f>
        <v/>
      </c>
      <c r="O1087" s="46"/>
      <c r="P1087" s="47"/>
      <c r="Q1087" s="46"/>
      <c r="R1087" s="46"/>
      <c r="S1087" s="6" t="str">
        <f>IF($B1087="","",IF(ISNA(MATCH($B1087,账户名,0)),"※这个账户不在【参数设置】的账户档案里",IF($A1087="","※没填日期，这一笔不会进任何月份的报表",IF(AND($G1087&lt;&gt;"",$H1087&lt;&gt;""),"※收入和支出不能同时填",IF(AND(N($G1087)=0,N($H1087)=0),"※收入和支出都没填",IF($E1087="","※没填收支类别，分类报表会漏掉这一笔",IF(ISNA(MATCH($E1087,类别表,0)),"※收支类别不在【参数设置】的清单里",IF($J1087="","△"&amp;$D1087&amp;" 还没填汇率，去【月度汇率】补上就自动算了",IF(YEAR($A1087)&lt;&gt;管理年度,"△不是管理年度的单据，年报里看不到",IF(AND($F1087="内部转账",$Q1087=""),"△内部转账建议在「往来单位」写上对方账户",IF($M1087&lt;0,"△这一笔之后该账户余额成负数了，核一下","")))))))))))</f>
        <v/>
      </c>
    </row>
    <row r="1088" ht="16.5" spans="1:19">
      <c r="A1088" s="45"/>
      <c r="B1088" s="46"/>
      <c r="C1088" s="12" t="str">
        <f>IF($B1088="","",IFERROR(INDEX(账户银行,MATCH($B1088,账户名,0)),""))</f>
        <v/>
      </c>
      <c r="D1088" s="12" t="str">
        <f>IF($B1088="","",IFERROR(INDEX(账户币种,MATCH($B1088,账户名,0)),""))</f>
        <v/>
      </c>
      <c r="E1088" s="47"/>
      <c r="F1088" s="12" t="str">
        <f>IF($E1088="","",IFERROR(INDEX(类别属性,MATCH($E1088,类别表,0)),""))</f>
        <v/>
      </c>
      <c r="G1088" s="48"/>
      <c r="H1088" s="48"/>
      <c r="I1088" s="49"/>
      <c r="J1088" s="24" t="str">
        <f>IF(OR($A1088="",$B1088=""),"",IF($I1088&lt;&gt;"",$I1088,IF($D1088=本位币,1,IFERROR(LOOKUP(2,1/((汇率月份&lt;=$A1088)*(INDEX(记账汇率区,0,MATCH($D1088,汇率币种头,0))&lt;&gt;"")),INDEX(记账汇率区,0,MATCH($D1088,汇率币种头,0))),""))))</f>
        <v/>
      </c>
      <c r="K1088" s="23" t="str">
        <f t="shared" si="32"/>
        <v/>
      </c>
      <c r="L1088" s="23" t="str">
        <f t="shared" si="33"/>
        <v/>
      </c>
      <c r="M1088" s="23" t="str">
        <f>IF($B1088="","",ROUND(SUMIF(账户名,$B1088,账户期初)+SUMIFS($K$6:K1088,$B$6:B1088,$B1088),2))</f>
        <v/>
      </c>
      <c r="N1088" s="23" t="str">
        <f>IF($B1088="","",IFERROR(ROUND(INDEX(账户期初本位,MATCH($B1088,账户名,0))+SUMIFS($L$6:L1088,$B$6:B1088,$B1088),2),""))</f>
        <v/>
      </c>
      <c r="O1088" s="46"/>
      <c r="P1088" s="47"/>
      <c r="Q1088" s="46"/>
      <c r="R1088" s="46"/>
      <c r="S1088" s="6" t="str">
        <f>IF($B1088="","",IF(ISNA(MATCH($B1088,账户名,0)),"※这个账户不在【参数设置】的账户档案里",IF($A1088="","※没填日期，这一笔不会进任何月份的报表",IF(AND($G1088&lt;&gt;"",$H1088&lt;&gt;""),"※收入和支出不能同时填",IF(AND(N($G1088)=0,N($H1088)=0),"※收入和支出都没填",IF($E1088="","※没填收支类别，分类报表会漏掉这一笔",IF(ISNA(MATCH($E1088,类别表,0)),"※收支类别不在【参数设置】的清单里",IF($J1088="","△"&amp;$D1088&amp;" 还没填汇率，去【月度汇率】补上就自动算了",IF(YEAR($A1088)&lt;&gt;管理年度,"△不是管理年度的单据，年报里看不到",IF(AND($F1088="内部转账",$Q1088=""),"△内部转账建议在「往来单位」写上对方账户",IF($M1088&lt;0,"△这一笔之后该账户余额成负数了，核一下","")))))))))))</f>
        <v/>
      </c>
    </row>
    <row r="1089" ht="16.5" spans="1:19">
      <c r="A1089" s="45"/>
      <c r="B1089" s="46"/>
      <c r="C1089" s="12" t="str">
        <f>IF($B1089="","",IFERROR(INDEX(账户银行,MATCH($B1089,账户名,0)),""))</f>
        <v/>
      </c>
      <c r="D1089" s="12" t="str">
        <f>IF($B1089="","",IFERROR(INDEX(账户币种,MATCH($B1089,账户名,0)),""))</f>
        <v/>
      </c>
      <c r="E1089" s="47"/>
      <c r="F1089" s="12" t="str">
        <f>IF($E1089="","",IFERROR(INDEX(类别属性,MATCH($E1089,类别表,0)),""))</f>
        <v/>
      </c>
      <c r="G1089" s="48"/>
      <c r="H1089" s="48"/>
      <c r="I1089" s="49"/>
      <c r="J1089" s="24" t="str">
        <f>IF(OR($A1089="",$B1089=""),"",IF($I1089&lt;&gt;"",$I1089,IF($D1089=本位币,1,IFERROR(LOOKUP(2,1/((汇率月份&lt;=$A1089)*(INDEX(记账汇率区,0,MATCH($D1089,汇率币种头,0))&lt;&gt;"")),INDEX(记账汇率区,0,MATCH($D1089,汇率币种头,0))),""))))</f>
        <v/>
      </c>
      <c r="K1089" s="23" t="str">
        <f t="shared" si="32"/>
        <v/>
      </c>
      <c r="L1089" s="23" t="str">
        <f t="shared" si="33"/>
        <v/>
      </c>
      <c r="M1089" s="23" t="str">
        <f>IF($B1089="","",ROUND(SUMIF(账户名,$B1089,账户期初)+SUMIFS($K$6:K1089,$B$6:B1089,$B1089),2))</f>
        <v/>
      </c>
      <c r="N1089" s="23" t="str">
        <f>IF($B1089="","",IFERROR(ROUND(INDEX(账户期初本位,MATCH($B1089,账户名,0))+SUMIFS($L$6:L1089,$B$6:B1089,$B1089),2),""))</f>
        <v/>
      </c>
      <c r="O1089" s="46"/>
      <c r="P1089" s="47"/>
      <c r="Q1089" s="46"/>
      <c r="R1089" s="46"/>
      <c r="S1089" s="6" t="str">
        <f>IF($B1089="","",IF(ISNA(MATCH($B1089,账户名,0)),"※这个账户不在【参数设置】的账户档案里",IF($A1089="","※没填日期，这一笔不会进任何月份的报表",IF(AND($G1089&lt;&gt;"",$H1089&lt;&gt;""),"※收入和支出不能同时填",IF(AND(N($G1089)=0,N($H1089)=0),"※收入和支出都没填",IF($E1089="","※没填收支类别，分类报表会漏掉这一笔",IF(ISNA(MATCH($E1089,类别表,0)),"※收支类别不在【参数设置】的清单里",IF($J1089="","△"&amp;$D1089&amp;" 还没填汇率，去【月度汇率】补上就自动算了",IF(YEAR($A1089)&lt;&gt;管理年度,"△不是管理年度的单据，年报里看不到",IF(AND($F1089="内部转账",$Q1089=""),"△内部转账建议在「往来单位」写上对方账户",IF($M1089&lt;0,"△这一笔之后该账户余额成负数了，核一下","")))))))))))</f>
        <v/>
      </c>
    </row>
    <row r="1090" ht="16.5" spans="1:19">
      <c r="A1090" s="45"/>
      <c r="B1090" s="46"/>
      <c r="C1090" s="12" t="str">
        <f>IF($B1090="","",IFERROR(INDEX(账户银行,MATCH($B1090,账户名,0)),""))</f>
        <v/>
      </c>
      <c r="D1090" s="12" t="str">
        <f>IF($B1090="","",IFERROR(INDEX(账户币种,MATCH($B1090,账户名,0)),""))</f>
        <v/>
      </c>
      <c r="E1090" s="47"/>
      <c r="F1090" s="12" t="str">
        <f>IF($E1090="","",IFERROR(INDEX(类别属性,MATCH($E1090,类别表,0)),""))</f>
        <v/>
      </c>
      <c r="G1090" s="48"/>
      <c r="H1090" s="48"/>
      <c r="I1090" s="49"/>
      <c r="J1090" s="24" t="str">
        <f>IF(OR($A1090="",$B1090=""),"",IF($I1090&lt;&gt;"",$I1090,IF($D1090=本位币,1,IFERROR(LOOKUP(2,1/((汇率月份&lt;=$A1090)*(INDEX(记账汇率区,0,MATCH($D1090,汇率币种头,0))&lt;&gt;"")),INDEX(记账汇率区,0,MATCH($D1090,汇率币种头,0))),""))))</f>
        <v/>
      </c>
      <c r="K1090" s="23" t="str">
        <f t="shared" si="32"/>
        <v/>
      </c>
      <c r="L1090" s="23" t="str">
        <f t="shared" si="33"/>
        <v/>
      </c>
      <c r="M1090" s="23" t="str">
        <f>IF($B1090="","",ROUND(SUMIF(账户名,$B1090,账户期初)+SUMIFS($K$6:K1090,$B$6:B1090,$B1090),2))</f>
        <v/>
      </c>
      <c r="N1090" s="23" t="str">
        <f>IF($B1090="","",IFERROR(ROUND(INDEX(账户期初本位,MATCH($B1090,账户名,0))+SUMIFS($L$6:L1090,$B$6:B1090,$B1090),2),""))</f>
        <v/>
      </c>
      <c r="O1090" s="46"/>
      <c r="P1090" s="47"/>
      <c r="Q1090" s="46"/>
      <c r="R1090" s="46"/>
      <c r="S1090" s="6" t="str">
        <f>IF($B1090="","",IF(ISNA(MATCH($B1090,账户名,0)),"※这个账户不在【参数设置】的账户档案里",IF($A1090="","※没填日期，这一笔不会进任何月份的报表",IF(AND($G1090&lt;&gt;"",$H1090&lt;&gt;""),"※收入和支出不能同时填",IF(AND(N($G1090)=0,N($H1090)=0),"※收入和支出都没填",IF($E1090="","※没填收支类别，分类报表会漏掉这一笔",IF(ISNA(MATCH($E1090,类别表,0)),"※收支类别不在【参数设置】的清单里",IF($J1090="","△"&amp;$D1090&amp;" 还没填汇率，去【月度汇率】补上就自动算了",IF(YEAR($A1090)&lt;&gt;管理年度,"△不是管理年度的单据，年报里看不到",IF(AND($F1090="内部转账",$Q1090=""),"△内部转账建议在「往来单位」写上对方账户",IF($M1090&lt;0,"△这一笔之后该账户余额成负数了，核一下","")))))))))))</f>
        <v/>
      </c>
    </row>
    <row r="1091" ht="16.5" spans="1:19">
      <c r="A1091" s="45"/>
      <c r="B1091" s="46"/>
      <c r="C1091" s="12" t="str">
        <f>IF($B1091="","",IFERROR(INDEX(账户银行,MATCH($B1091,账户名,0)),""))</f>
        <v/>
      </c>
      <c r="D1091" s="12" t="str">
        <f>IF($B1091="","",IFERROR(INDEX(账户币种,MATCH($B1091,账户名,0)),""))</f>
        <v/>
      </c>
      <c r="E1091" s="47"/>
      <c r="F1091" s="12" t="str">
        <f>IF($E1091="","",IFERROR(INDEX(类别属性,MATCH($E1091,类别表,0)),""))</f>
        <v/>
      </c>
      <c r="G1091" s="48"/>
      <c r="H1091" s="48"/>
      <c r="I1091" s="49"/>
      <c r="J1091" s="24" t="str">
        <f>IF(OR($A1091="",$B1091=""),"",IF($I1091&lt;&gt;"",$I1091,IF($D1091=本位币,1,IFERROR(LOOKUP(2,1/((汇率月份&lt;=$A1091)*(INDEX(记账汇率区,0,MATCH($D1091,汇率币种头,0))&lt;&gt;"")),INDEX(记账汇率区,0,MATCH($D1091,汇率币种头,0))),""))))</f>
        <v/>
      </c>
      <c r="K1091" s="23" t="str">
        <f t="shared" si="32"/>
        <v/>
      </c>
      <c r="L1091" s="23" t="str">
        <f t="shared" si="33"/>
        <v/>
      </c>
      <c r="M1091" s="23" t="str">
        <f>IF($B1091="","",ROUND(SUMIF(账户名,$B1091,账户期初)+SUMIFS($K$6:K1091,$B$6:B1091,$B1091),2))</f>
        <v/>
      </c>
      <c r="N1091" s="23" t="str">
        <f>IF($B1091="","",IFERROR(ROUND(INDEX(账户期初本位,MATCH($B1091,账户名,0))+SUMIFS($L$6:L1091,$B$6:B1091,$B1091),2),""))</f>
        <v/>
      </c>
      <c r="O1091" s="46"/>
      <c r="P1091" s="47"/>
      <c r="Q1091" s="46"/>
      <c r="R1091" s="46"/>
      <c r="S1091" s="6" t="str">
        <f>IF($B1091="","",IF(ISNA(MATCH($B1091,账户名,0)),"※这个账户不在【参数设置】的账户档案里",IF($A1091="","※没填日期，这一笔不会进任何月份的报表",IF(AND($G1091&lt;&gt;"",$H1091&lt;&gt;""),"※收入和支出不能同时填",IF(AND(N($G1091)=0,N($H1091)=0),"※收入和支出都没填",IF($E1091="","※没填收支类别，分类报表会漏掉这一笔",IF(ISNA(MATCH($E1091,类别表,0)),"※收支类别不在【参数设置】的清单里",IF($J1091="","△"&amp;$D1091&amp;" 还没填汇率，去【月度汇率】补上就自动算了",IF(YEAR($A1091)&lt;&gt;管理年度,"△不是管理年度的单据，年报里看不到",IF(AND($F1091="内部转账",$Q1091=""),"△内部转账建议在「往来单位」写上对方账户",IF($M1091&lt;0,"△这一笔之后该账户余额成负数了，核一下","")))))))))))</f>
        <v/>
      </c>
    </row>
    <row r="1092" ht="16.5" spans="1:19">
      <c r="A1092" s="45"/>
      <c r="B1092" s="46"/>
      <c r="C1092" s="12" t="str">
        <f>IF($B1092="","",IFERROR(INDEX(账户银行,MATCH($B1092,账户名,0)),""))</f>
        <v/>
      </c>
      <c r="D1092" s="12" t="str">
        <f>IF($B1092="","",IFERROR(INDEX(账户币种,MATCH($B1092,账户名,0)),""))</f>
        <v/>
      </c>
      <c r="E1092" s="47"/>
      <c r="F1092" s="12" t="str">
        <f>IF($E1092="","",IFERROR(INDEX(类别属性,MATCH($E1092,类别表,0)),""))</f>
        <v/>
      </c>
      <c r="G1092" s="48"/>
      <c r="H1092" s="48"/>
      <c r="I1092" s="49"/>
      <c r="J1092" s="24" t="str">
        <f>IF(OR($A1092="",$B1092=""),"",IF($I1092&lt;&gt;"",$I1092,IF($D1092=本位币,1,IFERROR(LOOKUP(2,1/((汇率月份&lt;=$A1092)*(INDEX(记账汇率区,0,MATCH($D1092,汇率币种头,0))&lt;&gt;"")),INDEX(记账汇率区,0,MATCH($D1092,汇率币种头,0))),""))))</f>
        <v/>
      </c>
      <c r="K1092" s="23" t="str">
        <f t="shared" si="32"/>
        <v/>
      </c>
      <c r="L1092" s="23" t="str">
        <f t="shared" si="33"/>
        <v/>
      </c>
      <c r="M1092" s="23" t="str">
        <f>IF($B1092="","",ROUND(SUMIF(账户名,$B1092,账户期初)+SUMIFS($K$6:K1092,$B$6:B1092,$B1092),2))</f>
        <v/>
      </c>
      <c r="N1092" s="23" t="str">
        <f>IF($B1092="","",IFERROR(ROUND(INDEX(账户期初本位,MATCH($B1092,账户名,0))+SUMIFS($L$6:L1092,$B$6:B1092,$B1092),2),""))</f>
        <v/>
      </c>
      <c r="O1092" s="46"/>
      <c r="P1092" s="47"/>
      <c r="Q1092" s="46"/>
      <c r="R1092" s="46"/>
      <c r="S1092" s="6" t="str">
        <f>IF($B1092="","",IF(ISNA(MATCH($B1092,账户名,0)),"※这个账户不在【参数设置】的账户档案里",IF($A1092="","※没填日期，这一笔不会进任何月份的报表",IF(AND($G1092&lt;&gt;"",$H1092&lt;&gt;""),"※收入和支出不能同时填",IF(AND(N($G1092)=0,N($H1092)=0),"※收入和支出都没填",IF($E1092="","※没填收支类别，分类报表会漏掉这一笔",IF(ISNA(MATCH($E1092,类别表,0)),"※收支类别不在【参数设置】的清单里",IF($J1092="","△"&amp;$D1092&amp;" 还没填汇率，去【月度汇率】补上就自动算了",IF(YEAR($A1092)&lt;&gt;管理年度,"△不是管理年度的单据，年报里看不到",IF(AND($F1092="内部转账",$Q1092=""),"△内部转账建议在「往来单位」写上对方账户",IF($M1092&lt;0,"△这一笔之后该账户余额成负数了，核一下","")))))))))))</f>
        <v/>
      </c>
    </row>
    <row r="1093" ht="16.5" spans="1:19">
      <c r="A1093" s="45"/>
      <c r="B1093" s="46"/>
      <c r="C1093" s="12" t="str">
        <f>IF($B1093="","",IFERROR(INDEX(账户银行,MATCH($B1093,账户名,0)),""))</f>
        <v/>
      </c>
      <c r="D1093" s="12" t="str">
        <f>IF($B1093="","",IFERROR(INDEX(账户币种,MATCH($B1093,账户名,0)),""))</f>
        <v/>
      </c>
      <c r="E1093" s="47"/>
      <c r="F1093" s="12" t="str">
        <f>IF($E1093="","",IFERROR(INDEX(类别属性,MATCH($E1093,类别表,0)),""))</f>
        <v/>
      </c>
      <c r="G1093" s="48"/>
      <c r="H1093" s="48"/>
      <c r="I1093" s="49"/>
      <c r="J1093" s="24" t="str">
        <f>IF(OR($A1093="",$B1093=""),"",IF($I1093&lt;&gt;"",$I1093,IF($D1093=本位币,1,IFERROR(LOOKUP(2,1/((汇率月份&lt;=$A1093)*(INDEX(记账汇率区,0,MATCH($D1093,汇率币种头,0))&lt;&gt;"")),INDEX(记账汇率区,0,MATCH($D1093,汇率币种头,0))),""))))</f>
        <v/>
      </c>
      <c r="K1093" s="23" t="str">
        <f t="shared" si="32"/>
        <v/>
      </c>
      <c r="L1093" s="23" t="str">
        <f t="shared" si="33"/>
        <v/>
      </c>
      <c r="M1093" s="23" t="str">
        <f>IF($B1093="","",ROUND(SUMIF(账户名,$B1093,账户期初)+SUMIFS($K$6:K1093,$B$6:B1093,$B1093),2))</f>
        <v/>
      </c>
      <c r="N1093" s="23" t="str">
        <f>IF($B1093="","",IFERROR(ROUND(INDEX(账户期初本位,MATCH($B1093,账户名,0))+SUMIFS($L$6:L1093,$B$6:B1093,$B1093),2),""))</f>
        <v/>
      </c>
      <c r="O1093" s="46"/>
      <c r="P1093" s="47"/>
      <c r="Q1093" s="46"/>
      <c r="R1093" s="46"/>
      <c r="S1093" s="6" t="str">
        <f>IF($B1093="","",IF(ISNA(MATCH($B1093,账户名,0)),"※这个账户不在【参数设置】的账户档案里",IF($A1093="","※没填日期，这一笔不会进任何月份的报表",IF(AND($G1093&lt;&gt;"",$H1093&lt;&gt;""),"※收入和支出不能同时填",IF(AND(N($G1093)=0,N($H1093)=0),"※收入和支出都没填",IF($E1093="","※没填收支类别，分类报表会漏掉这一笔",IF(ISNA(MATCH($E1093,类别表,0)),"※收支类别不在【参数设置】的清单里",IF($J1093="","△"&amp;$D1093&amp;" 还没填汇率，去【月度汇率】补上就自动算了",IF(YEAR($A1093)&lt;&gt;管理年度,"△不是管理年度的单据，年报里看不到",IF(AND($F1093="内部转账",$Q1093=""),"△内部转账建议在「往来单位」写上对方账户",IF($M1093&lt;0,"△这一笔之后该账户余额成负数了，核一下","")))))))))))</f>
        <v/>
      </c>
    </row>
    <row r="1094" ht="16.5" spans="1:19">
      <c r="A1094" s="45"/>
      <c r="B1094" s="46"/>
      <c r="C1094" s="12" t="str">
        <f>IF($B1094="","",IFERROR(INDEX(账户银行,MATCH($B1094,账户名,0)),""))</f>
        <v/>
      </c>
      <c r="D1094" s="12" t="str">
        <f>IF($B1094="","",IFERROR(INDEX(账户币种,MATCH($B1094,账户名,0)),""))</f>
        <v/>
      </c>
      <c r="E1094" s="47"/>
      <c r="F1094" s="12" t="str">
        <f>IF($E1094="","",IFERROR(INDEX(类别属性,MATCH($E1094,类别表,0)),""))</f>
        <v/>
      </c>
      <c r="G1094" s="48"/>
      <c r="H1094" s="48"/>
      <c r="I1094" s="49"/>
      <c r="J1094" s="24" t="str">
        <f>IF(OR($A1094="",$B1094=""),"",IF($I1094&lt;&gt;"",$I1094,IF($D1094=本位币,1,IFERROR(LOOKUP(2,1/((汇率月份&lt;=$A1094)*(INDEX(记账汇率区,0,MATCH($D1094,汇率币种头,0))&lt;&gt;"")),INDEX(记账汇率区,0,MATCH($D1094,汇率币种头,0))),""))))</f>
        <v/>
      </c>
      <c r="K1094" s="23" t="str">
        <f t="shared" ref="K1094:K1157" si="34">IF(AND($G1094="",$H1094=""),"",ROUND(N($G1094)-N($H1094),2))</f>
        <v/>
      </c>
      <c r="L1094" s="23" t="str">
        <f t="shared" ref="L1094:L1157" si="35">IF(OR($K1094="",$J1094=""),"",ROUND($K1094*$J1094,2))</f>
        <v/>
      </c>
      <c r="M1094" s="23" t="str">
        <f>IF($B1094="","",ROUND(SUMIF(账户名,$B1094,账户期初)+SUMIFS($K$6:K1094,$B$6:B1094,$B1094),2))</f>
        <v/>
      </c>
      <c r="N1094" s="23" t="str">
        <f>IF($B1094="","",IFERROR(ROUND(INDEX(账户期初本位,MATCH($B1094,账户名,0))+SUMIFS($L$6:L1094,$B$6:B1094,$B1094),2),""))</f>
        <v/>
      </c>
      <c r="O1094" s="46"/>
      <c r="P1094" s="47"/>
      <c r="Q1094" s="46"/>
      <c r="R1094" s="46"/>
      <c r="S1094" s="6" t="str">
        <f>IF($B1094="","",IF(ISNA(MATCH($B1094,账户名,0)),"※这个账户不在【参数设置】的账户档案里",IF($A1094="","※没填日期，这一笔不会进任何月份的报表",IF(AND($G1094&lt;&gt;"",$H1094&lt;&gt;""),"※收入和支出不能同时填",IF(AND(N($G1094)=0,N($H1094)=0),"※收入和支出都没填",IF($E1094="","※没填收支类别，分类报表会漏掉这一笔",IF(ISNA(MATCH($E1094,类别表,0)),"※收支类别不在【参数设置】的清单里",IF($J1094="","△"&amp;$D1094&amp;" 还没填汇率，去【月度汇率】补上就自动算了",IF(YEAR($A1094)&lt;&gt;管理年度,"△不是管理年度的单据，年报里看不到",IF(AND($F1094="内部转账",$Q1094=""),"△内部转账建议在「往来单位」写上对方账户",IF($M1094&lt;0,"△这一笔之后该账户余额成负数了，核一下","")))))))))))</f>
        <v/>
      </c>
    </row>
    <row r="1095" ht="16.5" spans="1:19">
      <c r="A1095" s="45"/>
      <c r="B1095" s="46"/>
      <c r="C1095" s="12" t="str">
        <f>IF($B1095="","",IFERROR(INDEX(账户银行,MATCH($B1095,账户名,0)),""))</f>
        <v/>
      </c>
      <c r="D1095" s="12" t="str">
        <f>IF($B1095="","",IFERROR(INDEX(账户币种,MATCH($B1095,账户名,0)),""))</f>
        <v/>
      </c>
      <c r="E1095" s="47"/>
      <c r="F1095" s="12" t="str">
        <f>IF($E1095="","",IFERROR(INDEX(类别属性,MATCH($E1095,类别表,0)),""))</f>
        <v/>
      </c>
      <c r="G1095" s="48"/>
      <c r="H1095" s="48"/>
      <c r="I1095" s="49"/>
      <c r="J1095" s="24" t="str">
        <f>IF(OR($A1095="",$B1095=""),"",IF($I1095&lt;&gt;"",$I1095,IF($D1095=本位币,1,IFERROR(LOOKUP(2,1/((汇率月份&lt;=$A1095)*(INDEX(记账汇率区,0,MATCH($D1095,汇率币种头,0))&lt;&gt;"")),INDEX(记账汇率区,0,MATCH($D1095,汇率币种头,0))),""))))</f>
        <v/>
      </c>
      <c r="K1095" s="23" t="str">
        <f t="shared" si="34"/>
        <v/>
      </c>
      <c r="L1095" s="23" t="str">
        <f t="shared" si="35"/>
        <v/>
      </c>
      <c r="M1095" s="23" t="str">
        <f>IF($B1095="","",ROUND(SUMIF(账户名,$B1095,账户期初)+SUMIFS($K$6:K1095,$B$6:B1095,$B1095),2))</f>
        <v/>
      </c>
      <c r="N1095" s="23" t="str">
        <f>IF($B1095="","",IFERROR(ROUND(INDEX(账户期初本位,MATCH($B1095,账户名,0))+SUMIFS($L$6:L1095,$B$6:B1095,$B1095),2),""))</f>
        <v/>
      </c>
      <c r="O1095" s="46"/>
      <c r="P1095" s="47"/>
      <c r="Q1095" s="46"/>
      <c r="R1095" s="46"/>
      <c r="S1095" s="6" t="str">
        <f>IF($B1095="","",IF(ISNA(MATCH($B1095,账户名,0)),"※这个账户不在【参数设置】的账户档案里",IF($A1095="","※没填日期，这一笔不会进任何月份的报表",IF(AND($G1095&lt;&gt;"",$H1095&lt;&gt;""),"※收入和支出不能同时填",IF(AND(N($G1095)=0,N($H1095)=0),"※收入和支出都没填",IF($E1095="","※没填收支类别，分类报表会漏掉这一笔",IF(ISNA(MATCH($E1095,类别表,0)),"※收支类别不在【参数设置】的清单里",IF($J1095="","△"&amp;$D1095&amp;" 还没填汇率，去【月度汇率】补上就自动算了",IF(YEAR($A1095)&lt;&gt;管理年度,"△不是管理年度的单据，年报里看不到",IF(AND($F1095="内部转账",$Q1095=""),"△内部转账建议在「往来单位」写上对方账户",IF($M1095&lt;0,"△这一笔之后该账户余额成负数了，核一下","")))))))))))</f>
        <v/>
      </c>
    </row>
    <row r="1096" ht="16.5" spans="1:19">
      <c r="A1096" s="45"/>
      <c r="B1096" s="46"/>
      <c r="C1096" s="12" t="str">
        <f>IF($B1096="","",IFERROR(INDEX(账户银行,MATCH($B1096,账户名,0)),""))</f>
        <v/>
      </c>
      <c r="D1096" s="12" t="str">
        <f>IF($B1096="","",IFERROR(INDEX(账户币种,MATCH($B1096,账户名,0)),""))</f>
        <v/>
      </c>
      <c r="E1096" s="47"/>
      <c r="F1096" s="12" t="str">
        <f>IF($E1096="","",IFERROR(INDEX(类别属性,MATCH($E1096,类别表,0)),""))</f>
        <v/>
      </c>
      <c r="G1096" s="48"/>
      <c r="H1096" s="48"/>
      <c r="I1096" s="49"/>
      <c r="J1096" s="24" t="str">
        <f>IF(OR($A1096="",$B1096=""),"",IF($I1096&lt;&gt;"",$I1096,IF($D1096=本位币,1,IFERROR(LOOKUP(2,1/((汇率月份&lt;=$A1096)*(INDEX(记账汇率区,0,MATCH($D1096,汇率币种头,0))&lt;&gt;"")),INDEX(记账汇率区,0,MATCH($D1096,汇率币种头,0))),""))))</f>
        <v/>
      </c>
      <c r="K1096" s="23" t="str">
        <f t="shared" si="34"/>
        <v/>
      </c>
      <c r="L1096" s="23" t="str">
        <f t="shared" si="35"/>
        <v/>
      </c>
      <c r="M1096" s="23" t="str">
        <f>IF($B1096="","",ROUND(SUMIF(账户名,$B1096,账户期初)+SUMIFS($K$6:K1096,$B$6:B1096,$B1096),2))</f>
        <v/>
      </c>
      <c r="N1096" s="23" t="str">
        <f>IF($B1096="","",IFERROR(ROUND(INDEX(账户期初本位,MATCH($B1096,账户名,0))+SUMIFS($L$6:L1096,$B$6:B1096,$B1096),2),""))</f>
        <v/>
      </c>
      <c r="O1096" s="46"/>
      <c r="P1096" s="47"/>
      <c r="Q1096" s="46"/>
      <c r="R1096" s="46"/>
      <c r="S1096" s="6" t="str">
        <f>IF($B1096="","",IF(ISNA(MATCH($B1096,账户名,0)),"※这个账户不在【参数设置】的账户档案里",IF($A1096="","※没填日期，这一笔不会进任何月份的报表",IF(AND($G1096&lt;&gt;"",$H1096&lt;&gt;""),"※收入和支出不能同时填",IF(AND(N($G1096)=0,N($H1096)=0),"※收入和支出都没填",IF($E1096="","※没填收支类别，分类报表会漏掉这一笔",IF(ISNA(MATCH($E1096,类别表,0)),"※收支类别不在【参数设置】的清单里",IF($J1096="","△"&amp;$D1096&amp;" 还没填汇率，去【月度汇率】补上就自动算了",IF(YEAR($A1096)&lt;&gt;管理年度,"△不是管理年度的单据，年报里看不到",IF(AND($F1096="内部转账",$Q1096=""),"△内部转账建议在「往来单位」写上对方账户",IF($M1096&lt;0,"△这一笔之后该账户余额成负数了，核一下","")))))))))))</f>
        <v/>
      </c>
    </row>
    <row r="1097" ht="16.5" spans="1:19">
      <c r="A1097" s="45"/>
      <c r="B1097" s="46"/>
      <c r="C1097" s="12" t="str">
        <f>IF($B1097="","",IFERROR(INDEX(账户银行,MATCH($B1097,账户名,0)),""))</f>
        <v/>
      </c>
      <c r="D1097" s="12" t="str">
        <f>IF($B1097="","",IFERROR(INDEX(账户币种,MATCH($B1097,账户名,0)),""))</f>
        <v/>
      </c>
      <c r="E1097" s="47"/>
      <c r="F1097" s="12" t="str">
        <f>IF($E1097="","",IFERROR(INDEX(类别属性,MATCH($E1097,类别表,0)),""))</f>
        <v/>
      </c>
      <c r="G1097" s="48"/>
      <c r="H1097" s="48"/>
      <c r="I1097" s="49"/>
      <c r="J1097" s="24" t="str">
        <f>IF(OR($A1097="",$B1097=""),"",IF($I1097&lt;&gt;"",$I1097,IF($D1097=本位币,1,IFERROR(LOOKUP(2,1/((汇率月份&lt;=$A1097)*(INDEX(记账汇率区,0,MATCH($D1097,汇率币种头,0))&lt;&gt;"")),INDEX(记账汇率区,0,MATCH($D1097,汇率币种头,0))),""))))</f>
        <v/>
      </c>
      <c r="K1097" s="23" t="str">
        <f t="shared" si="34"/>
        <v/>
      </c>
      <c r="L1097" s="23" t="str">
        <f t="shared" si="35"/>
        <v/>
      </c>
      <c r="M1097" s="23" t="str">
        <f>IF($B1097="","",ROUND(SUMIF(账户名,$B1097,账户期初)+SUMIFS($K$6:K1097,$B$6:B1097,$B1097),2))</f>
        <v/>
      </c>
      <c r="N1097" s="23" t="str">
        <f>IF($B1097="","",IFERROR(ROUND(INDEX(账户期初本位,MATCH($B1097,账户名,0))+SUMIFS($L$6:L1097,$B$6:B1097,$B1097),2),""))</f>
        <v/>
      </c>
      <c r="O1097" s="46"/>
      <c r="P1097" s="47"/>
      <c r="Q1097" s="46"/>
      <c r="R1097" s="46"/>
      <c r="S1097" s="6" t="str">
        <f>IF($B1097="","",IF(ISNA(MATCH($B1097,账户名,0)),"※这个账户不在【参数设置】的账户档案里",IF($A1097="","※没填日期，这一笔不会进任何月份的报表",IF(AND($G1097&lt;&gt;"",$H1097&lt;&gt;""),"※收入和支出不能同时填",IF(AND(N($G1097)=0,N($H1097)=0),"※收入和支出都没填",IF($E1097="","※没填收支类别，分类报表会漏掉这一笔",IF(ISNA(MATCH($E1097,类别表,0)),"※收支类别不在【参数设置】的清单里",IF($J1097="","△"&amp;$D1097&amp;" 还没填汇率，去【月度汇率】补上就自动算了",IF(YEAR($A1097)&lt;&gt;管理年度,"△不是管理年度的单据，年报里看不到",IF(AND($F1097="内部转账",$Q1097=""),"△内部转账建议在「往来单位」写上对方账户",IF($M1097&lt;0,"△这一笔之后该账户余额成负数了，核一下","")))))))))))</f>
        <v/>
      </c>
    </row>
    <row r="1098" ht="16.5" spans="1:19">
      <c r="A1098" s="45"/>
      <c r="B1098" s="46"/>
      <c r="C1098" s="12" t="str">
        <f>IF($B1098="","",IFERROR(INDEX(账户银行,MATCH($B1098,账户名,0)),""))</f>
        <v/>
      </c>
      <c r="D1098" s="12" t="str">
        <f>IF($B1098="","",IFERROR(INDEX(账户币种,MATCH($B1098,账户名,0)),""))</f>
        <v/>
      </c>
      <c r="E1098" s="47"/>
      <c r="F1098" s="12" t="str">
        <f>IF($E1098="","",IFERROR(INDEX(类别属性,MATCH($E1098,类别表,0)),""))</f>
        <v/>
      </c>
      <c r="G1098" s="48"/>
      <c r="H1098" s="48"/>
      <c r="I1098" s="49"/>
      <c r="J1098" s="24" t="str">
        <f>IF(OR($A1098="",$B1098=""),"",IF($I1098&lt;&gt;"",$I1098,IF($D1098=本位币,1,IFERROR(LOOKUP(2,1/((汇率月份&lt;=$A1098)*(INDEX(记账汇率区,0,MATCH($D1098,汇率币种头,0))&lt;&gt;"")),INDEX(记账汇率区,0,MATCH($D1098,汇率币种头,0))),""))))</f>
        <v/>
      </c>
      <c r="K1098" s="23" t="str">
        <f t="shared" si="34"/>
        <v/>
      </c>
      <c r="L1098" s="23" t="str">
        <f t="shared" si="35"/>
        <v/>
      </c>
      <c r="M1098" s="23" t="str">
        <f>IF($B1098="","",ROUND(SUMIF(账户名,$B1098,账户期初)+SUMIFS($K$6:K1098,$B$6:B1098,$B1098),2))</f>
        <v/>
      </c>
      <c r="N1098" s="23" t="str">
        <f>IF($B1098="","",IFERROR(ROUND(INDEX(账户期初本位,MATCH($B1098,账户名,0))+SUMIFS($L$6:L1098,$B$6:B1098,$B1098),2),""))</f>
        <v/>
      </c>
      <c r="O1098" s="46"/>
      <c r="P1098" s="47"/>
      <c r="Q1098" s="46"/>
      <c r="R1098" s="46"/>
      <c r="S1098" s="6" t="str">
        <f>IF($B1098="","",IF(ISNA(MATCH($B1098,账户名,0)),"※这个账户不在【参数设置】的账户档案里",IF($A1098="","※没填日期，这一笔不会进任何月份的报表",IF(AND($G1098&lt;&gt;"",$H1098&lt;&gt;""),"※收入和支出不能同时填",IF(AND(N($G1098)=0,N($H1098)=0),"※收入和支出都没填",IF($E1098="","※没填收支类别，分类报表会漏掉这一笔",IF(ISNA(MATCH($E1098,类别表,0)),"※收支类别不在【参数设置】的清单里",IF($J1098="","△"&amp;$D1098&amp;" 还没填汇率，去【月度汇率】补上就自动算了",IF(YEAR($A1098)&lt;&gt;管理年度,"△不是管理年度的单据，年报里看不到",IF(AND($F1098="内部转账",$Q1098=""),"△内部转账建议在「往来单位」写上对方账户",IF($M1098&lt;0,"△这一笔之后该账户余额成负数了，核一下","")))))))))))</f>
        <v/>
      </c>
    </row>
    <row r="1099" ht="16.5" spans="1:19">
      <c r="A1099" s="45"/>
      <c r="B1099" s="46"/>
      <c r="C1099" s="12" t="str">
        <f>IF($B1099="","",IFERROR(INDEX(账户银行,MATCH($B1099,账户名,0)),""))</f>
        <v/>
      </c>
      <c r="D1099" s="12" t="str">
        <f>IF($B1099="","",IFERROR(INDEX(账户币种,MATCH($B1099,账户名,0)),""))</f>
        <v/>
      </c>
      <c r="E1099" s="47"/>
      <c r="F1099" s="12" t="str">
        <f>IF($E1099="","",IFERROR(INDEX(类别属性,MATCH($E1099,类别表,0)),""))</f>
        <v/>
      </c>
      <c r="G1099" s="48"/>
      <c r="H1099" s="48"/>
      <c r="I1099" s="49"/>
      <c r="J1099" s="24" t="str">
        <f>IF(OR($A1099="",$B1099=""),"",IF($I1099&lt;&gt;"",$I1099,IF($D1099=本位币,1,IFERROR(LOOKUP(2,1/((汇率月份&lt;=$A1099)*(INDEX(记账汇率区,0,MATCH($D1099,汇率币种头,0))&lt;&gt;"")),INDEX(记账汇率区,0,MATCH($D1099,汇率币种头,0))),""))))</f>
        <v/>
      </c>
      <c r="K1099" s="23" t="str">
        <f t="shared" si="34"/>
        <v/>
      </c>
      <c r="L1099" s="23" t="str">
        <f t="shared" si="35"/>
        <v/>
      </c>
      <c r="M1099" s="23" t="str">
        <f>IF($B1099="","",ROUND(SUMIF(账户名,$B1099,账户期初)+SUMIFS($K$6:K1099,$B$6:B1099,$B1099),2))</f>
        <v/>
      </c>
      <c r="N1099" s="23" t="str">
        <f>IF($B1099="","",IFERROR(ROUND(INDEX(账户期初本位,MATCH($B1099,账户名,0))+SUMIFS($L$6:L1099,$B$6:B1099,$B1099),2),""))</f>
        <v/>
      </c>
      <c r="O1099" s="46"/>
      <c r="P1099" s="47"/>
      <c r="Q1099" s="46"/>
      <c r="R1099" s="46"/>
      <c r="S1099" s="6" t="str">
        <f>IF($B1099="","",IF(ISNA(MATCH($B1099,账户名,0)),"※这个账户不在【参数设置】的账户档案里",IF($A1099="","※没填日期，这一笔不会进任何月份的报表",IF(AND($G1099&lt;&gt;"",$H1099&lt;&gt;""),"※收入和支出不能同时填",IF(AND(N($G1099)=0,N($H1099)=0),"※收入和支出都没填",IF($E1099="","※没填收支类别，分类报表会漏掉这一笔",IF(ISNA(MATCH($E1099,类别表,0)),"※收支类别不在【参数设置】的清单里",IF($J1099="","△"&amp;$D1099&amp;" 还没填汇率，去【月度汇率】补上就自动算了",IF(YEAR($A1099)&lt;&gt;管理年度,"△不是管理年度的单据，年报里看不到",IF(AND($F1099="内部转账",$Q1099=""),"△内部转账建议在「往来单位」写上对方账户",IF($M1099&lt;0,"△这一笔之后该账户余额成负数了，核一下","")))))))))))</f>
        <v/>
      </c>
    </row>
    <row r="1100" ht="16.5" spans="1:19">
      <c r="A1100" s="45"/>
      <c r="B1100" s="46"/>
      <c r="C1100" s="12" t="str">
        <f>IF($B1100="","",IFERROR(INDEX(账户银行,MATCH($B1100,账户名,0)),""))</f>
        <v/>
      </c>
      <c r="D1100" s="12" t="str">
        <f>IF($B1100="","",IFERROR(INDEX(账户币种,MATCH($B1100,账户名,0)),""))</f>
        <v/>
      </c>
      <c r="E1100" s="47"/>
      <c r="F1100" s="12" t="str">
        <f>IF($E1100="","",IFERROR(INDEX(类别属性,MATCH($E1100,类别表,0)),""))</f>
        <v/>
      </c>
      <c r="G1100" s="48"/>
      <c r="H1100" s="48"/>
      <c r="I1100" s="49"/>
      <c r="J1100" s="24" t="str">
        <f>IF(OR($A1100="",$B1100=""),"",IF($I1100&lt;&gt;"",$I1100,IF($D1100=本位币,1,IFERROR(LOOKUP(2,1/((汇率月份&lt;=$A1100)*(INDEX(记账汇率区,0,MATCH($D1100,汇率币种头,0))&lt;&gt;"")),INDEX(记账汇率区,0,MATCH($D1100,汇率币种头,0))),""))))</f>
        <v/>
      </c>
      <c r="K1100" s="23" t="str">
        <f t="shared" si="34"/>
        <v/>
      </c>
      <c r="L1100" s="23" t="str">
        <f t="shared" si="35"/>
        <v/>
      </c>
      <c r="M1100" s="23" t="str">
        <f>IF($B1100="","",ROUND(SUMIF(账户名,$B1100,账户期初)+SUMIFS($K$6:K1100,$B$6:B1100,$B1100),2))</f>
        <v/>
      </c>
      <c r="N1100" s="23" t="str">
        <f>IF($B1100="","",IFERROR(ROUND(INDEX(账户期初本位,MATCH($B1100,账户名,0))+SUMIFS($L$6:L1100,$B$6:B1100,$B1100),2),""))</f>
        <v/>
      </c>
      <c r="O1100" s="46"/>
      <c r="P1100" s="47"/>
      <c r="Q1100" s="46"/>
      <c r="R1100" s="46"/>
      <c r="S1100" s="6" t="str">
        <f>IF($B1100="","",IF(ISNA(MATCH($B1100,账户名,0)),"※这个账户不在【参数设置】的账户档案里",IF($A1100="","※没填日期，这一笔不会进任何月份的报表",IF(AND($G1100&lt;&gt;"",$H1100&lt;&gt;""),"※收入和支出不能同时填",IF(AND(N($G1100)=0,N($H1100)=0),"※收入和支出都没填",IF($E1100="","※没填收支类别，分类报表会漏掉这一笔",IF(ISNA(MATCH($E1100,类别表,0)),"※收支类别不在【参数设置】的清单里",IF($J1100="","△"&amp;$D1100&amp;" 还没填汇率，去【月度汇率】补上就自动算了",IF(YEAR($A1100)&lt;&gt;管理年度,"△不是管理年度的单据，年报里看不到",IF(AND($F1100="内部转账",$Q1100=""),"△内部转账建议在「往来单位」写上对方账户",IF($M1100&lt;0,"△这一笔之后该账户余额成负数了，核一下","")))))))))))</f>
        <v/>
      </c>
    </row>
    <row r="1101" ht="16.5" spans="1:19">
      <c r="A1101" s="45"/>
      <c r="B1101" s="46"/>
      <c r="C1101" s="12" t="str">
        <f>IF($B1101="","",IFERROR(INDEX(账户银行,MATCH($B1101,账户名,0)),""))</f>
        <v/>
      </c>
      <c r="D1101" s="12" t="str">
        <f>IF($B1101="","",IFERROR(INDEX(账户币种,MATCH($B1101,账户名,0)),""))</f>
        <v/>
      </c>
      <c r="E1101" s="47"/>
      <c r="F1101" s="12" t="str">
        <f>IF($E1101="","",IFERROR(INDEX(类别属性,MATCH($E1101,类别表,0)),""))</f>
        <v/>
      </c>
      <c r="G1101" s="48"/>
      <c r="H1101" s="48"/>
      <c r="I1101" s="49"/>
      <c r="J1101" s="24" t="str">
        <f>IF(OR($A1101="",$B1101=""),"",IF($I1101&lt;&gt;"",$I1101,IF($D1101=本位币,1,IFERROR(LOOKUP(2,1/((汇率月份&lt;=$A1101)*(INDEX(记账汇率区,0,MATCH($D1101,汇率币种头,0))&lt;&gt;"")),INDEX(记账汇率区,0,MATCH($D1101,汇率币种头,0))),""))))</f>
        <v/>
      </c>
      <c r="K1101" s="23" t="str">
        <f t="shared" si="34"/>
        <v/>
      </c>
      <c r="L1101" s="23" t="str">
        <f t="shared" si="35"/>
        <v/>
      </c>
      <c r="M1101" s="23" t="str">
        <f>IF($B1101="","",ROUND(SUMIF(账户名,$B1101,账户期初)+SUMIFS($K$6:K1101,$B$6:B1101,$B1101),2))</f>
        <v/>
      </c>
      <c r="N1101" s="23" t="str">
        <f>IF($B1101="","",IFERROR(ROUND(INDEX(账户期初本位,MATCH($B1101,账户名,0))+SUMIFS($L$6:L1101,$B$6:B1101,$B1101),2),""))</f>
        <v/>
      </c>
      <c r="O1101" s="46"/>
      <c r="P1101" s="47"/>
      <c r="Q1101" s="46"/>
      <c r="R1101" s="46"/>
      <c r="S1101" s="6" t="str">
        <f>IF($B1101="","",IF(ISNA(MATCH($B1101,账户名,0)),"※这个账户不在【参数设置】的账户档案里",IF($A1101="","※没填日期，这一笔不会进任何月份的报表",IF(AND($G1101&lt;&gt;"",$H1101&lt;&gt;""),"※收入和支出不能同时填",IF(AND(N($G1101)=0,N($H1101)=0),"※收入和支出都没填",IF($E1101="","※没填收支类别，分类报表会漏掉这一笔",IF(ISNA(MATCH($E1101,类别表,0)),"※收支类别不在【参数设置】的清单里",IF($J1101="","△"&amp;$D1101&amp;" 还没填汇率，去【月度汇率】补上就自动算了",IF(YEAR($A1101)&lt;&gt;管理年度,"△不是管理年度的单据，年报里看不到",IF(AND($F1101="内部转账",$Q1101=""),"△内部转账建议在「往来单位」写上对方账户",IF($M1101&lt;0,"△这一笔之后该账户余额成负数了，核一下","")))))))))))</f>
        <v/>
      </c>
    </row>
    <row r="1102" ht="16.5" spans="1:19">
      <c r="A1102" s="45"/>
      <c r="B1102" s="46"/>
      <c r="C1102" s="12" t="str">
        <f>IF($B1102="","",IFERROR(INDEX(账户银行,MATCH($B1102,账户名,0)),""))</f>
        <v/>
      </c>
      <c r="D1102" s="12" t="str">
        <f>IF($B1102="","",IFERROR(INDEX(账户币种,MATCH($B1102,账户名,0)),""))</f>
        <v/>
      </c>
      <c r="E1102" s="47"/>
      <c r="F1102" s="12" t="str">
        <f>IF($E1102="","",IFERROR(INDEX(类别属性,MATCH($E1102,类别表,0)),""))</f>
        <v/>
      </c>
      <c r="G1102" s="48"/>
      <c r="H1102" s="48"/>
      <c r="I1102" s="49"/>
      <c r="J1102" s="24" t="str">
        <f>IF(OR($A1102="",$B1102=""),"",IF($I1102&lt;&gt;"",$I1102,IF($D1102=本位币,1,IFERROR(LOOKUP(2,1/((汇率月份&lt;=$A1102)*(INDEX(记账汇率区,0,MATCH($D1102,汇率币种头,0))&lt;&gt;"")),INDEX(记账汇率区,0,MATCH($D1102,汇率币种头,0))),""))))</f>
        <v/>
      </c>
      <c r="K1102" s="23" t="str">
        <f t="shared" si="34"/>
        <v/>
      </c>
      <c r="L1102" s="23" t="str">
        <f t="shared" si="35"/>
        <v/>
      </c>
      <c r="M1102" s="23" t="str">
        <f>IF($B1102="","",ROUND(SUMIF(账户名,$B1102,账户期初)+SUMIFS($K$6:K1102,$B$6:B1102,$B1102),2))</f>
        <v/>
      </c>
      <c r="N1102" s="23" t="str">
        <f>IF($B1102="","",IFERROR(ROUND(INDEX(账户期初本位,MATCH($B1102,账户名,0))+SUMIFS($L$6:L1102,$B$6:B1102,$B1102),2),""))</f>
        <v/>
      </c>
      <c r="O1102" s="46"/>
      <c r="P1102" s="47"/>
      <c r="Q1102" s="46"/>
      <c r="R1102" s="46"/>
      <c r="S1102" s="6" t="str">
        <f>IF($B1102="","",IF(ISNA(MATCH($B1102,账户名,0)),"※这个账户不在【参数设置】的账户档案里",IF($A1102="","※没填日期，这一笔不会进任何月份的报表",IF(AND($G1102&lt;&gt;"",$H1102&lt;&gt;""),"※收入和支出不能同时填",IF(AND(N($G1102)=0,N($H1102)=0),"※收入和支出都没填",IF($E1102="","※没填收支类别，分类报表会漏掉这一笔",IF(ISNA(MATCH($E1102,类别表,0)),"※收支类别不在【参数设置】的清单里",IF($J1102="","△"&amp;$D1102&amp;" 还没填汇率，去【月度汇率】补上就自动算了",IF(YEAR($A1102)&lt;&gt;管理年度,"△不是管理年度的单据，年报里看不到",IF(AND($F1102="内部转账",$Q1102=""),"△内部转账建议在「往来单位」写上对方账户",IF($M1102&lt;0,"△这一笔之后该账户余额成负数了，核一下","")))))))))))</f>
        <v/>
      </c>
    </row>
    <row r="1103" ht="16.5" spans="1:19">
      <c r="A1103" s="45"/>
      <c r="B1103" s="46"/>
      <c r="C1103" s="12" t="str">
        <f>IF($B1103="","",IFERROR(INDEX(账户银行,MATCH($B1103,账户名,0)),""))</f>
        <v/>
      </c>
      <c r="D1103" s="12" t="str">
        <f>IF($B1103="","",IFERROR(INDEX(账户币种,MATCH($B1103,账户名,0)),""))</f>
        <v/>
      </c>
      <c r="E1103" s="47"/>
      <c r="F1103" s="12" t="str">
        <f>IF($E1103="","",IFERROR(INDEX(类别属性,MATCH($E1103,类别表,0)),""))</f>
        <v/>
      </c>
      <c r="G1103" s="48"/>
      <c r="H1103" s="48"/>
      <c r="I1103" s="49"/>
      <c r="J1103" s="24" t="str">
        <f>IF(OR($A1103="",$B1103=""),"",IF($I1103&lt;&gt;"",$I1103,IF($D1103=本位币,1,IFERROR(LOOKUP(2,1/((汇率月份&lt;=$A1103)*(INDEX(记账汇率区,0,MATCH($D1103,汇率币种头,0))&lt;&gt;"")),INDEX(记账汇率区,0,MATCH($D1103,汇率币种头,0))),""))))</f>
        <v/>
      </c>
      <c r="K1103" s="23" t="str">
        <f t="shared" si="34"/>
        <v/>
      </c>
      <c r="L1103" s="23" t="str">
        <f t="shared" si="35"/>
        <v/>
      </c>
      <c r="M1103" s="23" t="str">
        <f>IF($B1103="","",ROUND(SUMIF(账户名,$B1103,账户期初)+SUMIFS($K$6:K1103,$B$6:B1103,$B1103),2))</f>
        <v/>
      </c>
      <c r="N1103" s="23" t="str">
        <f>IF($B1103="","",IFERROR(ROUND(INDEX(账户期初本位,MATCH($B1103,账户名,0))+SUMIFS($L$6:L1103,$B$6:B1103,$B1103),2),""))</f>
        <v/>
      </c>
      <c r="O1103" s="46"/>
      <c r="P1103" s="47"/>
      <c r="Q1103" s="46"/>
      <c r="R1103" s="46"/>
      <c r="S1103" s="6" t="str">
        <f>IF($B1103="","",IF(ISNA(MATCH($B1103,账户名,0)),"※这个账户不在【参数设置】的账户档案里",IF($A1103="","※没填日期，这一笔不会进任何月份的报表",IF(AND($G1103&lt;&gt;"",$H1103&lt;&gt;""),"※收入和支出不能同时填",IF(AND(N($G1103)=0,N($H1103)=0),"※收入和支出都没填",IF($E1103="","※没填收支类别，分类报表会漏掉这一笔",IF(ISNA(MATCH($E1103,类别表,0)),"※收支类别不在【参数设置】的清单里",IF($J1103="","△"&amp;$D1103&amp;" 还没填汇率，去【月度汇率】补上就自动算了",IF(YEAR($A1103)&lt;&gt;管理年度,"△不是管理年度的单据，年报里看不到",IF(AND($F1103="内部转账",$Q1103=""),"△内部转账建议在「往来单位」写上对方账户",IF($M1103&lt;0,"△这一笔之后该账户余额成负数了，核一下","")))))))))))</f>
        <v/>
      </c>
    </row>
    <row r="1104" ht="16.5" spans="1:19">
      <c r="A1104" s="45"/>
      <c r="B1104" s="46"/>
      <c r="C1104" s="12" t="str">
        <f>IF($B1104="","",IFERROR(INDEX(账户银行,MATCH($B1104,账户名,0)),""))</f>
        <v/>
      </c>
      <c r="D1104" s="12" t="str">
        <f>IF($B1104="","",IFERROR(INDEX(账户币种,MATCH($B1104,账户名,0)),""))</f>
        <v/>
      </c>
      <c r="E1104" s="47"/>
      <c r="F1104" s="12" t="str">
        <f>IF($E1104="","",IFERROR(INDEX(类别属性,MATCH($E1104,类别表,0)),""))</f>
        <v/>
      </c>
      <c r="G1104" s="48"/>
      <c r="H1104" s="48"/>
      <c r="I1104" s="49"/>
      <c r="J1104" s="24" t="str">
        <f>IF(OR($A1104="",$B1104=""),"",IF($I1104&lt;&gt;"",$I1104,IF($D1104=本位币,1,IFERROR(LOOKUP(2,1/((汇率月份&lt;=$A1104)*(INDEX(记账汇率区,0,MATCH($D1104,汇率币种头,0))&lt;&gt;"")),INDEX(记账汇率区,0,MATCH($D1104,汇率币种头,0))),""))))</f>
        <v/>
      </c>
      <c r="K1104" s="23" t="str">
        <f t="shared" si="34"/>
        <v/>
      </c>
      <c r="L1104" s="23" t="str">
        <f t="shared" si="35"/>
        <v/>
      </c>
      <c r="M1104" s="23" t="str">
        <f>IF($B1104="","",ROUND(SUMIF(账户名,$B1104,账户期初)+SUMIFS($K$6:K1104,$B$6:B1104,$B1104),2))</f>
        <v/>
      </c>
      <c r="N1104" s="23" t="str">
        <f>IF($B1104="","",IFERROR(ROUND(INDEX(账户期初本位,MATCH($B1104,账户名,0))+SUMIFS($L$6:L1104,$B$6:B1104,$B1104),2),""))</f>
        <v/>
      </c>
      <c r="O1104" s="46"/>
      <c r="P1104" s="47"/>
      <c r="Q1104" s="46"/>
      <c r="R1104" s="46"/>
      <c r="S1104" s="6" t="str">
        <f>IF($B1104="","",IF(ISNA(MATCH($B1104,账户名,0)),"※这个账户不在【参数设置】的账户档案里",IF($A1104="","※没填日期，这一笔不会进任何月份的报表",IF(AND($G1104&lt;&gt;"",$H1104&lt;&gt;""),"※收入和支出不能同时填",IF(AND(N($G1104)=0,N($H1104)=0),"※收入和支出都没填",IF($E1104="","※没填收支类别，分类报表会漏掉这一笔",IF(ISNA(MATCH($E1104,类别表,0)),"※收支类别不在【参数设置】的清单里",IF($J1104="","△"&amp;$D1104&amp;" 还没填汇率，去【月度汇率】补上就自动算了",IF(YEAR($A1104)&lt;&gt;管理年度,"△不是管理年度的单据，年报里看不到",IF(AND($F1104="内部转账",$Q1104=""),"△内部转账建议在「往来单位」写上对方账户",IF($M1104&lt;0,"△这一笔之后该账户余额成负数了，核一下","")))))))))))</f>
        <v/>
      </c>
    </row>
    <row r="1105" ht="16.5" spans="1:19">
      <c r="A1105" s="45"/>
      <c r="B1105" s="46"/>
      <c r="C1105" s="12" t="str">
        <f>IF($B1105="","",IFERROR(INDEX(账户银行,MATCH($B1105,账户名,0)),""))</f>
        <v/>
      </c>
      <c r="D1105" s="12" t="str">
        <f>IF($B1105="","",IFERROR(INDEX(账户币种,MATCH($B1105,账户名,0)),""))</f>
        <v/>
      </c>
      <c r="E1105" s="47"/>
      <c r="F1105" s="12" t="str">
        <f>IF($E1105="","",IFERROR(INDEX(类别属性,MATCH($E1105,类别表,0)),""))</f>
        <v/>
      </c>
      <c r="G1105" s="48"/>
      <c r="H1105" s="48"/>
      <c r="I1105" s="49"/>
      <c r="J1105" s="24" t="str">
        <f>IF(OR($A1105="",$B1105=""),"",IF($I1105&lt;&gt;"",$I1105,IF($D1105=本位币,1,IFERROR(LOOKUP(2,1/((汇率月份&lt;=$A1105)*(INDEX(记账汇率区,0,MATCH($D1105,汇率币种头,0))&lt;&gt;"")),INDEX(记账汇率区,0,MATCH($D1105,汇率币种头,0))),""))))</f>
        <v/>
      </c>
      <c r="K1105" s="23" t="str">
        <f t="shared" si="34"/>
        <v/>
      </c>
      <c r="L1105" s="23" t="str">
        <f t="shared" si="35"/>
        <v/>
      </c>
      <c r="M1105" s="23" t="str">
        <f>IF($B1105="","",ROUND(SUMIF(账户名,$B1105,账户期初)+SUMIFS($K$6:K1105,$B$6:B1105,$B1105),2))</f>
        <v/>
      </c>
      <c r="N1105" s="23" t="str">
        <f>IF($B1105="","",IFERROR(ROUND(INDEX(账户期初本位,MATCH($B1105,账户名,0))+SUMIFS($L$6:L1105,$B$6:B1105,$B1105),2),""))</f>
        <v/>
      </c>
      <c r="O1105" s="46"/>
      <c r="P1105" s="47"/>
      <c r="Q1105" s="46"/>
      <c r="R1105" s="46"/>
      <c r="S1105" s="6" t="str">
        <f>IF($B1105="","",IF(ISNA(MATCH($B1105,账户名,0)),"※这个账户不在【参数设置】的账户档案里",IF($A1105="","※没填日期，这一笔不会进任何月份的报表",IF(AND($G1105&lt;&gt;"",$H1105&lt;&gt;""),"※收入和支出不能同时填",IF(AND(N($G1105)=0,N($H1105)=0),"※收入和支出都没填",IF($E1105="","※没填收支类别，分类报表会漏掉这一笔",IF(ISNA(MATCH($E1105,类别表,0)),"※收支类别不在【参数设置】的清单里",IF($J1105="","△"&amp;$D1105&amp;" 还没填汇率，去【月度汇率】补上就自动算了",IF(YEAR($A1105)&lt;&gt;管理年度,"△不是管理年度的单据，年报里看不到",IF(AND($F1105="内部转账",$Q1105=""),"△内部转账建议在「往来单位」写上对方账户",IF($M1105&lt;0,"△这一笔之后该账户余额成负数了，核一下","")))))))))))</f>
        <v/>
      </c>
    </row>
    <row r="1106" ht="16.5" spans="1:19">
      <c r="A1106" s="45"/>
      <c r="B1106" s="46"/>
      <c r="C1106" s="12" t="str">
        <f>IF($B1106="","",IFERROR(INDEX(账户银行,MATCH($B1106,账户名,0)),""))</f>
        <v/>
      </c>
      <c r="D1106" s="12" t="str">
        <f>IF($B1106="","",IFERROR(INDEX(账户币种,MATCH($B1106,账户名,0)),""))</f>
        <v/>
      </c>
      <c r="E1106" s="47"/>
      <c r="F1106" s="12" t="str">
        <f>IF($E1106="","",IFERROR(INDEX(类别属性,MATCH($E1106,类别表,0)),""))</f>
        <v/>
      </c>
      <c r="G1106" s="48"/>
      <c r="H1106" s="48"/>
      <c r="I1106" s="49"/>
      <c r="J1106" s="24" t="str">
        <f>IF(OR($A1106="",$B1106=""),"",IF($I1106&lt;&gt;"",$I1106,IF($D1106=本位币,1,IFERROR(LOOKUP(2,1/((汇率月份&lt;=$A1106)*(INDEX(记账汇率区,0,MATCH($D1106,汇率币种头,0))&lt;&gt;"")),INDEX(记账汇率区,0,MATCH($D1106,汇率币种头,0))),""))))</f>
        <v/>
      </c>
      <c r="K1106" s="23" t="str">
        <f t="shared" si="34"/>
        <v/>
      </c>
      <c r="L1106" s="23" t="str">
        <f t="shared" si="35"/>
        <v/>
      </c>
      <c r="M1106" s="23" t="str">
        <f>IF($B1106="","",ROUND(SUMIF(账户名,$B1106,账户期初)+SUMIFS($K$6:K1106,$B$6:B1106,$B1106),2))</f>
        <v/>
      </c>
      <c r="N1106" s="23" t="str">
        <f>IF($B1106="","",IFERROR(ROUND(INDEX(账户期初本位,MATCH($B1106,账户名,0))+SUMIFS($L$6:L1106,$B$6:B1106,$B1106),2),""))</f>
        <v/>
      </c>
      <c r="O1106" s="46"/>
      <c r="P1106" s="47"/>
      <c r="Q1106" s="46"/>
      <c r="R1106" s="46"/>
      <c r="S1106" s="6" t="str">
        <f>IF($B1106="","",IF(ISNA(MATCH($B1106,账户名,0)),"※这个账户不在【参数设置】的账户档案里",IF($A1106="","※没填日期，这一笔不会进任何月份的报表",IF(AND($G1106&lt;&gt;"",$H1106&lt;&gt;""),"※收入和支出不能同时填",IF(AND(N($G1106)=0,N($H1106)=0),"※收入和支出都没填",IF($E1106="","※没填收支类别，分类报表会漏掉这一笔",IF(ISNA(MATCH($E1106,类别表,0)),"※收支类别不在【参数设置】的清单里",IF($J1106="","△"&amp;$D1106&amp;" 还没填汇率，去【月度汇率】补上就自动算了",IF(YEAR($A1106)&lt;&gt;管理年度,"△不是管理年度的单据，年报里看不到",IF(AND($F1106="内部转账",$Q1106=""),"△内部转账建议在「往来单位」写上对方账户",IF($M1106&lt;0,"△这一笔之后该账户余额成负数了，核一下","")))))))))))</f>
        <v/>
      </c>
    </row>
    <row r="1107" ht="16.5" spans="1:19">
      <c r="A1107" s="45"/>
      <c r="B1107" s="46"/>
      <c r="C1107" s="12" t="str">
        <f>IF($B1107="","",IFERROR(INDEX(账户银行,MATCH($B1107,账户名,0)),""))</f>
        <v/>
      </c>
      <c r="D1107" s="12" t="str">
        <f>IF($B1107="","",IFERROR(INDEX(账户币种,MATCH($B1107,账户名,0)),""))</f>
        <v/>
      </c>
      <c r="E1107" s="47"/>
      <c r="F1107" s="12" t="str">
        <f>IF($E1107="","",IFERROR(INDEX(类别属性,MATCH($E1107,类别表,0)),""))</f>
        <v/>
      </c>
      <c r="G1107" s="48"/>
      <c r="H1107" s="48"/>
      <c r="I1107" s="49"/>
      <c r="J1107" s="24" t="str">
        <f>IF(OR($A1107="",$B1107=""),"",IF($I1107&lt;&gt;"",$I1107,IF($D1107=本位币,1,IFERROR(LOOKUP(2,1/((汇率月份&lt;=$A1107)*(INDEX(记账汇率区,0,MATCH($D1107,汇率币种头,0))&lt;&gt;"")),INDEX(记账汇率区,0,MATCH($D1107,汇率币种头,0))),""))))</f>
        <v/>
      </c>
      <c r="K1107" s="23" t="str">
        <f t="shared" si="34"/>
        <v/>
      </c>
      <c r="L1107" s="23" t="str">
        <f t="shared" si="35"/>
        <v/>
      </c>
      <c r="M1107" s="23" t="str">
        <f>IF($B1107="","",ROUND(SUMIF(账户名,$B1107,账户期初)+SUMIFS($K$6:K1107,$B$6:B1107,$B1107),2))</f>
        <v/>
      </c>
      <c r="N1107" s="23" t="str">
        <f>IF($B1107="","",IFERROR(ROUND(INDEX(账户期初本位,MATCH($B1107,账户名,0))+SUMIFS($L$6:L1107,$B$6:B1107,$B1107),2),""))</f>
        <v/>
      </c>
      <c r="O1107" s="46"/>
      <c r="P1107" s="47"/>
      <c r="Q1107" s="46"/>
      <c r="R1107" s="46"/>
      <c r="S1107" s="6" t="str">
        <f>IF($B1107="","",IF(ISNA(MATCH($B1107,账户名,0)),"※这个账户不在【参数设置】的账户档案里",IF($A1107="","※没填日期，这一笔不会进任何月份的报表",IF(AND($G1107&lt;&gt;"",$H1107&lt;&gt;""),"※收入和支出不能同时填",IF(AND(N($G1107)=0,N($H1107)=0),"※收入和支出都没填",IF($E1107="","※没填收支类别，分类报表会漏掉这一笔",IF(ISNA(MATCH($E1107,类别表,0)),"※收支类别不在【参数设置】的清单里",IF($J1107="","△"&amp;$D1107&amp;" 还没填汇率，去【月度汇率】补上就自动算了",IF(YEAR($A1107)&lt;&gt;管理年度,"△不是管理年度的单据，年报里看不到",IF(AND($F1107="内部转账",$Q1107=""),"△内部转账建议在「往来单位」写上对方账户",IF($M1107&lt;0,"△这一笔之后该账户余额成负数了，核一下","")))))))))))</f>
        <v/>
      </c>
    </row>
    <row r="1108" ht="16.5" spans="1:19">
      <c r="A1108" s="45"/>
      <c r="B1108" s="46"/>
      <c r="C1108" s="12" t="str">
        <f>IF($B1108="","",IFERROR(INDEX(账户银行,MATCH($B1108,账户名,0)),""))</f>
        <v/>
      </c>
      <c r="D1108" s="12" t="str">
        <f>IF($B1108="","",IFERROR(INDEX(账户币种,MATCH($B1108,账户名,0)),""))</f>
        <v/>
      </c>
      <c r="E1108" s="47"/>
      <c r="F1108" s="12" t="str">
        <f>IF($E1108="","",IFERROR(INDEX(类别属性,MATCH($E1108,类别表,0)),""))</f>
        <v/>
      </c>
      <c r="G1108" s="48"/>
      <c r="H1108" s="48"/>
      <c r="I1108" s="49"/>
      <c r="J1108" s="24" t="str">
        <f>IF(OR($A1108="",$B1108=""),"",IF($I1108&lt;&gt;"",$I1108,IF($D1108=本位币,1,IFERROR(LOOKUP(2,1/((汇率月份&lt;=$A1108)*(INDEX(记账汇率区,0,MATCH($D1108,汇率币种头,0))&lt;&gt;"")),INDEX(记账汇率区,0,MATCH($D1108,汇率币种头,0))),""))))</f>
        <v/>
      </c>
      <c r="K1108" s="23" t="str">
        <f t="shared" si="34"/>
        <v/>
      </c>
      <c r="L1108" s="23" t="str">
        <f t="shared" si="35"/>
        <v/>
      </c>
      <c r="M1108" s="23" t="str">
        <f>IF($B1108="","",ROUND(SUMIF(账户名,$B1108,账户期初)+SUMIFS($K$6:K1108,$B$6:B1108,$B1108),2))</f>
        <v/>
      </c>
      <c r="N1108" s="23" t="str">
        <f>IF($B1108="","",IFERROR(ROUND(INDEX(账户期初本位,MATCH($B1108,账户名,0))+SUMIFS($L$6:L1108,$B$6:B1108,$B1108),2),""))</f>
        <v/>
      </c>
      <c r="O1108" s="46"/>
      <c r="P1108" s="47"/>
      <c r="Q1108" s="46"/>
      <c r="R1108" s="46"/>
      <c r="S1108" s="6" t="str">
        <f>IF($B1108="","",IF(ISNA(MATCH($B1108,账户名,0)),"※这个账户不在【参数设置】的账户档案里",IF($A1108="","※没填日期，这一笔不会进任何月份的报表",IF(AND($G1108&lt;&gt;"",$H1108&lt;&gt;""),"※收入和支出不能同时填",IF(AND(N($G1108)=0,N($H1108)=0),"※收入和支出都没填",IF($E1108="","※没填收支类别，分类报表会漏掉这一笔",IF(ISNA(MATCH($E1108,类别表,0)),"※收支类别不在【参数设置】的清单里",IF($J1108="","△"&amp;$D1108&amp;" 还没填汇率，去【月度汇率】补上就自动算了",IF(YEAR($A1108)&lt;&gt;管理年度,"△不是管理年度的单据，年报里看不到",IF(AND($F1108="内部转账",$Q1108=""),"△内部转账建议在「往来单位」写上对方账户",IF($M1108&lt;0,"△这一笔之后该账户余额成负数了，核一下","")))))))))))</f>
        <v/>
      </c>
    </row>
    <row r="1109" ht="16.5" spans="1:19">
      <c r="A1109" s="45"/>
      <c r="B1109" s="46"/>
      <c r="C1109" s="12" t="str">
        <f>IF($B1109="","",IFERROR(INDEX(账户银行,MATCH($B1109,账户名,0)),""))</f>
        <v/>
      </c>
      <c r="D1109" s="12" t="str">
        <f>IF($B1109="","",IFERROR(INDEX(账户币种,MATCH($B1109,账户名,0)),""))</f>
        <v/>
      </c>
      <c r="E1109" s="47"/>
      <c r="F1109" s="12" t="str">
        <f>IF($E1109="","",IFERROR(INDEX(类别属性,MATCH($E1109,类别表,0)),""))</f>
        <v/>
      </c>
      <c r="G1109" s="48"/>
      <c r="H1109" s="48"/>
      <c r="I1109" s="49"/>
      <c r="J1109" s="24" t="str">
        <f>IF(OR($A1109="",$B1109=""),"",IF($I1109&lt;&gt;"",$I1109,IF($D1109=本位币,1,IFERROR(LOOKUP(2,1/((汇率月份&lt;=$A1109)*(INDEX(记账汇率区,0,MATCH($D1109,汇率币种头,0))&lt;&gt;"")),INDEX(记账汇率区,0,MATCH($D1109,汇率币种头,0))),""))))</f>
        <v/>
      </c>
      <c r="K1109" s="23" t="str">
        <f t="shared" si="34"/>
        <v/>
      </c>
      <c r="L1109" s="23" t="str">
        <f t="shared" si="35"/>
        <v/>
      </c>
      <c r="M1109" s="23" t="str">
        <f>IF($B1109="","",ROUND(SUMIF(账户名,$B1109,账户期初)+SUMIFS($K$6:K1109,$B$6:B1109,$B1109),2))</f>
        <v/>
      </c>
      <c r="N1109" s="23" t="str">
        <f>IF($B1109="","",IFERROR(ROUND(INDEX(账户期初本位,MATCH($B1109,账户名,0))+SUMIFS($L$6:L1109,$B$6:B1109,$B1109),2),""))</f>
        <v/>
      </c>
      <c r="O1109" s="46"/>
      <c r="P1109" s="47"/>
      <c r="Q1109" s="46"/>
      <c r="R1109" s="46"/>
      <c r="S1109" s="6" t="str">
        <f>IF($B1109="","",IF(ISNA(MATCH($B1109,账户名,0)),"※这个账户不在【参数设置】的账户档案里",IF($A1109="","※没填日期，这一笔不会进任何月份的报表",IF(AND($G1109&lt;&gt;"",$H1109&lt;&gt;""),"※收入和支出不能同时填",IF(AND(N($G1109)=0,N($H1109)=0),"※收入和支出都没填",IF($E1109="","※没填收支类别，分类报表会漏掉这一笔",IF(ISNA(MATCH($E1109,类别表,0)),"※收支类别不在【参数设置】的清单里",IF($J1109="","△"&amp;$D1109&amp;" 还没填汇率，去【月度汇率】补上就自动算了",IF(YEAR($A1109)&lt;&gt;管理年度,"△不是管理年度的单据，年报里看不到",IF(AND($F1109="内部转账",$Q1109=""),"△内部转账建议在「往来单位」写上对方账户",IF($M1109&lt;0,"△这一笔之后该账户余额成负数了，核一下","")))))))))))</f>
        <v/>
      </c>
    </row>
    <row r="1110" ht="16.5" spans="1:19">
      <c r="A1110" s="45"/>
      <c r="B1110" s="46"/>
      <c r="C1110" s="12" t="str">
        <f>IF($B1110="","",IFERROR(INDEX(账户银行,MATCH($B1110,账户名,0)),""))</f>
        <v/>
      </c>
      <c r="D1110" s="12" t="str">
        <f>IF($B1110="","",IFERROR(INDEX(账户币种,MATCH($B1110,账户名,0)),""))</f>
        <v/>
      </c>
      <c r="E1110" s="47"/>
      <c r="F1110" s="12" t="str">
        <f>IF($E1110="","",IFERROR(INDEX(类别属性,MATCH($E1110,类别表,0)),""))</f>
        <v/>
      </c>
      <c r="G1110" s="48"/>
      <c r="H1110" s="48"/>
      <c r="I1110" s="49"/>
      <c r="J1110" s="24" t="str">
        <f>IF(OR($A1110="",$B1110=""),"",IF($I1110&lt;&gt;"",$I1110,IF($D1110=本位币,1,IFERROR(LOOKUP(2,1/((汇率月份&lt;=$A1110)*(INDEX(记账汇率区,0,MATCH($D1110,汇率币种头,0))&lt;&gt;"")),INDEX(记账汇率区,0,MATCH($D1110,汇率币种头,0))),""))))</f>
        <v/>
      </c>
      <c r="K1110" s="23" t="str">
        <f t="shared" si="34"/>
        <v/>
      </c>
      <c r="L1110" s="23" t="str">
        <f t="shared" si="35"/>
        <v/>
      </c>
      <c r="M1110" s="23" t="str">
        <f>IF($B1110="","",ROUND(SUMIF(账户名,$B1110,账户期初)+SUMIFS($K$6:K1110,$B$6:B1110,$B1110),2))</f>
        <v/>
      </c>
      <c r="N1110" s="23" t="str">
        <f>IF($B1110="","",IFERROR(ROUND(INDEX(账户期初本位,MATCH($B1110,账户名,0))+SUMIFS($L$6:L1110,$B$6:B1110,$B1110),2),""))</f>
        <v/>
      </c>
      <c r="O1110" s="46"/>
      <c r="P1110" s="47"/>
      <c r="Q1110" s="46"/>
      <c r="R1110" s="46"/>
      <c r="S1110" s="6" t="str">
        <f>IF($B1110="","",IF(ISNA(MATCH($B1110,账户名,0)),"※这个账户不在【参数设置】的账户档案里",IF($A1110="","※没填日期，这一笔不会进任何月份的报表",IF(AND($G1110&lt;&gt;"",$H1110&lt;&gt;""),"※收入和支出不能同时填",IF(AND(N($G1110)=0,N($H1110)=0),"※收入和支出都没填",IF($E1110="","※没填收支类别，分类报表会漏掉这一笔",IF(ISNA(MATCH($E1110,类别表,0)),"※收支类别不在【参数设置】的清单里",IF($J1110="","△"&amp;$D1110&amp;" 还没填汇率，去【月度汇率】补上就自动算了",IF(YEAR($A1110)&lt;&gt;管理年度,"△不是管理年度的单据，年报里看不到",IF(AND($F1110="内部转账",$Q1110=""),"△内部转账建议在「往来单位」写上对方账户",IF($M1110&lt;0,"△这一笔之后该账户余额成负数了，核一下","")))))))))))</f>
        <v/>
      </c>
    </row>
    <row r="1111" ht="16.5" spans="1:19">
      <c r="A1111" s="45"/>
      <c r="B1111" s="46"/>
      <c r="C1111" s="12" t="str">
        <f>IF($B1111="","",IFERROR(INDEX(账户银行,MATCH($B1111,账户名,0)),""))</f>
        <v/>
      </c>
      <c r="D1111" s="12" t="str">
        <f>IF($B1111="","",IFERROR(INDEX(账户币种,MATCH($B1111,账户名,0)),""))</f>
        <v/>
      </c>
      <c r="E1111" s="47"/>
      <c r="F1111" s="12" t="str">
        <f>IF($E1111="","",IFERROR(INDEX(类别属性,MATCH($E1111,类别表,0)),""))</f>
        <v/>
      </c>
      <c r="G1111" s="48"/>
      <c r="H1111" s="48"/>
      <c r="I1111" s="49"/>
      <c r="J1111" s="24" t="str">
        <f>IF(OR($A1111="",$B1111=""),"",IF($I1111&lt;&gt;"",$I1111,IF($D1111=本位币,1,IFERROR(LOOKUP(2,1/((汇率月份&lt;=$A1111)*(INDEX(记账汇率区,0,MATCH($D1111,汇率币种头,0))&lt;&gt;"")),INDEX(记账汇率区,0,MATCH($D1111,汇率币种头,0))),""))))</f>
        <v/>
      </c>
      <c r="K1111" s="23" t="str">
        <f t="shared" si="34"/>
        <v/>
      </c>
      <c r="L1111" s="23" t="str">
        <f t="shared" si="35"/>
        <v/>
      </c>
      <c r="M1111" s="23" t="str">
        <f>IF($B1111="","",ROUND(SUMIF(账户名,$B1111,账户期初)+SUMIFS($K$6:K1111,$B$6:B1111,$B1111),2))</f>
        <v/>
      </c>
      <c r="N1111" s="23" t="str">
        <f>IF($B1111="","",IFERROR(ROUND(INDEX(账户期初本位,MATCH($B1111,账户名,0))+SUMIFS($L$6:L1111,$B$6:B1111,$B1111),2),""))</f>
        <v/>
      </c>
      <c r="O1111" s="46"/>
      <c r="P1111" s="47"/>
      <c r="Q1111" s="46"/>
      <c r="R1111" s="46"/>
      <c r="S1111" s="6" t="str">
        <f>IF($B1111="","",IF(ISNA(MATCH($B1111,账户名,0)),"※这个账户不在【参数设置】的账户档案里",IF($A1111="","※没填日期，这一笔不会进任何月份的报表",IF(AND($G1111&lt;&gt;"",$H1111&lt;&gt;""),"※收入和支出不能同时填",IF(AND(N($G1111)=0,N($H1111)=0),"※收入和支出都没填",IF($E1111="","※没填收支类别，分类报表会漏掉这一笔",IF(ISNA(MATCH($E1111,类别表,0)),"※收支类别不在【参数设置】的清单里",IF($J1111="","△"&amp;$D1111&amp;" 还没填汇率，去【月度汇率】补上就自动算了",IF(YEAR($A1111)&lt;&gt;管理年度,"△不是管理年度的单据，年报里看不到",IF(AND($F1111="内部转账",$Q1111=""),"△内部转账建议在「往来单位」写上对方账户",IF($M1111&lt;0,"△这一笔之后该账户余额成负数了，核一下","")))))))))))</f>
        <v/>
      </c>
    </row>
    <row r="1112" ht="16.5" spans="1:19">
      <c r="A1112" s="45"/>
      <c r="B1112" s="46"/>
      <c r="C1112" s="12" t="str">
        <f>IF($B1112="","",IFERROR(INDEX(账户银行,MATCH($B1112,账户名,0)),""))</f>
        <v/>
      </c>
      <c r="D1112" s="12" t="str">
        <f>IF($B1112="","",IFERROR(INDEX(账户币种,MATCH($B1112,账户名,0)),""))</f>
        <v/>
      </c>
      <c r="E1112" s="47"/>
      <c r="F1112" s="12" t="str">
        <f>IF($E1112="","",IFERROR(INDEX(类别属性,MATCH($E1112,类别表,0)),""))</f>
        <v/>
      </c>
      <c r="G1112" s="48"/>
      <c r="H1112" s="48"/>
      <c r="I1112" s="49"/>
      <c r="J1112" s="24" t="str">
        <f>IF(OR($A1112="",$B1112=""),"",IF($I1112&lt;&gt;"",$I1112,IF($D1112=本位币,1,IFERROR(LOOKUP(2,1/((汇率月份&lt;=$A1112)*(INDEX(记账汇率区,0,MATCH($D1112,汇率币种头,0))&lt;&gt;"")),INDEX(记账汇率区,0,MATCH($D1112,汇率币种头,0))),""))))</f>
        <v/>
      </c>
      <c r="K1112" s="23" t="str">
        <f t="shared" si="34"/>
        <v/>
      </c>
      <c r="L1112" s="23" t="str">
        <f t="shared" si="35"/>
        <v/>
      </c>
      <c r="M1112" s="23" t="str">
        <f>IF($B1112="","",ROUND(SUMIF(账户名,$B1112,账户期初)+SUMIFS($K$6:K1112,$B$6:B1112,$B1112),2))</f>
        <v/>
      </c>
      <c r="N1112" s="23" t="str">
        <f>IF($B1112="","",IFERROR(ROUND(INDEX(账户期初本位,MATCH($B1112,账户名,0))+SUMIFS($L$6:L1112,$B$6:B1112,$B1112),2),""))</f>
        <v/>
      </c>
      <c r="O1112" s="46"/>
      <c r="P1112" s="47"/>
      <c r="Q1112" s="46"/>
      <c r="R1112" s="46"/>
      <c r="S1112" s="6" t="str">
        <f>IF($B1112="","",IF(ISNA(MATCH($B1112,账户名,0)),"※这个账户不在【参数设置】的账户档案里",IF($A1112="","※没填日期，这一笔不会进任何月份的报表",IF(AND($G1112&lt;&gt;"",$H1112&lt;&gt;""),"※收入和支出不能同时填",IF(AND(N($G1112)=0,N($H1112)=0),"※收入和支出都没填",IF($E1112="","※没填收支类别，分类报表会漏掉这一笔",IF(ISNA(MATCH($E1112,类别表,0)),"※收支类别不在【参数设置】的清单里",IF($J1112="","△"&amp;$D1112&amp;" 还没填汇率，去【月度汇率】补上就自动算了",IF(YEAR($A1112)&lt;&gt;管理年度,"△不是管理年度的单据，年报里看不到",IF(AND($F1112="内部转账",$Q1112=""),"△内部转账建议在「往来单位」写上对方账户",IF($M1112&lt;0,"△这一笔之后该账户余额成负数了，核一下","")))))))))))</f>
        <v/>
      </c>
    </row>
    <row r="1113" ht="16.5" spans="1:19">
      <c r="A1113" s="45"/>
      <c r="B1113" s="46"/>
      <c r="C1113" s="12" t="str">
        <f>IF($B1113="","",IFERROR(INDEX(账户银行,MATCH($B1113,账户名,0)),""))</f>
        <v/>
      </c>
      <c r="D1113" s="12" t="str">
        <f>IF($B1113="","",IFERROR(INDEX(账户币种,MATCH($B1113,账户名,0)),""))</f>
        <v/>
      </c>
      <c r="E1113" s="47"/>
      <c r="F1113" s="12" t="str">
        <f>IF($E1113="","",IFERROR(INDEX(类别属性,MATCH($E1113,类别表,0)),""))</f>
        <v/>
      </c>
      <c r="G1113" s="48"/>
      <c r="H1113" s="48"/>
      <c r="I1113" s="49"/>
      <c r="J1113" s="24" t="str">
        <f>IF(OR($A1113="",$B1113=""),"",IF($I1113&lt;&gt;"",$I1113,IF($D1113=本位币,1,IFERROR(LOOKUP(2,1/((汇率月份&lt;=$A1113)*(INDEX(记账汇率区,0,MATCH($D1113,汇率币种头,0))&lt;&gt;"")),INDEX(记账汇率区,0,MATCH($D1113,汇率币种头,0))),""))))</f>
        <v/>
      </c>
      <c r="K1113" s="23" t="str">
        <f t="shared" si="34"/>
        <v/>
      </c>
      <c r="L1113" s="23" t="str">
        <f t="shared" si="35"/>
        <v/>
      </c>
      <c r="M1113" s="23" t="str">
        <f>IF($B1113="","",ROUND(SUMIF(账户名,$B1113,账户期初)+SUMIFS($K$6:K1113,$B$6:B1113,$B1113),2))</f>
        <v/>
      </c>
      <c r="N1113" s="23" t="str">
        <f>IF($B1113="","",IFERROR(ROUND(INDEX(账户期初本位,MATCH($B1113,账户名,0))+SUMIFS($L$6:L1113,$B$6:B1113,$B1113),2),""))</f>
        <v/>
      </c>
      <c r="O1113" s="46"/>
      <c r="P1113" s="47"/>
      <c r="Q1113" s="46"/>
      <c r="R1113" s="46"/>
      <c r="S1113" s="6" t="str">
        <f>IF($B1113="","",IF(ISNA(MATCH($B1113,账户名,0)),"※这个账户不在【参数设置】的账户档案里",IF($A1113="","※没填日期，这一笔不会进任何月份的报表",IF(AND($G1113&lt;&gt;"",$H1113&lt;&gt;""),"※收入和支出不能同时填",IF(AND(N($G1113)=0,N($H1113)=0),"※收入和支出都没填",IF($E1113="","※没填收支类别，分类报表会漏掉这一笔",IF(ISNA(MATCH($E1113,类别表,0)),"※收支类别不在【参数设置】的清单里",IF($J1113="","△"&amp;$D1113&amp;" 还没填汇率，去【月度汇率】补上就自动算了",IF(YEAR($A1113)&lt;&gt;管理年度,"△不是管理年度的单据，年报里看不到",IF(AND($F1113="内部转账",$Q1113=""),"△内部转账建议在「往来单位」写上对方账户",IF($M1113&lt;0,"△这一笔之后该账户余额成负数了，核一下","")))))))))))</f>
        <v/>
      </c>
    </row>
    <row r="1114" ht="16.5" spans="1:19">
      <c r="A1114" s="45"/>
      <c r="B1114" s="46"/>
      <c r="C1114" s="12" t="str">
        <f>IF($B1114="","",IFERROR(INDEX(账户银行,MATCH($B1114,账户名,0)),""))</f>
        <v/>
      </c>
      <c r="D1114" s="12" t="str">
        <f>IF($B1114="","",IFERROR(INDEX(账户币种,MATCH($B1114,账户名,0)),""))</f>
        <v/>
      </c>
      <c r="E1114" s="47"/>
      <c r="F1114" s="12" t="str">
        <f>IF($E1114="","",IFERROR(INDEX(类别属性,MATCH($E1114,类别表,0)),""))</f>
        <v/>
      </c>
      <c r="G1114" s="48"/>
      <c r="H1114" s="48"/>
      <c r="I1114" s="49"/>
      <c r="J1114" s="24" t="str">
        <f>IF(OR($A1114="",$B1114=""),"",IF($I1114&lt;&gt;"",$I1114,IF($D1114=本位币,1,IFERROR(LOOKUP(2,1/((汇率月份&lt;=$A1114)*(INDEX(记账汇率区,0,MATCH($D1114,汇率币种头,0))&lt;&gt;"")),INDEX(记账汇率区,0,MATCH($D1114,汇率币种头,0))),""))))</f>
        <v/>
      </c>
      <c r="K1114" s="23" t="str">
        <f t="shared" si="34"/>
        <v/>
      </c>
      <c r="L1114" s="23" t="str">
        <f t="shared" si="35"/>
        <v/>
      </c>
      <c r="M1114" s="23" t="str">
        <f>IF($B1114="","",ROUND(SUMIF(账户名,$B1114,账户期初)+SUMIFS($K$6:K1114,$B$6:B1114,$B1114),2))</f>
        <v/>
      </c>
      <c r="N1114" s="23" t="str">
        <f>IF($B1114="","",IFERROR(ROUND(INDEX(账户期初本位,MATCH($B1114,账户名,0))+SUMIFS($L$6:L1114,$B$6:B1114,$B1114),2),""))</f>
        <v/>
      </c>
      <c r="O1114" s="46"/>
      <c r="P1114" s="47"/>
      <c r="Q1114" s="46"/>
      <c r="R1114" s="46"/>
      <c r="S1114" s="6" t="str">
        <f>IF($B1114="","",IF(ISNA(MATCH($B1114,账户名,0)),"※这个账户不在【参数设置】的账户档案里",IF($A1114="","※没填日期，这一笔不会进任何月份的报表",IF(AND($G1114&lt;&gt;"",$H1114&lt;&gt;""),"※收入和支出不能同时填",IF(AND(N($G1114)=0,N($H1114)=0),"※收入和支出都没填",IF($E1114="","※没填收支类别，分类报表会漏掉这一笔",IF(ISNA(MATCH($E1114,类别表,0)),"※收支类别不在【参数设置】的清单里",IF($J1114="","△"&amp;$D1114&amp;" 还没填汇率，去【月度汇率】补上就自动算了",IF(YEAR($A1114)&lt;&gt;管理年度,"△不是管理年度的单据，年报里看不到",IF(AND($F1114="内部转账",$Q1114=""),"△内部转账建议在「往来单位」写上对方账户",IF($M1114&lt;0,"△这一笔之后该账户余额成负数了，核一下","")))))))))))</f>
        <v/>
      </c>
    </row>
    <row r="1115" ht="16.5" spans="1:19">
      <c r="A1115" s="45"/>
      <c r="B1115" s="46"/>
      <c r="C1115" s="12" t="str">
        <f>IF($B1115="","",IFERROR(INDEX(账户银行,MATCH($B1115,账户名,0)),""))</f>
        <v/>
      </c>
      <c r="D1115" s="12" t="str">
        <f>IF($B1115="","",IFERROR(INDEX(账户币种,MATCH($B1115,账户名,0)),""))</f>
        <v/>
      </c>
      <c r="E1115" s="47"/>
      <c r="F1115" s="12" t="str">
        <f>IF($E1115="","",IFERROR(INDEX(类别属性,MATCH($E1115,类别表,0)),""))</f>
        <v/>
      </c>
      <c r="G1115" s="48"/>
      <c r="H1115" s="48"/>
      <c r="I1115" s="49"/>
      <c r="J1115" s="24" t="str">
        <f>IF(OR($A1115="",$B1115=""),"",IF($I1115&lt;&gt;"",$I1115,IF($D1115=本位币,1,IFERROR(LOOKUP(2,1/((汇率月份&lt;=$A1115)*(INDEX(记账汇率区,0,MATCH($D1115,汇率币种头,0))&lt;&gt;"")),INDEX(记账汇率区,0,MATCH($D1115,汇率币种头,0))),""))))</f>
        <v/>
      </c>
      <c r="K1115" s="23" t="str">
        <f t="shared" si="34"/>
        <v/>
      </c>
      <c r="L1115" s="23" t="str">
        <f t="shared" si="35"/>
        <v/>
      </c>
      <c r="M1115" s="23" t="str">
        <f>IF($B1115="","",ROUND(SUMIF(账户名,$B1115,账户期初)+SUMIFS($K$6:K1115,$B$6:B1115,$B1115),2))</f>
        <v/>
      </c>
      <c r="N1115" s="23" t="str">
        <f>IF($B1115="","",IFERROR(ROUND(INDEX(账户期初本位,MATCH($B1115,账户名,0))+SUMIFS($L$6:L1115,$B$6:B1115,$B1115),2),""))</f>
        <v/>
      </c>
      <c r="O1115" s="46"/>
      <c r="P1115" s="47"/>
      <c r="Q1115" s="46"/>
      <c r="R1115" s="46"/>
      <c r="S1115" s="6" t="str">
        <f>IF($B1115="","",IF(ISNA(MATCH($B1115,账户名,0)),"※这个账户不在【参数设置】的账户档案里",IF($A1115="","※没填日期，这一笔不会进任何月份的报表",IF(AND($G1115&lt;&gt;"",$H1115&lt;&gt;""),"※收入和支出不能同时填",IF(AND(N($G1115)=0,N($H1115)=0),"※收入和支出都没填",IF($E1115="","※没填收支类别，分类报表会漏掉这一笔",IF(ISNA(MATCH($E1115,类别表,0)),"※收支类别不在【参数设置】的清单里",IF($J1115="","△"&amp;$D1115&amp;" 还没填汇率，去【月度汇率】补上就自动算了",IF(YEAR($A1115)&lt;&gt;管理年度,"△不是管理年度的单据，年报里看不到",IF(AND($F1115="内部转账",$Q1115=""),"△内部转账建议在「往来单位」写上对方账户",IF($M1115&lt;0,"△这一笔之后该账户余额成负数了，核一下","")))))))))))</f>
        <v/>
      </c>
    </row>
    <row r="1116" ht="16.5" spans="1:19">
      <c r="A1116" s="45"/>
      <c r="B1116" s="46"/>
      <c r="C1116" s="12" t="str">
        <f>IF($B1116="","",IFERROR(INDEX(账户银行,MATCH($B1116,账户名,0)),""))</f>
        <v/>
      </c>
      <c r="D1116" s="12" t="str">
        <f>IF($B1116="","",IFERROR(INDEX(账户币种,MATCH($B1116,账户名,0)),""))</f>
        <v/>
      </c>
      <c r="E1116" s="47"/>
      <c r="F1116" s="12" t="str">
        <f>IF($E1116="","",IFERROR(INDEX(类别属性,MATCH($E1116,类别表,0)),""))</f>
        <v/>
      </c>
      <c r="G1116" s="48"/>
      <c r="H1116" s="48"/>
      <c r="I1116" s="49"/>
      <c r="J1116" s="24" t="str">
        <f>IF(OR($A1116="",$B1116=""),"",IF($I1116&lt;&gt;"",$I1116,IF($D1116=本位币,1,IFERROR(LOOKUP(2,1/((汇率月份&lt;=$A1116)*(INDEX(记账汇率区,0,MATCH($D1116,汇率币种头,0))&lt;&gt;"")),INDEX(记账汇率区,0,MATCH($D1116,汇率币种头,0))),""))))</f>
        <v/>
      </c>
      <c r="K1116" s="23" t="str">
        <f t="shared" si="34"/>
        <v/>
      </c>
      <c r="L1116" s="23" t="str">
        <f t="shared" si="35"/>
        <v/>
      </c>
      <c r="M1116" s="23" t="str">
        <f>IF($B1116="","",ROUND(SUMIF(账户名,$B1116,账户期初)+SUMIFS($K$6:K1116,$B$6:B1116,$B1116),2))</f>
        <v/>
      </c>
      <c r="N1116" s="23" t="str">
        <f>IF($B1116="","",IFERROR(ROUND(INDEX(账户期初本位,MATCH($B1116,账户名,0))+SUMIFS($L$6:L1116,$B$6:B1116,$B1116),2),""))</f>
        <v/>
      </c>
      <c r="O1116" s="46"/>
      <c r="P1116" s="47"/>
      <c r="Q1116" s="46"/>
      <c r="R1116" s="46"/>
      <c r="S1116" s="6" t="str">
        <f>IF($B1116="","",IF(ISNA(MATCH($B1116,账户名,0)),"※这个账户不在【参数设置】的账户档案里",IF($A1116="","※没填日期，这一笔不会进任何月份的报表",IF(AND($G1116&lt;&gt;"",$H1116&lt;&gt;""),"※收入和支出不能同时填",IF(AND(N($G1116)=0,N($H1116)=0),"※收入和支出都没填",IF($E1116="","※没填收支类别，分类报表会漏掉这一笔",IF(ISNA(MATCH($E1116,类别表,0)),"※收支类别不在【参数设置】的清单里",IF($J1116="","△"&amp;$D1116&amp;" 还没填汇率，去【月度汇率】补上就自动算了",IF(YEAR($A1116)&lt;&gt;管理年度,"△不是管理年度的单据，年报里看不到",IF(AND($F1116="内部转账",$Q1116=""),"△内部转账建议在「往来单位」写上对方账户",IF($M1116&lt;0,"△这一笔之后该账户余额成负数了，核一下","")))))))))))</f>
        <v/>
      </c>
    </row>
    <row r="1117" ht="16.5" spans="1:19">
      <c r="A1117" s="45"/>
      <c r="B1117" s="46"/>
      <c r="C1117" s="12" t="str">
        <f>IF($B1117="","",IFERROR(INDEX(账户银行,MATCH($B1117,账户名,0)),""))</f>
        <v/>
      </c>
      <c r="D1117" s="12" t="str">
        <f>IF($B1117="","",IFERROR(INDEX(账户币种,MATCH($B1117,账户名,0)),""))</f>
        <v/>
      </c>
      <c r="E1117" s="47"/>
      <c r="F1117" s="12" t="str">
        <f>IF($E1117="","",IFERROR(INDEX(类别属性,MATCH($E1117,类别表,0)),""))</f>
        <v/>
      </c>
      <c r="G1117" s="48"/>
      <c r="H1117" s="48"/>
      <c r="I1117" s="49"/>
      <c r="J1117" s="24" t="str">
        <f>IF(OR($A1117="",$B1117=""),"",IF($I1117&lt;&gt;"",$I1117,IF($D1117=本位币,1,IFERROR(LOOKUP(2,1/((汇率月份&lt;=$A1117)*(INDEX(记账汇率区,0,MATCH($D1117,汇率币种头,0))&lt;&gt;"")),INDEX(记账汇率区,0,MATCH($D1117,汇率币种头,0))),""))))</f>
        <v/>
      </c>
      <c r="K1117" s="23" t="str">
        <f t="shared" si="34"/>
        <v/>
      </c>
      <c r="L1117" s="23" t="str">
        <f t="shared" si="35"/>
        <v/>
      </c>
      <c r="M1117" s="23" t="str">
        <f>IF($B1117="","",ROUND(SUMIF(账户名,$B1117,账户期初)+SUMIFS($K$6:K1117,$B$6:B1117,$B1117),2))</f>
        <v/>
      </c>
      <c r="N1117" s="23" t="str">
        <f>IF($B1117="","",IFERROR(ROUND(INDEX(账户期初本位,MATCH($B1117,账户名,0))+SUMIFS($L$6:L1117,$B$6:B1117,$B1117),2),""))</f>
        <v/>
      </c>
      <c r="O1117" s="46"/>
      <c r="P1117" s="47"/>
      <c r="Q1117" s="46"/>
      <c r="R1117" s="46"/>
      <c r="S1117" s="6" t="str">
        <f>IF($B1117="","",IF(ISNA(MATCH($B1117,账户名,0)),"※这个账户不在【参数设置】的账户档案里",IF($A1117="","※没填日期，这一笔不会进任何月份的报表",IF(AND($G1117&lt;&gt;"",$H1117&lt;&gt;""),"※收入和支出不能同时填",IF(AND(N($G1117)=0,N($H1117)=0),"※收入和支出都没填",IF($E1117="","※没填收支类别，分类报表会漏掉这一笔",IF(ISNA(MATCH($E1117,类别表,0)),"※收支类别不在【参数设置】的清单里",IF($J1117="","△"&amp;$D1117&amp;" 还没填汇率，去【月度汇率】补上就自动算了",IF(YEAR($A1117)&lt;&gt;管理年度,"△不是管理年度的单据，年报里看不到",IF(AND($F1117="内部转账",$Q1117=""),"△内部转账建议在「往来单位」写上对方账户",IF($M1117&lt;0,"△这一笔之后该账户余额成负数了，核一下","")))))))))))</f>
        <v/>
      </c>
    </row>
    <row r="1118" ht="16.5" spans="1:19">
      <c r="A1118" s="45"/>
      <c r="B1118" s="46"/>
      <c r="C1118" s="12" t="str">
        <f>IF($B1118="","",IFERROR(INDEX(账户银行,MATCH($B1118,账户名,0)),""))</f>
        <v/>
      </c>
      <c r="D1118" s="12" t="str">
        <f>IF($B1118="","",IFERROR(INDEX(账户币种,MATCH($B1118,账户名,0)),""))</f>
        <v/>
      </c>
      <c r="E1118" s="47"/>
      <c r="F1118" s="12" t="str">
        <f>IF($E1118="","",IFERROR(INDEX(类别属性,MATCH($E1118,类别表,0)),""))</f>
        <v/>
      </c>
      <c r="G1118" s="48"/>
      <c r="H1118" s="48"/>
      <c r="I1118" s="49"/>
      <c r="J1118" s="24" t="str">
        <f>IF(OR($A1118="",$B1118=""),"",IF($I1118&lt;&gt;"",$I1118,IF($D1118=本位币,1,IFERROR(LOOKUP(2,1/((汇率月份&lt;=$A1118)*(INDEX(记账汇率区,0,MATCH($D1118,汇率币种头,0))&lt;&gt;"")),INDEX(记账汇率区,0,MATCH($D1118,汇率币种头,0))),""))))</f>
        <v/>
      </c>
      <c r="K1118" s="23" t="str">
        <f t="shared" si="34"/>
        <v/>
      </c>
      <c r="L1118" s="23" t="str">
        <f t="shared" si="35"/>
        <v/>
      </c>
      <c r="M1118" s="23" t="str">
        <f>IF($B1118="","",ROUND(SUMIF(账户名,$B1118,账户期初)+SUMIFS($K$6:K1118,$B$6:B1118,$B1118),2))</f>
        <v/>
      </c>
      <c r="N1118" s="23" t="str">
        <f>IF($B1118="","",IFERROR(ROUND(INDEX(账户期初本位,MATCH($B1118,账户名,0))+SUMIFS($L$6:L1118,$B$6:B1118,$B1118),2),""))</f>
        <v/>
      </c>
      <c r="O1118" s="46"/>
      <c r="P1118" s="47"/>
      <c r="Q1118" s="46"/>
      <c r="R1118" s="46"/>
      <c r="S1118" s="6" t="str">
        <f>IF($B1118="","",IF(ISNA(MATCH($B1118,账户名,0)),"※这个账户不在【参数设置】的账户档案里",IF($A1118="","※没填日期，这一笔不会进任何月份的报表",IF(AND($G1118&lt;&gt;"",$H1118&lt;&gt;""),"※收入和支出不能同时填",IF(AND(N($G1118)=0,N($H1118)=0),"※收入和支出都没填",IF($E1118="","※没填收支类别，分类报表会漏掉这一笔",IF(ISNA(MATCH($E1118,类别表,0)),"※收支类别不在【参数设置】的清单里",IF($J1118="","△"&amp;$D1118&amp;" 还没填汇率，去【月度汇率】补上就自动算了",IF(YEAR($A1118)&lt;&gt;管理年度,"△不是管理年度的单据，年报里看不到",IF(AND($F1118="内部转账",$Q1118=""),"△内部转账建议在「往来单位」写上对方账户",IF($M1118&lt;0,"△这一笔之后该账户余额成负数了，核一下","")))))))))))</f>
        <v/>
      </c>
    </row>
    <row r="1119" ht="16.5" spans="1:19">
      <c r="A1119" s="45"/>
      <c r="B1119" s="46"/>
      <c r="C1119" s="12" t="str">
        <f>IF($B1119="","",IFERROR(INDEX(账户银行,MATCH($B1119,账户名,0)),""))</f>
        <v/>
      </c>
      <c r="D1119" s="12" t="str">
        <f>IF($B1119="","",IFERROR(INDEX(账户币种,MATCH($B1119,账户名,0)),""))</f>
        <v/>
      </c>
      <c r="E1119" s="47"/>
      <c r="F1119" s="12" t="str">
        <f>IF($E1119="","",IFERROR(INDEX(类别属性,MATCH($E1119,类别表,0)),""))</f>
        <v/>
      </c>
      <c r="G1119" s="48"/>
      <c r="H1119" s="48"/>
      <c r="I1119" s="49"/>
      <c r="J1119" s="24" t="str">
        <f>IF(OR($A1119="",$B1119=""),"",IF($I1119&lt;&gt;"",$I1119,IF($D1119=本位币,1,IFERROR(LOOKUP(2,1/((汇率月份&lt;=$A1119)*(INDEX(记账汇率区,0,MATCH($D1119,汇率币种头,0))&lt;&gt;"")),INDEX(记账汇率区,0,MATCH($D1119,汇率币种头,0))),""))))</f>
        <v/>
      </c>
      <c r="K1119" s="23" t="str">
        <f t="shared" si="34"/>
        <v/>
      </c>
      <c r="L1119" s="23" t="str">
        <f t="shared" si="35"/>
        <v/>
      </c>
      <c r="M1119" s="23" t="str">
        <f>IF($B1119="","",ROUND(SUMIF(账户名,$B1119,账户期初)+SUMIFS($K$6:K1119,$B$6:B1119,$B1119),2))</f>
        <v/>
      </c>
      <c r="N1119" s="23" t="str">
        <f>IF($B1119="","",IFERROR(ROUND(INDEX(账户期初本位,MATCH($B1119,账户名,0))+SUMIFS($L$6:L1119,$B$6:B1119,$B1119),2),""))</f>
        <v/>
      </c>
      <c r="O1119" s="46"/>
      <c r="P1119" s="47"/>
      <c r="Q1119" s="46"/>
      <c r="R1119" s="46"/>
      <c r="S1119" s="6" t="str">
        <f>IF($B1119="","",IF(ISNA(MATCH($B1119,账户名,0)),"※这个账户不在【参数设置】的账户档案里",IF($A1119="","※没填日期，这一笔不会进任何月份的报表",IF(AND($G1119&lt;&gt;"",$H1119&lt;&gt;""),"※收入和支出不能同时填",IF(AND(N($G1119)=0,N($H1119)=0),"※收入和支出都没填",IF($E1119="","※没填收支类别，分类报表会漏掉这一笔",IF(ISNA(MATCH($E1119,类别表,0)),"※收支类别不在【参数设置】的清单里",IF($J1119="","△"&amp;$D1119&amp;" 还没填汇率，去【月度汇率】补上就自动算了",IF(YEAR($A1119)&lt;&gt;管理年度,"△不是管理年度的单据，年报里看不到",IF(AND($F1119="内部转账",$Q1119=""),"△内部转账建议在「往来单位」写上对方账户",IF($M1119&lt;0,"△这一笔之后该账户余额成负数了，核一下","")))))))))))</f>
        <v/>
      </c>
    </row>
    <row r="1120" ht="16.5" spans="1:19">
      <c r="A1120" s="45"/>
      <c r="B1120" s="46"/>
      <c r="C1120" s="12" t="str">
        <f>IF($B1120="","",IFERROR(INDEX(账户银行,MATCH($B1120,账户名,0)),""))</f>
        <v/>
      </c>
      <c r="D1120" s="12" t="str">
        <f>IF($B1120="","",IFERROR(INDEX(账户币种,MATCH($B1120,账户名,0)),""))</f>
        <v/>
      </c>
      <c r="E1120" s="47"/>
      <c r="F1120" s="12" t="str">
        <f>IF($E1120="","",IFERROR(INDEX(类别属性,MATCH($E1120,类别表,0)),""))</f>
        <v/>
      </c>
      <c r="G1120" s="48"/>
      <c r="H1120" s="48"/>
      <c r="I1120" s="49"/>
      <c r="J1120" s="24" t="str">
        <f>IF(OR($A1120="",$B1120=""),"",IF($I1120&lt;&gt;"",$I1120,IF($D1120=本位币,1,IFERROR(LOOKUP(2,1/((汇率月份&lt;=$A1120)*(INDEX(记账汇率区,0,MATCH($D1120,汇率币种头,0))&lt;&gt;"")),INDEX(记账汇率区,0,MATCH($D1120,汇率币种头,0))),""))))</f>
        <v/>
      </c>
      <c r="K1120" s="23" t="str">
        <f t="shared" si="34"/>
        <v/>
      </c>
      <c r="L1120" s="23" t="str">
        <f t="shared" si="35"/>
        <v/>
      </c>
      <c r="M1120" s="23" t="str">
        <f>IF($B1120="","",ROUND(SUMIF(账户名,$B1120,账户期初)+SUMIFS($K$6:K1120,$B$6:B1120,$B1120),2))</f>
        <v/>
      </c>
      <c r="N1120" s="23" t="str">
        <f>IF($B1120="","",IFERROR(ROUND(INDEX(账户期初本位,MATCH($B1120,账户名,0))+SUMIFS($L$6:L1120,$B$6:B1120,$B1120),2),""))</f>
        <v/>
      </c>
      <c r="O1120" s="46"/>
      <c r="P1120" s="47"/>
      <c r="Q1120" s="46"/>
      <c r="R1120" s="46"/>
      <c r="S1120" s="6" t="str">
        <f>IF($B1120="","",IF(ISNA(MATCH($B1120,账户名,0)),"※这个账户不在【参数设置】的账户档案里",IF($A1120="","※没填日期，这一笔不会进任何月份的报表",IF(AND($G1120&lt;&gt;"",$H1120&lt;&gt;""),"※收入和支出不能同时填",IF(AND(N($G1120)=0,N($H1120)=0),"※收入和支出都没填",IF($E1120="","※没填收支类别，分类报表会漏掉这一笔",IF(ISNA(MATCH($E1120,类别表,0)),"※收支类别不在【参数设置】的清单里",IF($J1120="","△"&amp;$D1120&amp;" 还没填汇率，去【月度汇率】补上就自动算了",IF(YEAR($A1120)&lt;&gt;管理年度,"△不是管理年度的单据，年报里看不到",IF(AND($F1120="内部转账",$Q1120=""),"△内部转账建议在「往来单位」写上对方账户",IF($M1120&lt;0,"△这一笔之后该账户余额成负数了，核一下","")))))))))))</f>
        <v/>
      </c>
    </row>
    <row r="1121" ht="16.5" spans="1:19">
      <c r="A1121" s="45"/>
      <c r="B1121" s="46"/>
      <c r="C1121" s="12" t="str">
        <f>IF($B1121="","",IFERROR(INDEX(账户银行,MATCH($B1121,账户名,0)),""))</f>
        <v/>
      </c>
      <c r="D1121" s="12" t="str">
        <f>IF($B1121="","",IFERROR(INDEX(账户币种,MATCH($B1121,账户名,0)),""))</f>
        <v/>
      </c>
      <c r="E1121" s="47"/>
      <c r="F1121" s="12" t="str">
        <f>IF($E1121="","",IFERROR(INDEX(类别属性,MATCH($E1121,类别表,0)),""))</f>
        <v/>
      </c>
      <c r="G1121" s="48"/>
      <c r="H1121" s="48"/>
      <c r="I1121" s="49"/>
      <c r="J1121" s="24" t="str">
        <f>IF(OR($A1121="",$B1121=""),"",IF($I1121&lt;&gt;"",$I1121,IF($D1121=本位币,1,IFERROR(LOOKUP(2,1/((汇率月份&lt;=$A1121)*(INDEX(记账汇率区,0,MATCH($D1121,汇率币种头,0))&lt;&gt;"")),INDEX(记账汇率区,0,MATCH($D1121,汇率币种头,0))),""))))</f>
        <v/>
      </c>
      <c r="K1121" s="23" t="str">
        <f t="shared" si="34"/>
        <v/>
      </c>
      <c r="L1121" s="23" t="str">
        <f t="shared" si="35"/>
        <v/>
      </c>
      <c r="M1121" s="23" t="str">
        <f>IF($B1121="","",ROUND(SUMIF(账户名,$B1121,账户期初)+SUMIFS($K$6:K1121,$B$6:B1121,$B1121),2))</f>
        <v/>
      </c>
      <c r="N1121" s="23" t="str">
        <f>IF($B1121="","",IFERROR(ROUND(INDEX(账户期初本位,MATCH($B1121,账户名,0))+SUMIFS($L$6:L1121,$B$6:B1121,$B1121),2),""))</f>
        <v/>
      </c>
      <c r="O1121" s="46"/>
      <c r="P1121" s="47"/>
      <c r="Q1121" s="46"/>
      <c r="R1121" s="46"/>
      <c r="S1121" s="6" t="str">
        <f>IF($B1121="","",IF(ISNA(MATCH($B1121,账户名,0)),"※这个账户不在【参数设置】的账户档案里",IF($A1121="","※没填日期，这一笔不会进任何月份的报表",IF(AND($G1121&lt;&gt;"",$H1121&lt;&gt;""),"※收入和支出不能同时填",IF(AND(N($G1121)=0,N($H1121)=0),"※收入和支出都没填",IF($E1121="","※没填收支类别，分类报表会漏掉这一笔",IF(ISNA(MATCH($E1121,类别表,0)),"※收支类别不在【参数设置】的清单里",IF($J1121="","△"&amp;$D1121&amp;" 还没填汇率，去【月度汇率】补上就自动算了",IF(YEAR($A1121)&lt;&gt;管理年度,"△不是管理年度的单据，年报里看不到",IF(AND($F1121="内部转账",$Q1121=""),"△内部转账建议在「往来单位」写上对方账户",IF($M1121&lt;0,"△这一笔之后该账户余额成负数了，核一下","")))))))))))</f>
        <v/>
      </c>
    </row>
    <row r="1122" ht="16.5" spans="1:19">
      <c r="A1122" s="45"/>
      <c r="B1122" s="46"/>
      <c r="C1122" s="12" t="str">
        <f>IF($B1122="","",IFERROR(INDEX(账户银行,MATCH($B1122,账户名,0)),""))</f>
        <v/>
      </c>
      <c r="D1122" s="12" t="str">
        <f>IF($B1122="","",IFERROR(INDEX(账户币种,MATCH($B1122,账户名,0)),""))</f>
        <v/>
      </c>
      <c r="E1122" s="47"/>
      <c r="F1122" s="12" t="str">
        <f>IF($E1122="","",IFERROR(INDEX(类别属性,MATCH($E1122,类别表,0)),""))</f>
        <v/>
      </c>
      <c r="G1122" s="48"/>
      <c r="H1122" s="48"/>
      <c r="I1122" s="49"/>
      <c r="J1122" s="24" t="str">
        <f>IF(OR($A1122="",$B1122=""),"",IF($I1122&lt;&gt;"",$I1122,IF($D1122=本位币,1,IFERROR(LOOKUP(2,1/((汇率月份&lt;=$A1122)*(INDEX(记账汇率区,0,MATCH($D1122,汇率币种头,0))&lt;&gt;"")),INDEX(记账汇率区,0,MATCH($D1122,汇率币种头,0))),""))))</f>
        <v/>
      </c>
      <c r="K1122" s="23" t="str">
        <f t="shared" si="34"/>
        <v/>
      </c>
      <c r="L1122" s="23" t="str">
        <f t="shared" si="35"/>
        <v/>
      </c>
      <c r="M1122" s="23" t="str">
        <f>IF($B1122="","",ROUND(SUMIF(账户名,$B1122,账户期初)+SUMIFS($K$6:K1122,$B$6:B1122,$B1122),2))</f>
        <v/>
      </c>
      <c r="N1122" s="23" t="str">
        <f>IF($B1122="","",IFERROR(ROUND(INDEX(账户期初本位,MATCH($B1122,账户名,0))+SUMIFS($L$6:L1122,$B$6:B1122,$B1122),2),""))</f>
        <v/>
      </c>
      <c r="O1122" s="46"/>
      <c r="P1122" s="47"/>
      <c r="Q1122" s="46"/>
      <c r="R1122" s="46"/>
      <c r="S1122" s="6" t="str">
        <f>IF($B1122="","",IF(ISNA(MATCH($B1122,账户名,0)),"※这个账户不在【参数设置】的账户档案里",IF($A1122="","※没填日期，这一笔不会进任何月份的报表",IF(AND($G1122&lt;&gt;"",$H1122&lt;&gt;""),"※收入和支出不能同时填",IF(AND(N($G1122)=0,N($H1122)=0),"※收入和支出都没填",IF($E1122="","※没填收支类别，分类报表会漏掉这一笔",IF(ISNA(MATCH($E1122,类别表,0)),"※收支类别不在【参数设置】的清单里",IF($J1122="","△"&amp;$D1122&amp;" 还没填汇率，去【月度汇率】补上就自动算了",IF(YEAR($A1122)&lt;&gt;管理年度,"△不是管理年度的单据，年报里看不到",IF(AND($F1122="内部转账",$Q1122=""),"△内部转账建议在「往来单位」写上对方账户",IF($M1122&lt;0,"△这一笔之后该账户余额成负数了，核一下","")))))))))))</f>
        <v/>
      </c>
    </row>
    <row r="1123" ht="16.5" spans="1:19">
      <c r="A1123" s="45"/>
      <c r="B1123" s="46"/>
      <c r="C1123" s="12" t="str">
        <f>IF($B1123="","",IFERROR(INDEX(账户银行,MATCH($B1123,账户名,0)),""))</f>
        <v/>
      </c>
      <c r="D1123" s="12" t="str">
        <f>IF($B1123="","",IFERROR(INDEX(账户币种,MATCH($B1123,账户名,0)),""))</f>
        <v/>
      </c>
      <c r="E1123" s="47"/>
      <c r="F1123" s="12" t="str">
        <f>IF($E1123="","",IFERROR(INDEX(类别属性,MATCH($E1123,类别表,0)),""))</f>
        <v/>
      </c>
      <c r="G1123" s="48"/>
      <c r="H1123" s="48"/>
      <c r="I1123" s="49"/>
      <c r="J1123" s="24" t="str">
        <f>IF(OR($A1123="",$B1123=""),"",IF($I1123&lt;&gt;"",$I1123,IF($D1123=本位币,1,IFERROR(LOOKUP(2,1/((汇率月份&lt;=$A1123)*(INDEX(记账汇率区,0,MATCH($D1123,汇率币种头,0))&lt;&gt;"")),INDEX(记账汇率区,0,MATCH($D1123,汇率币种头,0))),""))))</f>
        <v/>
      </c>
      <c r="K1123" s="23" t="str">
        <f t="shared" si="34"/>
        <v/>
      </c>
      <c r="L1123" s="23" t="str">
        <f t="shared" si="35"/>
        <v/>
      </c>
      <c r="M1123" s="23" t="str">
        <f>IF($B1123="","",ROUND(SUMIF(账户名,$B1123,账户期初)+SUMIFS($K$6:K1123,$B$6:B1123,$B1123),2))</f>
        <v/>
      </c>
      <c r="N1123" s="23" t="str">
        <f>IF($B1123="","",IFERROR(ROUND(INDEX(账户期初本位,MATCH($B1123,账户名,0))+SUMIFS($L$6:L1123,$B$6:B1123,$B1123),2),""))</f>
        <v/>
      </c>
      <c r="O1123" s="46"/>
      <c r="P1123" s="47"/>
      <c r="Q1123" s="46"/>
      <c r="R1123" s="46"/>
      <c r="S1123" s="6" t="str">
        <f>IF($B1123="","",IF(ISNA(MATCH($B1123,账户名,0)),"※这个账户不在【参数设置】的账户档案里",IF($A1123="","※没填日期，这一笔不会进任何月份的报表",IF(AND($G1123&lt;&gt;"",$H1123&lt;&gt;""),"※收入和支出不能同时填",IF(AND(N($G1123)=0,N($H1123)=0),"※收入和支出都没填",IF($E1123="","※没填收支类别，分类报表会漏掉这一笔",IF(ISNA(MATCH($E1123,类别表,0)),"※收支类别不在【参数设置】的清单里",IF($J1123="","△"&amp;$D1123&amp;" 还没填汇率，去【月度汇率】补上就自动算了",IF(YEAR($A1123)&lt;&gt;管理年度,"△不是管理年度的单据，年报里看不到",IF(AND($F1123="内部转账",$Q1123=""),"△内部转账建议在「往来单位」写上对方账户",IF($M1123&lt;0,"△这一笔之后该账户余额成负数了，核一下","")))))))))))</f>
        <v/>
      </c>
    </row>
    <row r="1124" ht="16.5" spans="1:19">
      <c r="A1124" s="45"/>
      <c r="B1124" s="46"/>
      <c r="C1124" s="12" t="str">
        <f>IF($B1124="","",IFERROR(INDEX(账户银行,MATCH($B1124,账户名,0)),""))</f>
        <v/>
      </c>
      <c r="D1124" s="12" t="str">
        <f>IF($B1124="","",IFERROR(INDEX(账户币种,MATCH($B1124,账户名,0)),""))</f>
        <v/>
      </c>
      <c r="E1124" s="47"/>
      <c r="F1124" s="12" t="str">
        <f>IF($E1124="","",IFERROR(INDEX(类别属性,MATCH($E1124,类别表,0)),""))</f>
        <v/>
      </c>
      <c r="G1124" s="48"/>
      <c r="H1124" s="48"/>
      <c r="I1124" s="49"/>
      <c r="J1124" s="24" t="str">
        <f>IF(OR($A1124="",$B1124=""),"",IF($I1124&lt;&gt;"",$I1124,IF($D1124=本位币,1,IFERROR(LOOKUP(2,1/((汇率月份&lt;=$A1124)*(INDEX(记账汇率区,0,MATCH($D1124,汇率币种头,0))&lt;&gt;"")),INDEX(记账汇率区,0,MATCH($D1124,汇率币种头,0))),""))))</f>
        <v/>
      </c>
      <c r="K1124" s="23" t="str">
        <f t="shared" si="34"/>
        <v/>
      </c>
      <c r="L1124" s="23" t="str">
        <f t="shared" si="35"/>
        <v/>
      </c>
      <c r="M1124" s="23" t="str">
        <f>IF($B1124="","",ROUND(SUMIF(账户名,$B1124,账户期初)+SUMIFS($K$6:K1124,$B$6:B1124,$B1124),2))</f>
        <v/>
      </c>
      <c r="N1124" s="23" t="str">
        <f>IF($B1124="","",IFERROR(ROUND(INDEX(账户期初本位,MATCH($B1124,账户名,0))+SUMIFS($L$6:L1124,$B$6:B1124,$B1124),2),""))</f>
        <v/>
      </c>
      <c r="O1124" s="46"/>
      <c r="P1124" s="47"/>
      <c r="Q1124" s="46"/>
      <c r="R1124" s="46"/>
      <c r="S1124" s="6" t="str">
        <f>IF($B1124="","",IF(ISNA(MATCH($B1124,账户名,0)),"※这个账户不在【参数设置】的账户档案里",IF($A1124="","※没填日期，这一笔不会进任何月份的报表",IF(AND($G1124&lt;&gt;"",$H1124&lt;&gt;""),"※收入和支出不能同时填",IF(AND(N($G1124)=0,N($H1124)=0),"※收入和支出都没填",IF($E1124="","※没填收支类别，分类报表会漏掉这一笔",IF(ISNA(MATCH($E1124,类别表,0)),"※收支类别不在【参数设置】的清单里",IF($J1124="","△"&amp;$D1124&amp;" 还没填汇率，去【月度汇率】补上就自动算了",IF(YEAR($A1124)&lt;&gt;管理年度,"△不是管理年度的单据，年报里看不到",IF(AND($F1124="内部转账",$Q1124=""),"△内部转账建议在「往来单位」写上对方账户",IF($M1124&lt;0,"△这一笔之后该账户余额成负数了，核一下","")))))))))))</f>
        <v/>
      </c>
    </row>
    <row r="1125" ht="16.5" spans="1:19">
      <c r="A1125" s="45"/>
      <c r="B1125" s="46"/>
      <c r="C1125" s="12" t="str">
        <f>IF($B1125="","",IFERROR(INDEX(账户银行,MATCH($B1125,账户名,0)),""))</f>
        <v/>
      </c>
      <c r="D1125" s="12" t="str">
        <f>IF($B1125="","",IFERROR(INDEX(账户币种,MATCH($B1125,账户名,0)),""))</f>
        <v/>
      </c>
      <c r="E1125" s="47"/>
      <c r="F1125" s="12" t="str">
        <f>IF($E1125="","",IFERROR(INDEX(类别属性,MATCH($E1125,类别表,0)),""))</f>
        <v/>
      </c>
      <c r="G1125" s="48"/>
      <c r="H1125" s="48"/>
      <c r="I1125" s="49"/>
      <c r="J1125" s="24" t="str">
        <f>IF(OR($A1125="",$B1125=""),"",IF($I1125&lt;&gt;"",$I1125,IF($D1125=本位币,1,IFERROR(LOOKUP(2,1/((汇率月份&lt;=$A1125)*(INDEX(记账汇率区,0,MATCH($D1125,汇率币种头,0))&lt;&gt;"")),INDEX(记账汇率区,0,MATCH($D1125,汇率币种头,0))),""))))</f>
        <v/>
      </c>
      <c r="K1125" s="23" t="str">
        <f t="shared" si="34"/>
        <v/>
      </c>
      <c r="L1125" s="23" t="str">
        <f t="shared" si="35"/>
        <v/>
      </c>
      <c r="M1125" s="23" t="str">
        <f>IF($B1125="","",ROUND(SUMIF(账户名,$B1125,账户期初)+SUMIFS($K$6:K1125,$B$6:B1125,$B1125),2))</f>
        <v/>
      </c>
      <c r="N1125" s="23" t="str">
        <f>IF($B1125="","",IFERROR(ROUND(INDEX(账户期初本位,MATCH($B1125,账户名,0))+SUMIFS($L$6:L1125,$B$6:B1125,$B1125),2),""))</f>
        <v/>
      </c>
      <c r="O1125" s="46"/>
      <c r="P1125" s="47"/>
      <c r="Q1125" s="46"/>
      <c r="R1125" s="46"/>
      <c r="S1125" s="6" t="str">
        <f>IF($B1125="","",IF(ISNA(MATCH($B1125,账户名,0)),"※这个账户不在【参数设置】的账户档案里",IF($A1125="","※没填日期，这一笔不会进任何月份的报表",IF(AND($G1125&lt;&gt;"",$H1125&lt;&gt;""),"※收入和支出不能同时填",IF(AND(N($G1125)=0,N($H1125)=0),"※收入和支出都没填",IF($E1125="","※没填收支类别，分类报表会漏掉这一笔",IF(ISNA(MATCH($E1125,类别表,0)),"※收支类别不在【参数设置】的清单里",IF($J1125="","△"&amp;$D1125&amp;" 还没填汇率，去【月度汇率】补上就自动算了",IF(YEAR($A1125)&lt;&gt;管理年度,"△不是管理年度的单据，年报里看不到",IF(AND($F1125="内部转账",$Q1125=""),"△内部转账建议在「往来单位」写上对方账户",IF($M1125&lt;0,"△这一笔之后该账户余额成负数了，核一下","")))))))))))</f>
        <v/>
      </c>
    </row>
    <row r="1126" ht="16.5" spans="1:19">
      <c r="A1126" s="45"/>
      <c r="B1126" s="46"/>
      <c r="C1126" s="12" t="str">
        <f>IF($B1126="","",IFERROR(INDEX(账户银行,MATCH($B1126,账户名,0)),""))</f>
        <v/>
      </c>
      <c r="D1126" s="12" t="str">
        <f>IF($B1126="","",IFERROR(INDEX(账户币种,MATCH($B1126,账户名,0)),""))</f>
        <v/>
      </c>
      <c r="E1126" s="47"/>
      <c r="F1126" s="12" t="str">
        <f>IF($E1126="","",IFERROR(INDEX(类别属性,MATCH($E1126,类别表,0)),""))</f>
        <v/>
      </c>
      <c r="G1126" s="48"/>
      <c r="H1126" s="48"/>
      <c r="I1126" s="49"/>
      <c r="J1126" s="24" t="str">
        <f>IF(OR($A1126="",$B1126=""),"",IF($I1126&lt;&gt;"",$I1126,IF($D1126=本位币,1,IFERROR(LOOKUP(2,1/((汇率月份&lt;=$A1126)*(INDEX(记账汇率区,0,MATCH($D1126,汇率币种头,0))&lt;&gt;"")),INDEX(记账汇率区,0,MATCH($D1126,汇率币种头,0))),""))))</f>
        <v/>
      </c>
      <c r="K1126" s="23" t="str">
        <f t="shared" si="34"/>
        <v/>
      </c>
      <c r="L1126" s="23" t="str">
        <f t="shared" si="35"/>
        <v/>
      </c>
      <c r="M1126" s="23" t="str">
        <f>IF($B1126="","",ROUND(SUMIF(账户名,$B1126,账户期初)+SUMIFS($K$6:K1126,$B$6:B1126,$B1126),2))</f>
        <v/>
      </c>
      <c r="N1126" s="23" t="str">
        <f>IF($B1126="","",IFERROR(ROUND(INDEX(账户期初本位,MATCH($B1126,账户名,0))+SUMIFS($L$6:L1126,$B$6:B1126,$B1126),2),""))</f>
        <v/>
      </c>
      <c r="O1126" s="46"/>
      <c r="P1126" s="47"/>
      <c r="Q1126" s="46"/>
      <c r="R1126" s="46"/>
      <c r="S1126" s="6" t="str">
        <f>IF($B1126="","",IF(ISNA(MATCH($B1126,账户名,0)),"※这个账户不在【参数设置】的账户档案里",IF($A1126="","※没填日期，这一笔不会进任何月份的报表",IF(AND($G1126&lt;&gt;"",$H1126&lt;&gt;""),"※收入和支出不能同时填",IF(AND(N($G1126)=0,N($H1126)=0),"※收入和支出都没填",IF($E1126="","※没填收支类别，分类报表会漏掉这一笔",IF(ISNA(MATCH($E1126,类别表,0)),"※收支类别不在【参数设置】的清单里",IF($J1126="","△"&amp;$D1126&amp;" 还没填汇率，去【月度汇率】补上就自动算了",IF(YEAR($A1126)&lt;&gt;管理年度,"△不是管理年度的单据，年报里看不到",IF(AND($F1126="内部转账",$Q1126=""),"△内部转账建议在「往来单位」写上对方账户",IF($M1126&lt;0,"△这一笔之后该账户余额成负数了，核一下","")))))))))))</f>
        <v/>
      </c>
    </row>
    <row r="1127" ht="16.5" spans="1:19">
      <c r="A1127" s="45"/>
      <c r="B1127" s="46"/>
      <c r="C1127" s="12" t="str">
        <f>IF($B1127="","",IFERROR(INDEX(账户银行,MATCH($B1127,账户名,0)),""))</f>
        <v/>
      </c>
      <c r="D1127" s="12" t="str">
        <f>IF($B1127="","",IFERROR(INDEX(账户币种,MATCH($B1127,账户名,0)),""))</f>
        <v/>
      </c>
      <c r="E1127" s="47"/>
      <c r="F1127" s="12" t="str">
        <f>IF($E1127="","",IFERROR(INDEX(类别属性,MATCH($E1127,类别表,0)),""))</f>
        <v/>
      </c>
      <c r="G1127" s="48"/>
      <c r="H1127" s="48"/>
      <c r="I1127" s="49"/>
      <c r="J1127" s="24" t="str">
        <f>IF(OR($A1127="",$B1127=""),"",IF($I1127&lt;&gt;"",$I1127,IF($D1127=本位币,1,IFERROR(LOOKUP(2,1/((汇率月份&lt;=$A1127)*(INDEX(记账汇率区,0,MATCH($D1127,汇率币种头,0))&lt;&gt;"")),INDEX(记账汇率区,0,MATCH($D1127,汇率币种头,0))),""))))</f>
        <v/>
      </c>
      <c r="K1127" s="23" t="str">
        <f t="shared" si="34"/>
        <v/>
      </c>
      <c r="L1127" s="23" t="str">
        <f t="shared" si="35"/>
        <v/>
      </c>
      <c r="M1127" s="23" t="str">
        <f>IF($B1127="","",ROUND(SUMIF(账户名,$B1127,账户期初)+SUMIFS($K$6:K1127,$B$6:B1127,$B1127),2))</f>
        <v/>
      </c>
      <c r="N1127" s="23" t="str">
        <f>IF($B1127="","",IFERROR(ROUND(INDEX(账户期初本位,MATCH($B1127,账户名,0))+SUMIFS($L$6:L1127,$B$6:B1127,$B1127),2),""))</f>
        <v/>
      </c>
      <c r="O1127" s="46"/>
      <c r="P1127" s="47"/>
      <c r="Q1127" s="46"/>
      <c r="R1127" s="46"/>
      <c r="S1127" s="6" t="str">
        <f>IF($B1127="","",IF(ISNA(MATCH($B1127,账户名,0)),"※这个账户不在【参数设置】的账户档案里",IF($A1127="","※没填日期，这一笔不会进任何月份的报表",IF(AND($G1127&lt;&gt;"",$H1127&lt;&gt;""),"※收入和支出不能同时填",IF(AND(N($G1127)=0,N($H1127)=0),"※收入和支出都没填",IF($E1127="","※没填收支类别，分类报表会漏掉这一笔",IF(ISNA(MATCH($E1127,类别表,0)),"※收支类别不在【参数设置】的清单里",IF($J1127="","△"&amp;$D1127&amp;" 还没填汇率，去【月度汇率】补上就自动算了",IF(YEAR($A1127)&lt;&gt;管理年度,"△不是管理年度的单据，年报里看不到",IF(AND($F1127="内部转账",$Q1127=""),"△内部转账建议在「往来单位」写上对方账户",IF($M1127&lt;0,"△这一笔之后该账户余额成负数了，核一下","")))))))))))</f>
        <v/>
      </c>
    </row>
    <row r="1128" ht="16.5" spans="1:19">
      <c r="A1128" s="45"/>
      <c r="B1128" s="46"/>
      <c r="C1128" s="12" t="str">
        <f>IF($B1128="","",IFERROR(INDEX(账户银行,MATCH($B1128,账户名,0)),""))</f>
        <v/>
      </c>
      <c r="D1128" s="12" t="str">
        <f>IF($B1128="","",IFERROR(INDEX(账户币种,MATCH($B1128,账户名,0)),""))</f>
        <v/>
      </c>
      <c r="E1128" s="47"/>
      <c r="F1128" s="12" t="str">
        <f>IF($E1128="","",IFERROR(INDEX(类别属性,MATCH($E1128,类别表,0)),""))</f>
        <v/>
      </c>
      <c r="G1128" s="48"/>
      <c r="H1128" s="48"/>
      <c r="I1128" s="49"/>
      <c r="J1128" s="24" t="str">
        <f>IF(OR($A1128="",$B1128=""),"",IF($I1128&lt;&gt;"",$I1128,IF($D1128=本位币,1,IFERROR(LOOKUP(2,1/((汇率月份&lt;=$A1128)*(INDEX(记账汇率区,0,MATCH($D1128,汇率币种头,0))&lt;&gt;"")),INDEX(记账汇率区,0,MATCH($D1128,汇率币种头,0))),""))))</f>
        <v/>
      </c>
      <c r="K1128" s="23" t="str">
        <f t="shared" si="34"/>
        <v/>
      </c>
      <c r="L1128" s="23" t="str">
        <f t="shared" si="35"/>
        <v/>
      </c>
      <c r="M1128" s="23" t="str">
        <f>IF($B1128="","",ROUND(SUMIF(账户名,$B1128,账户期初)+SUMIFS($K$6:K1128,$B$6:B1128,$B1128),2))</f>
        <v/>
      </c>
      <c r="N1128" s="23" t="str">
        <f>IF($B1128="","",IFERROR(ROUND(INDEX(账户期初本位,MATCH($B1128,账户名,0))+SUMIFS($L$6:L1128,$B$6:B1128,$B1128),2),""))</f>
        <v/>
      </c>
      <c r="O1128" s="46"/>
      <c r="P1128" s="47"/>
      <c r="Q1128" s="46"/>
      <c r="R1128" s="46"/>
      <c r="S1128" s="6" t="str">
        <f>IF($B1128="","",IF(ISNA(MATCH($B1128,账户名,0)),"※这个账户不在【参数设置】的账户档案里",IF($A1128="","※没填日期，这一笔不会进任何月份的报表",IF(AND($G1128&lt;&gt;"",$H1128&lt;&gt;""),"※收入和支出不能同时填",IF(AND(N($G1128)=0,N($H1128)=0),"※收入和支出都没填",IF($E1128="","※没填收支类别，分类报表会漏掉这一笔",IF(ISNA(MATCH($E1128,类别表,0)),"※收支类别不在【参数设置】的清单里",IF($J1128="","△"&amp;$D1128&amp;" 还没填汇率，去【月度汇率】补上就自动算了",IF(YEAR($A1128)&lt;&gt;管理年度,"△不是管理年度的单据，年报里看不到",IF(AND($F1128="内部转账",$Q1128=""),"△内部转账建议在「往来单位」写上对方账户",IF($M1128&lt;0,"△这一笔之后该账户余额成负数了，核一下","")))))))))))</f>
        <v/>
      </c>
    </row>
    <row r="1129" ht="16.5" spans="1:19">
      <c r="A1129" s="45"/>
      <c r="B1129" s="46"/>
      <c r="C1129" s="12" t="str">
        <f>IF($B1129="","",IFERROR(INDEX(账户银行,MATCH($B1129,账户名,0)),""))</f>
        <v/>
      </c>
      <c r="D1129" s="12" t="str">
        <f>IF($B1129="","",IFERROR(INDEX(账户币种,MATCH($B1129,账户名,0)),""))</f>
        <v/>
      </c>
      <c r="E1129" s="47"/>
      <c r="F1129" s="12" t="str">
        <f>IF($E1129="","",IFERROR(INDEX(类别属性,MATCH($E1129,类别表,0)),""))</f>
        <v/>
      </c>
      <c r="G1129" s="48"/>
      <c r="H1129" s="48"/>
      <c r="I1129" s="49"/>
      <c r="J1129" s="24" t="str">
        <f>IF(OR($A1129="",$B1129=""),"",IF($I1129&lt;&gt;"",$I1129,IF($D1129=本位币,1,IFERROR(LOOKUP(2,1/((汇率月份&lt;=$A1129)*(INDEX(记账汇率区,0,MATCH($D1129,汇率币种头,0))&lt;&gt;"")),INDEX(记账汇率区,0,MATCH($D1129,汇率币种头,0))),""))))</f>
        <v/>
      </c>
      <c r="K1129" s="23" t="str">
        <f t="shared" si="34"/>
        <v/>
      </c>
      <c r="L1129" s="23" t="str">
        <f t="shared" si="35"/>
        <v/>
      </c>
      <c r="M1129" s="23" t="str">
        <f>IF($B1129="","",ROUND(SUMIF(账户名,$B1129,账户期初)+SUMIFS($K$6:K1129,$B$6:B1129,$B1129),2))</f>
        <v/>
      </c>
      <c r="N1129" s="23" t="str">
        <f>IF($B1129="","",IFERROR(ROUND(INDEX(账户期初本位,MATCH($B1129,账户名,0))+SUMIFS($L$6:L1129,$B$6:B1129,$B1129),2),""))</f>
        <v/>
      </c>
      <c r="O1129" s="46"/>
      <c r="P1129" s="47"/>
      <c r="Q1129" s="46"/>
      <c r="R1129" s="46"/>
      <c r="S1129" s="6" t="str">
        <f>IF($B1129="","",IF(ISNA(MATCH($B1129,账户名,0)),"※这个账户不在【参数设置】的账户档案里",IF($A1129="","※没填日期，这一笔不会进任何月份的报表",IF(AND($G1129&lt;&gt;"",$H1129&lt;&gt;""),"※收入和支出不能同时填",IF(AND(N($G1129)=0,N($H1129)=0),"※收入和支出都没填",IF($E1129="","※没填收支类别，分类报表会漏掉这一笔",IF(ISNA(MATCH($E1129,类别表,0)),"※收支类别不在【参数设置】的清单里",IF($J1129="","△"&amp;$D1129&amp;" 还没填汇率，去【月度汇率】补上就自动算了",IF(YEAR($A1129)&lt;&gt;管理年度,"△不是管理年度的单据，年报里看不到",IF(AND($F1129="内部转账",$Q1129=""),"△内部转账建议在「往来单位」写上对方账户",IF($M1129&lt;0,"△这一笔之后该账户余额成负数了，核一下","")))))))))))</f>
        <v/>
      </c>
    </row>
    <row r="1130" ht="16.5" spans="1:19">
      <c r="A1130" s="45"/>
      <c r="B1130" s="46"/>
      <c r="C1130" s="12" t="str">
        <f>IF($B1130="","",IFERROR(INDEX(账户银行,MATCH($B1130,账户名,0)),""))</f>
        <v/>
      </c>
      <c r="D1130" s="12" t="str">
        <f>IF($B1130="","",IFERROR(INDEX(账户币种,MATCH($B1130,账户名,0)),""))</f>
        <v/>
      </c>
      <c r="E1130" s="47"/>
      <c r="F1130" s="12" t="str">
        <f>IF($E1130="","",IFERROR(INDEX(类别属性,MATCH($E1130,类别表,0)),""))</f>
        <v/>
      </c>
      <c r="G1130" s="48"/>
      <c r="H1130" s="48"/>
      <c r="I1130" s="49"/>
      <c r="J1130" s="24" t="str">
        <f>IF(OR($A1130="",$B1130=""),"",IF($I1130&lt;&gt;"",$I1130,IF($D1130=本位币,1,IFERROR(LOOKUP(2,1/((汇率月份&lt;=$A1130)*(INDEX(记账汇率区,0,MATCH($D1130,汇率币种头,0))&lt;&gt;"")),INDEX(记账汇率区,0,MATCH($D1130,汇率币种头,0))),""))))</f>
        <v/>
      </c>
      <c r="K1130" s="23" t="str">
        <f t="shared" si="34"/>
        <v/>
      </c>
      <c r="L1130" s="23" t="str">
        <f t="shared" si="35"/>
        <v/>
      </c>
      <c r="M1130" s="23" t="str">
        <f>IF($B1130="","",ROUND(SUMIF(账户名,$B1130,账户期初)+SUMIFS($K$6:K1130,$B$6:B1130,$B1130),2))</f>
        <v/>
      </c>
      <c r="N1130" s="23" t="str">
        <f>IF($B1130="","",IFERROR(ROUND(INDEX(账户期初本位,MATCH($B1130,账户名,0))+SUMIFS($L$6:L1130,$B$6:B1130,$B1130),2),""))</f>
        <v/>
      </c>
      <c r="O1130" s="46"/>
      <c r="P1130" s="47"/>
      <c r="Q1130" s="46"/>
      <c r="R1130" s="46"/>
      <c r="S1130" s="6" t="str">
        <f>IF($B1130="","",IF(ISNA(MATCH($B1130,账户名,0)),"※这个账户不在【参数设置】的账户档案里",IF($A1130="","※没填日期，这一笔不会进任何月份的报表",IF(AND($G1130&lt;&gt;"",$H1130&lt;&gt;""),"※收入和支出不能同时填",IF(AND(N($G1130)=0,N($H1130)=0),"※收入和支出都没填",IF($E1130="","※没填收支类别，分类报表会漏掉这一笔",IF(ISNA(MATCH($E1130,类别表,0)),"※收支类别不在【参数设置】的清单里",IF($J1130="","△"&amp;$D1130&amp;" 还没填汇率，去【月度汇率】补上就自动算了",IF(YEAR($A1130)&lt;&gt;管理年度,"△不是管理年度的单据，年报里看不到",IF(AND($F1130="内部转账",$Q1130=""),"△内部转账建议在「往来单位」写上对方账户",IF($M1130&lt;0,"△这一笔之后该账户余额成负数了，核一下","")))))))))))</f>
        <v/>
      </c>
    </row>
    <row r="1131" ht="16.5" spans="1:19">
      <c r="A1131" s="45"/>
      <c r="B1131" s="46"/>
      <c r="C1131" s="12" t="str">
        <f>IF($B1131="","",IFERROR(INDEX(账户银行,MATCH($B1131,账户名,0)),""))</f>
        <v/>
      </c>
      <c r="D1131" s="12" t="str">
        <f>IF($B1131="","",IFERROR(INDEX(账户币种,MATCH($B1131,账户名,0)),""))</f>
        <v/>
      </c>
      <c r="E1131" s="47"/>
      <c r="F1131" s="12" t="str">
        <f>IF($E1131="","",IFERROR(INDEX(类别属性,MATCH($E1131,类别表,0)),""))</f>
        <v/>
      </c>
      <c r="G1131" s="48"/>
      <c r="H1131" s="48"/>
      <c r="I1131" s="49"/>
      <c r="J1131" s="24" t="str">
        <f>IF(OR($A1131="",$B1131=""),"",IF($I1131&lt;&gt;"",$I1131,IF($D1131=本位币,1,IFERROR(LOOKUP(2,1/((汇率月份&lt;=$A1131)*(INDEX(记账汇率区,0,MATCH($D1131,汇率币种头,0))&lt;&gt;"")),INDEX(记账汇率区,0,MATCH($D1131,汇率币种头,0))),""))))</f>
        <v/>
      </c>
      <c r="K1131" s="23" t="str">
        <f t="shared" si="34"/>
        <v/>
      </c>
      <c r="L1131" s="23" t="str">
        <f t="shared" si="35"/>
        <v/>
      </c>
      <c r="M1131" s="23" t="str">
        <f>IF($B1131="","",ROUND(SUMIF(账户名,$B1131,账户期初)+SUMIFS($K$6:K1131,$B$6:B1131,$B1131),2))</f>
        <v/>
      </c>
      <c r="N1131" s="23" t="str">
        <f>IF($B1131="","",IFERROR(ROUND(INDEX(账户期初本位,MATCH($B1131,账户名,0))+SUMIFS($L$6:L1131,$B$6:B1131,$B1131),2),""))</f>
        <v/>
      </c>
      <c r="O1131" s="46"/>
      <c r="P1131" s="47"/>
      <c r="Q1131" s="46"/>
      <c r="R1131" s="46"/>
      <c r="S1131" s="6" t="str">
        <f>IF($B1131="","",IF(ISNA(MATCH($B1131,账户名,0)),"※这个账户不在【参数设置】的账户档案里",IF($A1131="","※没填日期，这一笔不会进任何月份的报表",IF(AND($G1131&lt;&gt;"",$H1131&lt;&gt;""),"※收入和支出不能同时填",IF(AND(N($G1131)=0,N($H1131)=0),"※收入和支出都没填",IF($E1131="","※没填收支类别，分类报表会漏掉这一笔",IF(ISNA(MATCH($E1131,类别表,0)),"※收支类别不在【参数设置】的清单里",IF($J1131="","△"&amp;$D1131&amp;" 还没填汇率，去【月度汇率】补上就自动算了",IF(YEAR($A1131)&lt;&gt;管理年度,"△不是管理年度的单据，年报里看不到",IF(AND($F1131="内部转账",$Q1131=""),"△内部转账建议在「往来单位」写上对方账户",IF($M1131&lt;0,"△这一笔之后该账户余额成负数了，核一下","")))))))))))</f>
        <v/>
      </c>
    </row>
    <row r="1132" ht="16.5" spans="1:19">
      <c r="A1132" s="45"/>
      <c r="B1132" s="46"/>
      <c r="C1132" s="12" t="str">
        <f>IF($B1132="","",IFERROR(INDEX(账户银行,MATCH($B1132,账户名,0)),""))</f>
        <v/>
      </c>
      <c r="D1132" s="12" t="str">
        <f>IF($B1132="","",IFERROR(INDEX(账户币种,MATCH($B1132,账户名,0)),""))</f>
        <v/>
      </c>
      <c r="E1132" s="47"/>
      <c r="F1132" s="12" t="str">
        <f>IF($E1132="","",IFERROR(INDEX(类别属性,MATCH($E1132,类别表,0)),""))</f>
        <v/>
      </c>
      <c r="G1132" s="48"/>
      <c r="H1132" s="48"/>
      <c r="I1132" s="49"/>
      <c r="J1132" s="24" t="str">
        <f>IF(OR($A1132="",$B1132=""),"",IF($I1132&lt;&gt;"",$I1132,IF($D1132=本位币,1,IFERROR(LOOKUP(2,1/((汇率月份&lt;=$A1132)*(INDEX(记账汇率区,0,MATCH($D1132,汇率币种头,0))&lt;&gt;"")),INDEX(记账汇率区,0,MATCH($D1132,汇率币种头,0))),""))))</f>
        <v/>
      </c>
      <c r="K1132" s="23" t="str">
        <f t="shared" si="34"/>
        <v/>
      </c>
      <c r="L1132" s="23" t="str">
        <f t="shared" si="35"/>
        <v/>
      </c>
      <c r="M1132" s="23" t="str">
        <f>IF($B1132="","",ROUND(SUMIF(账户名,$B1132,账户期初)+SUMIFS($K$6:K1132,$B$6:B1132,$B1132),2))</f>
        <v/>
      </c>
      <c r="N1132" s="23" t="str">
        <f>IF($B1132="","",IFERROR(ROUND(INDEX(账户期初本位,MATCH($B1132,账户名,0))+SUMIFS($L$6:L1132,$B$6:B1132,$B1132),2),""))</f>
        <v/>
      </c>
      <c r="O1132" s="46"/>
      <c r="P1132" s="47"/>
      <c r="Q1132" s="46"/>
      <c r="R1132" s="46"/>
      <c r="S1132" s="6" t="str">
        <f>IF($B1132="","",IF(ISNA(MATCH($B1132,账户名,0)),"※这个账户不在【参数设置】的账户档案里",IF($A1132="","※没填日期，这一笔不会进任何月份的报表",IF(AND($G1132&lt;&gt;"",$H1132&lt;&gt;""),"※收入和支出不能同时填",IF(AND(N($G1132)=0,N($H1132)=0),"※收入和支出都没填",IF($E1132="","※没填收支类别，分类报表会漏掉这一笔",IF(ISNA(MATCH($E1132,类别表,0)),"※收支类别不在【参数设置】的清单里",IF($J1132="","△"&amp;$D1132&amp;" 还没填汇率，去【月度汇率】补上就自动算了",IF(YEAR($A1132)&lt;&gt;管理年度,"△不是管理年度的单据，年报里看不到",IF(AND($F1132="内部转账",$Q1132=""),"△内部转账建议在「往来单位」写上对方账户",IF($M1132&lt;0,"△这一笔之后该账户余额成负数了，核一下","")))))))))))</f>
        <v/>
      </c>
    </row>
    <row r="1133" ht="16.5" spans="1:19">
      <c r="A1133" s="45"/>
      <c r="B1133" s="46"/>
      <c r="C1133" s="12" t="str">
        <f>IF($B1133="","",IFERROR(INDEX(账户银行,MATCH($B1133,账户名,0)),""))</f>
        <v/>
      </c>
      <c r="D1133" s="12" t="str">
        <f>IF($B1133="","",IFERROR(INDEX(账户币种,MATCH($B1133,账户名,0)),""))</f>
        <v/>
      </c>
      <c r="E1133" s="47"/>
      <c r="F1133" s="12" t="str">
        <f>IF($E1133="","",IFERROR(INDEX(类别属性,MATCH($E1133,类别表,0)),""))</f>
        <v/>
      </c>
      <c r="G1133" s="48"/>
      <c r="H1133" s="48"/>
      <c r="I1133" s="49"/>
      <c r="J1133" s="24" t="str">
        <f>IF(OR($A1133="",$B1133=""),"",IF($I1133&lt;&gt;"",$I1133,IF($D1133=本位币,1,IFERROR(LOOKUP(2,1/((汇率月份&lt;=$A1133)*(INDEX(记账汇率区,0,MATCH($D1133,汇率币种头,0))&lt;&gt;"")),INDEX(记账汇率区,0,MATCH($D1133,汇率币种头,0))),""))))</f>
        <v/>
      </c>
      <c r="K1133" s="23" t="str">
        <f t="shared" si="34"/>
        <v/>
      </c>
      <c r="L1133" s="23" t="str">
        <f t="shared" si="35"/>
        <v/>
      </c>
      <c r="M1133" s="23" t="str">
        <f>IF($B1133="","",ROUND(SUMIF(账户名,$B1133,账户期初)+SUMIFS($K$6:K1133,$B$6:B1133,$B1133),2))</f>
        <v/>
      </c>
      <c r="N1133" s="23" t="str">
        <f>IF($B1133="","",IFERROR(ROUND(INDEX(账户期初本位,MATCH($B1133,账户名,0))+SUMIFS($L$6:L1133,$B$6:B1133,$B1133),2),""))</f>
        <v/>
      </c>
      <c r="O1133" s="46"/>
      <c r="P1133" s="47"/>
      <c r="Q1133" s="46"/>
      <c r="R1133" s="46"/>
      <c r="S1133" s="6" t="str">
        <f>IF($B1133="","",IF(ISNA(MATCH($B1133,账户名,0)),"※这个账户不在【参数设置】的账户档案里",IF($A1133="","※没填日期，这一笔不会进任何月份的报表",IF(AND($G1133&lt;&gt;"",$H1133&lt;&gt;""),"※收入和支出不能同时填",IF(AND(N($G1133)=0,N($H1133)=0),"※收入和支出都没填",IF($E1133="","※没填收支类别，分类报表会漏掉这一笔",IF(ISNA(MATCH($E1133,类别表,0)),"※收支类别不在【参数设置】的清单里",IF($J1133="","△"&amp;$D1133&amp;" 还没填汇率，去【月度汇率】补上就自动算了",IF(YEAR($A1133)&lt;&gt;管理年度,"△不是管理年度的单据，年报里看不到",IF(AND($F1133="内部转账",$Q1133=""),"△内部转账建议在「往来单位」写上对方账户",IF($M1133&lt;0,"△这一笔之后该账户余额成负数了，核一下","")))))))))))</f>
        <v/>
      </c>
    </row>
    <row r="1134" ht="16.5" spans="1:19">
      <c r="A1134" s="45"/>
      <c r="B1134" s="46"/>
      <c r="C1134" s="12" t="str">
        <f>IF($B1134="","",IFERROR(INDEX(账户银行,MATCH($B1134,账户名,0)),""))</f>
        <v/>
      </c>
      <c r="D1134" s="12" t="str">
        <f>IF($B1134="","",IFERROR(INDEX(账户币种,MATCH($B1134,账户名,0)),""))</f>
        <v/>
      </c>
      <c r="E1134" s="47"/>
      <c r="F1134" s="12" t="str">
        <f>IF($E1134="","",IFERROR(INDEX(类别属性,MATCH($E1134,类别表,0)),""))</f>
        <v/>
      </c>
      <c r="G1134" s="48"/>
      <c r="H1134" s="48"/>
      <c r="I1134" s="49"/>
      <c r="J1134" s="24" t="str">
        <f>IF(OR($A1134="",$B1134=""),"",IF($I1134&lt;&gt;"",$I1134,IF($D1134=本位币,1,IFERROR(LOOKUP(2,1/((汇率月份&lt;=$A1134)*(INDEX(记账汇率区,0,MATCH($D1134,汇率币种头,0))&lt;&gt;"")),INDEX(记账汇率区,0,MATCH($D1134,汇率币种头,0))),""))))</f>
        <v/>
      </c>
      <c r="K1134" s="23" t="str">
        <f t="shared" si="34"/>
        <v/>
      </c>
      <c r="L1134" s="23" t="str">
        <f t="shared" si="35"/>
        <v/>
      </c>
      <c r="M1134" s="23" t="str">
        <f>IF($B1134="","",ROUND(SUMIF(账户名,$B1134,账户期初)+SUMIFS($K$6:K1134,$B$6:B1134,$B1134),2))</f>
        <v/>
      </c>
      <c r="N1134" s="23" t="str">
        <f>IF($B1134="","",IFERROR(ROUND(INDEX(账户期初本位,MATCH($B1134,账户名,0))+SUMIFS($L$6:L1134,$B$6:B1134,$B1134),2),""))</f>
        <v/>
      </c>
      <c r="O1134" s="46"/>
      <c r="P1134" s="47"/>
      <c r="Q1134" s="46"/>
      <c r="R1134" s="46"/>
      <c r="S1134" s="6" t="str">
        <f>IF($B1134="","",IF(ISNA(MATCH($B1134,账户名,0)),"※这个账户不在【参数设置】的账户档案里",IF($A1134="","※没填日期，这一笔不会进任何月份的报表",IF(AND($G1134&lt;&gt;"",$H1134&lt;&gt;""),"※收入和支出不能同时填",IF(AND(N($G1134)=0,N($H1134)=0),"※收入和支出都没填",IF($E1134="","※没填收支类别，分类报表会漏掉这一笔",IF(ISNA(MATCH($E1134,类别表,0)),"※收支类别不在【参数设置】的清单里",IF($J1134="","△"&amp;$D1134&amp;" 还没填汇率，去【月度汇率】补上就自动算了",IF(YEAR($A1134)&lt;&gt;管理年度,"△不是管理年度的单据，年报里看不到",IF(AND($F1134="内部转账",$Q1134=""),"△内部转账建议在「往来单位」写上对方账户",IF($M1134&lt;0,"△这一笔之后该账户余额成负数了，核一下","")))))))))))</f>
        <v/>
      </c>
    </row>
    <row r="1135" ht="16.5" spans="1:19">
      <c r="A1135" s="45"/>
      <c r="B1135" s="46"/>
      <c r="C1135" s="12" t="str">
        <f>IF($B1135="","",IFERROR(INDEX(账户银行,MATCH($B1135,账户名,0)),""))</f>
        <v/>
      </c>
      <c r="D1135" s="12" t="str">
        <f>IF($B1135="","",IFERROR(INDEX(账户币种,MATCH($B1135,账户名,0)),""))</f>
        <v/>
      </c>
      <c r="E1135" s="47"/>
      <c r="F1135" s="12" t="str">
        <f>IF($E1135="","",IFERROR(INDEX(类别属性,MATCH($E1135,类别表,0)),""))</f>
        <v/>
      </c>
      <c r="G1135" s="48"/>
      <c r="H1135" s="48"/>
      <c r="I1135" s="49"/>
      <c r="J1135" s="24" t="str">
        <f>IF(OR($A1135="",$B1135=""),"",IF($I1135&lt;&gt;"",$I1135,IF($D1135=本位币,1,IFERROR(LOOKUP(2,1/((汇率月份&lt;=$A1135)*(INDEX(记账汇率区,0,MATCH($D1135,汇率币种头,0))&lt;&gt;"")),INDEX(记账汇率区,0,MATCH($D1135,汇率币种头,0))),""))))</f>
        <v/>
      </c>
      <c r="K1135" s="23" t="str">
        <f t="shared" si="34"/>
        <v/>
      </c>
      <c r="L1135" s="23" t="str">
        <f t="shared" si="35"/>
        <v/>
      </c>
      <c r="M1135" s="23" t="str">
        <f>IF($B1135="","",ROUND(SUMIF(账户名,$B1135,账户期初)+SUMIFS($K$6:K1135,$B$6:B1135,$B1135),2))</f>
        <v/>
      </c>
      <c r="N1135" s="23" t="str">
        <f>IF($B1135="","",IFERROR(ROUND(INDEX(账户期初本位,MATCH($B1135,账户名,0))+SUMIFS($L$6:L1135,$B$6:B1135,$B1135),2),""))</f>
        <v/>
      </c>
      <c r="O1135" s="46"/>
      <c r="P1135" s="47"/>
      <c r="Q1135" s="46"/>
      <c r="R1135" s="46"/>
      <c r="S1135" s="6" t="str">
        <f>IF($B1135="","",IF(ISNA(MATCH($B1135,账户名,0)),"※这个账户不在【参数设置】的账户档案里",IF($A1135="","※没填日期，这一笔不会进任何月份的报表",IF(AND($G1135&lt;&gt;"",$H1135&lt;&gt;""),"※收入和支出不能同时填",IF(AND(N($G1135)=0,N($H1135)=0),"※收入和支出都没填",IF($E1135="","※没填收支类别，分类报表会漏掉这一笔",IF(ISNA(MATCH($E1135,类别表,0)),"※收支类别不在【参数设置】的清单里",IF($J1135="","△"&amp;$D1135&amp;" 还没填汇率，去【月度汇率】补上就自动算了",IF(YEAR($A1135)&lt;&gt;管理年度,"△不是管理年度的单据，年报里看不到",IF(AND($F1135="内部转账",$Q1135=""),"△内部转账建议在「往来单位」写上对方账户",IF($M1135&lt;0,"△这一笔之后该账户余额成负数了，核一下","")))))))))))</f>
        <v/>
      </c>
    </row>
    <row r="1136" ht="16.5" spans="1:19">
      <c r="A1136" s="45"/>
      <c r="B1136" s="46"/>
      <c r="C1136" s="12" t="str">
        <f>IF($B1136="","",IFERROR(INDEX(账户银行,MATCH($B1136,账户名,0)),""))</f>
        <v/>
      </c>
      <c r="D1136" s="12" t="str">
        <f>IF($B1136="","",IFERROR(INDEX(账户币种,MATCH($B1136,账户名,0)),""))</f>
        <v/>
      </c>
      <c r="E1136" s="47"/>
      <c r="F1136" s="12" t="str">
        <f>IF($E1136="","",IFERROR(INDEX(类别属性,MATCH($E1136,类别表,0)),""))</f>
        <v/>
      </c>
      <c r="G1136" s="48"/>
      <c r="H1136" s="48"/>
      <c r="I1136" s="49"/>
      <c r="J1136" s="24" t="str">
        <f>IF(OR($A1136="",$B1136=""),"",IF($I1136&lt;&gt;"",$I1136,IF($D1136=本位币,1,IFERROR(LOOKUP(2,1/((汇率月份&lt;=$A1136)*(INDEX(记账汇率区,0,MATCH($D1136,汇率币种头,0))&lt;&gt;"")),INDEX(记账汇率区,0,MATCH($D1136,汇率币种头,0))),""))))</f>
        <v/>
      </c>
      <c r="K1136" s="23" t="str">
        <f t="shared" si="34"/>
        <v/>
      </c>
      <c r="L1136" s="23" t="str">
        <f t="shared" si="35"/>
        <v/>
      </c>
      <c r="M1136" s="23" t="str">
        <f>IF($B1136="","",ROUND(SUMIF(账户名,$B1136,账户期初)+SUMIFS($K$6:K1136,$B$6:B1136,$B1136),2))</f>
        <v/>
      </c>
      <c r="N1136" s="23" t="str">
        <f>IF($B1136="","",IFERROR(ROUND(INDEX(账户期初本位,MATCH($B1136,账户名,0))+SUMIFS($L$6:L1136,$B$6:B1136,$B1136),2),""))</f>
        <v/>
      </c>
      <c r="O1136" s="46"/>
      <c r="P1136" s="47"/>
      <c r="Q1136" s="46"/>
      <c r="R1136" s="46"/>
      <c r="S1136" s="6" t="str">
        <f>IF($B1136="","",IF(ISNA(MATCH($B1136,账户名,0)),"※这个账户不在【参数设置】的账户档案里",IF($A1136="","※没填日期，这一笔不会进任何月份的报表",IF(AND($G1136&lt;&gt;"",$H1136&lt;&gt;""),"※收入和支出不能同时填",IF(AND(N($G1136)=0,N($H1136)=0),"※收入和支出都没填",IF($E1136="","※没填收支类别，分类报表会漏掉这一笔",IF(ISNA(MATCH($E1136,类别表,0)),"※收支类别不在【参数设置】的清单里",IF($J1136="","△"&amp;$D1136&amp;" 还没填汇率，去【月度汇率】补上就自动算了",IF(YEAR($A1136)&lt;&gt;管理年度,"△不是管理年度的单据，年报里看不到",IF(AND($F1136="内部转账",$Q1136=""),"△内部转账建议在「往来单位」写上对方账户",IF($M1136&lt;0,"△这一笔之后该账户余额成负数了，核一下","")))))))))))</f>
        <v/>
      </c>
    </row>
    <row r="1137" ht="16.5" spans="1:19">
      <c r="A1137" s="45"/>
      <c r="B1137" s="46"/>
      <c r="C1137" s="12" t="str">
        <f>IF($B1137="","",IFERROR(INDEX(账户银行,MATCH($B1137,账户名,0)),""))</f>
        <v/>
      </c>
      <c r="D1137" s="12" t="str">
        <f>IF($B1137="","",IFERROR(INDEX(账户币种,MATCH($B1137,账户名,0)),""))</f>
        <v/>
      </c>
      <c r="E1137" s="47"/>
      <c r="F1137" s="12" t="str">
        <f>IF($E1137="","",IFERROR(INDEX(类别属性,MATCH($E1137,类别表,0)),""))</f>
        <v/>
      </c>
      <c r="G1137" s="48"/>
      <c r="H1137" s="48"/>
      <c r="I1137" s="49"/>
      <c r="J1137" s="24" t="str">
        <f>IF(OR($A1137="",$B1137=""),"",IF($I1137&lt;&gt;"",$I1137,IF($D1137=本位币,1,IFERROR(LOOKUP(2,1/((汇率月份&lt;=$A1137)*(INDEX(记账汇率区,0,MATCH($D1137,汇率币种头,0))&lt;&gt;"")),INDEX(记账汇率区,0,MATCH($D1137,汇率币种头,0))),""))))</f>
        <v/>
      </c>
      <c r="K1137" s="23" t="str">
        <f t="shared" si="34"/>
        <v/>
      </c>
      <c r="L1137" s="23" t="str">
        <f t="shared" si="35"/>
        <v/>
      </c>
      <c r="M1137" s="23" t="str">
        <f>IF($B1137="","",ROUND(SUMIF(账户名,$B1137,账户期初)+SUMIFS($K$6:K1137,$B$6:B1137,$B1137),2))</f>
        <v/>
      </c>
      <c r="N1137" s="23" t="str">
        <f>IF($B1137="","",IFERROR(ROUND(INDEX(账户期初本位,MATCH($B1137,账户名,0))+SUMIFS($L$6:L1137,$B$6:B1137,$B1137),2),""))</f>
        <v/>
      </c>
      <c r="O1137" s="46"/>
      <c r="P1137" s="47"/>
      <c r="Q1137" s="46"/>
      <c r="R1137" s="46"/>
      <c r="S1137" s="6" t="str">
        <f>IF($B1137="","",IF(ISNA(MATCH($B1137,账户名,0)),"※这个账户不在【参数设置】的账户档案里",IF($A1137="","※没填日期，这一笔不会进任何月份的报表",IF(AND($G1137&lt;&gt;"",$H1137&lt;&gt;""),"※收入和支出不能同时填",IF(AND(N($G1137)=0,N($H1137)=0),"※收入和支出都没填",IF($E1137="","※没填收支类别，分类报表会漏掉这一笔",IF(ISNA(MATCH($E1137,类别表,0)),"※收支类别不在【参数设置】的清单里",IF($J1137="","△"&amp;$D1137&amp;" 还没填汇率，去【月度汇率】补上就自动算了",IF(YEAR($A1137)&lt;&gt;管理年度,"△不是管理年度的单据，年报里看不到",IF(AND($F1137="内部转账",$Q1137=""),"△内部转账建议在「往来单位」写上对方账户",IF($M1137&lt;0,"△这一笔之后该账户余额成负数了，核一下","")))))))))))</f>
        <v/>
      </c>
    </row>
    <row r="1138" ht="16.5" spans="1:19">
      <c r="A1138" s="45"/>
      <c r="B1138" s="46"/>
      <c r="C1138" s="12" t="str">
        <f>IF($B1138="","",IFERROR(INDEX(账户银行,MATCH($B1138,账户名,0)),""))</f>
        <v/>
      </c>
      <c r="D1138" s="12" t="str">
        <f>IF($B1138="","",IFERROR(INDEX(账户币种,MATCH($B1138,账户名,0)),""))</f>
        <v/>
      </c>
      <c r="E1138" s="47"/>
      <c r="F1138" s="12" t="str">
        <f>IF($E1138="","",IFERROR(INDEX(类别属性,MATCH($E1138,类别表,0)),""))</f>
        <v/>
      </c>
      <c r="G1138" s="48"/>
      <c r="H1138" s="48"/>
      <c r="I1138" s="49"/>
      <c r="J1138" s="24" t="str">
        <f>IF(OR($A1138="",$B1138=""),"",IF($I1138&lt;&gt;"",$I1138,IF($D1138=本位币,1,IFERROR(LOOKUP(2,1/((汇率月份&lt;=$A1138)*(INDEX(记账汇率区,0,MATCH($D1138,汇率币种头,0))&lt;&gt;"")),INDEX(记账汇率区,0,MATCH($D1138,汇率币种头,0))),""))))</f>
        <v/>
      </c>
      <c r="K1138" s="23" t="str">
        <f t="shared" si="34"/>
        <v/>
      </c>
      <c r="L1138" s="23" t="str">
        <f t="shared" si="35"/>
        <v/>
      </c>
      <c r="M1138" s="23" t="str">
        <f>IF($B1138="","",ROUND(SUMIF(账户名,$B1138,账户期初)+SUMIFS($K$6:K1138,$B$6:B1138,$B1138),2))</f>
        <v/>
      </c>
      <c r="N1138" s="23" t="str">
        <f>IF($B1138="","",IFERROR(ROUND(INDEX(账户期初本位,MATCH($B1138,账户名,0))+SUMIFS($L$6:L1138,$B$6:B1138,$B1138),2),""))</f>
        <v/>
      </c>
      <c r="O1138" s="46"/>
      <c r="P1138" s="47"/>
      <c r="Q1138" s="46"/>
      <c r="R1138" s="46"/>
      <c r="S1138" s="6" t="str">
        <f>IF($B1138="","",IF(ISNA(MATCH($B1138,账户名,0)),"※这个账户不在【参数设置】的账户档案里",IF($A1138="","※没填日期，这一笔不会进任何月份的报表",IF(AND($G1138&lt;&gt;"",$H1138&lt;&gt;""),"※收入和支出不能同时填",IF(AND(N($G1138)=0,N($H1138)=0),"※收入和支出都没填",IF($E1138="","※没填收支类别，分类报表会漏掉这一笔",IF(ISNA(MATCH($E1138,类别表,0)),"※收支类别不在【参数设置】的清单里",IF($J1138="","△"&amp;$D1138&amp;" 还没填汇率，去【月度汇率】补上就自动算了",IF(YEAR($A1138)&lt;&gt;管理年度,"△不是管理年度的单据，年报里看不到",IF(AND($F1138="内部转账",$Q1138=""),"△内部转账建议在「往来单位」写上对方账户",IF($M1138&lt;0,"△这一笔之后该账户余额成负数了，核一下","")))))))))))</f>
        <v/>
      </c>
    </row>
    <row r="1139" ht="16.5" spans="1:19">
      <c r="A1139" s="45"/>
      <c r="B1139" s="46"/>
      <c r="C1139" s="12" t="str">
        <f>IF($B1139="","",IFERROR(INDEX(账户银行,MATCH($B1139,账户名,0)),""))</f>
        <v/>
      </c>
      <c r="D1139" s="12" t="str">
        <f>IF($B1139="","",IFERROR(INDEX(账户币种,MATCH($B1139,账户名,0)),""))</f>
        <v/>
      </c>
      <c r="E1139" s="47"/>
      <c r="F1139" s="12" t="str">
        <f>IF($E1139="","",IFERROR(INDEX(类别属性,MATCH($E1139,类别表,0)),""))</f>
        <v/>
      </c>
      <c r="G1139" s="48"/>
      <c r="H1139" s="48"/>
      <c r="I1139" s="49"/>
      <c r="J1139" s="24" t="str">
        <f>IF(OR($A1139="",$B1139=""),"",IF($I1139&lt;&gt;"",$I1139,IF($D1139=本位币,1,IFERROR(LOOKUP(2,1/((汇率月份&lt;=$A1139)*(INDEX(记账汇率区,0,MATCH($D1139,汇率币种头,0))&lt;&gt;"")),INDEX(记账汇率区,0,MATCH($D1139,汇率币种头,0))),""))))</f>
        <v/>
      </c>
      <c r="K1139" s="23" t="str">
        <f t="shared" si="34"/>
        <v/>
      </c>
      <c r="L1139" s="23" t="str">
        <f t="shared" si="35"/>
        <v/>
      </c>
      <c r="M1139" s="23" t="str">
        <f>IF($B1139="","",ROUND(SUMIF(账户名,$B1139,账户期初)+SUMIFS($K$6:K1139,$B$6:B1139,$B1139),2))</f>
        <v/>
      </c>
      <c r="N1139" s="23" t="str">
        <f>IF($B1139="","",IFERROR(ROUND(INDEX(账户期初本位,MATCH($B1139,账户名,0))+SUMIFS($L$6:L1139,$B$6:B1139,$B1139),2),""))</f>
        <v/>
      </c>
      <c r="O1139" s="46"/>
      <c r="P1139" s="47"/>
      <c r="Q1139" s="46"/>
      <c r="R1139" s="46"/>
      <c r="S1139" s="6" t="str">
        <f>IF($B1139="","",IF(ISNA(MATCH($B1139,账户名,0)),"※这个账户不在【参数设置】的账户档案里",IF($A1139="","※没填日期，这一笔不会进任何月份的报表",IF(AND($G1139&lt;&gt;"",$H1139&lt;&gt;""),"※收入和支出不能同时填",IF(AND(N($G1139)=0,N($H1139)=0),"※收入和支出都没填",IF($E1139="","※没填收支类别，分类报表会漏掉这一笔",IF(ISNA(MATCH($E1139,类别表,0)),"※收支类别不在【参数设置】的清单里",IF($J1139="","△"&amp;$D1139&amp;" 还没填汇率，去【月度汇率】补上就自动算了",IF(YEAR($A1139)&lt;&gt;管理年度,"△不是管理年度的单据，年报里看不到",IF(AND($F1139="内部转账",$Q1139=""),"△内部转账建议在「往来单位」写上对方账户",IF($M1139&lt;0,"△这一笔之后该账户余额成负数了，核一下","")))))))))))</f>
        <v/>
      </c>
    </row>
    <row r="1140" ht="16.5" spans="1:19">
      <c r="A1140" s="45"/>
      <c r="B1140" s="46"/>
      <c r="C1140" s="12" t="str">
        <f>IF($B1140="","",IFERROR(INDEX(账户银行,MATCH($B1140,账户名,0)),""))</f>
        <v/>
      </c>
      <c r="D1140" s="12" t="str">
        <f>IF($B1140="","",IFERROR(INDEX(账户币种,MATCH($B1140,账户名,0)),""))</f>
        <v/>
      </c>
      <c r="E1140" s="47"/>
      <c r="F1140" s="12" t="str">
        <f>IF($E1140="","",IFERROR(INDEX(类别属性,MATCH($E1140,类别表,0)),""))</f>
        <v/>
      </c>
      <c r="G1140" s="48"/>
      <c r="H1140" s="48"/>
      <c r="I1140" s="49"/>
      <c r="J1140" s="24" t="str">
        <f>IF(OR($A1140="",$B1140=""),"",IF($I1140&lt;&gt;"",$I1140,IF($D1140=本位币,1,IFERROR(LOOKUP(2,1/((汇率月份&lt;=$A1140)*(INDEX(记账汇率区,0,MATCH($D1140,汇率币种头,0))&lt;&gt;"")),INDEX(记账汇率区,0,MATCH($D1140,汇率币种头,0))),""))))</f>
        <v/>
      </c>
      <c r="K1140" s="23" t="str">
        <f t="shared" si="34"/>
        <v/>
      </c>
      <c r="L1140" s="23" t="str">
        <f t="shared" si="35"/>
        <v/>
      </c>
      <c r="M1140" s="23" t="str">
        <f>IF($B1140="","",ROUND(SUMIF(账户名,$B1140,账户期初)+SUMIFS($K$6:K1140,$B$6:B1140,$B1140),2))</f>
        <v/>
      </c>
      <c r="N1140" s="23" t="str">
        <f>IF($B1140="","",IFERROR(ROUND(INDEX(账户期初本位,MATCH($B1140,账户名,0))+SUMIFS($L$6:L1140,$B$6:B1140,$B1140),2),""))</f>
        <v/>
      </c>
      <c r="O1140" s="46"/>
      <c r="P1140" s="47"/>
      <c r="Q1140" s="46"/>
      <c r="R1140" s="46"/>
      <c r="S1140" s="6" t="str">
        <f>IF($B1140="","",IF(ISNA(MATCH($B1140,账户名,0)),"※这个账户不在【参数设置】的账户档案里",IF($A1140="","※没填日期，这一笔不会进任何月份的报表",IF(AND($G1140&lt;&gt;"",$H1140&lt;&gt;""),"※收入和支出不能同时填",IF(AND(N($G1140)=0,N($H1140)=0),"※收入和支出都没填",IF($E1140="","※没填收支类别，分类报表会漏掉这一笔",IF(ISNA(MATCH($E1140,类别表,0)),"※收支类别不在【参数设置】的清单里",IF($J1140="","△"&amp;$D1140&amp;" 还没填汇率，去【月度汇率】补上就自动算了",IF(YEAR($A1140)&lt;&gt;管理年度,"△不是管理年度的单据，年报里看不到",IF(AND($F1140="内部转账",$Q1140=""),"△内部转账建议在「往来单位」写上对方账户",IF($M1140&lt;0,"△这一笔之后该账户余额成负数了，核一下","")))))))))))</f>
        <v/>
      </c>
    </row>
    <row r="1141" ht="16.5" spans="1:19">
      <c r="A1141" s="45"/>
      <c r="B1141" s="46"/>
      <c r="C1141" s="12" t="str">
        <f>IF($B1141="","",IFERROR(INDEX(账户银行,MATCH($B1141,账户名,0)),""))</f>
        <v/>
      </c>
      <c r="D1141" s="12" t="str">
        <f>IF($B1141="","",IFERROR(INDEX(账户币种,MATCH($B1141,账户名,0)),""))</f>
        <v/>
      </c>
      <c r="E1141" s="47"/>
      <c r="F1141" s="12" t="str">
        <f>IF($E1141="","",IFERROR(INDEX(类别属性,MATCH($E1141,类别表,0)),""))</f>
        <v/>
      </c>
      <c r="G1141" s="48"/>
      <c r="H1141" s="48"/>
      <c r="I1141" s="49"/>
      <c r="J1141" s="24" t="str">
        <f>IF(OR($A1141="",$B1141=""),"",IF($I1141&lt;&gt;"",$I1141,IF($D1141=本位币,1,IFERROR(LOOKUP(2,1/((汇率月份&lt;=$A1141)*(INDEX(记账汇率区,0,MATCH($D1141,汇率币种头,0))&lt;&gt;"")),INDEX(记账汇率区,0,MATCH($D1141,汇率币种头,0))),""))))</f>
        <v/>
      </c>
      <c r="K1141" s="23" t="str">
        <f t="shared" si="34"/>
        <v/>
      </c>
      <c r="L1141" s="23" t="str">
        <f t="shared" si="35"/>
        <v/>
      </c>
      <c r="M1141" s="23" t="str">
        <f>IF($B1141="","",ROUND(SUMIF(账户名,$B1141,账户期初)+SUMIFS($K$6:K1141,$B$6:B1141,$B1141),2))</f>
        <v/>
      </c>
      <c r="N1141" s="23" t="str">
        <f>IF($B1141="","",IFERROR(ROUND(INDEX(账户期初本位,MATCH($B1141,账户名,0))+SUMIFS($L$6:L1141,$B$6:B1141,$B1141),2),""))</f>
        <v/>
      </c>
      <c r="O1141" s="46"/>
      <c r="P1141" s="47"/>
      <c r="Q1141" s="46"/>
      <c r="R1141" s="46"/>
      <c r="S1141" s="6" t="str">
        <f>IF($B1141="","",IF(ISNA(MATCH($B1141,账户名,0)),"※这个账户不在【参数设置】的账户档案里",IF($A1141="","※没填日期，这一笔不会进任何月份的报表",IF(AND($G1141&lt;&gt;"",$H1141&lt;&gt;""),"※收入和支出不能同时填",IF(AND(N($G1141)=0,N($H1141)=0),"※收入和支出都没填",IF($E1141="","※没填收支类别，分类报表会漏掉这一笔",IF(ISNA(MATCH($E1141,类别表,0)),"※收支类别不在【参数设置】的清单里",IF($J1141="","△"&amp;$D1141&amp;" 还没填汇率，去【月度汇率】补上就自动算了",IF(YEAR($A1141)&lt;&gt;管理年度,"△不是管理年度的单据，年报里看不到",IF(AND($F1141="内部转账",$Q1141=""),"△内部转账建议在「往来单位」写上对方账户",IF($M1141&lt;0,"△这一笔之后该账户余额成负数了，核一下","")))))))))))</f>
        <v/>
      </c>
    </row>
    <row r="1142" ht="16.5" spans="1:19">
      <c r="A1142" s="45"/>
      <c r="B1142" s="46"/>
      <c r="C1142" s="12" t="str">
        <f>IF($B1142="","",IFERROR(INDEX(账户银行,MATCH($B1142,账户名,0)),""))</f>
        <v/>
      </c>
      <c r="D1142" s="12" t="str">
        <f>IF($B1142="","",IFERROR(INDEX(账户币种,MATCH($B1142,账户名,0)),""))</f>
        <v/>
      </c>
      <c r="E1142" s="47"/>
      <c r="F1142" s="12" t="str">
        <f>IF($E1142="","",IFERROR(INDEX(类别属性,MATCH($E1142,类别表,0)),""))</f>
        <v/>
      </c>
      <c r="G1142" s="48"/>
      <c r="H1142" s="48"/>
      <c r="I1142" s="49"/>
      <c r="J1142" s="24" t="str">
        <f>IF(OR($A1142="",$B1142=""),"",IF($I1142&lt;&gt;"",$I1142,IF($D1142=本位币,1,IFERROR(LOOKUP(2,1/((汇率月份&lt;=$A1142)*(INDEX(记账汇率区,0,MATCH($D1142,汇率币种头,0))&lt;&gt;"")),INDEX(记账汇率区,0,MATCH($D1142,汇率币种头,0))),""))))</f>
        <v/>
      </c>
      <c r="K1142" s="23" t="str">
        <f t="shared" si="34"/>
        <v/>
      </c>
      <c r="L1142" s="23" t="str">
        <f t="shared" si="35"/>
        <v/>
      </c>
      <c r="M1142" s="23" t="str">
        <f>IF($B1142="","",ROUND(SUMIF(账户名,$B1142,账户期初)+SUMIFS($K$6:K1142,$B$6:B1142,$B1142),2))</f>
        <v/>
      </c>
      <c r="N1142" s="23" t="str">
        <f>IF($B1142="","",IFERROR(ROUND(INDEX(账户期初本位,MATCH($B1142,账户名,0))+SUMIFS($L$6:L1142,$B$6:B1142,$B1142),2),""))</f>
        <v/>
      </c>
      <c r="O1142" s="46"/>
      <c r="P1142" s="47"/>
      <c r="Q1142" s="46"/>
      <c r="R1142" s="46"/>
      <c r="S1142" s="6" t="str">
        <f>IF($B1142="","",IF(ISNA(MATCH($B1142,账户名,0)),"※这个账户不在【参数设置】的账户档案里",IF($A1142="","※没填日期，这一笔不会进任何月份的报表",IF(AND($G1142&lt;&gt;"",$H1142&lt;&gt;""),"※收入和支出不能同时填",IF(AND(N($G1142)=0,N($H1142)=0),"※收入和支出都没填",IF($E1142="","※没填收支类别，分类报表会漏掉这一笔",IF(ISNA(MATCH($E1142,类别表,0)),"※收支类别不在【参数设置】的清单里",IF($J1142="","△"&amp;$D1142&amp;" 还没填汇率，去【月度汇率】补上就自动算了",IF(YEAR($A1142)&lt;&gt;管理年度,"△不是管理年度的单据，年报里看不到",IF(AND($F1142="内部转账",$Q1142=""),"△内部转账建议在「往来单位」写上对方账户",IF($M1142&lt;0,"△这一笔之后该账户余额成负数了，核一下","")))))))))))</f>
        <v/>
      </c>
    </row>
    <row r="1143" ht="16.5" spans="1:19">
      <c r="A1143" s="45"/>
      <c r="B1143" s="46"/>
      <c r="C1143" s="12" t="str">
        <f>IF($B1143="","",IFERROR(INDEX(账户银行,MATCH($B1143,账户名,0)),""))</f>
        <v/>
      </c>
      <c r="D1143" s="12" t="str">
        <f>IF($B1143="","",IFERROR(INDEX(账户币种,MATCH($B1143,账户名,0)),""))</f>
        <v/>
      </c>
      <c r="E1143" s="47"/>
      <c r="F1143" s="12" t="str">
        <f>IF($E1143="","",IFERROR(INDEX(类别属性,MATCH($E1143,类别表,0)),""))</f>
        <v/>
      </c>
      <c r="G1143" s="48"/>
      <c r="H1143" s="48"/>
      <c r="I1143" s="49"/>
      <c r="J1143" s="24" t="str">
        <f>IF(OR($A1143="",$B1143=""),"",IF($I1143&lt;&gt;"",$I1143,IF($D1143=本位币,1,IFERROR(LOOKUP(2,1/((汇率月份&lt;=$A1143)*(INDEX(记账汇率区,0,MATCH($D1143,汇率币种头,0))&lt;&gt;"")),INDEX(记账汇率区,0,MATCH($D1143,汇率币种头,0))),""))))</f>
        <v/>
      </c>
      <c r="K1143" s="23" t="str">
        <f t="shared" si="34"/>
        <v/>
      </c>
      <c r="L1143" s="23" t="str">
        <f t="shared" si="35"/>
        <v/>
      </c>
      <c r="M1143" s="23" t="str">
        <f>IF($B1143="","",ROUND(SUMIF(账户名,$B1143,账户期初)+SUMIFS($K$6:K1143,$B$6:B1143,$B1143),2))</f>
        <v/>
      </c>
      <c r="N1143" s="23" t="str">
        <f>IF($B1143="","",IFERROR(ROUND(INDEX(账户期初本位,MATCH($B1143,账户名,0))+SUMIFS($L$6:L1143,$B$6:B1143,$B1143),2),""))</f>
        <v/>
      </c>
      <c r="O1143" s="46"/>
      <c r="P1143" s="47"/>
      <c r="Q1143" s="46"/>
      <c r="R1143" s="46"/>
      <c r="S1143" s="6" t="str">
        <f>IF($B1143="","",IF(ISNA(MATCH($B1143,账户名,0)),"※这个账户不在【参数设置】的账户档案里",IF($A1143="","※没填日期，这一笔不会进任何月份的报表",IF(AND($G1143&lt;&gt;"",$H1143&lt;&gt;""),"※收入和支出不能同时填",IF(AND(N($G1143)=0,N($H1143)=0),"※收入和支出都没填",IF($E1143="","※没填收支类别，分类报表会漏掉这一笔",IF(ISNA(MATCH($E1143,类别表,0)),"※收支类别不在【参数设置】的清单里",IF($J1143="","△"&amp;$D1143&amp;" 还没填汇率，去【月度汇率】补上就自动算了",IF(YEAR($A1143)&lt;&gt;管理年度,"△不是管理年度的单据，年报里看不到",IF(AND($F1143="内部转账",$Q1143=""),"△内部转账建议在「往来单位」写上对方账户",IF($M1143&lt;0,"△这一笔之后该账户余额成负数了，核一下","")))))))))))</f>
        <v/>
      </c>
    </row>
    <row r="1144" ht="16.5" spans="1:19">
      <c r="A1144" s="45"/>
      <c r="B1144" s="46"/>
      <c r="C1144" s="12" t="str">
        <f>IF($B1144="","",IFERROR(INDEX(账户银行,MATCH($B1144,账户名,0)),""))</f>
        <v/>
      </c>
      <c r="D1144" s="12" t="str">
        <f>IF($B1144="","",IFERROR(INDEX(账户币种,MATCH($B1144,账户名,0)),""))</f>
        <v/>
      </c>
      <c r="E1144" s="47"/>
      <c r="F1144" s="12" t="str">
        <f>IF($E1144="","",IFERROR(INDEX(类别属性,MATCH($E1144,类别表,0)),""))</f>
        <v/>
      </c>
      <c r="G1144" s="48"/>
      <c r="H1144" s="48"/>
      <c r="I1144" s="49"/>
      <c r="J1144" s="24" t="str">
        <f>IF(OR($A1144="",$B1144=""),"",IF($I1144&lt;&gt;"",$I1144,IF($D1144=本位币,1,IFERROR(LOOKUP(2,1/((汇率月份&lt;=$A1144)*(INDEX(记账汇率区,0,MATCH($D1144,汇率币种头,0))&lt;&gt;"")),INDEX(记账汇率区,0,MATCH($D1144,汇率币种头,0))),""))))</f>
        <v/>
      </c>
      <c r="K1144" s="23" t="str">
        <f t="shared" si="34"/>
        <v/>
      </c>
      <c r="L1144" s="23" t="str">
        <f t="shared" si="35"/>
        <v/>
      </c>
      <c r="M1144" s="23" t="str">
        <f>IF($B1144="","",ROUND(SUMIF(账户名,$B1144,账户期初)+SUMIFS($K$6:K1144,$B$6:B1144,$B1144),2))</f>
        <v/>
      </c>
      <c r="N1144" s="23" t="str">
        <f>IF($B1144="","",IFERROR(ROUND(INDEX(账户期初本位,MATCH($B1144,账户名,0))+SUMIFS($L$6:L1144,$B$6:B1144,$B1144),2),""))</f>
        <v/>
      </c>
      <c r="O1144" s="46"/>
      <c r="P1144" s="47"/>
      <c r="Q1144" s="46"/>
      <c r="R1144" s="46"/>
      <c r="S1144" s="6" t="str">
        <f>IF($B1144="","",IF(ISNA(MATCH($B1144,账户名,0)),"※这个账户不在【参数设置】的账户档案里",IF($A1144="","※没填日期，这一笔不会进任何月份的报表",IF(AND($G1144&lt;&gt;"",$H1144&lt;&gt;""),"※收入和支出不能同时填",IF(AND(N($G1144)=0,N($H1144)=0),"※收入和支出都没填",IF($E1144="","※没填收支类别，分类报表会漏掉这一笔",IF(ISNA(MATCH($E1144,类别表,0)),"※收支类别不在【参数设置】的清单里",IF($J1144="","△"&amp;$D1144&amp;" 还没填汇率，去【月度汇率】补上就自动算了",IF(YEAR($A1144)&lt;&gt;管理年度,"△不是管理年度的单据，年报里看不到",IF(AND($F1144="内部转账",$Q1144=""),"△内部转账建议在「往来单位」写上对方账户",IF($M1144&lt;0,"△这一笔之后该账户余额成负数了，核一下","")))))))))))</f>
        <v/>
      </c>
    </row>
    <row r="1145" ht="16.5" spans="1:19">
      <c r="A1145" s="45"/>
      <c r="B1145" s="46"/>
      <c r="C1145" s="12" t="str">
        <f>IF($B1145="","",IFERROR(INDEX(账户银行,MATCH($B1145,账户名,0)),""))</f>
        <v/>
      </c>
      <c r="D1145" s="12" t="str">
        <f>IF($B1145="","",IFERROR(INDEX(账户币种,MATCH($B1145,账户名,0)),""))</f>
        <v/>
      </c>
      <c r="E1145" s="47"/>
      <c r="F1145" s="12" t="str">
        <f>IF($E1145="","",IFERROR(INDEX(类别属性,MATCH($E1145,类别表,0)),""))</f>
        <v/>
      </c>
      <c r="G1145" s="48"/>
      <c r="H1145" s="48"/>
      <c r="I1145" s="49"/>
      <c r="J1145" s="24" t="str">
        <f>IF(OR($A1145="",$B1145=""),"",IF($I1145&lt;&gt;"",$I1145,IF($D1145=本位币,1,IFERROR(LOOKUP(2,1/((汇率月份&lt;=$A1145)*(INDEX(记账汇率区,0,MATCH($D1145,汇率币种头,0))&lt;&gt;"")),INDEX(记账汇率区,0,MATCH($D1145,汇率币种头,0))),""))))</f>
        <v/>
      </c>
      <c r="K1145" s="23" t="str">
        <f t="shared" si="34"/>
        <v/>
      </c>
      <c r="L1145" s="23" t="str">
        <f t="shared" si="35"/>
        <v/>
      </c>
      <c r="M1145" s="23" t="str">
        <f>IF($B1145="","",ROUND(SUMIF(账户名,$B1145,账户期初)+SUMIFS($K$6:K1145,$B$6:B1145,$B1145),2))</f>
        <v/>
      </c>
      <c r="N1145" s="23" t="str">
        <f>IF($B1145="","",IFERROR(ROUND(INDEX(账户期初本位,MATCH($B1145,账户名,0))+SUMIFS($L$6:L1145,$B$6:B1145,$B1145),2),""))</f>
        <v/>
      </c>
      <c r="O1145" s="46"/>
      <c r="P1145" s="47"/>
      <c r="Q1145" s="46"/>
      <c r="R1145" s="46"/>
      <c r="S1145" s="6" t="str">
        <f>IF($B1145="","",IF(ISNA(MATCH($B1145,账户名,0)),"※这个账户不在【参数设置】的账户档案里",IF($A1145="","※没填日期，这一笔不会进任何月份的报表",IF(AND($G1145&lt;&gt;"",$H1145&lt;&gt;""),"※收入和支出不能同时填",IF(AND(N($G1145)=0,N($H1145)=0),"※收入和支出都没填",IF($E1145="","※没填收支类别，分类报表会漏掉这一笔",IF(ISNA(MATCH($E1145,类别表,0)),"※收支类别不在【参数设置】的清单里",IF($J1145="","△"&amp;$D1145&amp;" 还没填汇率，去【月度汇率】补上就自动算了",IF(YEAR($A1145)&lt;&gt;管理年度,"△不是管理年度的单据，年报里看不到",IF(AND($F1145="内部转账",$Q1145=""),"△内部转账建议在「往来单位」写上对方账户",IF($M1145&lt;0,"△这一笔之后该账户余额成负数了，核一下","")))))))))))</f>
        <v/>
      </c>
    </row>
    <row r="1146" ht="16.5" spans="1:19">
      <c r="A1146" s="45"/>
      <c r="B1146" s="46"/>
      <c r="C1146" s="12" t="str">
        <f>IF($B1146="","",IFERROR(INDEX(账户银行,MATCH($B1146,账户名,0)),""))</f>
        <v/>
      </c>
      <c r="D1146" s="12" t="str">
        <f>IF($B1146="","",IFERROR(INDEX(账户币种,MATCH($B1146,账户名,0)),""))</f>
        <v/>
      </c>
      <c r="E1146" s="47"/>
      <c r="F1146" s="12" t="str">
        <f>IF($E1146="","",IFERROR(INDEX(类别属性,MATCH($E1146,类别表,0)),""))</f>
        <v/>
      </c>
      <c r="G1146" s="48"/>
      <c r="H1146" s="48"/>
      <c r="I1146" s="49"/>
      <c r="J1146" s="24" t="str">
        <f>IF(OR($A1146="",$B1146=""),"",IF($I1146&lt;&gt;"",$I1146,IF($D1146=本位币,1,IFERROR(LOOKUP(2,1/((汇率月份&lt;=$A1146)*(INDEX(记账汇率区,0,MATCH($D1146,汇率币种头,0))&lt;&gt;"")),INDEX(记账汇率区,0,MATCH($D1146,汇率币种头,0))),""))))</f>
        <v/>
      </c>
      <c r="K1146" s="23" t="str">
        <f t="shared" si="34"/>
        <v/>
      </c>
      <c r="L1146" s="23" t="str">
        <f t="shared" si="35"/>
        <v/>
      </c>
      <c r="M1146" s="23" t="str">
        <f>IF($B1146="","",ROUND(SUMIF(账户名,$B1146,账户期初)+SUMIFS($K$6:K1146,$B$6:B1146,$B1146),2))</f>
        <v/>
      </c>
      <c r="N1146" s="23" t="str">
        <f>IF($B1146="","",IFERROR(ROUND(INDEX(账户期初本位,MATCH($B1146,账户名,0))+SUMIFS($L$6:L1146,$B$6:B1146,$B1146),2),""))</f>
        <v/>
      </c>
      <c r="O1146" s="46"/>
      <c r="P1146" s="47"/>
      <c r="Q1146" s="46"/>
      <c r="R1146" s="46"/>
      <c r="S1146" s="6" t="str">
        <f>IF($B1146="","",IF(ISNA(MATCH($B1146,账户名,0)),"※这个账户不在【参数设置】的账户档案里",IF($A1146="","※没填日期，这一笔不会进任何月份的报表",IF(AND($G1146&lt;&gt;"",$H1146&lt;&gt;""),"※收入和支出不能同时填",IF(AND(N($G1146)=0,N($H1146)=0),"※收入和支出都没填",IF($E1146="","※没填收支类别，分类报表会漏掉这一笔",IF(ISNA(MATCH($E1146,类别表,0)),"※收支类别不在【参数设置】的清单里",IF($J1146="","△"&amp;$D1146&amp;" 还没填汇率，去【月度汇率】补上就自动算了",IF(YEAR($A1146)&lt;&gt;管理年度,"△不是管理年度的单据，年报里看不到",IF(AND($F1146="内部转账",$Q1146=""),"△内部转账建议在「往来单位」写上对方账户",IF($M1146&lt;0,"△这一笔之后该账户余额成负数了，核一下","")))))))))))</f>
        <v/>
      </c>
    </row>
    <row r="1147" ht="16.5" spans="1:19">
      <c r="A1147" s="45"/>
      <c r="B1147" s="46"/>
      <c r="C1147" s="12" t="str">
        <f>IF($B1147="","",IFERROR(INDEX(账户银行,MATCH($B1147,账户名,0)),""))</f>
        <v/>
      </c>
      <c r="D1147" s="12" t="str">
        <f>IF($B1147="","",IFERROR(INDEX(账户币种,MATCH($B1147,账户名,0)),""))</f>
        <v/>
      </c>
      <c r="E1147" s="47"/>
      <c r="F1147" s="12" t="str">
        <f>IF($E1147="","",IFERROR(INDEX(类别属性,MATCH($E1147,类别表,0)),""))</f>
        <v/>
      </c>
      <c r="G1147" s="48"/>
      <c r="H1147" s="48"/>
      <c r="I1147" s="49"/>
      <c r="J1147" s="24" t="str">
        <f>IF(OR($A1147="",$B1147=""),"",IF($I1147&lt;&gt;"",$I1147,IF($D1147=本位币,1,IFERROR(LOOKUP(2,1/((汇率月份&lt;=$A1147)*(INDEX(记账汇率区,0,MATCH($D1147,汇率币种头,0))&lt;&gt;"")),INDEX(记账汇率区,0,MATCH($D1147,汇率币种头,0))),""))))</f>
        <v/>
      </c>
      <c r="K1147" s="23" t="str">
        <f t="shared" si="34"/>
        <v/>
      </c>
      <c r="L1147" s="23" t="str">
        <f t="shared" si="35"/>
        <v/>
      </c>
      <c r="M1147" s="23" t="str">
        <f>IF($B1147="","",ROUND(SUMIF(账户名,$B1147,账户期初)+SUMIFS($K$6:K1147,$B$6:B1147,$B1147),2))</f>
        <v/>
      </c>
      <c r="N1147" s="23" t="str">
        <f>IF($B1147="","",IFERROR(ROUND(INDEX(账户期初本位,MATCH($B1147,账户名,0))+SUMIFS($L$6:L1147,$B$6:B1147,$B1147),2),""))</f>
        <v/>
      </c>
      <c r="O1147" s="46"/>
      <c r="P1147" s="47"/>
      <c r="Q1147" s="46"/>
      <c r="R1147" s="46"/>
      <c r="S1147" s="6" t="str">
        <f>IF($B1147="","",IF(ISNA(MATCH($B1147,账户名,0)),"※这个账户不在【参数设置】的账户档案里",IF($A1147="","※没填日期，这一笔不会进任何月份的报表",IF(AND($G1147&lt;&gt;"",$H1147&lt;&gt;""),"※收入和支出不能同时填",IF(AND(N($G1147)=0,N($H1147)=0),"※收入和支出都没填",IF($E1147="","※没填收支类别，分类报表会漏掉这一笔",IF(ISNA(MATCH($E1147,类别表,0)),"※收支类别不在【参数设置】的清单里",IF($J1147="","△"&amp;$D1147&amp;" 还没填汇率，去【月度汇率】补上就自动算了",IF(YEAR($A1147)&lt;&gt;管理年度,"△不是管理年度的单据，年报里看不到",IF(AND($F1147="内部转账",$Q1147=""),"△内部转账建议在「往来单位」写上对方账户",IF($M1147&lt;0,"△这一笔之后该账户余额成负数了，核一下","")))))))))))</f>
        <v/>
      </c>
    </row>
    <row r="1148" ht="16.5" spans="1:19">
      <c r="A1148" s="45"/>
      <c r="B1148" s="46"/>
      <c r="C1148" s="12" t="str">
        <f>IF($B1148="","",IFERROR(INDEX(账户银行,MATCH($B1148,账户名,0)),""))</f>
        <v/>
      </c>
      <c r="D1148" s="12" t="str">
        <f>IF($B1148="","",IFERROR(INDEX(账户币种,MATCH($B1148,账户名,0)),""))</f>
        <v/>
      </c>
      <c r="E1148" s="47"/>
      <c r="F1148" s="12" t="str">
        <f>IF($E1148="","",IFERROR(INDEX(类别属性,MATCH($E1148,类别表,0)),""))</f>
        <v/>
      </c>
      <c r="G1148" s="48"/>
      <c r="H1148" s="48"/>
      <c r="I1148" s="49"/>
      <c r="J1148" s="24" t="str">
        <f>IF(OR($A1148="",$B1148=""),"",IF($I1148&lt;&gt;"",$I1148,IF($D1148=本位币,1,IFERROR(LOOKUP(2,1/((汇率月份&lt;=$A1148)*(INDEX(记账汇率区,0,MATCH($D1148,汇率币种头,0))&lt;&gt;"")),INDEX(记账汇率区,0,MATCH($D1148,汇率币种头,0))),""))))</f>
        <v/>
      </c>
      <c r="K1148" s="23" t="str">
        <f t="shared" si="34"/>
        <v/>
      </c>
      <c r="L1148" s="23" t="str">
        <f t="shared" si="35"/>
        <v/>
      </c>
      <c r="M1148" s="23" t="str">
        <f>IF($B1148="","",ROUND(SUMIF(账户名,$B1148,账户期初)+SUMIFS($K$6:K1148,$B$6:B1148,$B1148),2))</f>
        <v/>
      </c>
      <c r="N1148" s="23" t="str">
        <f>IF($B1148="","",IFERROR(ROUND(INDEX(账户期初本位,MATCH($B1148,账户名,0))+SUMIFS($L$6:L1148,$B$6:B1148,$B1148),2),""))</f>
        <v/>
      </c>
      <c r="O1148" s="46"/>
      <c r="P1148" s="47"/>
      <c r="Q1148" s="46"/>
      <c r="R1148" s="46"/>
      <c r="S1148" s="6" t="str">
        <f>IF($B1148="","",IF(ISNA(MATCH($B1148,账户名,0)),"※这个账户不在【参数设置】的账户档案里",IF($A1148="","※没填日期，这一笔不会进任何月份的报表",IF(AND($G1148&lt;&gt;"",$H1148&lt;&gt;""),"※收入和支出不能同时填",IF(AND(N($G1148)=0,N($H1148)=0),"※收入和支出都没填",IF($E1148="","※没填收支类别，分类报表会漏掉这一笔",IF(ISNA(MATCH($E1148,类别表,0)),"※收支类别不在【参数设置】的清单里",IF($J1148="","△"&amp;$D1148&amp;" 还没填汇率，去【月度汇率】补上就自动算了",IF(YEAR($A1148)&lt;&gt;管理年度,"△不是管理年度的单据，年报里看不到",IF(AND($F1148="内部转账",$Q1148=""),"△内部转账建议在「往来单位」写上对方账户",IF($M1148&lt;0,"△这一笔之后该账户余额成负数了，核一下","")))))))))))</f>
        <v/>
      </c>
    </row>
    <row r="1149" ht="16.5" spans="1:19">
      <c r="A1149" s="45"/>
      <c r="B1149" s="46"/>
      <c r="C1149" s="12" t="str">
        <f>IF($B1149="","",IFERROR(INDEX(账户银行,MATCH($B1149,账户名,0)),""))</f>
        <v/>
      </c>
      <c r="D1149" s="12" t="str">
        <f>IF($B1149="","",IFERROR(INDEX(账户币种,MATCH($B1149,账户名,0)),""))</f>
        <v/>
      </c>
      <c r="E1149" s="47"/>
      <c r="F1149" s="12" t="str">
        <f>IF($E1149="","",IFERROR(INDEX(类别属性,MATCH($E1149,类别表,0)),""))</f>
        <v/>
      </c>
      <c r="G1149" s="48"/>
      <c r="H1149" s="48"/>
      <c r="I1149" s="49"/>
      <c r="J1149" s="24" t="str">
        <f>IF(OR($A1149="",$B1149=""),"",IF($I1149&lt;&gt;"",$I1149,IF($D1149=本位币,1,IFERROR(LOOKUP(2,1/((汇率月份&lt;=$A1149)*(INDEX(记账汇率区,0,MATCH($D1149,汇率币种头,0))&lt;&gt;"")),INDEX(记账汇率区,0,MATCH($D1149,汇率币种头,0))),""))))</f>
        <v/>
      </c>
      <c r="K1149" s="23" t="str">
        <f t="shared" si="34"/>
        <v/>
      </c>
      <c r="L1149" s="23" t="str">
        <f t="shared" si="35"/>
        <v/>
      </c>
      <c r="M1149" s="23" t="str">
        <f>IF($B1149="","",ROUND(SUMIF(账户名,$B1149,账户期初)+SUMIFS($K$6:K1149,$B$6:B1149,$B1149),2))</f>
        <v/>
      </c>
      <c r="N1149" s="23" t="str">
        <f>IF($B1149="","",IFERROR(ROUND(INDEX(账户期初本位,MATCH($B1149,账户名,0))+SUMIFS($L$6:L1149,$B$6:B1149,$B1149),2),""))</f>
        <v/>
      </c>
      <c r="O1149" s="46"/>
      <c r="P1149" s="47"/>
      <c r="Q1149" s="46"/>
      <c r="R1149" s="46"/>
      <c r="S1149" s="6" t="str">
        <f>IF($B1149="","",IF(ISNA(MATCH($B1149,账户名,0)),"※这个账户不在【参数设置】的账户档案里",IF($A1149="","※没填日期，这一笔不会进任何月份的报表",IF(AND($G1149&lt;&gt;"",$H1149&lt;&gt;""),"※收入和支出不能同时填",IF(AND(N($G1149)=0,N($H1149)=0),"※收入和支出都没填",IF($E1149="","※没填收支类别，分类报表会漏掉这一笔",IF(ISNA(MATCH($E1149,类别表,0)),"※收支类别不在【参数设置】的清单里",IF($J1149="","△"&amp;$D1149&amp;" 还没填汇率，去【月度汇率】补上就自动算了",IF(YEAR($A1149)&lt;&gt;管理年度,"△不是管理年度的单据，年报里看不到",IF(AND($F1149="内部转账",$Q1149=""),"△内部转账建议在「往来单位」写上对方账户",IF($M1149&lt;0,"△这一笔之后该账户余额成负数了，核一下","")))))))))))</f>
        <v/>
      </c>
    </row>
    <row r="1150" ht="16.5" spans="1:19">
      <c r="A1150" s="45"/>
      <c r="B1150" s="46"/>
      <c r="C1150" s="12" t="str">
        <f>IF($B1150="","",IFERROR(INDEX(账户银行,MATCH($B1150,账户名,0)),""))</f>
        <v/>
      </c>
      <c r="D1150" s="12" t="str">
        <f>IF($B1150="","",IFERROR(INDEX(账户币种,MATCH($B1150,账户名,0)),""))</f>
        <v/>
      </c>
      <c r="E1150" s="47"/>
      <c r="F1150" s="12" t="str">
        <f>IF($E1150="","",IFERROR(INDEX(类别属性,MATCH($E1150,类别表,0)),""))</f>
        <v/>
      </c>
      <c r="G1150" s="48"/>
      <c r="H1150" s="48"/>
      <c r="I1150" s="49"/>
      <c r="J1150" s="24" t="str">
        <f>IF(OR($A1150="",$B1150=""),"",IF($I1150&lt;&gt;"",$I1150,IF($D1150=本位币,1,IFERROR(LOOKUP(2,1/((汇率月份&lt;=$A1150)*(INDEX(记账汇率区,0,MATCH($D1150,汇率币种头,0))&lt;&gt;"")),INDEX(记账汇率区,0,MATCH($D1150,汇率币种头,0))),""))))</f>
        <v/>
      </c>
      <c r="K1150" s="23" t="str">
        <f t="shared" si="34"/>
        <v/>
      </c>
      <c r="L1150" s="23" t="str">
        <f t="shared" si="35"/>
        <v/>
      </c>
      <c r="M1150" s="23" t="str">
        <f>IF($B1150="","",ROUND(SUMIF(账户名,$B1150,账户期初)+SUMIFS($K$6:K1150,$B$6:B1150,$B1150),2))</f>
        <v/>
      </c>
      <c r="N1150" s="23" t="str">
        <f>IF($B1150="","",IFERROR(ROUND(INDEX(账户期初本位,MATCH($B1150,账户名,0))+SUMIFS($L$6:L1150,$B$6:B1150,$B1150),2),""))</f>
        <v/>
      </c>
      <c r="O1150" s="46"/>
      <c r="P1150" s="47"/>
      <c r="Q1150" s="46"/>
      <c r="R1150" s="46"/>
      <c r="S1150" s="6" t="str">
        <f>IF($B1150="","",IF(ISNA(MATCH($B1150,账户名,0)),"※这个账户不在【参数设置】的账户档案里",IF($A1150="","※没填日期，这一笔不会进任何月份的报表",IF(AND($G1150&lt;&gt;"",$H1150&lt;&gt;""),"※收入和支出不能同时填",IF(AND(N($G1150)=0,N($H1150)=0),"※收入和支出都没填",IF($E1150="","※没填收支类别，分类报表会漏掉这一笔",IF(ISNA(MATCH($E1150,类别表,0)),"※收支类别不在【参数设置】的清单里",IF($J1150="","△"&amp;$D1150&amp;" 还没填汇率，去【月度汇率】补上就自动算了",IF(YEAR($A1150)&lt;&gt;管理年度,"△不是管理年度的单据，年报里看不到",IF(AND($F1150="内部转账",$Q1150=""),"△内部转账建议在「往来单位」写上对方账户",IF($M1150&lt;0,"△这一笔之后该账户余额成负数了，核一下","")))))))))))</f>
        <v/>
      </c>
    </row>
    <row r="1151" ht="16.5" spans="1:19">
      <c r="A1151" s="45"/>
      <c r="B1151" s="46"/>
      <c r="C1151" s="12" t="str">
        <f>IF($B1151="","",IFERROR(INDEX(账户银行,MATCH($B1151,账户名,0)),""))</f>
        <v/>
      </c>
      <c r="D1151" s="12" t="str">
        <f>IF($B1151="","",IFERROR(INDEX(账户币种,MATCH($B1151,账户名,0)),""))</f>
        <v/>
      </c>
      <c r="E1151" s="47"/>
      <c r="F1151" s="12" t="str">
        <f>IF($E1151="","",IFERROR(INDEX(类别属性,MATCH($E1151,类别表,0)),""))</f>
        <v/>
      </c>
      <c r="G1151" s="48"/>
      <c r="H1151" s="48"/>
      <c r="I1151" s="49"/>
      <c r="J1151" s="24" t="str">
        <f>IF(OR($A1151="",$B1151=""),"",IF($I1151&lt;&gt;"",$I1151,IF($D1151=本位币,1,IFERROR(LOOKUP(2,1/((汇率月份&lt;=$A1151)*(INDEX(记账汇率区,0,MATCH($D1151,汇率币种头,0))&lt;&gt;"")),INDEX(记账汇率区,0,MATCH($D1151,汇率币种头,0))),""))))</f>
        <v/>
      </c>
      <c r="K1151" s="23" t="str">
        <f t="shared" si="34"/>
        <v/>
      </c>
      <c r="L1151" s="23" t="str">
        <f t="shared" si="35"/>
        <v/>
      </c>
      <c r="M1151" s="23" t="str">
        <f>IF($B1151="","",ROUND(SUMIF(账户名,$B1151,账户期初)+SUMIFS($K$6:K1151,$B$6:B1151,$B1151),2))</f>
        <v/>
      </c>
      <c r="N1151" s="23" t="str">
        <f>IF($B1151="","",IFERROR(ROUND(INDEX(账户期初本位,MATCH($B1151,账户名,0))+SUMIFS($L$6:L1151,$B$6:B1151,$B1151),2),""))</f>
        <v/>
      </c>
      <c r="O1151" s="46"/>
      <c r="P1151" s="47"/>
      <c r="Q1151" s="46"/>
      <c r="R1151" s="46"/>
      <c r="S1151" s="6" t="str">
        <f>IF($B1151="","",IF(ISNA(MATCH($B1151,账户名,0)),"※这个账户不在【参数设置】的账户档案里",IF($A1151="","※没填日期，这一笔不会进任何月份的报表",IF(AND($G1151&lt;&gt;"",$H1151&lt;&gt;""),"※收入和支出不能同时填",IF(AND(N($G1151)=0,N($H1151)=0),"※收入和支出都没填",IF($E1151="","※没填收支类别，分类报表会漏掉这一笔",IF(ISNA(MATCH($E1151,类别表,0)),"※收支类别不在【参数设置】的清单里",IF($J1151="","△"&amp;$D1151&amp;" 还没填汇率，去【月度汇率】补上就自动算了",IF(YEAR($A1151)&lt;&gt;管理年度,"△不是管理年度的单据，年报里看不到",IF(AND($F1151="内部转账",$Q1151=""),"△内部转账建议在「往来单位」写上对方账户",IF($M1151&lt;0,"△这一笔之后该账户余额成负数了，核一下","")))))))))))</f>
        <v/>
      </c>
    </row>
    <row r="1152" ht="16.5" spans="1:19">
      <c r="A1152" s="45"/>
      <c r="B1152" s="46"/>
      <c r="C1152" s="12" t="str">
        <f>IF($B1152="","",IFERROR(INDEX(账户银行,MATCH($B1152,账户名,0)),""))</f>
        <v/>
      </c>
      <c r="D1152" s="12" t="str">
        <f>IF($B1152="","",IFERROR(INDEX(账户币种,MATCH($B1152,账户名,0)),""))</f>
        <v/>
      </c>
      <c r="E1152" s="47"/>
      <c r="F1152" s="12" t="str">
        <f>IF($E1152="","",IFERROR(INDEX(类别属性,MATCH($E1152,类别表,0)),""))</f>
        <v/>
      </c>
      <c r="G1152" s="48"/>
      <c r="H1152" s="48"/>
      <c r="I1152" s="49"/>
      <c r="J1152" s="24" t="str">
        <f>IF(OR($A1152="",$B1152=""),"",IF($I1152&lt;&gt;"",$I1152,IF($D1152=本位币,1,IFERROR(LOOKUP(2,1/((汇率月份&lt;=$A1152)*(INDEX(记账汇率区,0,MATCH($D1152,汇率币种头,0))&lt;&gt;"")),INDEX(记账汇率区,0,MATCH($D1152,汇率币种头,0))),""))))</f>
        <v/>
      </c>
      <c r="K1152" s="23" t="str">
        <f t="shared" si="34"/>
        <v/>
      </c>
      <c r="L1152" s="23" t="str">
        <f t="shared" si="35"/>
        <v/>
      </c>
      <c r="M1152" s="23" t="str">
        <f>IF($B1152="","",ROUND(SUMIF(账户名,$B1152,账户期初)+SUMIFS($K$6:K1152,$B$6:B1152,$B1152),2))</f>
        <v/>
      </c>
      <c r="N1152" s="23" t="str">
        <f>IF($B1152="","",IFERROR(ROUND(INDEX(账户期初本位,MATCH($B1152,账户名,0))+SUMIFS($L$6:L1152,$B$6:B1152,$B1152),2),""))</f>
        <v/>
      </c>
      <c r="O1152" s="46"/>
      <c r="P1152" s="47"/>
      <c r="Q1152" s="46"/>
      <c r="R1152" s="46"/>
      <c r="S1152" s="6" t="str">
        <f>IF($B1152="","",IF(ISNA(MATCH($B1152,账户名,0)),"※这个账户不在【参数设置】的账户档案里",IF($A1152="","※没填日期，这一笔不会进任何月份的报表",IF(AND($G1152&lt;&gt;"",$H1152&lt;&gt;""),"※收入和支出不能同时填",IF(AND(N($G1152)=0,N($H1152)=0),"※收入和支出都没填",IF($E1152="","※没填收支类别，分类报表会漏掉这一笔",IF(ISNA(MATCH($E1152,类别表,0)),"※收支类别不在【参数设置】的清单里",IF($J1152="","△"&amp;$D1152&amp;" 还没填汇率，去【月度汇率】补上就自动算了",IF(YEAR($A1152)&lt;&gt;管理年度,"△不是管理年度的单据，年报里看不到",IF(AND($F1152="内部转账",$Q1152=""),"△内部转账建议在「往来单位」写上对方账户",IF($M1152&lt;0,"△这一笔之后该账户余额成负数了，核一下","")))))))))))</f>
        <v/>
      </c>
    </row>
    <row r="1153" ht="16.5" spans="1:19">
      <c r="A1153" s="45"/>
      <c r="B1153" s="46"/>
      <c r="C1153" s="12" t="str">
        <f>IF($B1153="","",IFERROR(INDEX(账户银行,MATCH($B1153,账户名,0)),""))</f>
        <v/>
      </c>
      <c r="D1153" s="12" t="str">
        <f>IF($B1153="","",IFERROR(INDEX(账户币种,MATCH($B1153,账户名,0)),""))</f>
        <v/>
      </c>
      <c r="E1153" s="47"/>
      <c r="F1153" s="12" t="str">
        <f>IF($E1153="","",IFERROR(INDEX(类别属性,MATCH($E1153,类别表,0)),""))</f>
        <v/>
      </c>
      <c r="G1153" s="48"/>
      <c r="H1153" s="48"/>
      <c r="I1153" s="49"/>
      <c r="J1153" s="24" t="str">
        <f>IF(OR($A1153="",$B1153=""),"",IF($I1153&lt;&gt;"",$I1153,IF($D1153=本位币,1,IFERROR(LOOKUP(2,1/((汇率月份&lt;=$A1153)*(INDEX(记账汇率区,0,MATCH($D1153,汇率币种头,0))&lt;&gt;"")),INDEX(记账汇率区,0,MATCH($D1153,汇率币种头,0))),""))))</f>
        <v/>
      </c>
      <c r="K1153" s="23" t="str">
        <f t="shared" si="34"/>
        <v/>
      </c>
      <c r="L1153" s="23" t="str">
        <f t="shared" si="35"/>
        <v/>
      </c>
      <c r="M1153" s="23" t="str">
        <f>IF($B1153="","",ROUND(SUMIF(账户名,$B1153,账户期初)+SUMIFS($K$6:K1153,$B$6:B1153,$B1153),2))</f>
        <v/>
      </c>
      <c r="N1153" s="23" t="str">
        <f>IF($B1153="","",IFERROR(ROUND(INDEX(账户期初本位,MATCH($B1153,账户名,0))+SUMIFS($L$6:L1153,$B$6:B1153,$B1153),2),""))</f>
        <v/>
      </c>
      <c r="O1153" s="46"/>
      <c r="P1153" s="47"/>
      <c r="Q1153" s="46"/>
      <c r="R1153" s="46"/>
      <c r="S1153" s="6" t="str">
        <f>IF($B1153="","",IF(ISNA(MATCH($B1153,账户名,0)),"※这个账户不在【参数设置】的账户档案里",IF($A1153="","※没填日期，这一笔不会进任何月份的报表",IF(AND($G1153&lt;&gt;"",$H1153&lt;&gt;""),"※收入和支出不能同时填",IF(AND(N($G1153)=0,N($H1153)=0),"※收入和支出都没填",IF($E1153="","※没填收支类别，分类报表会漏掉这一笔",IF(ISNA(MATCH($E1153,类别表,0)),"※收支类别不在【参数设置】的清单里",IF($J1153="","△"&amp;$D1153&amp;" 还没填汇率，去【月度汇率】补上就自动算了",IF(YEAR($A1153)&lt;&gt;管理年度,"△不是管理年度的单据，年报里看不到",IF(AND($F1153="内部转账",$Q1153=""),"△内部转账建议在「往来单位」写上对方账户",IF($M1153&lt;0,"△这一笔之后该账户余额成负数了，核一下","")))))))))))</f>
        <v/>
      </c>
    </row>
    <row r="1154" ht="16.5" spans="1:19">
      <c r="A1154" s="45"/>
      <c r="B1154" s="46"/>
      <c r="C1154" s="12" t="str">
        <f>IF($B1154="","",IFERROR(INDEX(账户银行,MATCH($B1154,账户名,0)),""))</f>
        <v/>
      </c>
      <c r="D1154" s="12" t="str">
        <f>IF($B1154="","",IFERROR(INDEX(账户币种,MATCH($B1154,账户名,0)),""))</f>
        <v/>
      </c>
      <c r="E1154" s="47"/>
      <c r="F1154" s="12" t="str">
        <f>IF($E1154="","",IFERROR(INDEX(类别属性,MATCH($E1154,类别表,0)),""))</f>
        <v/>
      </c>
      <c r="G1154" s="48"/>
      <c r="H1154" s="48"/>
      <c r="I1154" s="49"/>
      <c r="J1154" s="24" t="str">
        <f>IF(OR($A1154="",$B1154=""),"",IF($I1154&lt;&gt;"",$I1154,IF($D1154=本位币,1,IFERROR(LOOKUP(2,1/((汇率月份&lt;=$A1154)*(INDEX(记账汇率区,0,MATCH($D1154,汇率币种头,0))&lt;&gt;"")),INDEX(记账汇率区,0,MATCH($D1154,汇率币种头,0))),""))))</f>
        <v/>
      </c>
      <c r="K1154" s="23" t="str">
        <f t="shared" si="34"/>
        <v/>
      </c>
      <c r="L1154" s="23" t="str">
        <f t="shared" si="35"/>
        <v/>
      </c>
      <c r="M1154" s="23" t="str">
        <f>IF($B1154="","",ROUND(SUMIF(账户名,$B1154,账户期初)+SUMIFS($K$6:K1154,$B$6:B1154,$B1154),2))</f>
        <v/>
      </c>
      <c r="N1154" s="23" t="str">
        <f>IF($B1154="","",IFERROR(ROUND(INDEX(账户期初本位,MATCH($B1154,账户名,0))+SUMIFS($L$6:L1154,$B$6:B1154,$B1154),2),""))</f>
        <v/>
      </c>
      <c r="O1154" s="46"/>
      <c r="P1154" s="47"/>
      <c r="Q1154" s="46"/>
      <c r="R1154" s="46"/>
      <c r="S1154" s="6" t="str">
        <f>IF($B1154="","",IF(ISNA(MATCH($B1154,账户名,0)),"※这个账户不在【参数设置】的账户档案里",IF($A1154="","※没填日期，这一笔不会进任何月份的报表",IF(AND($G1154&lt;&gt;"",$H1154&lt;&gt;""),"※收入和支出不能同时填",IF(AND(N($G1154)=0,N($H1154)=0),"※收入和支出都没填",IF($E1154="","※没填收支类别，分类报表会漏掉这一笔",IF(ISNA(MATCH($E1154,类别表,0)),"※收支类别不在【参数设置】的清单里",IF($J1154="","△"&amp;$D1154&amp;" 还没填汇率，去【月度汇率】补上就自动算了",IF(YEAR($A1154)&lt;&gt;管理年度,"△不是管理年度的单据，年报里看不到",IF(AND($F1154="内部转账",$Q1154=""),"△内部转账建议在「往来单位」写上对方账户",IF($M1154&lt;0,"△这一笔之后该账户余额成负数了，核一下","")))))))))))</f>
        <v/>
      </c>
    </row>
    <row r="1155" ht="16.5" spans="1:19">
      <c r="A1155" s="45"/>
      <c r="B1155" s="46"/>
      <c r="C1155" s="12" t="str">
        <f>IF($B1155="","",IFERROR(INDEX(账户银行,MATCH($B1155,账户名,0)),""))</f>
        <v/>
      </c>
      <c r="D1155" s="12" t="str">
        <f>IF($B1155="","",IFERROR(INDEX(账户币种,MATCH($B1155,账户名,0)),""))</f>
        <v/>
      </c>
      <c r="E1155" s="47"/>
      <c r="F1155" s="12" t="str">
        <f>IF($E1155="","",IFERROR(INDEX(类别属性,MATCH($E1155,类别表,0)),""))</f>
        <v/>
      </c>
      <c r="G1155" s="48"/>
      <c r="H1155" s="48"/>
      <c r="I1155" s="49"/>
      <c r="J1155" s="24" t="str">
        <f>IF(OR($A1155="",$B1155=""),"",IF($I1155&lt;&gt;"",$I1155,IF($D1155=本位币,1,IFERROR(LOOKUP(2,1/((汇率月份&lt;=$A1155)*(INDEX(记账汇率区,0,MATCH($D1155,汇率币种头,0))&lt;&gt;"")),INDEX(记账汇率区,0,MATCH($D1155,汇率币种头,0))),""))))</f>
        <v/>
      </c>
      <c r="K1155" s="23" t="str">
        <f t="shared" si="34"/>
        <v/>
      </c>
      <c r="L1155" s="23" t="str">
        <f t="shared" si="35"/>
        <v/>
      </c>
      <c r="M1155" s="23" t="str">
        <f>IF($B1155="","",ROUND(SUMIF(账户名,$B1155,账户期初)+SUMIFS($K$6:K1155,$B$6:B1155,$B1155),2))</f>
        <v/>
      </c>
      <c r="N1155" s="23" t="str">
        <f>IF($B1155="","",IFERROR(ROUND(INDEX(账户期初本位,MATCH($B1155,账户名,0))+SUMIFS($L$6:L1155,$B$6:B1155,$B1155),2),""))</f>
        <v/>
      </c>
      <c r="O1155" s="46"/>
      <c r="P1155" s="47"/>
      <c r="Q1155" s="46"/>
      <c r="R1155" s="46"/>
      <c r="S1155" s="6" t="str">
        <f>IF($B1155="","",IF(ISNA(MATCH($B1155,账户名,0)),"※这个账户不在【参数设置】的账户档案里",IF($A1155="","※没填日期，这一笔不会进任何月份的报表",IF(AND($G1155&lt;&gt;"",$H1155&lt;&gt;""),"※收入和支出不能同时填",IF(AND(N($G1155)=0,N($H1155)=0),"※收入和支出都没填",IF($E1155="","※没填收支类别，分类报表会漏掉这一笔",IF(ISNA(MATCH($E1155,类别表,0)),"※收支类别不在【参数设置】的清单里",IF($J1155="","△"&amp;$D1155&amp;" 还没填汇率，去【月度汇率】补上就自动算了",IF(YEAR($A1155)&lt;&gt;管理年度,"△不是管理年度的单据，年报里看不到",IF(AND($F1155="内部转账",$Q1155=""),"△内部转账建议在「往来单位」写上对方账户",IF($M1155&lt;0,"△这一笔之后该账户余额成负数了，核一下","")))))))))))</f>
        <v/>
      </c>
    </row>
    <row r="1156" ht="16.5" spans="1:19">
      <c r="A1156" s="45"/>
      <c r="B1156" s="46"/>
      <c r="C1156" s="12" t="str">
        <f>IF($B1156="","",IFERROR(INDEX(账户银行,MATCH($B1156,账户名,0)),""))</f>
        <v/>
      </c>
      <c r="D1156" s="12" t="str">
        <f>IF($B1156="","",IFERROR(INDEX(账户币种,MATCH($B1156,账户名,0)),""))</f>
        <v/>
      </c>
      <c r="E1156" s="47"/>
      <c r="F1156" s="12" t="str">
        <f>IF($E1156="","",IFERROR(INDEX(类别属性,MATCH($E1156,类别表,0)),""))</f>
        <v/>
      </c>
      <c r="G1156" s="48"/>
      <c r="H1156" s="48"/>
      <c r="I1156" s="49"/>
      <c r="J1156" s="24" t="str">
        <f>IF(OR($A1156="",$B1156=""),"",IF($I1156&lt;&gt;"",$I1156,IF($D1156=本位币,1,IFERROR(LOOKUP(2,1/((汇率月份&lt;=$A1156)*(INDEX(记账汇率区,0,MATCH($D1156,汇率币种头,0))&lt;&gt;"")),INDEX(记账汇率区,0,MATCH($D1156,汇率币种头,0))),""))))</f>
        <v/>
      </c>
      <c r="K1156" s="23" t="str">
        <f t="shared" si="34"/>
        <v/>
      </c>
      <c r="L1156" s="23" t="str">
        <f t="shared" si="35"/>
        <v/>
      </c>
      <c r="M1156" s="23" t="str">
        <f>IF($B1156="","",ROUND(SUMIF(账户名,$B1156,账户期初)+SUMIFS($K$6:K1156,$B$6:B1156,$B1156),2))</f>
        <v/>
      </c>
      <c r="N1156" s="23" t="str">
        <f>IF($B1156="","",IFERROR(ROUND(INDEX(账户期初本位,MATCH($B1156,账户名,0))+SUMIFS($L$6:L1156,$B$6:B1156,$B1156),2),""))</f>
        <v/>
      </c>
      <c r="O1156" s="46"/>
      <c r="P1156" s="47"/>
      <c r="Q1156" s="46"/>
      <c r="R1156" s="46"/>
      <c r="S1156" s="6" t="str">
        <f>IF($B1156="","",IF(ISNA(MATCH($B1156,账户名,0)),"※这个账户不在【参数设置】的账户档案里",IF($A1156="","※没填日期，这一笔不会进任何月份的报表",IF(AND($G1156&lt;&gt;"",$H1156&lt;&gt;""),"※收入和支出不能同时填",IF(AND(N($G1156)=0,N($H1156)=0),"※收入和支出都没填",IF($E1156="","※没填收支类别，分类报表会漏掉这一笔",IF(ISNA(MATCH($E1156,类别表,0)),"※收支类别不在【参数设置】的清单里",IF($J1156="","△"&amp;$D1156&amp;" 还没填汇率，去【月度汇率】补上就自动算了",IF(YEAR($A1156)&lt;&gt;管理年度,"△不是管理年度的单据，年报里看不到",IF(AND($F1156="内部转账",$Q1156=""),"△内部转账建议在「往来单位」写上对方账户",IF($M1156&lt;0,"△这一笔之后该账户余额成负数了，核一下","")))))))))))</f>
        <v/>
      </c>
    </row>
    <row r="1157" ht="16.5" spans="1:19">
      <c r="A1157" s="45"/>
      <c r="B1157" s="46"/>
      <c r="C1157" s="12" t="str">
        <f>IF($B1157="","",IFERROR(INDEX(账户银行,MATCH($B1157,账户名,0)),""))</f>
        <v/>
      </c>
      <c r="D1157" s="12" t="str">
        <f>IF($B1157="","",IFERROR(INDEX(账户币种,MATCH($B1157,账户名,0)),""))</f>
        <v/>
      </c>
      <c r="E1157" s="47"/>
      <c r="F1157" s="12" t="str">
        <f>IF($E1157="","",IFERROR(INDEX(类别属性,MATCH($E1157,类别表,0)),""))</f>
        <v/>
      </c>
      <c r="G1157" s="48"/>
      <c r="H1157" s="48"/>
      <c r="I1157" s="49"/>
      <c r="J1157" s="24" t="str">
        <f>IF(OR($A1157="",$B1157=""),"",IF($I1157&lt;&gt;"",$I1157,IF($D1157=本位币,1,IFERROR(LOOKUP(2,1/((汇率月份&lt;=$A1157)*(INDEX(记账汇率区,0,MATCH($D1157,汇率币种头,0))&lt;&gt;"")),INDEX(记账汇率区,0,MATCH($D1157,汇率币种头,0))),""))))</f>
        <v/>
      </c>
      <c r="K1157" s="23" t="str">
        <f t="shared" si="34"/>
        <v/>
      </c>
      <c r="L1157" s="23" t="str">
        <f t="shared" si="35"/>
        <v/>
      </c>
      <c r="M1157" s="23" t="str">
        <f>IF($B1157="","",ROUND(SUMIF(账户名,$B1157,账户期初)+SUMIFS($K$6:K1157,$B$6:B1157,$B1157),2))</f>
        <v/>
      </c>
      <c r="N1157" s="23" t="str">
        <f>IF($B1157="","",IFERROR(ROUND(INDEX(账户期初本位,MATCH($B1157,账户名,0))+SUMIFS($L$6:L1157,$B$6:B1157,$B1157),2),""))</f>
        <v/>
      </c>
      <c r="O1157" s="46"/>
      <c r="P1157" s="47"/>
      <c r="Q1157" s="46"/>
      <c r="R1157" s="46"/>
      <c r="S1157" s="6" t="str">
        <f>IF($B1157="","",IF(ISNA(MATCH($B1157,账户名,0)),"※这个账户不在【参数设置】的账户档案里",IF($A1157="","※没填日期，这一笔不会进任何月份的报表",IF(AND($G1157&lt;&gt;"",$H1157&lt;&gt;""),"※收入和支出不能同时填",IF(AND(N($G1157)=0,N($H1157)=0),"※收入和支出都没填",IF($E1157="","※没填收支类别，分类报表会漏掉这一笔",IF(ISNA(MATCH($E1157,类别表,0)),"※收支类别不在【参数设置】的清单里",IF($J1157="","△"&amp;$D1157&amp;" 还没填汇率，去【月度汇率】补上就自动算了",IF(YEAR($A1157)&lt;&gt;管理年度,"△不是管理年度的单据，年报里看不到",IF(AND($F1157="内部转账",$Q1157=""),"△内部转账建议在「往来单位」写上对方账户",IF($M1157&lt;0,"△这一笔之后该账户余额成负数了，核一下","")))))))))))</f>
        <v/>
      </c>
    </row>
    <row r="1158" ht="16.5" spans="1:19">
      <c r="A1158" s="45"/>
      <c r="B1158" s="46"/>
      <c r="C1158" s="12" t="str">
        <f>IF($B1158="","",IFERROR(INDEX(账户银行,MATCH($B1158,账户名,0)),""))</f>
        <v/>
      </c>
      <c r="D1158" s="12" t="str">
        <f>IF($B1158="","",IFERROR(INDEX(账户币种,MATCH($B1158,账户名,0)),""))</f>
        <v/>
      </c>
      <c r="E1158" s="47"/>
      <c r="F1158" s="12" t="str">
        <f>IF($E1158="","",IFERROR(INDEX(类别属性,MATCH($E1158,类别表,0)),""))</f>
        <v/>
      </c>
      <c r="G1158" s="48"/>
      <c r="H1158" s="48"/>
      <c r="I1158" s="49"/>
      <c r="J1158" s="24" t="str">
        <f>IF(OR($A1158="",$B1158=""),"",IF($I1158&lt;&gt;"",$I1158,IF($D1158=本位币,1,IFERROR(LOOKUP(2,1/((汇率月份&lt;=$A1158)*(INDEX(记账汇率区,0,MATCH($D1158,汇率币种头,0))&lt;&gt;"")),INDEX(记账汇率区,0,MATCH($D1158,汇率币种头,0))),""))))</f>
        <v/>
      </c>
      <c r="K1158" s="23" t="str">
        <f t="shared" ref="K1158:K1221" si="36">IF(AND($G1158="",$H1158=""),"",ROUND(N($G1158)-N($H1158),2))</f>
        <v/>
      </c>
      <c r="L1158" s="23" t="str">
        <f t="shared" ref="L1158:L1221" si="37">IF(OR($K1158="",$J1158=""),"",ROUND($K1158*$J1158,2))</f>
        <v/>
      </c>
      <c r="M1158" s="23" t="str">
        <f>IF($B1158="","",ROUND(SUMIF(账户名,$B1158,账户期初)+SUMIFS($K$6:K1158,$B$6:B1158,$B1158),2))</f>
        <v/>
      </c>
      <c r="N1158" s="23" t="str">
        <f>IF($B1158="","",IFERROR(ROUND(INDEX(账户期初本位,MATCH($B1158,账户名,0))+SUMIFS($L$6:L1158,$B$6:B1158,$B1158),2),""))</f>
        <v/>
      </c>
      <c r="O1158" s="46"/>
      <c r="P1158" s="47"/>
      <c r="Q1158" s="46"/>
      <c r="R1158" s="46"/>
      <c r="S1158" s="6" t="str">
        <f>IF($B1158="","",IF(ISNA(MATCH($B1158,账户名,0)),"※这个账户不在【参数设置】的账户档案里",IF($A1158="","※没填日期，这一笔不会进任何月份的报表",IF(AND($G1158&lt;&gt;"",$H1158&lt;&gt;""),"※收入和支出不能同时填",IF(AND(N($G1158)=0,N($H1158)=0),"※收入和支出都没填",IF($E1158="","※没填收支类别，分类报表会漏掉这一笔",IF(ISNA(MATCH($E1158,类别表,0)),"※收支类别不在【参数设置】的清单里",IF($J1158="","△"&amp;$D1158&amp;" 还没填汇率，去【月度汇率】补上就自动算了",IF(YEAR($A1158)&lt;&gt;管理年度,"△不是管理年度的单据，年报里看不到",IF(AND($F1158="内部转账",$Q1158=""),"△内部转账建议在「往来单位」写上对方账户",IF($M1158&lt;0,"△这一笔之后该账户余额成负数了，核一下","")))))))))))</f>
        <v/>
      </c>
    </row>
    <row r="1159" ht="16.5" spans="1:19">
      <c r="A1159" s="45"/>
      <c r="B1159" s="46"/>
      <c r="C1159" s="12" t="str">
        <f>IF($B1159="","",IFERROR(INDEX(账户银行,MATCH($B1159,账户名,0)),""))</f>
        <v/>
      </c>
      <c r="D1159" s="12" t="str">
        <f>IF($B1159="","",IFERROR(INDEX(账户币种,MATCH($B1159,账户名,0)),""))</f>
        <v/>
      </c>
      <c r="E1159" s="47"/>
      <c r="F1159" s="12" t="str">
        <f>IF($E1159="","",IFERROR(INDEX(类别属性,MATCH($E1159,类别表,0)),""))</f>
        <v/>
      </c>
      <c r="G1159" s="48"/>
      <c r="H1159" s="48"/>
      <c r="I1159" s="49"/>
      <c r="J1159" s="24" t="str">
        <f>IF(OR($A1159="",$B1159=""),"",IF($I1159&lt;&gt;"",$I1159,IF($D1159=本位币,1,IFERROR(LOOKUP(2,1/((汇率月份&lt;=$A1159)*(INDEX(记账汇率区,0,MATCH($D1159,汇率币种头,0))&lt;&gt;"")),INDEX(记账汇率区,0,MATCH($D1159,汇率币种头,0))),""))))</f>
        <v/>
      </c>
      <c r="K1159" s="23" t="str">
        <f t="shared" si="36"/>
        <v/>
      </c>
      <c r="L1159" s="23" t="str">
        <f t="shared" si="37"/>
        <v/>
      </c>
      <c r="M1159" s="23" t="str">
        <f>IF($B1159="","",ROUND(SUMIF(账户名,$B1159,账户期初)+SUMIFS($K$6:K1159,$B$6:B1159,$B1159),2))</f>
        <v/>
      </c>
      <c r="N1159" s="23" t="str">
        <f>IF($B1159="","",IFERROR(ROUND(INDEX(账户期初本位,MATCH($B1159,账户名,0))+SUMIFS($L$6:L1159,$B$6:B1159,$B1159),2),""))</f>
        <v/>
      </c>
      <c r="O1159" s="46"/>
      <c r="P1159" s="47"/>
      <c r="Q1159" s="46"/>
      <c r="R1159" s="46"/>
      <c r="S1159" s="6" t="str">
        <f>IF($B1159="","",IF(ISNA(MATCH($B1159,账户名,0)),"※这个账户不在【参数设置】的账户档案里",IF($A1159="","※没填日期，这一笔不会进任何月份的报表",IF(AND($G1159&lt;&gt;"",$H1159&lt;&gt;""),"※收入和支出不能同时填",IF(AND(N($G1159)=0,N($H1159)=0),"※收入和支出都没填",IF($E1159="","※没填收支类别，分类报表会漏掉这一笔",IF(ISNA(MATCH($E1159,类别表,0)),"※收支类别不在【参数设置】的清单里",IF($J1159="","△"&amp;$D1159&amp;" 还没填汇率，去【月度汇率】补上就自动算了",IF(YEAR($A1159)&lt;&gt;管理年度,"△不是管理年度的单据，年报里看不到",IF(AND($F1159="内部转账",$Q1159=""),"△内部转账建议在「往来单位」写上对方账户",IF($M1159&lt;0,"△这一笔之后该账户余额成负数了，核一下","")))))))))))</f>
        <v/>
      </c>
    </row>
    <row r="1160" ht="16.5" spans="1:19">
      <c r="A1160" s="45"/>
      <c r="B1160" s="46"/>
      <c r="C1160" s="12" t="str">
        <f>IF($B1160="","",IFERROR(INDEX(账户银行,MATCH($B1160,账户名,0)),""))</f>
        <v/>
      </c>
      <c r="D1160" s="12" t="str">
        <f>IF($B1160="","",IFERROR(INDEX(账户币种,MATCH($B1160,账户名,0)),""))</f>
        <v/>
      </c>
      <c r="E1160" s="47"/>
      <c r="F1160" s="12" t="str">
        <f>IF($E1160="","",IFERROR(INDEX(类别属性,MATCH($E1160,类别表,0)),""))</f>
        <v/>
      </c>
      <c r="G1160" s="48"/>
      <c r="H1160" s="48"/>
      <c r="I1160" s="49"/>
      <c r="J1160" s="24" t="str">
        <f>IF(OR($A1160="",$B1160=""),"",IF($I1160&lt;&gt;"",$I1160,IF($D1160=本位币,1,IFERROR(LOOKUP(2,1/((汇率月份&lt;=$A1160)*(INDEX(记账汇率区,0,MATCH($D1160,汇率币种头,0))&lt;&gt;"")),INDEX(记账汇率区,0,MATCH($D1160,汇率币种头,0))),""))))</f>
        <v/>
      </c>
      <c r="K1160" s="23" t="str">
        <f t="shared" si="36"/>
        <v/>
      </c>
      <c r="L1160" s="23" t="str">
        <f t="shared" si="37"/>
        <v/>
      </c>
      <c r="M1160" s="23" t="str">
        <f>IF($B1160="","",ROUND(SUMIF(账户名,$B1160,账户期初)+SUMIFS($K$6:K1160,$B$6:B1160,$B1160),2))</f>
        <v/>
      </c>
      <c r="N1160" s="23" t="str">
        <f>IF($B1160="","",IFERROR(ROUND(INDEX(账户期初本位,MATCH($B1160,账户名,0))+SUMIFS($L$6:L1160,$B$6:B1160,$B1160),2),""))</f>
        <v/>
      </c>
      <c r="O1160" s="46"/>
      <c r="P1160" s="47"/>
      <c r="Q1160" s="46"/>
      <c r="R1160" s="46"/>
      <c r="S1160" s="6" t="str">
        <f>IF($B1160="","",IF(ISNA(MATCH($B1160,账户名,0)),"※这个账户不在【参数设置】的账户档案里",IF($A1160="","※没填日期，这一笔不会进任何月份的报表",IF(AND($G1160&lt;&gt;"",$H1160&lt;&gt;""),"※收入和支出不能同时填",IF(AND(N($G1160)=0,N($H1160)=0),"※收入和支出都没填",IF($E1160="","※没填收支类别，分类报表会漏掉这一笔",IF(ISNA(MATCH($E1160,类别表,0)),"※收支类别不在【参数设置】的清单里",IF($J1160="","△"&amp;$D1160&amp;" 还没填汇率，去【月度汇率】补上就自动算了",IF(YEAR($A1160)&lt;&gt;管理年度,"△不是管理年度的单据，年报里看不到",IF(AND($F1160="内部转账",$Q1160=""),"△内部转账建议在「往来单位」写上对方账户",IF($M1160&lt;0,"△这一笔之后该账户余额成负数了，核一下","")))))))))))</f>
        <v/>
      </c>
    </row>
    <row r="1161" ht="16.5" spans="1:19">
      <c r="A1161" s="45"/>
      <c r="B1161" s="46"/>
      <c r="C1161" s="12" t="str">
        <f>IF($B1161="","",IFERROR(INDEX(账户银行,MATCH($B1161,账户名,0)),""))</f>
        <v/>
      </c>
      <c r="D1161" s="12" t="str">
        <f>IF($B1161="","",IFERROR(INDEX(账户币种,MATCH($B1161,账户名,0)),""))</f>
        <v/>
      </c>
      <c r="E1161" s="47"/>
      <c r="F1161" s="12" t="str">
        <f>IF($E1161="","",IFERROR(INDEX(类别属性,MATCH($E1161,类别表,0)),""))</f>
        <v/>
      </c>
      <c r="G1161" s="48"/>
      <c r="H1161" s="48"/>
      <c r="I1161" s="49"/>
      <c r="J1161" s="24" t="str">
        <f>IF(OR($A1161="",$B1161=""),"",IF($I1161&lt;&gt;"",$I1161,IF($D1161=本位币,1,IFERROR(LOOKUP(2,1/((汇率月份&lt;=$A1161)*(INDEX(记账汇率区,0,MATCH($D1161,汇率币种头,0))&lt;&gt;"")),INDEX(记账汇率区,0,MATCH($D1161,汇率币种头,0))),""))))</f>
        <v/>
      </c>
      <c r="K1161" s="23" t="str">
        <f t="shared" si="36"/>
        <v/>
      </c>
      <c r="L1161" s="23" t="str">
        <f t="shared" si="37"/>
        <v/>
      </c>
      <c r="M1161" s="23" t="str">
        <f>IF($B1161="","",ROUND(SUMIF(账户名,$B1161,账户期初)+SUMIFS($K$6:K1161,$B$6:B1161,$B1161),2))</f>
        <v/>
      </c>
      <c r="N1161" s="23" t="str">
        <f>IF($B1161="","",IFERROR(ROUND(INDEX(账户期初本位,MATCH($B1161,账户名,0))+SUMIFS($L$6:L1161,$B$6:B1161,$B1161),2),""))</f>
        <v/>
      </c>
      <c r="O1161" s="46"/>
      <c r="P1161" s="47"/>
      <c r="Q1161" s="46"/>
      <c r="R1161" s="46"/>
      <c r="S1161" s="6" t="str">
        <f>IF($B1161="","",IF(ISNA(MATCH($B1161,账户名,0)),"※这个账户不在【参数设置】的账户档案里",IF($A1161="","※没填日期，这一笔不会进任何月份的报表",IF(AND($G1161&lt;&gt;"",$H1161&lt;&gt;""),"※收入和支出不能同时填",IF(AND(N($G1161)=0,N($H1161)=0),"※收入和支出都没填",IF($E1161="","※没填收支类别，分类报表会漏掉这一笔",IF(ISNA(MATCH($E1161,类别表,0)),"※收支类别不在【参数设置】的清单里",IF($J1161="","△"&amp;$D1161&amp;" 还没填汇率，去【月度汇率】补上就自动算了",IF(YEAR($A1161)&lt;&gt;管理年度,"△不是管理年度的单据，年报里看不到",IF(AND($F1161="内部转账",$Q1161=""),"△内部转账建议在「往来单位」写上对方账户",IF($M1161&lt;0,"△这一笔之后该账户余额成负数了，核一下","")))))))))))</f>
        <v/>
      </c>
    </row>
    <row r="1162" ht="16.5" spans="1:19">
      <c r="A1162" s="45"/>
      <c r="B1162" s="46"/>
      <c r="C1162" s="12" t="str">
        <f>IF($B1162="","",IFERROR(INDEX(账户银行,MATCH($B1162,账户名,0)),""))</f>
        <v/>
      </c>
      <c r="D1162" s="12" t="str">
        <f>IF($B1162="","",IFERROR(INDEX(账户币种,MATCH($B1162,账户名,0)),""))</f>
        <v/>
      </c>
      <c r="E1162" s="47"/>
      <c r="F1162" s="12" t="str">
        <f>IF($E1162="","",IFERROR(INDEX(类别属性,MATCH($E1162,类别表,0)),""))</f>
        <v/>
      </c>
      <c r="G1162" s="48"/>
      <c r="H1162" s="48"/>
      <c r="I1162" s="49"/>
      <c r="J1162" s="24" t="str">
        <f>IF(OR($A1162="",$B1162=""),"",IF($I1162&lt;&gt;"",$I1162,IF($D1162=本位币,1,IFERROR(LOOKUP(2,1/((汇率月份&lt;=$A1162)*(INDEX(记账汇率区,0,MATCH($D1162,汇率币种头,0))&lt;&gt;"")),INDEX(记账汇率区,0,MATCH($D1162,汇率币种头,0))),""))))</f>
        <v/>
      </c>
      <c r="K1162" s="23" t="str">
        <f t="shared" si="36"/>
        <v/>
      </c>
      <c r="L1162" s="23" t="str">
        <f t="shared" si="37"/>
        <v/>
      </c>
      <c r="M1162" s="23" t="str">
        <f>IF($B1162="","",ROUND(SUMIF(账户名,$B1162,账户期初)+SUMIFS($K$6:K1162,$B$6:B1162,$B1162),2))</f>
        <v/>
      </c>
      <c r="N1162" s="23" t="str">
        <f>IF($B1162="","",IFERROR(ROUND(INDEX(账户期初本位,MATCH($B1162,账户名,0))+SUMIFS($L$6:L1162,$B$6:B1162,$B1162),2),""))</f>
        <v/>
      </c>
      <c r="O1162" s="46"/>
      <c r="P1162" s="47"/>
      <c r="Q1162" s="46"/>
      <c r="R1162" s="46"/>
      <c r="S1162" s="6" t="str">
        <f>IF($B1162="","",IF(ISNA(MATCH($B1162,账户名,0)),"※这个账户不在【参数设置】的账户档案里",IF($A1162="","※没填日期，这一笔不会进任何月份的报表",IF(AND($G1162&lt;&gt;"",$H1162&lt;&gt;""),"※收入和支出不能同时填",IF(AND(N($G1162)=0,N($H1162)=0),"※收入和支出都没填",IF($E1162="","※没填收支类别，分类报表会漏掉这一笔",IF(ISNA(MATCH($E1162,类别表,0)),"※收支类别不在【参数设置】的清单里",IF($J1162="","△"&amp;$D1162&amp;" 还没填汇率，去【月度汇率】补上就自动算了",IF(YEAR($A1162)&lt;&gt;管理年度,"△不是管理年度的单据，年报里看不到",IF(AND($F1162="内部转账",$Q1162=""),"△内部转账建议在「往来单位」写上对方账户",IF($M1162&lt;0,"△这一笔之后该账户余额成负数了，核一下","")))))))))))</f>
        <v/>
      </c>
    </row>
    <row r="1163" ht="16.5" spans="1:19">
      <c r="A1163" s="45"/>
      <c r="B1163" s="46"/>
      <c r="C1163" s="12" t="str">
        <f>IF($B1163="","",IFERROR(INDEX(账户银行,MATCH($B1163,账户名,0)),""))</f>
        <v/>
      </c>
      <c r="D1163" s="12" t="str">
        <f>IF($B1163="","",IFERROR(INDEX(账户币种,MATCH($B1163,账户名,0)),""))</f>
        <v/>
      </c>
      <c r="E1163" s="47"/>
      <c r="F1163" s="12" t="str">
        <f>IF($E1163="","",IFERROR(INDEX(类别属性,MATCH($E1163,类别表,0)),""))</f>
        <v/>
      </c>
      <c r="G1163" s="48"/>
      <c r="H1163" s="48"/>
      <c r="I1163" s="49"/>
      <c r="J1163" s="24" t="str">
        <f>IF(OR($A1163="",$B1163=""),"",IF($I1163&lt;&gt;"",$I1163,IF($D1163=本位币,1,IFERROR(LOOKUP(2,1/((汇率月份&lt;=$A1163)*(INDEX(记账汇率区,0,MATCH($D1163,汇率币种头,0))&lt;&gt;"")),INDEX(记账汇率区,0,MATCH($D1163,汇率币种头,0))),""))))</f>
        <v/>
      </c>
      <c r="K1163" s="23" t="str">
        <f t="shared" si="36"/>
        <v/>
      </c>
      <c r="L1163" s="23" t="str">
        <f t="shared" si="37"/>
        <v/>
      </c>
      <c r="M1163" s="23" t="str">
        <f>IF($B1163="","",ROUND(SUMIF(账户名,$B1163,账户期初)+SUMIFS($K$6:K1163,$B$6:B1163,$B1163),2))</f>
        <v/>
      </c>
      <c r="N1163" s="23" t="str">
        <f>IF($B1163="","",IFERROR(ROUND(INDEX(账户期初本位,MATCH($B1163,账户名,0))+SUMIFS($L$6:L1163,$B$6:B1163,$B1163),2),""))</f>
        <v/>
      </c>
      <c r="O1163" s="46"/>
      <c r="P1163" s="47"/>
      <c r="Q1163" s="46"/>
      <c r="R1163" s="46"/>
      <c r="S1163" s="6" t="str">
        <f>IF($B1163="","",IF(ISNA(MATCH($B1163,账户名,0)),"※这个账户不在【参数设置】的账户档案里",IF($A1163="","※没填日期，这一笔不会进任何月份的报表",IF(AND($G1163&lt;&gt;"",$H1163&lt;&gt;""),"※收入和支出不能同时填",IF(AND(N($G1163)=0,N($H1163)=0),"※收入和支出都没填",IF($E1163="","※没填收支类别，分类报表会漏掉这一笔",IF(ISNA(MATCH($E1163,类别表,0)),"※收支类别不在【参数设置】的清单里",IF($J1163="","△"&amp;$D1163&amp;" 还没填汇率，去【月度汇率】补上就自动算了",IF(YEAR($A1163)&lt;&gt;管理年度,"△不是管理年度的单据，年报里看不到",IF(AND($F1163="内部转账",$Q1163=""),"△内部转账建议在「往来单位」写上对方账户",IF($M1163&lt;0,"△这一笔之后该账户余额成负数了，核一下","")))))))))))</f>
        <v/>
      </c>
    </row>
    <row r="1164" ht="16.5" spans="1:19">
      <c r="A1164" s="45"/>
      <c r="B1164" s="46"/>
      <c r="C1164" s="12" t="str">
        <f>IF($B1164="","",IFERROR(INDEX(账户银行,MATCH($B1164,账户名,0)),""))</f>
        <v/>
      </c>
      <c r="D1164" s="12" t="str">
        <f>IF($B1164="","",IFERROR(INDEX(账户币种,MATCH($B1164,账户名,0)),""))</f>
        <v/>
      </c>
      <c r="E1164" s="47"/>
      <c r="F1164" s="12" t="str">
        <f>IF($E1164="","",IFERROR(INDEX(类别属性,MATCH($E1164,类别表,0)),""))</f>
        <v/>
      </c>
      <c r="G1164" s="48"/>
      <c r="H1164" s="48"/>
      <c r="I1164" s="49"/>
      <c r="J1164" s="24" t="str">
        <f>IF(OR($A1164="",$B1164=""),"",IF($I1164&lt;&gt;"",$I1164,IF($D1164=本位币,1,IFERROR(LOOKUP(2,1/((汇率月份&lt;=$A1164)*(INDEX(记账汇率区,0,MATCH($D1164,汇率币种头,0))&lt;&gt;"")),INDEX(记账汇率区,0,MATCH($D1164,汇率币种头,0))),""))))</f>
        <v/>
      </c>
      <c r="K1164" s="23" t="str">
        <f t="shared" si="36"/>
        <v/>
      </c>
      <c r="L1164" s="23" t="str">
        <f t="shared" si="37"/>
        <v/>
      </c>
      <c r="M1164" s="23" t="str">
        <f>IF($B1164="","",ROUND(SUMIF(账户名,$B1164,账户期初)+SUMIFS($K$6:K1164,$B$6:B1164,$B1164),2))</f>
        <v/>
      </c>
      <c r="N1164" s="23" t="str">
        <f>IF($B1164="","",IFERROR(ROUND(INDEX(账户期初本位,MATCH($B1164,账户名,0))+SUMIFS($L$6:L1164,$B$6:B1164,$B1164),2),""))</f>
        <v/>
      </c>
      <c r="O1164" s="46"/>
      <c r="P1164" s="47"/>
      <c r="Q1164" s="46"/>
      <c r="R1164" s="46"/>
      <c r="S1164" s="6" t="str">
        <f>IF($B1164="","",IF(ISNA(MATCH($B1164,账户名,0)),"※这个账户不在【参数设置】的账户档案里",IF($A1164="","※没填日期，这一笔不会进任何月份的报表",IF(AND($G1164&lt;&gt;"",$H1164&lt;&gt;""),"※收入和支出不能同时填",IF(AND(N($G1164)=0,N($H1164)=0),"※收入和支出都没填",IF($E1164="","※没填收支类别，分类报表会漏掉这一笔",IF(ISNA(MATCH($E1164,类别表,0)),"※收支类别不在【参数设置】的清单里",IF($J1164="","△"&amp;$D1164&amp;" 还没填汇率，去【月度汇率】补上就自动算了",IF(YEAR($A1164)&lt;&gt;管理年度,"△不是管理年度的单据，年报里看不到",IF(AND($F1164="内部转账",$Q1164=""),"△内部转账建议在「往来单位」写上对方账户",IF($M1164&lt;0,"△这一笔之后该账户余额成负数了，核一下","")))))))))))</f>
        <v/>
      </c>
    </row>
    <row r="1165" ht="16.5" spans="1:19">
      <c r="A1165" s="45"/>
      <c r="B1165" s="46"/>
      <c r="C1165" s="12" t="str">
        <f>IF($B1165="","",IFERROR(INDEX(账户银行,MATCH($B1165,账户名,0)),""))</f>
        <v/>
      </c>
      <c r="D1165" s="12" t="str">
        <f>IF($B1165="","",IFERROR(INDEX(账户币种,MATCH($B1165,账户名,0)),""))</f>
        <v/>
      </c>
      <c r="E1165" s="47"/>
      <c r="F1165" s="12" t="str">
        <f>IF($E1165="","",IFERROR(INDEX(类别属性,MATCH($E1165,类别表,0)),""))</f>
        <v/>
      </c>
      <c r="G1165" s="48"/>
      <c r="H1165" s="48"/>
      <c r="I1165" s="49"/>
      <c r="J1165" s="24" t="str">
        <f>IF(OR($A1165="",$B1165=""),"",IF($I1165&lt;&gt;"",$I1165,IF($D1165=本位币,1,IFERROR(LOOKUP(2,1/((汇率月份&lt;=$A1165)*(INDEX(记账汇率区,0,MATCH($D1165,汇率币种头,0))&lt;&gt;"")),INDEX(记账汇率区,0,MATCH($D1165,汇率币种头,0))),""))))</f>
        <v/>
      </c>
      <c r="K1165" s="23" t="str">
        <f t="shared" si="36"/>
        <v/>
      </c>
      <c r="L1165" s="23" t="str">
        <f t="shared" si="37"/>
        <v/>
      </c>
      <c r="M1165" s="23" t="str">
        <f>IF($B1165="","",ROUND(SUMIF(账户名,$B1165,账户期初)+SUMIFS($K$6:K1165,$B$6:B1165,$B1165),2))</f>
        <v/>
      </c>
      <c r="N1165" s="23" t="str">
        <f>IF($B1165="","",IFERROR(ROUND(INDEX(账户期初本位,MATCH($B1165,账户名,0))+SUMIFS($L$6:L1165,$B$6:B1165,$B1165),2),""))</f>
        <v/>
      </c>
      <c r="O1165" s="46"/>
      <c r="P1165" s="47"/>
      <c r="Q1165" s="46"/>
      <c r="R1165" s="46"/>
      <c r="S1165" s="6" t="str">
        <f>IF($B1165="","",IF(ISNA(MATCH($B1165,账户名,0)),"※这个账户不在【参数设置】的账户档案里",IF($A1165="","※没填日期，这一笔不会进任何月份的报表",IF(AND($G1165&lt;&gt;"",$H1165&lt;&gt;""),"※收入和支出不能同时填",IF(AND(N($G1165)=0,N($H1165)=0),"※收入和支出都没填",IF($E1165="","※没填收支类别，分类报表会漏掉这一笔",IF(ISNA(MATCH($E1165,类别表,0)),"※收支类别不在【参数设置】的清单里",IF($J1165="","△"&amp;$D1165&amp;" 还没填汇率，去【月度汇率】补上就自动算了",IF(YEAR($A1165)&lt;&gt;管理年度,"△不是管理年度的单据，年报里看不到",IF(AND($F1165="内部转账",$Q1165=""),"△内部转账建议在「往来单位」写上对方账户",IF($M1165&lt;0,"△这一笔之后该账户余额成负数了，核一下","")))))))))))</f>
        <v/>
      </c>
    </row>
    <row r="1166" ht="16.5" spans="1:19">
      <c r="A1166" s="45"/>
      <c r="B1166" s="46"/>
      <c r="C1166" s="12" t="str">
        <f>IF($B1166="","",IFERROR(INDEX(账户银行,MATCH($B1166,账户名,0)),""))</f>
        <v/>
      </c>
      <c r="D1166" s="12" t="str">
        <f>IF($B1166="","",IFERROR(INDEX(账户币种,MATCH($B1166,账户名,0)),""))</f>
        <v/>
      </c>
      <c r="E1166" s="47"/>
      <c r="F1166" s="12" t="str">
        <f>IF($E1166="","",IFERROR(INDEX(类别属性,MATCH($E1166,类别表,0)),""))</f>
        <v/>
      </c>
      <c r="G1166" s="48"/>
      <c r="H1166" s="48"/>
      <c r="I1166" s="49"/>
      <c r="J1166" s="24" t="str">
        <f>IF(OR($A1166="",$B1166=""),"",IF($I1166&lt;&gt;"",$I1166,IF($D1166=本位币,1,IFERROR(LOOKUP(2,1/((汇率月份&lt;=$A1166)*(INDEX(记账汇率区,0,MATCH($D1166,汇率币种头,0))&lt;&gt;"")),INDEX(记账汇率区,0,MATCH($D1166,汇率币种头,0))),""))))</f>
        <v/>
      </c>
      <c r="K1166" s="23" t="str">
        <f t="shared" si="36"/>
        <v/>
      </c>
      <c r="L1166" s="23" t="str">
        <f t="shared" si="37"/>
        <v/>
      </c>
      <c r="M1166" s="23" t="str">
        <f>IF($B1166="","",ROUND(SUMIF(账户名,$B1166,账户期初)+SUMIFS($K$6:K1166,$B$6:B1166,$B1166),2))</f>
        <v/>
      </c>
      <c r="N1166" s="23" t="str">
        <f>IF($B1166="","",IFERROR(ROUND(INDEX(账户期初本位,MATCH($B1166,账户名,0))+SUMIFS($L$6:L1166,$B$6:B1166,$B1166),2),""))</f>
        <v/>
      </c>
      <c r="O1166" s="46"/>
      <c r="P1166" s="47"/>
      <c r="Q1166" s="46"/>
      <c r="R1166" s="46"/>
      <c r="S1166" s="6" t="str">
        <f>IF($B1166="","",IF(ISNA(MATCH($B1166,账户名,0)),"※这个账户不在【参数设置】的账户档案里",IF($A1166="","※没填日期，这一笔不会进任何月份的报表",IF(AND($G1166&lt;&gt;"",$H1166&lt;&gt;""),"※收入和支出不能同时填",IF(AND(N($G1166)=0,N($H1166)=0),"※收入和支出都没填",IF($E1166="","※没填收支类别，分类报表会漏掉这一笔",IF(ISNA(MATCH($E1166,类别表,0)),"※收支类别不在【参数设置】的清单里",IF($J1166="","△"&amp;$D1166&amp;" 还没填汇率，去【月度汇率】补上就自动算了",IF(YEAR($A1166)&lt;&gt;管理年度,"△不是管理年度的单据，年报里看不到",IF(AND($F1166="内部转账",$Q1166=""),"△内部转账建议在「往来单位」写上对方账户",IF($M1166&lt;0,"△这一笔之后该账户余额成负数了，核一下","")))))))))))</f>
        <v/>
      </c>
    </row>
    <row r="1167" ht="16.5" spans="1:19">
      <c r="A1167" s="45"/>
      <c r="B1167" s="46"/>
      <c r="C1167" s="12" t="str">
        <f>IF($B1167="","",IFERROR(INDEX(账户银行,MATCH($B1167,账户名,0)),""))</f>
        <v/>
      </c>
      <c r="D1167" s="12" t="str">
        <f>IF($B1167="","",IFERROR(INDEX(账户币种,MATCH($B1167,账户名,0)),""))</f>
        <v/>
      </c>
      <c r="E1167" s="47"/>
      <c r="F1167" s="12" t="str">
        <f>IF($E1167="","",IFERROR(INDEX(类别属性,MATCH($E1167,类别表,0)),""))</f>
        <v/>
      </c>
      <c r="G1167" s="48"/>
      <c r="H1167" s="48"/>
      <c r="I1167" s="49"/>
      <c r="J1167" s="24" t="str">
        <f>IF(OR($A1167="",$B1167=""),"",IF($I1167&lt;&gt;"",$I1167,IF($D1167=本位币,1,IFERROR(LOOKUP(2,1/((汇率月份&lt;=$A1167)*(INDEX(记账汇率区,0,MATCH($D1167,汇率币种头,0))&lt;&gt;"")),INDEX(记账汇率区,0,MATCH($D1167,汇率币种头,0))),""))))</f>
        <v/>
      </c>
      <c r="K1167" s="23" t="str">
        <f t="shared" si="36"/>
        <v/>
      </c>
      <c r="L1167" s="23" t="str">
        <f t="shared" si="37"/>
        <v/>
      </c>
      <c r="M1167" s="23" t="str">
        <f>IF($B1167="","",ROUND(SUMIF(账户名,$B1167,账户期初)+SUMIFS($K$6:K1167,$B$6:B1167,$B1167),2))</f>
        <v/>
      </c>
      <c r="N1167" s="23" t="str">
        <f>IF($B1167="","",IFERROR(ROUND(INDEX(账户期初本位,MATCH($B1167,账户名,0))+SUMIFS($L$6:L1167,$B$6:B1167,$B1167),2),""))</f>
        <v/>
      </c>
      <c r="O1167" s="46"/>
      <c r="P1167" s="47"/>
      <c r="Q1167" s="46"/>
      <c r="R1167" s="46"/>
      <c r="S1167" s="6" t="str">
        <f>IF($B1167="","",IF(ISNA(MATCH($B1167,账户名,0)),"※这个账户不在【参数设置】的账户档案里",IF($A1167="","※没填日期，这一笔不会进任何月份的报表",IF(AND($G1167&lt;&gt;"",$H1167&lt;&gt;""),"※收入和支出不能同时填",IF(AND(N($G1167)=0,N($H1167)=0),"※收入和支出都没填",IF($E1167="","※没填收支类别，分类报表会漏掉这一笔",IF(ISNA(MATCH($E1167,类别表,0)),"※收支类别不在【参数设置】的清单里",IF($J1167="","△"&amp;$D1167&amp;" 还没填汇率，去【月度汇率】补上就自动算了",IF(YEAR($A1167)&lt;&gt;管理年度,"△不是管理年度的单据，年报里看不到",IF(AND($F1167="内部转账",$Q1167=""),"△内部转账建议在「往来单位」写上对方账户",IF($M1167&lt;0,"△这一笔之后该账户余额成负数了，核一下","")))))))))))</f>
        <v/>
      </c>
    </row>
    <row r="1168" ht="16.5" spans="1:19">
      <c r="A1168" s="45"/>
      <c r="B1168" s="46"/>
      <c r="C1168" s="12" t="str">
        <f>IF($B1168="","",IFERROR(INDEX(账户银行,MATCH($B1168,账户名,0)),""))</f>
        <v/>
      </c>
      <c r="D1168" s="12" t="str">
        <f>IF($B1168="","",IFERROR(INDEX(账户币种,MATCH($B1168,账户名,0)),""))</f>
        <v/>
      </c>
      <c r="E1168" s="47"/>
      <c r="F1168" s="12" t="str">
        <f>IF($E1168="","",IFERROR(INDEX(类别属性,MATCH($E1168,类别表,0)),""))</f>
        <v/>
      </c>
      <c r="G1168" s="48"/>
      <c r="H1168" s="48"/>
      <c r="I1168" s="49"/>
      <c r="J1168" s="24" t="str">
        <f>IF(OR($A1168="",$B1168=""),"",IF($I1168&lt;&gt;"",$I1168,IF($D1168=本位币,1,IFERROR(LOOKUP(2,1/((汇率月份&lt;=$A1168)*(INDEX(记账汇率区,0,MATCH($D1168,汇率币种头,0))&lt;&gt;"")),INDEX(记账汇率区,0,MATCH($D1168,汇率币种头,0))),""))))</f>
        <v/>
      </c>
      <c r="K1168" s="23" t="str">
        <f t="shared" si="36"/>
        <v/>
      </c>
      <c r="L1168" s="23" t="str">
        <f t="shared" si="37"/>
        <v/>
      </c>
      <c r="M1168" s="23" t="str">
        <f>IF($B1168="","",ROUND(SUMIF(账户名,$B1168,账户期初)+SUMIFS($K$6:K1168,$B$6:B1168,$B1168),2))</f>
        <v/>
      </c>
      <c r="N1168" s="23" t="str">
        <f>IF($B1168="","",IFERROR(ROUND(INDEX(账户期初本位,MATCH($B1168,账户名,0))+SUMIFS($L$6:L1168,$B$6:B1168,$B1168),2),""))</f>
        <v/>
      </c>
      <c r="O1168" s="46"/>
      <c r="P1168" s="47"/>
      <c r="Q1168" s="46"/>
      <c r="R1168" s="46"/>
      <c r="S1168" s="6" t="str">
        <f>IF($B1168="","",IF(ISNA(MATCH($B1168,账户名,0)),"※这个账户不在【参数设置】的账户档案里",IF($A1168="","※没填日期，这一笔不会进任何月份的报表",IF(AND($G1168&lt;&gt;"",$H1168&lt;&gt;""),"※收入和支出不能同时填",IF(AND(N($G1168)=0,N($H1168)=0),"※收入和支出都没填",IF($E1168="","※没填收支类别，分类报表会漏掉这一笔",IF(ISNA(MATCH($E1168,类别表,0)),"※收支类别不在【参数设置】的清单里",IF($J1168="","△"&amp;$D1168&amp;" 还没填汇率，去【月度汇率】补上就自动算了",IF(YEAR($A1168)&lt;&gt;管理年度,"△不是管理年度的单据，年报里看不到",IF(AND($F1168="内部转账",$Q1168=""),"△内部转账建议在「往来单位」写上对方账户",IF($M1168&lt;0,"△这一笔之后该账户余额成负数了，核一下","")))))))))))</f>
        <v/>
      </c>
    </row>
    <row r="1169" ht="16.5" spans="1:19">
      <c r="A1169" s="45"/>
      <c r="B1169" s="46"/>
      <c r="C1169" s="12" t="str">
        <f>IF($B1169="","",IFERROR(INDEX(账户银行,MATCH($B1169,账户名,0)),""))</f>
        <v/>
      </c>
      <c r="D1169" s="12" t="str">
        <f>IF($B1169="","",IFERROR(INDEX(账户币种,MATCH($B1169,账户名,0)),""))</f>
        <v/>
      </c>
      <c r="E1169" s="47"/>
      <c r="F1169" s="12" t="str">
        <f>IF($E1169="","",IFERROR(INDEX(类别属性,MATCH($E1169,类别表,0)),""))</f>
        <v/>
      </c>
      <c r="G1169" s="48"/>
      <c r="H1169" s="48"/>
      <c r="I1169" s="49"/>
      <c r="J1169" s="24" t="str">
        <f>IF(OR($A1169="",$B1169=""),"",IF($I1169&lt;&gt;"",$I1169,IF($D1169=本位币,1,IFERROR(LOOKUP(2,1/((汇率月份&lt;=$A1169)*(INDEX(记账汇率区,0,MATCH($D1169,汇率币种头,0))&lt;&gt;"")),INDEX(记账汇率区,0,MATCH($D1169,汇率币种头,0))),""))))</f>
        <v/>
      </c>
      <c r="K1169" s="23" t="str">
        <f t="shared" si="36"/>
        <v/>
      </c>
      <c r="L1169" s="23" t="str">
        <f t="shared" si="37"/>
        <v/>
      </c>
      <c r="M1169" s="23" t="str">
        <f>IF($B1169="","",ROUND(SUMIF(账户名,$B1169,账户期初)+SUMIFS($K$6:K1169,$B$6:B1169,$B1169),2))</f>
        <v/>
      </c>
      <c r="N1169" s="23" t="str">
        <f>IF($B1169="","",IFERROR(ROUND(INDEX(账户期初本位,MATCH($B1169,账户名,0))+SUMIFS($L$6:L1169,$B$6:B1169,$B1169),2),""))</f>
        <v/>
      </c>
      <c r="O1169" s="46"/>
      <c r="P1169" s="47"/>
      <c r="Q1169" s="46"/>
      <c r="R1169" s="46"/>
      <c r="S1169" s="6" t="str">
        <f>IF($B1169="","",IF(ISNA(MATCH($B1169,账户名,0)),"※这个账户不在【参数设置】的账户档案里",IF($A1169="","※没填日期，这一笔不会进任何月份的报表",IF(AND($G1169&lt;&gt;"",$H1169&lt;&gt;""),"※收入和支出不能同时填",IF(AND(N($G1169)=0,N($H1169)=0),"※收入和支出都没填",IF($E1169="","※没填收支类别，分类报表会漏掉这一笔",IF(ISNA(MATCH($E1169,类别表,0)),"※收支类别不在【参数设置】的清单里",IF($J1169="","△"&amp;$D1169&amp;" 还没填汇率，去【月度汇率】补上就自动算了",IF(YEAR($A1169)&lt;&gt;管理年度,"△不是管理年度的单据，年报里看不到",IF(AND($F1169="内部转账",$Q1169=""),"△内部转账建议在「往来单位」写上对方账户",IF($M1169&lt;0,"△这一笔之后该账户余额成负数了，核一下","")))))))))))</f>
        <v/>
      </c>
    </row>
    <row r="1170" ht="16.5" spans="1:19">
      <c r="A1170" s="45"/>
      <c r="B1170" s="46"/>
      <c r="C1170" s="12" t="str">
        <f>IF($B1170="","",IFERROR(INDEX(账户银行,MATCH($B1170,账户名,0)),""))</f>
        <v/>
      </c>
      <c r="D1170" s="12" t="str">
        <f>IF($B1170="","",IFERROR(INDEX(账户币种,MATCH($B1170,账户名,0)),""))</f>
        <v/>
      </c>
      <c r="E1170" s="47"/>
      <c r="F1170" s="12" t="str">
        <f>IF($E1170="","",IFERROR(INDEX(类别属性,MATCH($E1170,类别表,0)),""))</f>
        <v/>
      </c>
      <c r="G1170" s="48"/>
      <c r="H1170" s="48"/>
      <c r="I1170" s="49"/>
      <c r="J1170" s="24" t="str">
        <f>IF(OR($A1170="",$B1170=""),"",IF($I1170&lt;&gt;"",$I1170,IF($D1170=本位币,1,IFERROR(LOOKUP(2,1/((汇率月份&lt;=$A1170)*(INDEX(记账汇率区,0,MATCH($D1170,汇率币种头,0))&lt;&gt;"")),INDEX(记账汇率区,0,MATCH($D1170,汇率币种头,0))),""))))</f>
        <v/>
      </c>
      <c r="K1170" s="23" t="str">
        <f t="shared" si="36"/>
        <v/>
      </c>
      <c r="L1170" s="23" t="str">
        <f t="shared" si="37"/>
        <v/>
      </c>
      <c r="M1170" s="23" t="str">
        <f>IF($B1170="","",ROUND(SUMIF(账户名,$B1170,账户期初)+SUMIFS($K$6:K1170,$B$6:B1170,$B1170),2))</f>
        <v/>
      </c>
      <c r="N1170" s="23" t="str">
        <f>IF($B1170="","",IFERROR(ROUND(INDEX(账户期初本位,MATCH($B1170,账户名,0))+SUMIFS($L$6:L1170,$B$6:B1170,$B1170),2),""))</f>
        <v/>
      </c>
      <c r="O1170" s="46"/>
      <c r="P1170" s="47"/>
      <c r="Q1170" s="46"/>
      <c r="R1170" s="46"/>
      <c r="S1170" s="6" t="str">
        <f>IF($B1170="","",IF(ISNA(MATCH($B1170,账户名,0)),"※这个账户不在【参数设置】的账户档案里",IF($A1170="","※没填日期，这一笔不会进任何月份的报表",IF(AND($G1170&lt;&gt;"",$H1170&lt;&gt;""),"※收入和支出不能同时填",IF(AND(N($G1170)=0,N($H1170)=0),"※收入和支出都没填",IF($E1170="","※没填收支类别，分类报表会漏掉这一笔",IF(ISNA(MATCH($E1170,类别表,0)),"※收支类别不在【参数设置】的清单里",IF($J1170="","△"&amp;$D1170&amp;" 还没填汇率，去【月度汇率】补上就自动算了",IF(YEAR($A1170)&lt;&gt;管理年度,"△不是管理年度的单据，年报里看不到",IF(AND($F1170="内部转账",$Q1170=""),"△内部转账建议在「往来单位」写上对方账户",IF($M1170&lt;0,"△这一笔之后该账户余额成负数了，核一下","")))))))))))</f>
        <v/>
      </c>
    </row>
    <row r="1171" ht="16.5" spans="1:19">
      <c r="A1171" s="45"/>
      <c r="B1171" s="46"/>
      <c r="C1171" s="12" t="str">
        <f>IF($B1171="","",IFERROR(INDEX(账户银行,MATCH($B1171,账户名,0)),""))</f>
        <v/>
      </c>
      <c r="D1171" s="12" t="str">
        <f>IF($B1171="","",IFERROR(INDEX(账户币种,MATCH($B1171,账户名,0)),""))</f>
        <v/>
      </c>
      <c r="E1171" s="47"/>
      <c r="F1171" s="12" t="str">
        <f>IF($E1171="","",IFERROR(INDEX(类别属性,MATCH($E1171,类别表,0)),""))</f>
        <v/>
      </c>
      <c r="G1171" s="48"/>
      <c r="H1171" s="48"/>
      <c r="I1171" s="49"/>
      <c r="J1171" s="24" t="str">
        <f>IF(OR($A1171="",$B1171=""),"",IF($I1171&lt;&gt;"",$I1171,IF($D1171=本位币,1,IFERROR(LOOKUP(2,1/((汇率月份&lt;=$A1171)*(INDEX(记账汇率区,0,MATCH($D1171,汇率币种头,0))&lt;&gt;"")),INDEX(记账汇率区,0,MATCH($D1171,汇率币种头,0))),""))))</f>
        <v/>
      </c>
      <c r="K1171" s="23" t="str">
        <f t="shared" si="36"/>
        <v/>
      </c>
      <c r="L1171" s="23" t="str">
        <f t="shared" si="37"/>
        <v/>
      </c>
      <c r="M1171" s="23" t="str">
        <f>IF($B1171="","",ROUND(SUMIF(账户名,$B1171,账户期初)+SUMIFS($K$6:K1171,$B$6:B1171,$B1171),2))</f>
        <v/>
      </c>
      <c r="N1171" s="23" t="str">
        <f>IF($B1171="","",IFERROR(ROUND(INDEX(账户期初本位,MATCH($B1171,账户名,0))+SUMIFS($L$6:L1171,$B$6:B1171,$B1171),2),""))</f>
        <v/>
      </c>
      <c r="O1171" s="46"/>
      <c r="P1171" s="47"/>
      <c r="Q1171" s="46"/>
      <c r="R1171" s="46"/>
      <c r="S1171" s="6" t="str">
        <f>IF($B1171="","",IF(ISNA(MATCH($B1171,账户名,0)),"※这个账户不在【参数设置】的账户档案里",IF($A1171="","※没填日期，这一笔不会进任何月份的报表",IF(AND($G1171&lt;&gt;"",$H1171&lt;&gt;""),"※收入和支出不能同时填",IF(AND(N($G1171)=0,N($H1171)=0),"※收入和支出都没填",IF($E1171="","※没填收支类别，分类报表会漏掉这一笔",IF(ISNA(MATCH($E1171,类别表,0)),"※收支类别不在【参数设置】的清单里",IF($J1171="","△"&amp;$D1171&amp;" 还没填汇率，去【月度汇率】补上就自动算了",IF(YEAR($A1171)&lt;&gt;管理年度,"△不是管理年度的单据，年报里看不到",IF(AND($F1171="内部转账",$Q1171=""),"△内部转账建议在「往来单位」写上对方账户",IF($M1171&lt;0,"△这一笔之后该账户余额成负数了，核一下","")))))))))))</f>
        <v/>
      </c>
    </row>
    <row r="1172" ht="16.5" spans="1:19">
      <c r="A1172" s="45"/>
      <c r="B1172" s="46"/>
      <c r="C1172" s="12" t="str">
        <f>IF($B1172="","",IFERROR(INDEX(账户银行,MATCH($B1172,账户名,0)),""))</f>
        <v/>
      </c>
      <c r="D1172" s="12" t="str">
        <f>IF($B1172="","",IFERROR(INDEX(账户币种,MATCH($B1172,账户名,0)),""))</f>
        <v/>
      </c>
      <c r="E1172" s="47"/>
      <c r="F1172" s="12" t="str">
        <f>IF($E1172="","",IFERROR(INDEX(类别属性,MATCH($E1172,类别表,0)),""))</f>
        <v/>
      </c>
      <c r="G1172" s="48"/>
      <c r="H1172" s="48"/>
      <c r="I1172" s="49"/>
      <c r="J1172" s="24" t="str">
        <f>IF(OR($A1172="",$B1172=""),"",IF($I1172&lt;&gt;"",$I1172,IF($D1172=本位币,1,IFERROR(LOOKUP(2,1/((汇率月份&lt;=$A1172)*(INDEX(记账汇率区,0,MATCH($D1172,汇率币种头,0))&lt;&gt;"")),INDEX(记账汇率区,0,MATCH($D1172,汇率币种头,0))),""))))</f>
        <v/>
      </c>
      <c r="K1172" s="23" t="str">
        <f t="shared" si="36"/>
        <v/>
      </c>
      <c r="L1172" s="23" t="str">
        <f t="shared" si="37"/>
        <v/>
      </c>
      <c r="M1172" s="23" t="str">
        <f>IF($B1172="","",ROUND(SUMIF(账户名,$B1172,账户期初)+SUMIFS($K$6:K1172,$B$6:B1172,$B1172),2))</f>
        <v/>
      </c>
      <c r="N1172" s="23" t="str">
        <f>IF($B1172="","",IFERROR(ROUND(INDEX(账户期初本位,MATCH($B1172,账户名,0))+SUMIFS($L$6:L1172,$B$6:B1172,$B1172),2),""))</f>
        <v/>
      </c>
      <c r="O1172" s="46"/>
      <c r="P1172" s="47"/>
      <c r="Q1172" s="46"/>
      <c r="R1172" s="46"/>
      <c r="S1172" s="6" t="str">
        <f>IF($B1172="","",IF(ISNA(MATCH($B1172,账户名,0)),"※这个账户不在【参数设置】的账户档案里",IF($A1172="","※没填日期，这一笔不会进任何月份的报表",IF(AND($G1172&lt;&gt;"",$H1172&lt;&gt;""),"※收入和支出不能同时填",IF(AND(N($G1172)=0,N($H1172)=0),"※收入和支出都没填",IF($E1172="","※没填收支类别，分类报表会漏掉这一笔",IF(ISNA(MATCH($E1172,类别表,0)),"※收支类别不在【参数设置】的清单里",IF($J1172="","△"&amp;$D1172&amp;" 还没填汇率，去【月度汇率】补上就自动算了",IF(YEAR($A1172)&lt;&gt;管理年度,"△不是管理年度的单据，年报里看不到",IF(AND($F1172="内部转账",$Q1172=""),"△内部转账建议在「往来单位」写上对方账户",IF($M1172&lt;0,"△这一笔之后该账户余额成负数了，核一下","")))))))))))</f>
        <v/>
      </c>
    </row>
    <row r="1173" ht="16.5" spans="1:19">
      <c r="A1173" s="45"/>
      <c r="B1173" s="46"/>
      <c r="C1173" s="12" t="str">
        <f>IF($B1173="","",IFERROR(INDEX(账户银行,MATCH($B1173,账户名,0)),""))</f>
        <v/>
      </c>
      <c r="D1173" s="12" t="str">
        <f>IF($B1173="","",IFERROR(INDEX(账户币种,MATCH($B1173,账户名,0)),""))</f>
        <v/>
      </c>
      <c r="E1173" s="47"/>
      <c r="F1173" s="12" t="str">
        <f>IF($E1173="","",IFERROR(INDEX(类别属性,MATCH($E1173,类别表,0)),""))</f>
        <v/>
      </c>
      <c r="G1173" s="48"/>
      <c r="H1173" s="48"/>
      <c r="I1173" s="49"/>
      <c r="J1173" s="24" t="str">
        <f>IF(OR($A1173="",$B1173=""),"",IF($I1173&lt;&gt;"",$I1173,IF($D1173=本位币,1,IFERROR(LOOKUP(2,1/((汇率月份&lt;=$A1173)*(INDEX(记账汇率区,0,MATCH($D1173,汇率币种头,0))&lt;&gt;"")),INDEX(记账汇率区,0,MATCH($D1173,汇率币种头,0))),""))))</f>
        <v/>
      </c>
      <c r="K1173" s="23" t="str">
        <f t="shared" si="36"/>
        <v/>
      </c>
      <c r="L1173" s="23" t="str">
        <f t="shared" si="37"/>
        <v/>
      </c>
      <c r="M1173" s="23" t="str">
        <f>IF($B1173="","",ROUND(SUMIF(账户名,$B1173,账户期初)+SUMIFS($K$6:K1173,$B$6:B1173,$B1173),2))</f>
        <v/>
      </c>
      <c r="N1173" s="23" t="str">
        <f>IF($B1173="","",IFERROR(ROUND(INDEX(账户期初本位,MATCH($B1173,账户名,0))+SUMIFS($L$6:L1173,$B$6:B1173,$B1173),2),""))</f>
        <v/>
      </c>
      <c r="O1173" s="46"/>
      <c r="P1173" s="47"/>
      <c r="Q1173" s="46"/>
      <c r="R1173" s="46"/>
      <c r="S1173" s="6" t="str">
        <f>IF($B1173="","",IF(ISNA(MATCH($B1173,账户名,0)),"※这个账户不在【参数设置】的账户档案里",IF($A1173="","※没填日期，这一笔不会进任何月份的报表",IF(AND($G1173&lt;&gt;"",$H1173&lt;&gt;""),"※收入和支出不能同时填",IF(AND(N($G1173)=0,N($H1173)=0),"※收入和支出都没填",IF($E1173="","※没填收支类别，分类报表会漏掉这一笔",IF(ISNA(MATCH($E1173,类别表,0)),"※收支类别不在【参数设置】的清单里",IF($J1173="","△"&amp;$D1173&amp;" 还没填汇率，去【月度汇率】补上就自动算了",IF(YEAR($A1173)&lt;&gt;管理年度,"△不是管理年度的单据，年报里看不到",IF(AND($F1173="内部转账",$Q1173=""),"△内部转账建议在「往来单位」写上对方账户",IF($M1173&lt;0,"△这一笔之后该账户余额成负数了，核一下","")))))))))))</f>
        <v/>
      </c>
    </row>
    <row r="1174" ht="16.5" spans="1:19">
      <c r="A1174" s="45"/>
      <c r="B1174" s="46"/>
      <c r="C1174" s="12" t="str">
        <f>IF($B1174="","",IFERROR(INDEX(账户银行,MATCH($B1174,账户名,0)),""))</f>
        <v/>
      </c>
      <c r="D1174" s="12" t="str">
        <f>IF($B1174="","",IFERROR(INDEX(账户币种,MATCH($B1174,账户名,0)),""))</f>
        <v/>
      </c>
      <c r="E1174" s="47"/>
      <c r="F1174" s="12" t="str">
        <f>IF($E1174="","",IFERROR(INDEX(类别属性,MATCH($E1174,类别表,0)),""))</f>
        <v/>
      </c>
      <c r="G1174" s="48"/>
      <c r="H1174" s="48"/>
      <c r="I1174" s="49"/>
      <c r="J1174" s="24" t="str">
        <f>IF(OR($A1174="",$B1174=""),"",IF($I1174&lt;&gt;"",$I1174,IF($D1174=本位币,1,IFERROR(LOOKUP(2,1/((汇率月份&lt;=$A1174)*(INDEX(记账汇率区,0,MATCH($D1174,汇率币种头,0))&lt;&gt;"")),INDEX(记账汇率区,0,MATCH($D1174,汇率币种头,0))),""))))</f>
        <v/>
      </c>
      <c r="K1174" s="23" t="str">
        <f t="shared" si="36"/>
        <v/>
      </c>
      <c r="L1174" s="23" t="str">
        <f t="shared" si="37"/>
        <v/>
      </c>
      <c r="M1174" s="23" t="str">
        <f>IF($B1174="","",ROUND(SUMIF(账户名,$B1174,账户期初)+SUMIFS($K$6:K1174,$B$6:B1174,$B1174),2))</f>
        <v/>
      </c>
      <c r="N1174" s="23" t="str">
        <f>IF($B1174="","",IFERROR(ROUND(INDEX(账户期初本位,MATCH($B1174,账户名,0))+SUMIFS($L$6:L1174,$B$6:B1174,$B1174),2),""))</f>
        <v/>
      </c>
      <c r="O1174" s="46"/>
      <c r="P1174" s="47"/>
      <c r="Q1174" s="46"/>
      <c r="R1174" s="46"/>
      <c r="S1174" s="6" t="str">
        <f>IF($B1174="","",IF(ISNA(MATCH($B1174,账户名,0)),"※这个账户不在【参数设置】的账户档案里",IF($A1174="","※没填日期，这一笔不会进任何月份的报表",IF(AND($G1174&lt;&gt;"",$H1174&lt;&gt;""),"※收入和支出不能同时填",IF(AND(N($G1174)=0,N($H1174)=0),"※收入和支出都没填",IF($E1174="","※没填收支类别，分类报表会漏掉这一笔",IF(ISNA(MATCH($E1174,类别表,0)),"※收支类别不在【参数设置】的清单里",IF($J1174="","△"&amp;$D1174&amp;" 还没填汇率，去【月度汇率】补上就自动算了",IF(YEAR($A1174)&lt;&gt;管理年度,"△不是管理年度的单据，年报里看不到",IF(AND($F1174="内部转账",$Q1174=""),"△内部转账建议在「往来单位」写上对方账户",IF($M1174&lt;0,"△这一笔之后该账户余额成负数了，核一下","")))))))))))</f>
        <v/>
      </c>
    </row>
    <row r="1175" ht="16.5" spans="1:19">
      <c r="A1175" s="45"/>
      <c r="B1175" s="46"/>
      <c r="C1175" s="12" t="str">
        <f>IF($B1175="","",IFERROR(INDEX(账户银行,MATCH($B1175,账户名,0)),""))</f>
        <v/>
      </c>
      <c r="D1175" s="12" t="str">
        <f>IF($B1175="","",IFERROR(INDEX(账户币种,MATCH($B1175,账户名,0)),""))</f>
        <v/>
      </c>
      <c r="E1175" s="47"/>
      <c r="F1175" s="12" t="str">
        <f>IF($E1175="","",IFERROR(INDEX(类别属性,MATCH($E1175,类别表,0)),""))</f>
        <v/>
      </c>
      <c r="G1175" s="48"/>
      <c r="H1175" s="48"/>
      <c r="I1175" s="49"/>
      <c r="J1175" s="24" t="str">
        <f>IF(OR($A1175="",$B1175=""),"",IF($I1175&lt;&gt;"",$I1175,IF($D1175=本位币,1,IFERROR(LOOKUP(2,1/((汇率月份&lt;=$A1175)*(INDEX(记账汇率区,0,MATCH($D1175,汇率币种头,0))&lt;&gt;"")),INDEX(记账汇率区,0,MATCH($D1175,汇率币种头,0))),""))))</f>
        <v/>
      </c>
      <c r="K1175" s="23" t="str">
        <f t="shared" si="36"/>
        <v/>
      </c>
      <c r="L1175" s="23" t="str">
        <f t="shared" si="37"/>
        <v/>
      </c>
      <c r="M1175" s="23" t="str">
        <f>IF($B1175="","",ROUND(SUMIF(账户名,$B1175,账户期初)+SUMIFS($K$6:K1175,$B$6:B1175,$B1175),2))</f>
        <v/>
      </c>
      <c r="N1175" s="23" t="str">
        <f>IF($B1175="","",IFERROR(ROUND(INDEX(账户期初本位,MATCH($B1175,账户名,0))+SUMIFS($L$6:L1175,$B$6:B1175,$B1175),2),""))</f>
        <v/>
      </c>
      <c r="O1175" s="46"/>
      <c r="P1175" s="47"/>
      <c r="Q1175" s="46"/>
      <c r="R1175" s="46"/>
      <c r="S1175" s="6" t="str">
        <f>IF($B1175="","",IF(ISNA(MATCH($B1175,账户名,0)),"※这个账户不在【参数设置】的账户档案里",IF($A1175="","※没填日期，这一笔不会进任何月份的报表",IF(AND($G1175&lt;&gt;"",$H1175&lt;&gt;""),"※收入和支出不能同时填",IF(AND(N($G1175)=0,N($H1175)=0),"※收入和支出都没填",IF($E1175="","※没填收支类别，分类报表会漏掉这一笔",IF(ISNA(MATCH($E1175,类别表,0)),"※收支类别不在【参数设置】的清单里",IF($J1175="","△"&amp;$D1175&amp;" 还没填汇率，去【月度汇率】补上就自动算了",IF(YEAR($A1175)&lt;&gt;管理年度,"△不是管理年度的单据，年报里看不到",IF(AND($F1175="内部转账",$Q1175=""),"△内部转账建议在「往来单位」写上对方账户",IF($M1175&lt;0,"△这一笔之后该账户余额成负数了，核一下","")))))))))))</f>
        <v/>
      </c>
    </row>
    <row r="1176" ht="16.5" spans="1:19">
      <c r="A1176" s="45"/>
      <c r="B1176" s="46"/>
      <c r="C1176" s="12" t="str">
        <f>IF($B1176="","",IFERROR(INDEX(账户银行,MATCH($B1176,账户名,0)),""))</f>
        <v/>
      </c>
      <c r="D1176" s="12" t="str">
        <f>IF($B1176="","",IFERROR(INDEX(账户币种,MATCH($B1176,账户名,0)),""))</f>
        <v/>
      </c>
      <c r="E1176" s="47"/>
      <c r="F1176" s="12" t="str">
        <f>IF($E1176="","",IFERROR(INDEX(类别属性,MATCH($E1176,类别表,0)),""))</f>
        <v/>
      </c>
      <c r="G1176" s="48"/>
      <c r="H1176" s="48"/>
      <c r="I1176" s="49"/>
      <c r="J1176" s="24" t="str">
        <f>IF(OR($A1176="",$B1176=""),"",IF($I1176&lt;&gt;"",$I1176,IF($D1176=本位币,1,IFERROR(LOOKUP(2,1/((汇率月份&lt;=$A1176)*(INDEX(记账汇率区,0,MATCH($D1176,汇率币种头,0))&lt;&gt;"")),INDEX(记账汇率区,0,MATCH($D1176,汇率币种头,0))),""))))</f>
        <v/>
      </c>
      <c r="K1176" s="23" t="str">
        <f t="shared" si="36"/>
        <v/>
      </c>
      <c r="L1176" s="23" t="str">
        <f t="shared" si="37"/>
        <v/>
      </c>
      <c r="M1176" s="23" t="str">
        <f>IF($B1176="","",ROUND(SUMIF(账户名,$B1176,账户期初)+SUMIFS($K$6:K1176,$B$6:B1176,$B1176),2))</f>
        <v/>
      </c>
      <c r="N1176" s="23" t="str">
        <f>IF($B1176="","",IFERROR(ROUND(INDEX(账户期初本位,MATCH($B1176,账户名,0))+SUMIFS($L$6:L1176,$B$6:B1176,$B1176),2),""))</f>
        <v/>
      </c>
      <c r="O1176" s="46"/>
      <c r="P1176" s="47"/>
      <c r="Q1176" s="46"/>
      <c r="R1176" s="46"/>
      <c r="S1176" s="6" t="str">
        <f>IF($B1176="","",IF(ISNA(MATCH($B1176,账户名,0)),"※这个账户不在【参数设置】的账户档案里",IF($A1176="","※没填日期，这一笔不会进任何月份的报表",IF(AND($G1176&lt;&gt;"",$H1176&lt;&gt;""),"※收入和支出不能同时填",IF(AND(N($G1176)=0,N($H1176)=0),"※收入和支出都没填",IF($E1176="","※没填收支类别，分类报表会漏掉这一笔",IF(ISNA(MATCH($E1176,类别表,0)),"※收支类别不在【参数设置】的清单里",IF($J1176="","△"&amp;$D1176&amp;" 还没填汇率，去【月度汇率】补上就自动算了",IF(YEAR($A1176)&lt;&gt;管理年度,"△不是管理年度的单据，年报里看不到",IF(AND($F1176="内部转账",$Q1176=""),"△内部转账建议在「往来单位」写上对方账户",IF($M1176&lt;0,"△这一笔之后该账户余额成负数了，核一下","")))))))))))</f>
        <v/>
      </c>
    </row>
    <row r="1177" ht="16.5" spans="1:19">
      <c r="A1177" s="45"/>
      <c r="B1177" s="46"/>
      <c r="C1177" s="12" t="str">
        <f>IF($B1177="","",IFERROR(INDEX(账户银行,MATCH($B1177,账户名,0)),""))</f>
        <v/>
      </c>
      <c r="D1177" s="12" t="str">
        <f>IF($B1177="","",IFERROR(INDEX(账户币种,MATCH($B1177,账户名,0)),""))</f>
        <v/>
      </c>
      <c r="E1177" s="47"/>
      <c r="F1177" s="12" t="str">
        <f>IF($E1177="","",IFERROR(INDEX(类别属性,MATCH($E1177,类别表,0)),""))</f>
        <v/>
      </c>
      <c r="G1177" s="48"/>
      <c r="H1177" s="48"/>
      <c r="I1177" s="49"/>
      <c r="J1177" s="24" t="str">
        <f>IF(OR($A1177="",$B1177=""),"",IF($I1177&lt;&gt;"",$I1177,IF($D1177=本位币,1,IFERROR(LOOKUP(2,1/((汇率月份&lt;=$A1177)*(INDEX(记账汇率区,0,MATCH($D1177,汇率币种头,0))&lt;&gt;"")),INDEX(记账汇率区,0,MATCH($D1177,汇率币种头,0))),""))))</f>
        <v/>
      </c>
      <c r="K1177" s="23" t="str">
        <f t="shared" si="36"/>
        <v/>
      </c>
      <c r="L1177" s="23" t="str">
        <f t="shared" si="37"/>
        <v/>
      </c>
      <c r="M1177" s="23" t="str">
        <f>IF($B1177="","",ROUND(SUMIF(账户名,$B1177,账户期初)+SUMIFS($K$6:K1177,$B$6:B1177,$B1177),2))</f>
        <v/>
      </c>
      <c r="N1177" s="23" t="str">
        <f>IF($B1177="","",IFERROR(ROUND(INDEX(账户期初本位,MATCH($B1177,账户名,0))+SUMIFS($L$6:L1177,$B$6:B1177,$B1177),2),""))</f>
        <v/>
      </c>
      <c r="O1177" s="46"/>
      <c r="P1177" s="47"/>
      <c r="Q1177" s="46"/>
      <c r="R1177" s="46"/>
      <c r="S1177" s="6" t="str">
        <f>IF($B1177="","",IF(ISNA(MATCH($B1177,账户名,0)),"※这个账户不在【参数设置】的账户档案里",IF($A1177="","※没填日期，这一笔不会进任何月份的报表",IF(AND($G1177&lt;&gt;"",$H1177&lt;&gt;""),"※收入和支出不能同时填",IF(AND(N($G1177)=0,N($H1177)=0),"※收入和支出都没填",IF($E1177="","※没填收支类别，分类报表会漏掉这一笔",IF(ISNA(MATCH($E1177,类别表,0)),"※收支类别不在【参数设置】的清单里",IF($J1177="","△"&amp;$D1177&amp;" 还没填汇率，去【月度汇率】补上就自动算了",IF(YEAR($A1177)&lt;&gt;管理年度,"△不是管理年度的单据，年报里看不到",IF(AND($F1177="内部转账",$Q1177=""),"△内部转账建议在「往来单位」写上对方账户",IF($M1177&lt;0,"△这一笔之后该账户余额成负数了，核一下","")))))))))))</f>
        <v/>
      </c>
    </row>
    <row r="1178" ht="16.5" spans="1:19">
      <c r="A1178" s="45"/>
      <c r="B1178" s="46"/>
      <c r="C1178" s="12" t="str">
        <f>IF($B1178="","",IFERROR(INDEX(账户银行,MATCH($B1178,账户名,0)),""))</f>
        <v/>
      </c>
      <c r="D1178" s="12" t="str">
        <f>IF($B1178="","",IFERROR(INDEX(账户币种,MATCH($B1178,账户名,0)),""))</f>
        <v/>
      </c>
      <c r="E1178" s="47"/>
      <c r="F1178" s="12" t="str">
        <f>IF($E1178="","",IFERROR(INDEX(类别属性,MATCH($E1178,类别表,0)),""))</f>
        <v/>
      </c>
      <c r="G1178" s="48"/>
      <c r="H1178" s="48"/>
      <c r="I1178" s="49"/>
      <c r="J1178" s="24" t="str">
        <f>IF(OR($A1178="",$B1178=""),"",IF($I1178&lt;&gt;"",$I1178,IF($D1178=本位币,1,IFERROR(LOOKUP(2,1/((汇率月份&lt;=$A1178)*(INDEX(记账汇率区,0,MATCH($D1178,汇率币种头,0))&lt;&gt;"")),INDEX(记账汇率区,0,MATCH($D1178,汇率币种头,0))),""))))</f>
        <v/>
      </c>
      <c r="K1178" s="23" t="str">
        <f t="shared" si="36"/>
        <v/>
      </c>
      <c r="L1178" s="23" t="str">
        <f t="shared" si="37"/>
        <v/>
      </c>
      <c r="M1178" s="23" t="str">
        <f>IF($B1178="","",ROUND(SUMIF(账户名,$B1178,账户期初)+SUMIFS($K$6:K1178,$B$6:B1178,$B1178),2))</f>
        <v/>
      </c>
      <c r="N1178" s="23" t="str">
        <f>IF($B1178="","",IFERROR(ROUND(INDEX(账户期初本位,MATCH($B1178,账户名,0))+SUMIFS($L$6:L1178,$B$6:B1178,$B1178),2),""))</f>
        <v/>
      </c>
      <c r="O1178" s="46"/>
      <c r="P1178" s="47"/>
      <c r="Q1178" s="46"/>
      <c r="R1178" s="46"/>
      <c r="S1178" s="6" t="str">
        <f>IF($B1178="","",IF(ISNA(MATCH($B1178,账户名,0)),"※这个账户不在【参数设置】的账户档案里",IF($A1178="","※没填日期，这一笔不会进任何月份的报表",IF(AND($G1178&lt;&gt;"",$H1178&lt;&gt;""),"※收入和支出不能同时填",IF(AND(N($G1178)=0,N($H1178)=0),"※收入和支出都没填",IF($E1178="","※没填收支类别，分类报表会漏掉这一笔",IF(ISNA(MATCH($E1178,类别表,0)),"※收支类别不在【参数设置】的清单里",IF($J1178="","△"&amp;$D1178&amp;" 还没填汇率，去【月度汇率】补上就自动算了",IF(YEAR($A1178)&lt;&gt;管理年度,"△不是管理年度的单据，年报里看不到",IF(AND($F1178="内部转账",$Q1178=""),"△内部转账建议在「往来单位」写上对方账户",IF($M1178&lt;0,"△这一笔之后该账户余额成负数了，核一下","")))))))))))</f>
        <v/>
      </c>
    </row>
    <row r="1179" ht="16.5" spans="1:19">
      <c r="A1179" s="45"/>
      <c r="B1179" s="46"/>
      <c r="C1179" s="12" t="str">
        <f>IF($B1179="","",IFERROR(INDEX(账户银行,MATCH($B1179,账户名,0)),""))</f>
        <v/>
      </c>
      <c r="D1179" s="12" t="str">
        <f>IF($B1179="","",IFERROR(INDEX(账户币种,MATCH($B1179,账户名,0)),""))</f>
        <v/>
      </c>
      <c r="E1179" s="47"/>
      <c r="F1179" s="12" t="str">
        <f>IF($E1179="","",IFERROR(INDEX(类别属性,MATCH($E1179,类别表,0)),""))</f>
        <v/>
      </c>
      <c r="G1179" s="48"/>
      <c r="H1179" s="48"/>
      <c r="I1179" s="49"/>
      <c r="J1179" s="24" t="str">
        <f>IF(OR($A1179="",$B1179=""),"",IF($I1179&lt;&gt;"",$I1179,IF($D1179=本位币,1,IFERROR(LOOKUP(2,1/((汇率月份&lt;=$A1179)*(INDEX(记账汇率区,0,MATCH($D1179,汇率币种头,0))&lt;&gt;"")),INDEX(记账汇率区,0,MATCH($D1179,汇率币种头,0))),""))))</f>
        <v/>
      </c>
      <c r="K1179" s="23" t="str">
        <f t="shared" si="36"/>
        <v/>
      </c>
      <c r="L1179" s="23" t="str">
        <f t="shared" si="37"/>
        <v/>
      </c>
      <c r="M1179" s="23" t="str">
        <f>IF($B1179="","",ROUND(SUMIF(账户名,$B1179,账户期初)+SUMIFS($K$6:K1179,$B$6:B1179,$B1179),2))</f>
        <v/>
      </c>
      <c r="N1179" s="23" t="str">
        <f>IF($B1179="","",IFERROR(ROUND(INDEX(账户期初本位,MATCH($B1179,账户名,0))+SUMIFS($L$6:L1179,$B$6:B1179,$B1179),2),""))</f>
        <v/>
      </c>
      <c r="O1179" s="46"/>
      <c r="P1179" s="47"/>
      <c r="Q1179" s="46"/>
      <c r="R1179" s="46"/>
      <c r="S1179" s="6" t="str">
        <f>IF($B1179="","",IF(ISNA(MATCH($B1179,账户名,0)),"※这个账户不在【参数设置】的账户档案里",IF($A1179="","※没填日期，这一笔不会进任何月份的报表",IF(AND($G1179&lt;&gt;"",$H1179&lt;&gt;""),"※收入和支出不能同时填",IF(AND(N($G1179)=0,N($H1179)=0),"※收入和支出都没填",IF($E1179="","※没填收支类别，分类报表会漏掉这一笔",IF(ISNA(MATCH($E1179,类别表,0)),"※收支类别不在【参数设置】的清单里",IF($J1179="","△"&amp;$D1179&amp;" 还没填汇率，去【月度汇率】补上就自动算了",IF(YEAR($A1179)&lt;&gt;管理年度,"△不是管理年度的单据，年报里看不到",IF(AND($F1179="内部转账",$Q1179=""),"△内部转账建议在「往来单位」写上对方账户",IF($M1179&lt;0,"△这一笔之后该账户余额成负数了，核一下","")))))))))))</f>
        <v/>
      </c>
    </row>
    <row r="1180" ht="16.5" spans="1:19">
      <c r="A1180" s="45"/>
      <c r="B1180" s="46"/>
      <c r="C1180" s="12" t="str">
        <f>IF($B1180="","",IFERROR(INDEX(账户银行,MATCH($B1180,账户名,0)),""))</f>
        <v/>
      </c>
      <c r="D1180" s="12" t="str">
        <f>IF($B1180="","",IFERROR(INDEX(账户币种,MATCH($B1180,账户名,0)),""))</f>
        <v/>
      </c>
      <c r="E1180" s="47"/>
      <c r="F1180" s="12" t="str">
        <f>IF($E1180="","",IFERROR(INDEX(类别属性,MATCH($E1180,类别表,0)),""))</f>
        <v/>
      </c>
      <c r="G1180" s="48"/>
      <c r="H1180" s="48"/>
      <c r="I1180" s="49"/>
      <c r="J1180" s="24" t="str">
        <f>IF(OR($A1180="",$B1180=""),"",IF($I1180&lt;&gt;"",$I1180,IF($D1180=本位币,1,IFERROR(LOOKUP(2,1/((汇率月份&lt;=$A1180)*(INDEX(记账汇率区,0,MATCH($D1180,汇率币种头,0))&lt;&gt;"")),INDEX(记账汇率区,0,MATCH($D1180,汇率币种头,0))),""))))</f>
        <v/>
      </c>
      <c r="K1180" s="23" t="str">
        <f t="shared" si="36"/>
        <v/>
      </c>
      <c r="L1180" s="23" t="str">
        <f t="shared" si="37"/>
        <v/>
      </c>
      <c r="M1180" s="23" t="str">
        <f>IF($B1180="","",ROUND(SUMIF(账户名,$B1180,账户期初)+SUMIFS($K$6:K1180,$B$6:B1180,$B1180),2))</f>
        <v/>
      </c>
      <c r="N1180" s="23" t="str">
        <f>IF($B1180="","",IFERROR(ROUND(INDEX(账户期初本位,MATCH($B1180,账户名,0))+SUMIFS($L$6:L1180,$B$6:B1180,$B1180),2),""))</f>
        <v/>
      </c>
      <c r="O1180" s="46"/>
      <c r="P1180" s="47"/>
      <c r="Q1180" s="46"/>
      <c r="R1180" s="46"/>
      <c r="S1180" s="6" t="str">
        <f>IF($B1180="","",IF(ISNA(MATCH($B1180,账户名,0)),"※这个账户不在【参数设置】的账户档案里",IF($A1180="","※没填日期，这一笔不会进任何月份的报表",IF(AND($G1180&lt;&gt;"",$H1180&lt;&gt;""),"※收入和支出不能同时填",IF(AND(N($G1180)=0,N($H1180)=0),"※收入和支出都没填",IF($E1180="","※没填收支类别，分类报表会漏掉这一笔",IF(ISNA(MATCH($E1180,类别表,0)),"※收支类别不在【参数设置】的清单里",IF($J1180="","△"&amp;$D1180&amp;" 还没填汇率，去【月度汇率】补上就自动算了",IF(YEAR($A1180)&lt;&gt;管理年度,"△不是管理年度的单据，年报里看不到",IF(AND($F1180="内部转账",$Q1180=""),"△内部转账建议在「往来单位」写上对方账户",IF($M1180&lt;0,"△这一笔之后该账户余额成负数了，核一下","")))))))))))</f>
        <v/>
      </c>
    </row>
    <row r="1181" ht="16.5" spans="1:19">
      <c r="A1181" s="45"/>
      <c r="B1181" s="46"/>
      <c r="C1181" s="12" t="str">
        <f>IF($B1181="","",IFERROR(INDEX(账户银行,MATCH($B1181,账户名,0)),""))</f>
        <v/>
      </c>
      <c r="D1181" s="12" t="str">
        <f>IF($B1181="","",IFERROR(INDEX(账户币种,MATCH($B1181,账户名,0)),""))</f>
        <v/>
      </c>
      <c r="E1181" s="47"/>
      <c r="F1181" s="12" t="str">
        <f>IF($E1181="","",IFERROR(INDEX(类别属性,MATCH($E1181,类别表,0)),""))</f>
        <v/>
      </c>
      <c r="G1181" s="48"/>
      <c r="H1181" s="48"/>
      <c r="I1181" s="49"/>
      <c r="J1181" s="24" t="str">
        <f>IF(OR($A1181="",$B1181=""),"",IF($I1181&lt;&gt;"",$I1181,IF($D1181=本位币,1,IFERROR(LOOKUP(2,1/((汇率月份&lt;=$A1181)*(INDEX(记账汇率区,0,MATCH($D1181,汇率币种头,0))&lt;&gt;"")),INDEX(记账汇率区,0,MATCH($D1181,汇率币种头,0))),""))))</f>
        <v/>
      </c>
      <c r="K1181" s="23" t="str">
        <f t="shared" si="36"/>
        <v/>
      </c>
      <c r="L1181" s="23" t="str">
        <f t="shared" si="37"/>
        <v/>
      </c>
      <c r="M1181" s="23" t="str">
        <f>IF($B1181="","",ROUND(SUMIF(账户名,$B1181,账户期初)+SUMIFS($K$6:K1181,$B$6:B1181,$B1181),2))</f>
        <v/>
      </c>
      <c r="N1181" s="23" t="str">
        <f>IF($B1181="","",IFERROR(ROUND(INDEX(账户期初本位,MATCH($B1181,账户名,0))+SUMIFS($L$6:L1181,$B$6:B1181,$B1181),2),""))</f>
        <v/>
      </c>
      <c r="O1181" s="46"/>
      <c r="P1181" s="47"/>
      <c r="Q1181" s="46"/>
      <c r="R1181" s="46"/>
      <c r="S1181" s="6" t="str">
        <f>IF($B1181="","",IF(ISNA(MATCH($B1181,账户名,0)),"※这个账户不在【参数设置】的账户档案里",IF($A1181="","※没填日期，这一笔不会进任何月份的报表",IF(AND($G1181&lt;&gt;"",$H1181&lt;&gt;""),"※收入和支出不能同时填",IF(AND(N($G1181)=0,N($H1181)=0),"※收入和支出都没填",IF($E1181="","※没填收支类别，分类报表会漏掉这一笔",IF(ISNA(MATCH($E1181,类别表,0)),"※收支类别不在【参数设置】的清单里",IF($J1181="","△"&amp;$D1181&amp;" 还没填汇率，去【月度汇率】补上就自动算了",IF(YEAR($A1181)&lt;&gt;管理年度,"△不是管理年度的单据，年报里看不到",IF(AND($F1181="内部转账",$Q1181=""),"△内部转账建议在「往来单位」写上对方账户",IF($M1181&lt;0,"△这一笔之后该账户余额成负数了，核一下","")))))))))))</f>
        <v/>
      </c>
    </row>
    <row r="1182" ht="16.5" spans="1:19">
      <c r="A1182" s="45"/>
      <c r="B1182" s="46"/>
      <c r="C1182" s="12" t="str">
        <f>IF($B1182="","",IFERROR(INDEX(账户银行,MATCH($B1182,账户名,0)),""))</f>
        <v/>
      </c>
      <c r="D1182" s="12" t="str">
        <f>IF($B1182="","",IFERROR(INDEX(账户币种,MATCH($B1182,账户名,0)),""))</f>
        <v/>
      </c>
      <c r="E1182" s="47"/>
      <c r="F1182" s="12" t="str">
        <f>IF($E1182="","",IFERROR(INDEX(类别属性,MATCH($E1182,类别表,0)),""))</f>
        <v/>
      </c>
      <c r="G1182" s="48"/>
      <c r="H1182" s="48"/>
      <c r="I1182" s="49"/>
      <c r="J1182" s="24" t="str">
        <f>IF(OR($A1182="",$B1182=""),"",IF($I1182&lt;&gt;"",$I1182,IF($D1182=本位币,1,IFERROR(LOOKUP(2,1/((汇率月份&lt;=$A1182)*(INDEX(记账汇率区,0,MATCH($D1182,汇率币种头,0))&lt;&gt;"")),INDEX(记账汇率区,0,MATCH($D1182,汇率币种头,0))),""))))</f>
        <v/>
      </c>
      <c r="K1182" s="23" t="str">
        <f t="shared" si="36"/>
        <v/>
      </c>
      <c r="L1182" s="23" t="str">
        <f t="shared" si="37"/>
        <v/>
      </c>
      <c r="M1182" s="23" t="str">
        <f>IF($B1182="","",ROUND(SUMIF(账户名,$B1182,账户期初)+SUMIFS($K$6:K1182,$B$6:B1182,$B1182),2))</f>
        <v/>
      </c>
      <c r="N1182" s="23" t="str">
        <f>IF($B1182="","",IFERROR(ROUND(INDEX(账户期初本位,MATCH($B1182,账户名,0))+SUMIFS($L$6:L1182,$B$6:B1182,$B1182),2),""))</f>
        <v/>
      </c>
      <c r="O1182" s="46"/>
      <c r="P1182" s="47"/>
      <c r="Q1182" s="46"/>
      <c r="R1182" s="46"/>
      <c r="S1182" s="6" t="str">
        <f>IF($B1182="","",IF(ISNA(MATCH($B1182,账户名,0)),"※这个账户不在【参数设置】的账户档案里",IF($A1182="","※没填日期，这一笔不会进任何月份的报表",IF(AND($G1182&lt;&gt;"",$H1182&lt;&gt;""),"※收入和支出不能同时填",IF(AND(N($G1182)=0,N($H1182)=0),"※收入和支出都没填",IF($E1182="","※没填收支类别，分类报表会漏掉这一笔",IF(ISNA(MATCH($E1182,类别表,0)),"※收支类别不在【参数设置】的清单里",IF($J1182="","△"&amp;$D1182&amp;" 还没填汇率，去【月度汇率】补上就自动算了",IF(YEAR($A1182)&lt;&gt;管理年度,"△不是管理年度的单据，年报里看不到",IF(AND($F1182="内部转账",$Q1182=""),"△内部转账建议在「往来单位」写上对方账户",IF($M1182&lt;0,"△这一笔之后该账户余额成负数了，核一下","")))))))))))</f>
        <v/>
      </c>
    </row>
    <row r="1183" ht="16.5" spans="1:19">
      <c r="A1183" s="45"/>
      <c r="B1183" s="46"/>
      <c r="C1183" s="12" t="str">
        <f>IF($B1183="","",IFERROR(INDEX(账户银行,MATCH($B1183,账户名,0)),""))</f>
        <v/>
      </c>
      <c r="D1183" s="12" t="str">
        <f>IF($B1183="","",IFERROR(INDEX(账户币种,MATCH($B1183,账户名,0)),""))</f>
        <v/>
      </c>
      <c r="E1183" s="47"/>
      <c r="F1183" s="12" t="str">
        <f>IF($E1183="","",IFERROR(INDEX(类别属性,MATCH($E1183,类别表,0)),""))</f>
        <v/>
      </c>
      <c r="G1183" s="48"/>
      <c r="H1183" s="48"/>
      <c r="I1183" s="49"/>
      <c r="J1183" s="24" t="str">
        <f>IF(OR($A1183="",$B1183=""),"",IF($I1183&lt;&gt;"",$I1183,IF($D1183=本位币,1,IFERROR(LOOKUP(2,1/((汇率月份&lt;=$A1183)*(INDEX(记账汇率区,0,MATCH($D1183,汇率币种头,0))&lt;&gt;"")),INDEX(记账汇率区,0,MATCH($D1183,汇率币种头,0))),""))))</f>
        <v/>
      </c>
      <c r="K1183" s="23" t="str">
        <f t="shared" si="36"/>
        <v/>
      </c>
      <c r="L1183" s="23" t="str">
        <f t="shared" si="37"/>
        <v/>
      </c>
      <c r="M1183" s="23" t="str">
        <f>IF($B1183="","",ROUND(SUMIF(账户名,$B1183,账户期初)+SUMIFS($K$6:K1183,$B$6:B1183,$B1183),2))</f>
        <v/>
      </c>
      <c r="N1183" s="23" t="str">
        <f>IF($B1183="","",IFERROR(ROUND(INDEX(账户期初本位,MATCH($B1183,账户名,0))+SUMIFS($L$6:L1183,$B$6:B1183,$B1183),2),""))</f>
        <v/>
      </c>
      <c r="O1183" s="46"/>
      <c r="P1183" s="47"/>
      <c r="Q1183" s="46"/>
      <c r="R1183" s="46"/>
      <c r="S1183" s="6" t="str">
        <f>IF($B1183="","",IF(ISNA(MATCH($B1183,账户名,0)),"※这个账户不在【参数设置】的账户档案里",IF($A1183="","※没填日期，这一笔不会进任何月份的报表",IF(AND($G1183&lt;&gt;"",$H1183&lt;&gt;""),"※收入和支出不能同时填",IF(AND(N($G1183)=0,N($H1183)=0),"※收入和支出都没填",IF($E1183="","※没填收支类别，分类报表会漏掉这一笔",IF(ISNA(MATCH($E1183,类别表,0)),"※收支类别不在【参数设置】的清单里",IF($J1183="","△"&amp;$D1183&amp;" 还没填汇率，去【月度汇率】补上就自动算了",IF(YEAR($A1183)&lt;&gt;管理年度,"△不是管理年度的单据，年报里看不到",IF(AND($F1183="内部转账",$Q1183=""),"△内部转账建议在「往来单位」写上对方账户",IF($M1183&lt;0,"△这一笔之后该账户余额成负数了，核一下","")))))))))))</f>
        <v/>
      </c>
    </row>
    <row r="1184" ht="16.5" spans="1:19">
      <c r="A1184" s="45"/>
      <c r="B1184" s="46"/>
      <c r="C1184" s="12" t="str">
        <f>IF($B1184="","",IFERROR(INDEX(账户银行,MATCH($B1184,账户名,0)),""))</f>
        <v/>
      </c>
      <c r="D1184" s="12" t="str">
        <f>IF($B1184="","",IFERROR(INDEX(账户币种,MATCH($B1184,账户名,0)),""))</f>
        <v/>
      </c>
      <c r="E1184" s="47"/>
      <c r="F1184" s="12" t="str">
        <f>IF($E1184="","",IFERROR(INDEX(类别属性,MATCH($E1184,类别表,0)),""))</f>
        <v/>
      </c>
      <c r="G1184" s="48"/>
      <c r="H1184" s="48"/>
      <c r="I1184" s="49"/>
      <c r="J1184" s="24" t="str">
        <f>IF(OR($A1184="",$B1184=""),"",IF($I1184&lt;&gt;"",$I1184,IF($D1184=本位币,1,IFERROR(LOOKUP(2,1/((汇率月份&lt;=$A1184)*(INDEX(记账汇率区,0,MATCH($D1184,汇率币种头,0))&lt;&gt;"")),INDEX(记账汇率区,0,MATCH($D1184,汇率币种头,0))),""))))</f>
        <v/>
      </c>
      <c r="K1184" s="23" t="str">
        <f t="shared" si="36"/>
        <v/>
      </c>
      <c r="L1184" s="23" t="str">
        <f t="shared" si="37"/>
        <v/>
      </c>
      <c r="M1184" s="23" t="str">
        <f>IF($B1184="","",ROUND(SUMIF(账户名,$B1184,账户期初)+SUMIFS($K$6:K1184,$B$6:B1184,$B1184),2))</f>
        <v/>
      </c>
      <c r="N1184" s="23" t="str">
        <f>IF($B1184="","",IFERROR(ROUND(INDEX(账户期初本位,MATCH($B1184,账户名,0))+SUMIFS($L$6:L1184,$B$6:B1184,$B1184),2),""))</f>
        <v/>
      </c>
      <c r="O1184" s="46"/>
      <c r="P1184" s="47"/>
      <c r="Q1184" s="46"/>
      <c r="R1184" s="46"/>
      <c r="S1184" s="6" t="str">
        <f>IF($B1184="","",IF(ISNA(MATCH($B1184,账户名,0)),"※这个账户不在【参数设置】的账户档案里",IF($A1184="","※没填日期，这一笔不会进任何月份的报表",IF(AND($G1184&lt;&gt;"",$H1184&lt;&gt;""),"※收入和支出不能同时填",IF(AND(N($G1184)=0,N($H1184)=0),"※收入和支出都没填",IF($E1184="","※没填收支类别，分类报表会漏掉这一笔",IF(ISNA(MATCH($E1184,类别表,0)),"※收支类别不在【参数设置】的清单里",IF($J1184="","△"&amp;$D1184&amp;" 还没填汇率，去【月度汇率】补上就自动算了",IF(YEAR($A1184)&lt;&gt;管理年度,"△不是管理年度的单据，年报里看不到",IF(AND($F1184="内部转账",$Q1184=""),"△内部转账建议在「往来单位」写上对方账户",IF($M1184&lt;0,"△这一笔之后该账户余额成负数了，核一下","")))))))))))</f>
        <v/>
      </c>
    </row>
    <row r="1185" ht="16.5" spans="1:19">
      <c r="A1185" s="45"/>
      <c r="B1185" s="46"/>
      <c r="C1185" s="12" t="str">
        <f>IF($B1185="","",IFERROR(INDEX(账户银行,MATCH($B1185,账户名,0)),""))</f>
        <v/>
      </c>
      <c r="D1185" s="12" t="str">
        <f>IF($B1185="","",IFERROR(INDEX(账户币种,MATCH($B1185,账户名,0)),""))</f>
        <v/>
      </c>
      <c r="E1185" s="47"/>
      <c r="F1185" s="12" t="str">
        <f>IF($E1185="","",IFERROR(INDEX(类别属性,MATCH($E1185,类别表,0)),""))</f>
        <v/>
      </c>
      <c r="G1185" s="48"/>
      <c r="H1185" s="48"/>
      <c r="I1185" s="49"/>
      <c r="J1185" s="24" t="str">
        <f>IF(OR($A1185="",$B1185=""),"",IF($I1185&lt;&gt;"",$I1185,IF($D1185=本位币,1,IFERROR(LOOKUP(2,1/((汇率月份&lt;=$A1185)*(INDEX(记账汇率区,0,MATCH($D1185,汇率币种头,0))&lt;&gt;"")),INDEX(记账汇率区,0,MATCH($D1185,汇率币种头,0))),""))))</f>
        <v/>
      </c>
      <c r="K1185" s="23" t="str">
        <f t="shared" si="36"/>
        <v/>
      </c>
      <c r="L1185" s="23" t="str">
        <f t="shared" si="37"/>
        <v/>
      </c>
      <c r="M1185" s="23" t="str">
        <f>IF($B1185="","",ROUND(SUMIF(账户名,$B1185,账户期初)+SUMIFS($K$6:K1185,$B$6:B1185,$B1185),2))</f>
        <v/>
      </c>
      <c r="N1185" s="23" t="str">
        <f>IF($B1185="","",IFERROR(ROUND(INDEX(账户期初本位,MATCH($B1185,账户名,0))+SUMIFS($L$6:L1185,$B$6:B1185,$B1185),2),""))</f>
        <v/>
      </c>
      <c r="O1185" s="46"/>
      <c r="P1185" s="47"/>
      <c r="Q1185" s="46"/>
      <c r="R1185" s="46"/>
      <c r="S1185" s="6" t="str">
        <f>IF($B1185="","",IF(ISNA(MATCH($B1185,账户名,0)),"※这个账户不在【参数设置】的账户档案里",IF($A1185="","※没填日期，这一笔不会进任何月份的报表",IF(AND($G1185&lt;&gt;"",$H1185&lt;&gt;""),"※收入和支出不能同时填",IF(AND(N($G1185)=0,N($H1185)=0),"※收入和支出都没填",IF($E1185="","※没填收支类别，分类报表会漏掉这一笔",IF(ISNA(MATCH($E1185,类别表,0)),"※收支类别不在【参数设置】的清单里",IF($J1185="","△"&amp;$D1185&amp;" 还没填汇率，去【月度汇率】补上就自动算了",IF(YEAR($A1185)&lt;&gt;管理年度,"△不是管理年度的单据，年报里看不到",IF(AND($F1185="内部转账",$Q1185=""),"△内部转账建议在「往来单位」写上对方账户",IF($M1185&lt;0,"△这一笔之后该账户余额成负数了，核一下","")))))))))))</f>
        <v/>
      </c>
    </row>
    <row r="1186" ht="16.5" spans="1:19">
      <c r="A1186" s="45"/>
      <c r="B1186" s="46"/>
      <c r="C1186" s="12" t="str">
        <f>IF($B1186="","",IFERROR(INDEX(账户银行,MATCH($B1186,账户名,0)),""))</f>
        <v/>
      </c>
      <c r="D1186" s="12" t="str">
        <f>IF($B1186="","",IFERROR(INDEX(账户币种,MATCH($B1186,账户名,0)),""))</f>
        <v/>
      </c>
      <c r="E1186" s="47"/>
      <c r="F1186" s="12" t="str">
        <f>IF($E1186="","",IFERROR(INDEX(类别属性,MATCH($E1186,类别表,0)),""))</f>
        <v/>
      </c>
      <c r="G1186" s="48"/>
      <c r="H1186" s="48"/>
      <c r="I1186" s="49"/>
      <c r="J1186" s="24" t="str">
        <f>IF(OR($A1186="",$B1186=""),"",IF($I1186&lt;&gt;"",$I1186,IF($D1186=本位币,1,IFERROR(LOOKUP(2,1/((汇率月份&lt;=$A1186)*(INDEX(记账汇率区,0,MATCH($D1186,汇率币种头,0))&lt;&gt;"")),INDEX(记账汇率区,0,MATCH($D1186,汇率币种头,0))),""))))</f>
        <v/>
      </c>
      <c r="K1186" s="23" t="str">
        <f t="shared" si="36"/>
        <v/>
      </c>
      <c r="L1186" s="23" t="str">
        <f t="shared" si="37"/>
        <v/>
      </c>
      <c r="M1186" s="23" t="str">
        <f>IF($B1186="","",ROUND(SUMIF(账户名,$B1186,账户期初)+SUMIFS($K$6:K1186,$B$6:B1186,$B1186),2))</f>
        <v/>
      </c>
      <c r="N1186" s="23" t="str">
        <f>IF($B1186="","",IFERROR(ROUND(INDEX(账户期初本位,MATCH($B1186,账户名,0))+SUMIFS($L$6:L1186,$B$6:B1186,$B1186),2),""))</f>
        <v/>
      </c>
      <c r="O1186" s="46"/>
      <c r="P1186" s="47"/>
      <c r="Q1186" s="46"/>
      <c r="R1186" s="46"/>
      <c r="S1186" s="6" t="str">
        <f>IF($B1186="","",IF(ISNA(MATCH($B1186,账户名,0)),"※这个账户不在【参数设置】的账户档案里",IF($A1186="","※没填日期，这一笔不会进任何月份的报表",IF(AND($G1186&lt;&gt;"",$H1186&lt;&gt;""),"※收入和支出不能同时填",IF(AND(N($G1186)=0,N($H1186)=0),"※收入和支出都没填",IF($E1186="","※没填收支类别，分类报表会漏掉这一笔",IF(ISNA(MATCH($E1186,类别表,0)),"※收支类别不在【参数设置】的清单里",IF($J1186="","△"&amp;$D1186&amp;" 还没填汇率，去【月度汇率】补上就自动算了",IF(YEAR($A1186)&lt;&gt;管理年度,"△不是管理年度的单据，年报里看不到",IF(AND($F1186="内部转账",$Q1186=""),"△内部转账建议在「往来单位」写上对方账户",IF($M1186&lt;0,"△这一笔之后该账户余额成负数了，核一下","")))))))))))</f>
        <v/>
      </c>
    </row>
    <row r="1187" ht="16.5" spans="1:19">
      <c r="A1187" s="45"/>
      <c r="B1187" s="46"/>
      <c r="C1187" s="12" t="str">
        <f>IF($B1187="","",IFERROR(INDEX(账户银行,MATCH($B1187,账户名,0)),""))</f>
        <v/>
      </c>
      <c r="D1187" s="12" t="str">
        <f>IF($B1187="","",IFERROR(INDEX(账户币种,MATCH($B1187,账户名,0)),""))</f>
        <v/>
      </c>
      <c r="E1187" s="47"/>
      <c r="F1187" s="12" t="str">
        <f>IF($E1187="","",IFERROR(INDEX(类别属性,MATCH($E1187,类别表,0)),""))</f>
        <v/>
      </c>
      <c r="G1187" s="48"/>
      <c r="H1187" s="48"/>
      <c r="I1187" s="49"/>
      <c r="J1187" s="24" t="str">
        <f>IF(OR($A1187="",$B1187=""),"",IF($I1187&lt;&gt;"",$I1187,IF($D1187=本位币,1,IFERROR(LOOKUP(2,1/((汇率月份&lt;=$A1187)*(INDEX(记账汇率区,0,MATCH($D1187,汇率币种头,0))&lt;&gt;"")),INDEX(记账汇率区,0,MATCH($D1187,汇率币种头,0))),""))))</f>
        <v/>
      </c>
      <c r="K1187" s="23" t="str">
        <f t="shared" si="36"/>
        <v/>
      </c>
      <c r="L1187" s="23" t="str">
        <f t="shared" si="37"/>
        <v/>
      </c>
      <c r="M1187" s="23" t="str">
        <f>IF($B1187="","",ROUND(SUMIF(账户名,$B1187,账户期初)+SUMIFS($K$6:K1187,$B$6:B1187,$B1187),2))</f>
        <v/>
      </c>
      <c r="N1187" s="23" t="str">
        <f>IF($B1187="","",IFERROR(ROUND(INDEX(账户期初本位,MATCH($B1187,账户名,0))+SUMIFS($L$6:L1187,$B$6:B1187,$B1187),2),""))</f>
        <v/>
      </c>
      <c r="O1187" s="46"/>
      <c r="P1187" s="47"/>
      <c r="Q1187" s="46"/>
      <c r="R1187" s="46"/>
      <c r="S1187" s="6" t="str">
        <f>IF($B1187="","",IF(ISNA(MATCH($B1187,账户名,0)),"※这个账户不在【参数设置】的账户档案里",IF($A1187="","※没填日期，这一笔不会进任何月份的报表",IF(AND($G1187&lt;&gt;"",$H1187&lt;&gt;""),"※收入和支出不能同时填",IF(AND(N($G1187)=0,N($H1187)=0),"※收入和支出都没填",IF($E1187="","※没填收支类别，分类报表会漏掉这一笔",IF(ISNA(MATCH($E1187,类别表,0)),"※收支类别不在【参数设置】的清单里",IF($J1187="","△"&amp;$D1187&amp;" 还没填汇率，去【月度汇率】补上就自动算了",IF(YEAR($A1187)&lt;&gt;管理年度,"△不是管理年度的单据，年报里看不到",IF(AND($F1187="内部转账",$Q1187=""),"△内部转账建议在「往来单位」写上对方账户",IF($M1187&lt;0,"△这一笔之后该账户余额成负数了，核一下","")))))))))))</f>
        <v/>
      </c>
    </row>
    <row r="1188" ht="16.5" spans="1:19">
      <c r="A1188" s="45"/>
      <c r="B1188" s="46"/>
      <c r="C1188" s="12" t="str">
        <f>IF($B1188="","",IFERROR(INDEX(账户银行,MATCH($B1188,账户名,0)),""))</f>
        <v/>
      </c>
      <c r="D1188" s="12" t="str">
        <f>IF($B1188="","",IFERROR(INDEX(账户币种,MATCH($B1188,账户名,0)),""))</f>
        <v/>
      </c>
      <c r="E1188" s="47"/>
      <c r="F1188" s="12" t="str">
        <f>IF($E1188="","",IFERROR(INDEX(类别属性,MATCH($E1188,类别表,0)),""))</f>
        <v/>
      </c>
      <c r="G1188" s="48"/>
      <c r="H1188" s="48"/>
      <c r="I1188" s="49"/>
      <c r="J1188" s="24" t="str">
        <f>IF(OR($A1188="",$B1188=""),"",IF($I1188&lt;&gt;"",$I1188,IF($D1188=本位币,1,IFERROR(LOOKUP(2,1/((汇率月份&lt;=$A1188)*(INDEX(记账汇率区,0,MATCH($D1188,汇率币种头,0))&lt;&gt;"")),INDEX(记账汇率区,0,MATCH($D1188,汇率币种头,0))),""))))</f>
        <v/>
      </c>
      <c r="K1188" s="23" t="str">
        <f t="shared" si="36"/>
        <v/>
      </c>
      <c r="L1188" s="23" t="str">
        <f t="shared" si="37"/>
        <v/>
      </c>
      <c r="M1188" s="23" t="str">
        <f>IF($B1188="","",ROUND(SUMIF(账户名,$B1188,账户期初)+SUMIFS($K$6:K1188,$B$6:B1188,$B1188),2))</f>
        <v/>
      </c>
      <c r="N1188" s="23" t="str">
        <f>IF($B1188="","",IFERROR(ROUND(INDEX(账户期初本位,MATCH($B1188,账户名,0))+SUMIFS($L$6:L1188,$B$6:B1188,$B1188),2),""))</f>
        <v/>
      </c>
      <c r="O1188" s="46"/>
      <c r="P1188" s="47"/>
      <c r="Q1188" s="46"/>
      <c r="R1188" s="46"/>
      <c r="S1188" s="6" t="str">
        <f>IF($B1188="","",IF(ISNA(MATCH($B1188,账户名,0)),"※这个账户不在【参数设置】的账户档案里",IF($A1188="","※没填日期，这一笔不会进任何月份的报表",IF(AND($G1188&lt;&gt;"",$H1188&lt;&gt;""),"※收入和支出不能同时填",IF(AND(N($G1188)=0,N($H1188)=0),"※收入和支出都没填",IF($E1188="","※没填收支类别，分类报表会漏掉这一笔",IF(ISNA(MATCH($E1188,类别表,0)),"※收支类别不在【参数设置】的清单里",IF($J1188="","△"&amp;$D1188&amp;" 还没填汇率，去【月度汇率】补上就自动算了",IF(YEAR($A1188)&lt;&gt;管理年度,"△不是管理年度的单据，年报里看不到",IF(AND($F1188="内部转账",$Q1188=""),"△内部转账建议在「往来单位」写上对方账户",IF($M1188&lt;0,"△这一笔之后该账户余额成负数了，核一下","")))))))))))</f>
        <v/>
      </c>
    </row>
    <row r="1189" ht="16.5" spans="1:19">
      <c r="A1189" s="45"/>
      <c r="B1189" s="46"/>
      <c r="C1189" s="12" t="str">
        <f>IF($B1189="","",IFERROR(INDEX(账户银行,MATCH($B1189,账户名,0)),""))</f>
        <v/>
      </c>
      <c r="D1189" s="12" t="str">
        <f>IF($B1189="","",IFERROR(INDEX(账户币种,MATCH($B1189,账户名,0)),""))</f>
        <v/>
      </c>
      <c r="E1189" s="47"/>
      <c r="F1189" s="12" t="str">
        <f>IF($E1189="","",IFERROR(INDEX(类别属性,MATCH($E1189,类别表,0)),""))</f>
        <v/>
      </c>
      <c r="G1189" s="48"/>
      <c r="H1189" s="48"/>
      <c r="I1189" s="49"/>
      <c r="J1189" s="24" t="str">
        <f>IF(OR($A1189="",$B1189=""),"",IF($I1189&lt;&gt;"",$I1189,IF($D1189=本位币,1,IFERROR(LOOKUP(2,1/((汇率月份&lt;=$A1189)*(INDEX(记账汇率区,0,MATCH($D1189,汇率币种头,0))&lt;&gt;"")),INDEX(记账汇率区,0,MATCH($D1189,汇率币种头,0))),""))))</f>
        <v/>
      </c>
      <c r="K1189" s="23" t="str">
        <f t="shared" si="36"/>
        <v/>
      </c>
      <c r="L1189" s="23" t="str">
        <f t="shared" si="37"/>
        <v/>
      </c>
      <c r="M1189" s="23" t="str">
        <f>IF($B1189="","",ROUND(SUMIF(账户名,$B1189,账户期初)+SUMIFS($K$6:K1189,$B$6:B1189,$B1189),2))</f>
        <v/>
      </c>
      <c r="N1189" s="23" t="str">
        <f>IF($B1189="","",IFERROR(ROUND(INDEX(账户期初本位,MATCH($B1189,账户名,0))+SUMIFS($L$6:L1189,$B$6:B1189,$B1189),2),""))</f>
        <v/>
      </c>
      <c r="O1189" s="46"/>
      <c r="P1189" s="47"/>
      <c r="Q1189" s="46"/>
      <c r="R1189" s="46"/>
      <c r="S1189" s="6" t="str">
        <f>IF($B1189="","",IF(ISNA(MATCH($B1189,账户名,0)),"※这个账户不在【参数设置】的账户档案里",IF($A1189="","※没填日期，这一笔不会进任何月份的报表",IF(AND($G1189&lt;&gt;"",$H1189&lt;&gt;""),"※收入和支出不能同时填",IF(AND(N($G1189)=0,N($H1189)=0),"※收入和支出都没填",IF($E1189="","※没填收支类别，分类报表会漏掉这一笔",IF(ISNA(MATCH($E1189,类别表,0)),"※收支类别不在【参数设置】的清单里",IF($J1189="","△"&amp;$D1189&amp;" 还没填汇率，去【月度汇率】补上就自动算了",IF(YEAR($A1189)&lt;&gt;管理年度,"△不是管理年度的单据，年报里看不到",IF(AND($F1189="内部转账",$Q1189=""),"△内部转账建议在「往来单位」写上对方账户",IF($M1189&lt;0,"△这一笔之后该账户余额成负数了，核一下","")))))))))))</f>
        <v/>
      </c>
    </row>
    <row r="1190" ht="16.5" spans="1:19">
      <c r="A1190" s="45"/>
      <c r="B1190" s="46"/>
      <c r="C1190" s="12" t="str">
        <f>IF($B1190="","",IFERROR(INDEX(账户银行,MATCH($B1190,账户名,0)),""))</f>
        <v/>
      </c>
      <c r="D1190" s="12" t="str">
        <f>IF($B1190="","",IFERROR(INDEX(账户币种,MATCH($B1190,账户名,0)),""))</f>
        <v/>
      </c>
      <c r="E1190" s="47"/>
      <c r="F1190" s="12" t="str">
        <f>IF($E1190="","",IFERROR(INDEX(类别属性,MATCH($E1190,类别表,0)),""))</f>
        <v/>
      </c>
      <c r="G1190" s="48"/>
      <c r="H1190" s="48"/>
      <c r="I1190" s="49"/>
      <c r="J1190" s="24" t="str">
        <f>IF(OR($A1190="",$B1190=""),"",IF($I1190&lt;&gt;"",$I1190,IF($D1190=本位币,1,IFERROR(LOOKUP(2,1/((汇率月份&lt;=$A1190)*(INDEX(记账汇率区,0,MATCH($D1190,汇率币种头,0))&lt;&gt;"")),INDEX(记账汇率区,0,MATCH($D1190,汇率币种头,0))),""))))</f>
        <v/>
      </c>
      <c r="K1190" s="23" t="str">
        <f t="shared" si="36"/>
        <v/>
      </c>
      <c r="L1190" s="23" t="str">
        <f t="shared" si="37"/>
        <v/>
      </c>
      <c r="M1190" s="23" t="str">
        <f>IF($B1190="","",ROUND(SUMIF(账户名,$B1190,账户期初)+SUMIFS($K$6:K1190,$B$6:B1190,$B1190),2))</f>
        <v/>
      </c>
      <c r="N1190" s="23" t="str">
        <f>IF($B1190="","",IFERROR(ROUND(INDEX(账户期初本位,MATCH($B1190,账户名,0))+SUMIFS($L$6:L1190,$B$6:B1190,$B1190),2),""))</f>
        <v/>
      </c>
      <c r="O1190" s="46"/>
      <c r="P1190" s="47"/>
      <c r="Q1190" s="46"/>
      <c r="R1190" s="46"/>
      <c r="S1190" s="6" t="str">
        <f>IF($B1190="","",IF(ISNA(MATCH($B1190,账户名,0)),"※这个账户不在【参数设置】的账户档案里",IF($A1190="","※没填日期，这一笔不会进任何月份的报表",IF(AND($G1190&lt;&gt;"",$H1190&lt;&gt;""),"※收入和支出不能同时填",IF(AND(N($G1190)=0,N($H1190)=0),"※收入和支出都没填",IF($E1190="","※没填收支类别，分类报表会漏掉这一笔",IF(ISNA(MATCH($E1190,类别表,0)),"※收支类别不在【参数设置】的清单里",IF($J1190="","△"&amp;$D1190&amp;" 还没填汇率，去【月度汇率】补上就自动算了",IF(YEAR($A1190)&lt;&gt;管理年度,"△不是管理年度的单据，年报里看不到",IF(AND($F1190="内部转账",$Q1190=""),"△内部转账建议在「往来单位」写上对方账户",IF($M1190&lt;0,"△这一笔之后该账户余额成负数了，核一下","")))))))))))</f>
        <v/>
      </c>
    </row>
    <row r="1191" ht="16.5" spans="1:19">
      <c r="A1191" s="45"/>
      <c r="B1191" s="46"/>
      <c r="C1191" s="12" t="str">
        <f>IF($B1191="","",IFERROR(INDEX(账户银行,MATCH($B1191,账户名,0)),""))</f>
        <v/>
      </c>
      <c r="D1191" s="12" t="str">
        <f>IF($B1191="","",IFERROR(INDEX(账户币种,MATCH($B1191,账户名,0)),""))</f>
        <v/>
      </c>
      <c r="E1191" s="47"/>
      <c r="F1191" s="12" t="str">
        <f>IF($E1191="","",IFERROR(INDEX(类别属性,MATCH($E1191,类别表,0)),""))</f>
        <v/>
      </c>
      <c r="G1191" s="48"/>
      <c r="H1191" s="48"/>
      <c r="I1191" s="49"/>
      <c r="J1191" s="24" t="str">
        <f>IF(OR($A1191="",$B1191=""),"",IF($I1191&lt;&gt;"",$I1191,IF($D1191=本位币,1,IFERROR(LOOKUP(2,1/((汇率月份&lt;=$A1191)*(INDEX(记账汇率区,0,MATCH($D1191,汇率币种头,0))&lt;&gt;"")),INDEX(记账汇率区,0,MATCH($D1191,汇率币种头,0))),""))))</f>
        <v/>
      </c>
      <c r="K1191" s="23" t="str">
        <f t="shared" si="36"/>
        <v/>
      </c>
      <c r="L1191" s="23" t="str">
        <f t="shared" si="37"/>
        <v/>
      </c>
      <c r="M1191" s="23" t="str">
        <f>IF($B1191="","",ROUND(SUMIF(账户名,$B1191,账户期初)+SUMIFS($K$6:K1191,$B$6:B1191,$B1191),2))</f>
        <v/>
      </c>
      <c r="N1191" s="23" t="str">
        <f>IF($B1191="","",IFERROR(ROUND(INDEX(账户期初本位,MATCH($B1191,账户名,0))+SUMIFS($L$6:L1191,$B$6:B1191,$B1191),2),""))</f>
        <v/>
      </c>
      <c r="O1191" s="46"/>
      <c r="P1191" s="47"/>
      <c r="Q1191" s="46"/>
      <c r="R1191" s="46"/>
      <c r="S1191" s="6" t="str">
        <f>IF($B1191="","",IF(ISNA(MATCH($B1191,账户名,0)),"※这个账户不在【参数设置】的账户档案里",IF($A1191="","※没填日期，这一笔不会进任何月份的报表",IF(AND($G1191&lt;&gt;"",$H1191&lt;&gt;""),"※收入和支出不能同时填",IF(AND(N($G1191)=0,N($H1191)=0),"※收入和支出都没填",IF($E1191="","※没填收支类别，分类报表会漏掉这一笔",IF(ISNA(MATCH($E1191,类别表,0)),"※收支类别不在【参数设置】的清单里",IF($J1191="","△"&amp;$D1191&amp;" 还没填汇率，去【月度汇率】补上就自动算了",IF(YEAR($A1191)&lt;&gt;管理年度,"△不是管理年度的单据，年报里看不到",IF(AND($F1191="内部转账",$Q1191=""),"△内部转账建议在「往来单位」写上对方账户",IF($M1191&lt;0,"△这一笔之后该账户余额成负数了，核一下","")))))))))))</f>
        <v/>
      </c>
    </row>
    <row r="1192" ht="16.5" spans="1:19">
      <c r="A1192" s="45"/>
      <c r="B1192" s="46"/>
      <c r="C1192" s="12" t="str">
        <f>IF($B1192="","",IFERROR(INDEX(账户银行,MATCH($B1192,账户名,0)),""))</f>
        <v/>
      </c>
      <c r="D1192" s="12" t="str">
        <f>IF($B1192="","",IFERROR(INDEX(账户币种,MATCH($B1192,账户名,0)),""))</f>
        <v/>
      </c>
      <c r="E1192" s="47"/>
      <c r="F1192" s="12" t="str">
        <f>IF($E1192="","",IFERROR(INDEX(类别属性,MATCH($E1192,类别表,0)),""))</f>
        <v/>
      </c>
      <c r="G1192" s="48"/>
      <c r="H1192" s="48"/>
      <c r="I1192" s="49"/>
      <c r="J1192" s="24" t="str">
        <f>IF(OR($A1192="",$B1192=""),"",IF($I1192&lt;&gt;"",$I1192,IF($D1192=本位币,1,IFERROR(LOOKUP(2,1/((汇率月份&lt;=$A1192)*(INDEX(记账汇率区,0,MATCH($D1192,汇率币种头,0))&lt;&gt;"")),INDEX(记账汇率区,0,MATCH($D1192,汇率币种头,0))),""))))</f>
        <v/>
      </c>
      <c r="K1192" s="23" t="str">
        <f t="shared" si="36"/>
        <v/>
      </c>
      <c r="L1192" s="23" t="str">
        <f t="shared" si="37"/>
        <v/>
      </c>
      <c r="M1192" s="23" t="str">
        <f>IF($B1192="","",ROUND(SUMIF(账户名,$B1192,账户期初)+SUMIFS($K$6:K1192,$B$6:B1192,$B1192),2))</f>
        <v/>
      </c>
      <c r="N1192" s="23" t="str">
        <f>IF($B1192="","",IFERROR(ROUND(INDEX(账户期初本位,MATCH($B1192,账户名,0))+SUMIFS($L$6:L1192,$B$6:B1192,$B1192),2),""))</f>
        <v/>
      </c>
      <c r="O1192" s="46"/>
      <c r="P1192" s="47"/>
      <c r="Q1192" s="46"/>
      <c r="R1192" s="46"/>
      <c r="S1192" s="6" t="str">
        <f>IF($B1192="","",IF(ISNA(MATCH($B1192,账户名,0)),"※这个账户不在【参数设置】的账户档案里",IF($A1192="","※没填日期，这一笔不会进任何月份的报表",IF(AND($G1192&lt;&gt;"",$H1192&lt;&gt;""),"※收入和支出不能同时填",IF(AND(N($G1192)=0,N($H1192)=0),"※收入和支出都没填",IF($E1192="","※没填收支类别，分类报表会漏掉这一笔",IF(ISNA(MATCH($E1192,类别表,0)),"※收支类别不在【参数设置】的清单里",IF($J1192="","△"&amp;$D1192&amp;" 还没填汇率，去【月度汇率】补上就自动算了",IF(YEAR($A1192)&lt;&gt;管理年度,"△不是管理年度的单据，年报里看不到",IF(AND($F1192="内部转账",$Q1192=""),"△内部转账建议在「往来单位」写上对方账户",IF($M1192&lt;0,"△这一笔之后该账户余额成负数了，核一下","")))))))))))</f>
        <v/>
      </c>
    </row>
    <row r="1193" ht="16.5" spans="1:19">
      <c r="A1193" s="45"/>
      <c r="B1193" s="46"/>
      <c r="C1193" s="12" t="str">
        <f>IF($B1193="","",IFERROR(INDEX(账户银行,MATCH($B1193,账户名,0)),""))</f>
        <v/>
      </c>
      <c r="D1193" s="12" t="str">
        <f>IF($B1193="","",IFERROR(INDEX(账户币种,MATCH($B1193,账户名,0)),""))</f>
        <v/>
      </c>
      <c r="E1193" s="47"/>
      <c r="F1193" s="12" t="str">
        <f>IF($E1193="","",IFERROR(INDEX(类别属性,MATCH($E1193,类别表,0)),""))</f>
        <v/>
      </c>
      <c r="G1193" s="48"/>
      <c r="H1193" s="48"/>
      <c r="I1193" s="49"/>
      <c r="J1193" s="24" t="str">
        <f>IF(OR($A1193="",$B1193=""),"",IF($I1193&lt;&gt;"",$I1193,IF($D1193=本位币,1,IFERROR(LOOKUP(2,1/((汇率月份&lt;=$A1193)*(INDEX(记账汇率区,0,MATCH($D1193,汇率币种头,0))&lt;&gt;"")),INDEX(记账汇率区,0,MATCH($D1193,汇率币种头,0))),""))))</f>
        <v/>
      </c>
      <c r="K1193" s="23" t="str">
        <f t="shared" si="36"/>
        <v/>
      </c>
      <c r="L1193" s="23" t="str">
        <f t="shared" si="37"/>
        <v/>
      </c>
      <c r="M1193" s="23" t="str">
        <f>IF($B1193="","",ROUND(SUMIF(账户名,$B1193,账户期初)+SUMIFS($K$6:K1193,$B$6:B1193,$B1193),2))</f>
        <v/>
      </c>
      <c r="N1193" s="23" t="str">
        <f>IF($B1193="","",IFERROR(ROUND(INDEX(账户期初本位,MATCH($B1193,账户名,0))+SUMIFS($L$6:L1193,$B$6:B1193,$B1193),2),""))</f>
        <v/>
      </c>
      <c r="O1193" s="46"/>
      <c r="P1193" s="47"/>
      <c r="Q1193" s="46"/>
      <c r="R1193" s="46"/>
      <c r="S1193" s="6" t="str">
        <f>IF($B1193="","",IF(ISNA(MATCH($B1193,账户名,0)),"※这个账户不在【参数设置】的账户档案里",IF($A1193="","※没填日期，这一笔不会进任何月份的报表",IF(AND($G1193&lt;&gt;"",$H1193&lt;&gt;""),"※收入和支出不能同时填",IF(AND(N($G1193)=0,N($H1193)=0),"※收入和支出都没填",IF($E1193="","※没填收支类别，分类报表会漏掉这一笔",IF(ISNA(MATCH($E1193,类别表,0)),"※收支类别不在【参数设置】的清单里",IF($J1193="","△"&amp;$D1193&amp;" 还没填汇率，去【月度汇率】补上就自动算了",IF(YEAR($A1193)&lt;&gt;管理年度,"△不是管理年度的单据，年报里看不到",IF(AND($F1193="内部转账",$Q1193=""),"△内部转账建议在「往来单位」写上对方账户",IF($M1193&lt;0,"△这一笔之后该账户余额成负数了，核一下","")))))))))))</f>
        <v/>
      </c>
    </row>
    <row r="1194" ht="16.5" spans="1:19">
      <c r="A1194" s="45"/>
      <c r="B1194" s="46"/>
      <c r="C1194" s="12" t="str">
        <f>IF($B1194="","",IFERROR(INDEX(账户银行,MATCH($B1194,账户名,0)),""))</f>
        <v/>
      </c>
      <c r="D1194" s="12" t="str">
        <f>IF($B1194="","",IFERROR(INDEX(账户币种,MATCH($B1194,账户名,0)),""))</f>
        <v/>
      </c>
      <c r="E1194" s="47"/>
      <c r="F1194" s="12" t="str">
        <f>IF($E1194="","",IFERROR(INDEX(类别属性,MATCH($E1194,类别表,0)),""))</f>
        <v/>
      </c>
      <c r="G1194" s="48"/>
      <c r="H1194" s="48"/>
      <c r="I1194" s="49"/>
      <c r="J1194" s="24" t="str">
        <f>IF(OR($A1194="",$B1194=""),"",IF($I1194&lt;&gt;"",$I1194,IF($D1194=本位币,1,IFERROR(LOOKUP(2,1/((汇率月份&lt;=$A1194)*(INDEX(记账汇率区,0,MATCH($D1194,汇率币种头,0))&lt;&gt;"")),INDEX(记账汇率区,0,MATCH($D1194,汇率币种头,0))),""))))</f>
        <v/>
      </c>
      <c r="K1194" s="23" t="str">
        <f t="shared" si="36"/>
        <v/>
      </c>
      <c r="L1194" s="23" t="str">
        <f t="shared" si="37"/>
        <v/>
      </c>
      <c r="M1194" s="23" t="str">
        <f>IF($B1194="","",ROUND(SUMIF(账户名,$B1194,账户期初)+SUMIFS($K$6:K1194,$B$6:B1194,$B1194),2))</f>
        <v/>
      </c>
      <c r="N1194" s="23" t="str">
        <f>IF($B1194="","",IFERROR(ROUND(INDEX(账户期初本位,MATCH($B1194,账户名,0))+SUMIFS($L$6:L1194,$B$6:B1194,$B1194),2),""))</f>
        <v/>
      </c>
      <c r="O1194" s="46"/>
      <c r="P1194" s="47"/>
      <c r="Q1194" s="46"/>
      <c r="R1194" s="46"/>
      <c r="S1194" s="6" t="str">
        <f>IF($B1194="","",IF(ISNA(MATCH($B1194,账户名,0)),"※这个账户不在【参数设置】的账户档案里",IF($A1194="","※没填日期，这一笔不会进任何月份的报表",IF(AND($G1194&lt;&gt;"",$H1194&lt;&gt;""),"※收入和支出不能同时填",IF(AND(N($G1194)=0,N($H1194)=0),"※收入和支出都没填",IF($E1194="","※没填收支类别，分类报表会漏掉这一笔",IF(ISNA(MATCH($E1194,类别表,0)),"※收支类别不在【参数设置】的清单里",IF($J1194="","△"&amp;$D1194&amp;" 还没填汇率，去【月度汇率】补上就自动算了",IF(YEAR($A1194)&lt;&gt;管理年度,"△不是管理年度的单据，年报里看不到",IF(AND($F1194="内部转账",$Q1194=""),"△内部转账建议在「往来单位」写上对方账户",IF($M1194&lt;0,"△这一笔之后该账户余额成负数了，核一下","")))))))))))</f>
        <v/>
      </c>
    </row>
    <row r="1195" ht="16.5" spans="1:19">
      <c r="A1195" s="45"/>
      <c r="B1195" s="46"/>
      <c r="C1195" s="12" t="str">
        <f>IF($B1195="","",IFERROR(INDEX(账户银行,MATCH($B1195,账户名,0)),""))</f>
        <v/>
      </c>
      <c r="D1195" s="12" t="str">
        <f>IF($B1195="","",IFERROR(INDEX(账户币种,MATCH($B1195,账户名,0)),""))</f>
        <v/>
      </c>
      <c r="E1195" s="47"/>
      <c r="F1195" s="12" t="str">
        <f>IF($E1195="","",IFERROR(INDEX(类别属性,MATCH($E1195,类别表,0)),""))</f>
        <v/>
      </c>
      <c r="G1195" s="48"/>
      <c r="H1195" s="48"/>
      <c r="I1195" s="49"/>
      <c r="J1195" s="24" t="str">
        <f>IF(OR($A1195="",$B1195=""),"",IF($I1195&lt;&gt;"",$I1195,IF($D1195=本位币,1,IFERROR(LOOKUP(2,1/((汇率月份&lt;=$A1195)*(INDEX(记账汇率区,0,MATCH($D1195,汇率币种头,0))&lt;&gt;"")),INDEX(记账汇率区,0,MATCH($D1195,汇率币种头,0))),""))))</f>
        <v/>
      </c>
      <c r="K1195" s="23" t="str">
        <f t="shared" si="36"/>
        <v/>
      </c>
      <c r="L1195" s="23" t="str">
        <f t="shared" si="37"/>
        <v/>
      </c>
      <c r="M1195" s="23" t="str">
        <f>IF($B1195="","",ROUND(SUMIF(账户名,$B1195,账户期初)+SUMIFS($K$6:K1195,$B$6:B1195,$B1195),2))</f>
        <v/>
      </c>
      <c r="N1195" s="23" t="str">
        <f>IF($B1195="","",IFERROR(ROUND(INDEX(账户期初本位,MATCH($B1195,账户名,0))+SUMIFS($L$6:L1195,$B$6:B1195,$B1195),2),""))</f>
        <v/>
      </c>
      <c r="O1195" s="46"/>
      <c r="P1195" s="47"/>
      <c r="Q1195" s="46"/>
      <c r="R1195" s="46"/>
      <c r="S1195" s="6" t="str">
        <f>IF($B1195="","",IF(ISNA(MATCH($B1195,账户名,0)),"※这个账户不在【参数设置】的账户档案里",IF($A1195="","※没填日期，这一笔不会进任何月份的报表",IF(AND($G1195&lt;&gt;"",$H1195&lt;&gt;""),"※收入和支出不能同时填",IF(AND(N($G1195)=0,N($H1195)=0),"※收入和支出都没填",IF($E1195="","※没填收支类别，分类报表会漏掉这一笔",IF(ISNA(MATCH($E1195,类别表,0)),"※收支类别不在【参数设置】的清单里",IF($J1195="","△"&amp;$D1195&amp;" 还没填汇率，去【月度汇率】补上就自动算了",IF(YEAR($A1195)&lt;&gt;管理年度,"△不是管理年度的单据，年报里看不到",IF(AND($F1195="内部转账",$Q1195=""),"△内部转账建议在「往来单位」写上对方账户",IF($M1195&lt;0,"△这一笔之后该账户余额成负数了，核一下","")))))))))))</f>
        <v/>
      </c>
    </row>
    <row r="1196" ht="16.5" spans="1:19">
      <c r="A1196" s="45"/>
      <c r="B1196" s="46"/>
      <c r="C1196" s="12" t="str">
        <f>IF($B1196="","",IFERROR(INDEX(账户银行,MATCH($B1196,账户名,0)),""))</f>
        <v/>
      </c>
      <c r="D1196" s="12" t="str">
        <f>IF($B1196="","",IFERROR(INDEX(账户币种,MATCH($B1196,账户名,0)),""))</f>
        <v/>
      </c>
      <c r="E1196" s="47"/>
      <c r="F1196" s="12" t="str">
        <f>IF($E1196="","",IFERROR(INDEX(类别属性,MATCH($E1196,类别表,0)),""))</f>
        <v/>
      </c>
      <c r="G1196" s="48"/>
      <c r="H1196" s="48"/>
      <c r="I1196" s="49"/>
      <c r="J1196" s="24" t="str">
        <f>IF(OR($A1196="",$B1196=""),"",IF($I1196&lt;&gt;"",$I1196,IF($D1196=本位币,1,IFERROR(LOOKUP(2,1/((汇率月份&lt;=$A1196)*(INDEX(记账汇率区,0,MATCH($D1196,汇率币种头,0))&lt;&gt;"")),INDEX(记账汇率区,0,MATCH($D1196,汇率币种头,0))),""))))</f>
        <v/>
      </c>
      <c r="K1196" s="23" t="str">
        <f t="shared" si="36"/>
        <v/>
      </c>
      <c r="L1196" s="23" t="str">
        <f t="shared" si="37"/>
        <v/>
      </c>
      <c r="M1196" s="23" t="str">
        <f>IF($B1196="","",ROUND(SUMIF(账户名,$B1196,账户期初)+SUMIFS($K$6:K1196,$B$6:B1196,$B1196),2))</f>
        <v/>
      </c>
      <c r="N1196" s="23" t="str">
        <f>IF($B1196="","",IFERROR(ROUND(INDEX(账户期初本位,MATCH($B1196,账户名,0))+SUMIFS($L$6:L1196,$B$6:B1196,$B1196),2),""))</f>
        <v/>
      </c>
      <c r="O1196" s="46"/>
      <c r="P1196" s="47"/>
      <c r="Q1196" s="46"/>
      <c r="R1196" s="46"/>
      <c r="S1196" s="6" t="str">
        <f>IF($B1196="","",IF(ISNA(MATCH($B1196,账户名,0)),"※这个账户不在【参数设置】的账户档案里",IF($A1196="","※没填日期，这一笔不会进任何月份的报表",IF(AND($G1196&lt;&gt;"",$H1196&lt;&gt;""),"※收入和支出不能同时填",IF(AND(N($G1196)=0,N($H1196)=0),"※收入和支出都没填",IF($E1196="","※没填收支类别，分类报表会漏掉这一笔",IF(ISNA(MATCH($E1196,类别表,0)),"※收支类别不在【参数设置】的清单里",IF($J1196="","△"&amp;$D1196&amp;" 还没填汇率，去【月度汇率】补上就自动算了",IF(YEAR($A1196)&lt;&gt;管理年度,"△不是管理年度的单据，年报里看不到",IF(AND($F1196="内部转账",$Q1196=""),"△内部转账建议在「往来单位」写上对方账户",IF($M1196&lt;0,"△这一笔之后该账户余额成负数了，核一下","")))))))))))</f>
        <v/>
      </c>
    </row>
    <row r="1197" ht="16.5" spans="1:19">
      <c r="A1197" s="45"/>
      <c r="B1197" s="46"/>
      <c r="C1197" s="12" t="str">
        <f>IF($B1197="","",IFERROR(INDEX(账户银行,MATCH($B1197,账户名,0)),""))</f>
        <v/>
      </c>
      <c r="D1197" s="12" t="str">
        <f>IF($B1197="","",IFERROR(INDEX(账户币种,MATCH($B1197,账户名,0)),""))</f>
        <v/>
      </c>
      <c r="E1197" s="47"/>
      <c r="F1197" s="12" t="str">
        <f>IF($E1197="","",IFERROR(INDEX(类别属性,MATCH($E1197,类别表,0)),""))</f>
        <v/>
      </c>
      <c r="G1197" s="48"/>
      <c r="H1197" s="48"/>
      <c r="I1197" s="49"/>
      <c r="J1197" s="24" t="str">
        <f>IF(OR($A1197="",$B1197=""),"",IF($I1197&lt;&gt;"",$I1197,IF($D1197=本位币,1,IFERROR(LOOKUP(2,1/((汇率月份&lt;=$A1197)*(INDEX(记账汇率区,0,MATCH($D1197,汇率币种头,0))&lt;&gt;"")),INDEX(记账汇率区,0,MATCH($D1197,汇率币种头,0))),""))))</f>
        <v/>
      </c>
      <c r="K1197" s="23" t="str">
        <f t="shared" si="36"/>
        <v/>
      </c>
      <c r="L1197" s="23" t="str">
        <f t="shared" si="37"/>
        <v/>
      </c>
      <c r="M1197" s="23" t="str">
        <f>IF($B1197="","",ROUND(SUMIF(账户名,$B1197,账户期初)+SUMIFS($K$6:K1197,$B$6:B1197,$B1197),2))</f>
        <v/>
      </c>
      <c r="N1197" s="23" t="str">
        <f>IF($B1197="","",IFERROR(ROUND(INDEX(账户期初本位,MATCH($B1197,账户名,0))+SUMIFS($L$6:L1197,$B$6:B1197,$B1197),2),""))</f>
        <v/>
      </c>
      <c r="O1197" s="46"/>
      <c r="P1197" s="47"/>
      <c r="Q1197" s="46"/>
      <c r="R1197" s="46"/>
      <c r="S1197" s="6" t="str">
        <f>IF($B1197="","",IF(ISNA(MATCH($B1197,账户名,0)),"※这个账户不在【参数设置】的账户档案里",IF($A1197="","※没填日期，这一笔不会进任何月份的报表",IF(AND($G1197&lt;&gt;"",$H1197&lt;&gt;""),"※收入和支出不能同时填",IF(AND(N($G1197)=0,N($H1197)=0),"※收入和支出都没填",IF($E1197="","※没填收支类别，分类报表会漏掉这一笔",IF(ISNA(MATCH($E1197,类别表,0)),"※收支类别不在【参数设置】的清单里",IF($J1197="","△"&amp;$D1197&amp;" 还没填汇率，去【月度汇率】补上就自动算了",IF(YEAR($A1197)&lt;&gt;管理年度,"△不是管理年度的单据，年报里看不到",IF(AND($F1197="内部转账",$Q1197=""),"△内部转账建议在「往来单位」写上对方账户",IF($M1197&lt;0,"△这一笔之后该账户余额成负数了，核一下","")))))))))))</f>
        <v/>
      </c>
    </row>
    <row r="1198" ht="16.5" spans="1:19">
      <c r="A1198" s="45"/>
      <c r="B1198" s="46"/>
      <c r="C1198" s="12" t="str">
        <f>IF($B1198="","",IFERROR(INDEX(账户银行,MATCH($B1198,账户名,0)),""))</f>
        <v/>
      </c>
      <c r="D1198" s="12" t="str">
        <f>IF($B1198="","",IFERROR(INDEX(账户币种,MATCH($B1198,账户名,0)),""))</f>
        <v/>
      </c>
      <c r="E1198" s="47"/>
      <c r="F1198" s="12" t="str">
        <f>IF($E1198="","",IFERROR(INDEX(类别属性,MATCH($E1198,类别表,0)),""))</f>
        <v/>
      </c>
      <c r="G1198" s="48"/>
      <c r="H1198" s="48"/>
      <c r="I1198" s="49"/>
      <c r="J1198" s="24" t="str">
        <f>IF(OR($A1198="",$B1198=""),"",IF($I1198&lt;&gt;"",$I1198,IF($D1198=本位币,1,IFERROR(LOOKUP(2,1/((汇率月份&lt;=$A1198)*(INDEX(记账汇率区,0,MATCH($D1198,汇率币种头,0))&lt;&gt;"")),INDEX(记账汇率区,0,MATCH($D1198,汇率币种头,0))),""))))</f>
        <v/>
      </c>
      <c r="K1198" s="23" t="str">
        <f t="shared" si="36"/>
        <v/>
      </c>
      <c r="L1198" s="23" t="str">
        <f t="shared" si="37"/>
        <v/>
      </c>
      <c r="M1198" s="23" t="str">
        <f>IF($B1198="","",ROUND(SUMIF(账户名,$B1198,账户期初)+SUMIFS($K$6:K1198,$B$6:B1198,$B1198),2))</f>
        <v/>
      </c>
      <c r="N1198" s="23" t="str">
        <f>IF($B1198="","",IFERROR(ROUND(INDEX(账户期初本位,MATCH($B1198,账户名,0))+SUMIFS($L$6:L1198,$B$6:B1198,$B1198),2),""))</f>
        <v/>
      </c>
      <c r="O1198" s="46"/>
      <c r="P1198" s="47"/>
      <c r="Q1198" s="46"/>
      <c r="R1198" s="46"/>
      <c r="S1198" s="6" t="str">
        <f>IF($B1198="","",IF(ISNA(MATCH($B1198,账户名,0)),"※这个账户不在【参数设置】的账户档案里",IF($A1198="","※没填日期，这一笔不会进任何月份的报表",IF(AND($G1198&lt;&gt;"",$H1198&lt;&gt;""),"※收入和支出不能同时填",IF(AND(N($G1198)=0,N($H1198)=0),"※收入和支出都没填",IF($E1198="","※没填收支类别，分类报表会漏掉这一笔",IF(ISNA(MATCH($E1198,类别表,0)),"※收支类别不在【参数设置】的清单里",IF($J1198="","△"&amp;$D1198&amp;" 还没填汇率，去【月度汇率】补上就自动算了",IF(YEAR($A1198)&lt;&gt;管理年度,"△不是管理年度的单据，年报里看不到",IF(AND($F1198="内部转账",$Q1198=""),"△内部转账建议在「往来单位」写上对方账户",IF($M1198&lt;0,"△这一笔之后该账户余额成负数了，核一下","")))))))))))</f>
        <v/>
      </c>
    </row>
    <row r="1199" ht="16.5" spans="1:19">
      <c r="A1199" s="45"/>
      <c r="B1199" s="46"/>
      <c r="C1199" s="12" t="str">
        <f>IF($B1199="","",IFERROR(INDEX(账户银行,MATCH($B1199,账户名,0)),""))</f>
        <v/>
      </c>
      <c r="D1199" s="12" t="str">
        <f>IF($B1199="","",IFERROR(INDEX(账户币种,MATCH($B1199,账户名,0)),""))</f>
        <v/>
      </c>
      <c r="E1199" s="47"/>
      <c r="F1199" s="12" t="str">
        <f>IF($E1199="","",IFERROR(INDEX(类别属性,MATCH($E1199,类别表,0)),""))</f>
        <v/>
      </c>
      <c r="G1199" s="48"/>
      <c r="H1199" s="48"/>
      <c r="I1199" s="49"/>
      <c r="J1199" s="24" t="str">
        <f>IF(OR($A1199="",$B1199=""),"",IF($I1199&lt;&gt;"",$I1199,IF($D1199=本位币,1,IFERROR(LOOKUP(2,1/((汇率月份&lt;=$A1199)*(INDEX(记账汇率区,0,MATCH($D1199,汇率币种头,0))&lt;&gt;"")),INDEX(记账汇率区,0,MATCH($D1199,汇率币种头,0))),""))))</f>
        <v/>
      </c>
      <c r="K1199" s="23" t="str">
        <f t="shared" si="36"/>
        <v/>
      </c>
      <c r="L1199" s="23" t="str">
        <f t="shared" si="37"/>
        <v/>
      </c>
      <c r="M1199" s="23" t="str">
        <f>IF($B1199="","",ROUND(SUMIF(账户名,$B1199,账户期初)+SUMIFS($K$6:K1199,$B$6:B1199,$B1199),2))</f>
        <v/>
      </c>
      <c r="N1199" s="23" t="str">
        <f>IF($B1199="","",IFERROR(ROUND(INDEX(账户期初本位,MATCH($B1199,账户名,0))+SUMIFS($L$6:L1199,$B$6:B1199,$B1199),2),""))</f>
        <v/>
      </c>
      <c r="O1199" s="46"/>
      <c r="P1199" s="47"/>
      <c r="Q1199" s="46"/>
      <c r="R1199" s="46"/>
      <c r="S1199" s="6" t="str">
        <f>IF($B1199="","",IF(ISNA(MATCH($B1199,账户名,0)),"※这个账户不在【参数设置】的账户档案里",IF($A1199="","※没填日期，这一笔不会进任何月份的报表",IF(AND($G1199&lt;&gt;"",$H1199&lt;&gt;""),"※收入和支出不能同时填",IF(AND(N($G1199)=0,N($H1199)=0),"※收入和支出都没填",IF($E1199="","※没填收支类别，分类报表会漏掉这一笔",IF(ISNA(MATCH($E1199,类别表,0)),"※收支类别不在【参数设置】的清单里",IF($J1199="","△"&amp;$D1199&amp;" 还没填汇率，去【月度汇率】补上就自动算了",IF(YEAR($A1199)&lt;&gt;管理年度,"△不是管理年度的单据，年报里看不到",IF(AND($F1199="内部转账",$Q1199=""),"△内部转账建议在「往来单位」写上对方账户",IF($M1199&lt;0,"△这一笔之后该账户余额成负数了，核一下","")))))))))))</f>
        <v/>
      </c>
    </row>
    <row r="1200" ht="16.5" spans="1:19">
      <c r="A1200" s="45"/>
      <c r="B1200" s="46"/>
      <c r="C1200" s="12" t="str">
        <f>IF($B1200="","",IFERROR(INDEX(账户银行,MATCH($B1200,账户名,0)),""))</f>
        <v/>
      </c>
      <c r="D1200" s="12" t="str">
        <f>IF($B1200="","",IFERROR(INDEX(账户币种,MATCH($B1200,账户名,0)),""))</f>
        <v/>
      </c>
      <c r="E1200" s="47"/>
      <c r="F1200" s="12" t="str">
        <f>IF($E1200="","",IFERROR(INDEX(类别属性,MATCH($E1200,类别表,0)),""))</f>
        <v/>
      </c>
      <c r="G1200" s="48"/>
      <c r="H1200" s="48"/>
      <c r="I1200" s="49"/>
      <c r="J1200" s="24" t="str">
        <f>IF(OR($A1200="",$B1200=""),"",IF($I1200&lt;&gt;"",$I1200,IF($D1200=本位币,1,IFERROR(LOOKUP(2,1/((汇率月份&lt;=$A1200)*(INDEX(记账汇率区,0,MATCH($D1200,汇率币种头,0))&lt;&gt;"")),INDEX(记账汇率区,0,MATCH($D1200,汇率币种头,0))),""))))</f>
        <v/>
      </c>
      <c r="K1200" s="23" t="str">
        <f t="shared" si="36"/>
        <v/>
      </c>
      <c r="L1200" s="23" t="str">
        <f t="shared" si="37"/>
        <v/>
      </c>
      <c r="M1200" s="23" t="str">
        <f>IF($B1200="","",ROUND(SUMIF(账户名,$B1200,账户期初)+SUMIFS($K$6:K1200,$B$6:B1200,$B1200),2))</f>
        <v/>
      </c>
      <c r="N1200" s="23" t="str">
        <f>IF($B1200="","",IFERROR(ROUND(INDEX(账户期初本位,MATCH($B1200,账户名,0))+SUMIFS($L$6:L1200,$B$6:B1200,$B1200),2),""))</f>
        <v/>
      </c>
      <c r="O1200" s="46"/>
      <c r="P1200" s="47"/>
      <c r="Q1200" s="46"/>
      <c r="R1200" s="46"/>
      <c r="S1200" s="6" t="str">
        <f>IF($B1200="","",IF(ISNA(MATCH($B1200,账户名,0)),"※这个账户不在【参数设置】的账户档案里",IF($A1200="","※没填日期，这一笔不会进任何月份的报表",IF(AND($G1200&lt;&gt;"",$H1200&lt;&gt;""),"※收入和支出不能同时填",IF(AND(N($G1200)=0,N($H1200)=0),"※收入和支出都没填",IF($E1200="","※没填收支类别，分类报表会漏掉这一笔",IF(ISNA(MATCH($E1200,类别表,0)),"※收支类别不在【参数设置】的清单里",IF($J1200="","△"&amp;$D1200&amp;" 还没填汇率，去【月度汇率】补上就自动算了",IF(YEAR($A1200)&lt;&gt;管理年度,"△不是管理年度的单据，年报里看不到",IF(AND($F1200="内部转账",$Q1200=""),"△内部转账建议在「往来单位」写上对方账户",IF($M1200&lt;0,"△这一笔之后该账户余额成负数了，核一下","")))))))))))</f>
        <v/>
      </c>
    </row>
    <row r="1201" ht="16.5" spans="1:19">
      <c r="A1201" s="45"/>
      <c r="B1201" s="46"/>
      <c r="C1201" s="12" t="str">
        <f>IF($B1201="","",IFERROR(INDEX(账户银行,MATCH($B1201,账户名,0)),""))</f>
        <v/>
      </c>
      <c r="D1201" s="12" t="str">
        <f>IF($B1201="","",IFERROR(INDEX(账户币种,MATCH($B1201,账户名,0)),""))</f>
        <v/>
      </c>
      <c r="E1201" s="47"/>
      <c r="F1201" s="12" t="str">
        <f>IF($E1201="","",IFERROR(INDEX(类别属性,MATCH($E1201,类别表,0)),""))</f>
        <v/>
      </c>
      <c r="G1201" s="48"/>
      <c r="H1201" s="48"/>
      <c r="I1201" s="49"/>
      <c r="J1201" s="24" t="str">
        <f>IF(OR($A1201="",$B1201=""),"",IF($I1201&lt;&gt;"",$I1201,IF($D1201=本位币,1,IFERROR(LOOKUP(2,1/((汇率月份&lt;=$A1201)*(INDEX(记账汇率区,0,MATCH($D1201,汇率币种头,0))&lt;&gt;"")),INDEX(记账汇率区,0,MATCH($D1201,汇率币种头,0))),""))))</f>
        <v/>
      </c>
      <c r="K1201" s="23" t="str">
        <f t="shared" si="36"/>
        <v/>
      </c>
      <c r="L1201" s="23" t="str">
        <f t="shared" si="37"/>
        <v/>
      </c>
      <c r="M1201" s="23" t="str">
        <f>IF($B1201="","",ROUND(SUMIF(账户名,$B1201,账户期初)+SUMIFS($K$6:K1201,$B$6:B1201,$B1201),2))</f>
        <v/>
      </c>
      <c r="N1201" s="23" t="str">
        <f>IF($B1201="","",IFERROR(ROUND(INDEX(账户期初本位,MATCH($B1201,账户名,0))+SUMIFS($L$6:L1201,$B$6:B1201,$B1201),2),""))</f>
        <v/>
      </c>
      <c r="O1201" s="46"/>
      <c r="P1201" s="47"/>
      <c r="Q1201" s="46"/>
      <c r="R1201" s="46"/>
      <c r="S1201" s="6" t="str">
        <f>IF($B1201="","",IF(ISNA(MATCH($B1201,账户名,0)),"※这个账户不在【参数设置】的账户档案里",IF($A1201="","※没填日期，这一笔不会进任何月份的报表",IF(AND($G1201&lt;&gt;"",$H1201&lt;&gt;""),"※收入和支出不能同时填",IF(AND(N($G1201)=0,N($H1201)=0),"※收入和支出都没填",IF($E1201="","※没填收支类别，分类报表会漏掉这一笔",IF(ISNA(MATCH($E1201,类别表,0)),"※收支类别不在【参数设置】的清单里",IF($J1201="","△"&amp;$D1201&amp;" 还没填汇率，去【月度汇率】补上就自动算了",IF(YEAR($A1201)&lt;&gt;管理年度,"△不是管理年度的单据，年报里看不到",IF(AND($F1201="内部转账",$Q1201=""),"△内部转账建议在「往来单位」写上对方账户",IF($M1201&lt;0,"△这一笔之后该账户余额成负数了，核一下","")))))))))))</f>
        <v/>
      </c>
    </row>
    <row r="1202" ht="16.5" spans="1:19">
      <c r="A1202" s="45"/>
      <c r="B1202" s="46"/>
      <c r="C1202" s="12" t="str">
        <f>IF($B1202="","",IFERROR(INDEX(账户银行,MATCH($B1202,账户名,0)),""))</f>
        <v/>
      </c>
      <c r="D1202" s="12" t="str">
        <f>IF($B1202="","",IFERROR(INDEX(账户币种,MATCH($B1202,账户名,0)),""))</f>
        <v/>
      </c>
      <c r="E1202" s="47"/>
      <c r="F1202" s="12" t="str">
        <f>IF($E1202="","",IFERROR(INDEX(类别属性,MATCH($E1202,类别表,0)),""))</f>
        <v/>
      </c>
      <c r="G1202" s="48"/>
      <c r="H1202" s="48"/>
      <c r="I1202" s="49"/>
      <c r="J1202" s="24" t="str">
        <f>IF(OR($A1202="",$B1202=""),"",IF($I1202&lt;&gt;"",$I1202,IF($D1202=本位币,1,IFERROR(LOOKUP(2,1/((汇率月份&lt;=$A1202)*(INDEX(记账汇率区,0,MATCH($D1202,汇率币种头,0))&lt;&gt;"")),INDEX(记账汇率区,0,MATCH($D1202,汇率币种头,0))),""))))</f>
        <v/>
      </c>
      <c r="K1202" s="23" t="str">
        <f t="shared" si="36"/>
        <v/>
      </c>
      <c r="L1202" s="23" t="str">
        <f t="shared" si="37"/>
        <v/>
      </c>
      <c r="M1202" s="23" t="str">
        <f>IF($B1202="","",ROUND(SUMIF(账户名,$B1202,账户期初)+SUMIFS($K$6:K1202,$B$6:B1202,$B1202),2))</f>
        <v/>
      </c>
      <c r="N1202" s="23" t="str">
        <f>IF($B1202="","",IFERROR(ROUND(INDEX(账户期初本位,MATCH($B1202,账户名,0))+SUMIFS($L$6:L1202,$B$6:B1202,$B1202),2),""))</f>
        <v/>
      </c>
      <c r="O1202" s="46"/>
      <c r="P1202" s="47"/>
      <c r="Q1202" s="46"/>
      <c r="R1202" s="46"/>
      <c r="S1202" s="6" t="str">
        <f>IF($B1202="","",IF(ISNA(MATCH($B1202,账户名,0)),"※这个账户不在【参数设置】的账户档案里",IF($A1202="","※没填日期，这一笔不会进任何月份的报表",IF(AND($G1202&lt;&gt;"",$H1202&lt;&gt;""),"※收入和支出不能同时填",IF(AND(N($G1202)=0,N($H1202)=0),"※收入和支出都没填",IF($E1202="","※没填收支类别，分类报表会漏掉这一笔",IF(ISNA(MATCH($E1202,类别表,0)),"※收支类别不在【参数设置】的清单里",IF($J1202="","△"&amp;$D1202&amp;" 还没填汇率，去【月度汇率】补上就自动算了",IF(YEAR($A1202)&lt;&gt;管理年度,"△不是管理年度的单据，年报里看不到",IF(AND($F1202="内部转账",$Q1202=""),"△内部转账建议在「往来单位」写上对方账户",IF($M1202&lt;0,"△这一笔之后该账户余额成负数了，核一下","")))))))))))</f>
        <v/>
      </c>
    </row>
    <row r="1203" ht="16.5" spans="1:19">
      <c r="A1203" s="45"/>
      <c r="B1203" s="46"/>
      <c r="C1203" s="12" t="str">
        <f>IF($B1203="","",IFERROR(INDEX(账户银行,MATCH($B1203,账户名,0)),""))</f>
        <v/>
      </c>
      <c r="D1203" s="12" t="str">
        <f>IF($B1203="","",IFERROR(INDEX(账户币种,MATCH($B1203,账户名,0)),""))</f>
        <v/>
      </c>
      <c r="E1203" s="47"/>
      <c r="F1203" s="12" t="str">
        <f>IF($E1203="","",IFERROR(INDEX(类别属性,MATCH($E1203,类别表,0)),""))</f>
        <v/>
      </c>
      <c r="G1203" s="48"/>
      <c r="H1203" s="48"/>
      <c r="I1203" s="49"/>
      <c r="J1203" s="24" t="str">
        <f>IF(OR($A1203="",$B1203=""),"",IF($I1203&lt;&gt;"",$I1203,IF($D1203=本位币,1,IFERROR(LOOKUP(2,1/((汇率月份&lt;=$A1203)*(INDEX(记账汇率区,0,MATCH($D1203,汇率币种头,0))&lt;&gt;"")),INDEX(记账汇率区,0,MATCH($D1203,汇率币种头,0))),""))))</f>
        <v/>
      </c>
      <c r="K1203" s="23" t="str">
        <f t="shared" si="36"/>
        <v/>
      </c>
      <c r="L1203" s="23" t="str">
        <f t="shared" si="37"/>
        <v/>
      </c>
      <c r="M1203" s="23" t="str">
        <f>IF($B1203="","",ROUND(SUMIF(账户名,$B1203,账户期初)+SUMIFS($K$6:K1203,$B$6:B1203,$B1203),2))</f>
        <v/>
      </c>
      <c r="N1203" s="23" t="str">
        <f>IF($B1203="","",IFERROR(ROUND(INDEX(账户期初本位,MATCH($B1203,账户名,0))+SUMIFS($L$6:L1203,$B$6:B1203,$B1203),2),""))</f>
        <v/>
      </c>
      <c r="O1203" s="46"/>
      <c r="P1203" s="47"/>
      <c r="Q1203" s="46"/>
      <c r="R1203" s="46"/>
      <c r="S1203" s="6" t="str">
        <f>IF($B1203="","",IF(ISNA(MATCH($B1203,账户名,0)),"※这个账户不在【参数设置】的账户档案里",IF($A1203="","※没填日期，这一笔不会进任何月份的报表",IF(AND($G1203&lt;&gt;"",$H1203&lt;&gt;""),"※收入和支出不能同时填",IF(AND(N($G1203)=0,N($H1203)=0),"※收入和支出都没填",IF($E1203="","※没填收支类别，分类报表会漏掉这一笔",IF(ISNA(MATCH($E1203,类别表,0)),"※收支类别不在【参数设置】的清单里",IF($J1203="","△"&amp;$D1203&amp;" 还没填汇率，去【月度汇率】补上就自动算了",IF(YEAR($A1203)&lt;&gt;管理年度,"△不是管理年度的单据，年报里看不到",IF(AND($F1203="内部转账",$Q1203=""),"△内部转账建议在「往来单位」写上对方账户",IF($M1203&lt;0,"△这一笔之后该账户余额成负数了，核一下","")))))))))))</f>
        <v/>
      </c>
    </row>
    <row r="1204" ht="16.5" spans="1:19">
      <c r="A1204" s="45"/>
      <c r="B1204" s="46"/>
      <c r="C1204" s="12" t="str">
        <f>IF($B1204="","",IFERROR(INDEX(账户银行,MATCH($B1204,账户名,0)),""))</f>
        <v/>
      </c>
      <c r="D1204" s="12" t="str">
        <f>IF($B1204="","",IFERROR(INDEX(账户币种,MATCH($B1204,账户名,0)),""))</f>
        <v/>
      </c>
      <c r="E1204" s="47"/>
      <c r="F1204" s="12" t="str">
        <f>IF($E1204="","",IFERROR(INDEX(类别属性,MATCH($E1204,类别表,0)),""))</f>
        <v/>
      </c>
      <c r="G1204" s="48"/>
      <c r="H1204" s="48"/>
      <c r="I1204" s="49"/>
      <c r="J1204" s="24" t="str">
        <f>IF(OR($A1204="",$B1204=""),"",IF($I1204&lt;&gt;"",$I1204,IF($D1204=本位币,1,IFERROR(LOOKUP(2,1/((汇率月份&lt;=$A1204)*(INDEX(记账汇率区,0,MATCH($D1204,汇率币种头,0))&lt;&gt;"")),INDEX(记账汇率区,0,MATCH($D1204,汇率币种头,0))),""))))</f>
        <v/>
      </c>
      <c r="K1204" s="23" t="str">
        <f t="shared" si="36"/>
        <v/>
      </c>
      <c r="L1204" s="23" t="str">
        <f t="shared" si="37"/>
        <v/>
      </c>
      <c r="M1204" s="23" t="str">
        <f>IF($B1204="","",ROUND(SUMIF(账户名,$B1204,账户期初)+SUMIFS($K$6:K1204,$B$6:B1204,$B1204),2))</f>
        <v/>
      </c>
      <c r="N1204" s="23" t="str">
        <f>IF($B1204="","",IFERROR(ROUND(INDEX(账户期初本位,MATCH($B1204,账户名,0))+SUMIFS($L$6:L1204,$B$6:B1204,$B1204),2),""))</f>
        <v/>
      </c>
      <c r="O1204" s="46"/>
      <c r="P1204" s="47"/>
      <c r="Q1204" s="46"/>
      <c r="R1204" s="46"/>
      <c r="S1204" s="6" t="str">
        <f>IF($B1204="","",IF(ISNA(MATCH($B1204,账户名,0)),"※这个账户不在【参数设置】的账户档案里",IF($A1204="","※没填日期，这一笔不会进任何月份的报表",IF(AND($G1204&lt;&gt;"",$H1204&lt;&gt;""),"※收入和支出不能同时填",IF(AND(N($G1204)=0,N($H1204)=0),"※收入和支出都没填",IF($E1204="","※没填收支类别，分类报表会漏掉这一笔",IF(ISNA(MATCH($E1204,类别表,0)),"※收支类别不在【参数设置】的清单里",IF($J1204="","△"&amp;$D1204&amp;" 还没填汇率，去【月度汇率】补上就自动算了",IF(YEAR($A1204)&lt;&gt;管理年度,"△不是管理年度的单据，年报里看不到",IF(AND($F1204="内部转账",$Q1204=""),"△内部转账建议在「往来单位」写上对方账户",IF($M1204&lt;0,"△这一笔之后该账户余额成负数了，核一下","")))))))))))</f>
        <v/>
      </c>
    </row>
    <row r="1205" ht="16.5" spans="1:19">
      <c r="A1205" s="45"/>
      <c r="B1205" s="46"/>
      <c r="C1205" s="12" t="str">
        <f>IF($B1205="","",IFERROR(INDEX(账户银行,MATCH($B1205,账户名,0)),""))</f>
        <v/>
      </c>
      <c r="D1205" s="12" t="str">
        <f>IF($B1205="","",IFERROR(INDEX(账户币种,MATCH($B1205,账户名,0)),""))</f>
        <v/>
      </c>
      <c r="E1205" s="47"/>
      <c r="F1205" s="12" t="str">
        <f>IF($E1205="","",IFERROR(INDEX(类别属性,MATCH($E1205,类别表,0)),""))</f>
        <v/>
      </c>
      <c r="G1205" s="48"/>
      <c r="H1205" s="48"/>
      <c r="I1205" s="49"/>
      <c r="J1205" s="24" t="str">
        <f>IF(OR($A1205="",$B1205=""),"",IF($I1205&lt;&gt;"",$I1205,IF($D1205=本位币,1,IFERROR(LOOKUP(2,1/((汇率月份&lt;=$A1205)*(INDEX(记账汇率区,0,MATCH($D1205,汇率币种头,0))&lt;&gt;"")),INDEX(记账汇率区,0,MATCH($D1205,汇率币种头,0))),""))))</f>
        <v/>
      </c>
      <c r="K1205" s="23" t="str">
        <f t="shared" si="36"/>
        <v/>
      </c>
      <c r="L1205" s="23" t="str">
        <f t="shared" si="37"/>
        <v/>
      </c>
      <c r="M1205" s="23" t="str">
        <f>IF($B1205="","",ROUND(SUMIF(账户名,$B1205,账户期初)+SUMIFS($K$6:K1205,$B$6:B1205,$B1205),2))</f>
        <v/>
      </c>
      <c r="N1205" s="23" t="str">
        <f>IF($B1205="","",IFERROR(ROUND(INDEX(账户期初本位,MATCH($B1205,账户名,0))+SUMIFS($L$6:L1205,$B$6:B1205,$B1205),2),""))</f>
        <v/>
      </c>
      <c r="O1205" s="46"/>
      <c r="P1205" s="47"/>
      <c r="Q1205" s="46"/>
      <c r="R1205" s="46"/>
      <c r="S1205" s="6" t="str">
        <f>IF($B1205="","",IF(ISNA(MATCH($B1205,账户名,0)),"※这个账户不在【参数设置】的账户档案里",IF($A1205="","※没填日期，这一笔不会进任何月份的报表",IF(AND($G1205&lt;&gt;"",$H1205&lt;&gt;""),"※收入和支出不能同时填",IF(AND(N($G1205)=0,N($H1205)=0),"※收入和支出都没填",IF($E1205="","※没填收支类别，分类报表会漏掉这一笔",IF(ISNA(MATCH($E1205,类别表,0)),"※收支类别不在【参数设置】的清单里",IF($J1205="","△"&amp;$D1205&amp;" 还没填汇率，去【月度汇率】补上就自动算了",IF(YEAR($A1205)&lt;&gt;管理年度,"△不是管理年度的单据，年报里看不到",IF(AND($F1205="内部转账",$Q1205=""),"△内部转账建议在「往来单位」写上对方账户",IF($M1205&lt;0,"△这一笔之后该账户余额成负数了，核一下","")))))))))))</f>
        <v/>
      </c>
    </row>
    <row r="1206" ht="16.5" spans="1:19">
      <c r="A1206" s="45"/>
      <c r="B1206" s="46"/>
      <c r="C1206" s="12" t="str">
        <f>IF($B1206="","",IFERROR(INDEX(账户银行,MATCH($B1206,账户名,0)),""))</f>
        <v/>
      </c>
      <c r="D1206" s="12" t="str">
        <f>IF($B1206="","",IFERROR(INDEX(账户币种,MATCH($B1206,账户名,0)),""))</f>
        <v/>
      </c>
      <c r="E1206" s="47"/>
      <c r="F1206" s="12" t="str">
        <f>IF($E1206="","",IFERROR(INDEX(类别属性,MATCH($E1206,类别表,0)),""))</f>
        <v/>
      </c>
      <c r="G1206" s="48"/>
      <c r="H1206" s="48"/>
      <c r="I1206" s="49"/>
      <c r="J1206" s="24" t="str">
        <f>IF(OR($A1206="",$B1206=""),"",IF($I1206&lt;&gt;"",$I1206,IF($D1206=本位币,1,IFERROR(LOOKUP(2,1/((汇率月份&lt;=$A1206)*(INDEX(记账汇率区,0,MATCH($D1206,汇率币种头,0))&lt;&gt;"")),INDEX(记账汇率区,0,MATCH($D1206,汇率币种头,0))),""))))</f>
        <v/>
      </c>
      <c r="K1206" s="23" t="str">
        <f t="shared" si="36"/>
        <v/>
      </c>
      <c r="L1206" s="23" t="str">
        <f t="shared" si="37"/>
        <v/>
      </c>
      <c r="M1206" s="23" t="str">
        <f>IF($B1206="","",ROUND(SUMIF(账户名,$B1206,账户期初)+SUMIFS($K$6:K1206,$B$6:B1206,$B1206),2))</f>
        <v/>
      </c>
      <c r="N1206" s="23" t="str">
        <f>IF($B1206="","",IFERROR(ROUND(INDEX(账户期初本位,MATCH($B1206,账户名,0))+SUMIFS($L$6:L1206,$B$6:B1206,$B1206),2),""))</f>
        <v/>
      </c>
      <c r="O1206" s="46"/>
      <c r="P1206" s="47"/>
      <c r="Q1206" s="46"/>
      <c r="R1206" s="46"/>
      <c r="S1206" s="6" t="str">
        <f>IF($B1206="","",IF(ISNA(MATCH($B1206,账户名,0)),"※这个账户不在【参数设置】的账户档案里",IF($A1206="","※没填日期，这一笔不会进任何月份的报表",IF(AND($G1206&lt;&gt;"",$H1206&lt;&gt;""),"※收入和支出不能同时填",IF(AND(N($G1206)=0,N($H1206)=0),"※收入和支出都没填",IF($E1206="","※没填收支类别，分类报表会漏掉这一笔",IF(ISNA(MATCH($E1206,类别表,0)),"※收支类别不在【参数设置】的清单里",IF($J1206="","△"&amp;$D1206&amp;" 还没填汇率，去【月度汇率】补上就自动算了",IF(YEAR($A1206)&lt;&gt;管理年度,"△不是管理年度的单据，年报里看不到",IF(AND($F1206="内部转账",$Q1206=""),"△内部转账建议在「往来单位」写上对方账户",IF($M1206&lt;0,"△这一笔之后该账户余额成负数了，核一下","")))))))))))</f>
        <v/>
      </c>
    </row>
    <row r="1207" ht="16.5" spans="1:19">
      <c r="A1207" s="45"/>
      <c r="B1207" s="46"/>
      <c r="C1207" s="12" t="str">
        <f>IF($B1207="","",IFERROR(INDEX(账户银行,MATCH($B1207,账户名,0)),""))</f>
        <v/>
      </c>
      <c r="D1207" s="12" t="str">
        <f>IF($B1207="","",IFERROR(INDEX(账户币种,MATCH($B1207,账户名,0)),""))</f>
        <v/>
      </c>
      <c r="E1207" s="47"/>
      <c r="F1207" s="12" t="str">
        <f>IF($E1207="","",IFERROR(INDEX(类别属性,MATCH($E1207,类别表,0)),""))</f>
        <v/>
      </c>
      <c r="G1207" s="48"/>
      <c r="H1207" s="48"/>
      <c r="I1207" s="49"/>
      <c r="J1207" s="24" t="str">
        <f>IF(OR($A1207="",$B1207=""),"",IF($I1207&lt;&gt;"",$I1207,IF($D1207=本位币,1,IFERROR(LOOKUP(2,1/((汇率月份&lt;=$A1207)*(INDEX(记账汇率区,0,MATCH($D1207,汇率币种头,0))&lt;&gt;"")),INDEX(记账汇率区,0,MATCH($D1207,汇率币种头,0))),""))))</f>
        <v/>
      </c>
      <c r="K1207" s="23" t="str">
        <f t="shared" si="36"/>
        <v/>
      </c>
      <c r="L1207" s="23" t="str">
        <f t="shared" si="37"/>
        <v/>
      </c>
      <c r="M1207" s="23" t="str">
        <f>IF($B1207="","",ROUND(SUMIF(账户名,$B1207,账户期初)+SUMIFS($K$6:K1207,$B$6:B1207,$B1207),2))</f>
        <v/>
      </c>
      <c r="N1207" s="23" t="str">
        <f>IF($B1207="","",IFERROR(ROUND(INDEX(账户期初本位,MATCH($B1207,账户名,0))+SUMIFS($L$6:L1207,$B$6:B1207,$B1207),2),""))</f>
        <v/>
      </c>
      <c r="O1207" s="46"/>
      <c r="P1207" s="47"/>
      <c r="Q1207" s="46"/>
      <c r="R1207" s="46"/>
      <c r="S1207" s="6" t="str">
        <f>IF($B1207="","",IF(ISNA(MATCH($B1207,账户名,0)),"※这个账户不在【参数设置】的账户档案里",IF($A1207="","※没填日期，这一笔不会进任何月份的报表",IF(AND($G1207&lt;&gt;"",$H1207&lt;&gt;""),"※收入和支出不能同时填",IF(AND(N($G1207)=0,N($H1207)=0),"※收入和支出都没填",IF($E1207="","※没填收支类别，分类报表会漏掉这一笔",IF(ISNA(MATCH($E1207,类别表,0)),"※收支类别不在【参数设置】的清单里",IF($J1207="","△"&amp;$D1207&amp;" 还没填汇率，去【月度汇率】补上就自动算了",IF(YEAR($A1207)&lt;&gt;管理年度,"△不是管理年度的单据，年报里看不到",IF(AND($F1207="内部转账",$Q1207=""),"△内部转账建议在「往来单位」写上对方账户",IF($M1207&lt;0,"△这一笔之后该账户余额成负数了，核一下","")))))))))))</f>
        <v/>
      </c>
    </row>
    <row r="1208" ht="16.5" spans="1:19">
      <c r="A1208" s="45"/>
      <c r="B1208" s="46"/>
      <c r="C1208" s="12" t="str">
        <f>IF($B1208="","",IFERROR(INDEX(账户银行,MATCH($B1208,账户名,0)),""))</f>
        <v/>
      </c>
      <c r="D1208" s="12" t="str">
        <f>IF($B1208="","",IFERROR(INDEX(账户币种,MATCH($B1208,账户名,0)),""))</f>
        <v/>
      </c>
      <c r="E1208" s="47"/>
      <c r="F1208" s="12" t="str">
        <f>IF($E1208="","",IFERROR(INDEX(类别属性,MATCH($E1208,类别表,0)),""))</f>
        <v/>
      </c>
      <c r="G1208" s="48"/>
      <c r="H1208" s="48"/>
      <c r="I1208" s="49"/>
      <c r="J1208" s="24" t="str">
        <f>IF(OR($A1208="",$B1208=""),"",IF($I1208&lt;&gt;"",$I1208,IF($D1208=本位币,1,IFERROR(LOOKUP(2,1/((汇率月份&lt;=$A1208)*(INDEX(记账汇率区,0,MATCH($D1208,汇率币种头,0))&lt;&gt;"")),INDEX(记账汇率区,0,MATCH($D1208,汇率币种头,0))),""))))</f>
        <v/>
      </c>
      <c r="K1208" s="23" t="str">
        <f t="shared" si="36"/>
        <v/>
      </c>
      <c r="L1208" s="23" t="str">
        <f t="shared" si="37"/>
        <v/>
      </c>
      <c r="M1208" s="23" t="str">
        <f>IF($B1208="","",ROUND(SUMIF(账户名,$B1208,账户期初)+SUMIFS($K$6:K1208,$B$6:B1208,$B1208),2))</f>
        <v/>
      </c>
      <c r="N1208" s="23" t="str">
        <f>IF($B1208="","",IFERROR(ROUND(INDEX(账户期初本位,MATCH($B1208,账户名,0))+SUMIFS($L$6:L1208,$B$6:B1208,$B1208),2),""))</f>
        <v/>
      </c>
      <c r="O1208" s="46"/>
      <c r="P1208" s="47"/>
      <c r="Q1208" s="46"/>
      <c r="R1208" s="46"/>
      <c r="S1208" s="6" t="str">
        <f>IF($B1208="","",IF(ISNA(MATCH($B1208,账户名,0)),"※这个账户不在【参数设置】的账户档案里",IF($A1208="","※没填日期，这一笔不会进任何月份的报表",IF(AND($G1208&lt;&gt;"",$H1208&lt;&gt;""),"※收入和支出不能同时填",IF(AND(N($G1208)=0,N($H1208)=0),"※收入和支出都没填",IF($E1208="","※没填收支类别，分类报表会漏掉这一笔",IF(ISNA(MATCH($E1208,类别表,0)),"※收支类别不在【参数设置】的清单里",IF($J1208="","△"&amp;$D1208&amp;" 还没填汇率，去【月度汇率】补上就自动算了",IF(YEAR($A1208)&lt;&gt;管理年度,"△不是管理年度的单据，年报里看不到",IF(AND($F1208="内部转账",$Q1208=""),"△内部转账建议在「往来单位」写上对方账户",IF($M1208&lt;0,"△这一笔之后该账户余额成负数了，核一下","")))))))))))</f>
        <v/>
      </c>
    </row>
    <row r="1209" ht="16.5" spans="1:19">
      <c r="A1209" s="45"/>
      <c r="B1209" s="46"/>
      <c r="C1209" s="12" t="str">
        <f>IF($B1209="","",IFERROR(INDEX(账户银行,MATCH($B1209,账户名,0)),""))</f>
        <v/>
      </c>
      <c r="D1209" s="12" t="str">
        <f>IF($B1209="","",IFERROR(INDEX(账户币种,MATCH($B1209,账户名,0)),""))</f>
        <v/>
      </c>
      <c r="E1209" s="47"/>
      <c r="F1209" s="12" t="str">
        <f>IF($E1209="","",IFERROR(INDEX(类别属性,MATCH($E1209,类别表,0)),""))</f>
        <v/>
      </c>
      <c r="G1209" s="48"/>
      <c r="H1209" s="48"/>
      <c r="I1209" s="49"/>
      <c r="J1209" s="24" t="str">
        <f>IF(OR($A1209="",$B1209=""),"",IF($I1209&lt;&gt;"",$I1209,IF($D1209=本位币,1,IFERROR(LOOKUP(2,1/((汇率月份&lt;=$A1209)*(INDEX(记账汇率区,0,MATCH($D1209,汇率币种头,0))&lt;&gt;"")),INDEX(记账汇率区,0,MATCH($D1209,汇率币种头,0))),""))))</f>
        <v/>
      </c>
      <c r="K1209" s="23" t="str">
        <f t="shared" si="36"/>
        <v/>
      </c>
      <c r="L1209" s="23" t="str">
        <f t="shared" si="37"/>
        <v/>
      </c>
      <c r="M1209" s="23" t="str">
        <f>IF($B1209="","",ROUND(SUMIF(账户名,$B1209,账户期初)+SUMIFS($K$6:K1209,$B$6:B1209,$B1209),2))</f>
        <v/>
      </c>
      <c r="N1209" s="23" t="str">
        <f>IF($B1209="","",IFERROR(ROUND(INDEX(账户期初本位,MATCH($B1209,账户名,0))+SUMIFS($L$6:L1209,$B$6:B1209,$B1209),2),""))</f>
        <v/>
      </c>
      <c r="O1209" s="46"/>
      <c r="P1209" s="47"/>
      <c r="Q1209" s="46"/>
      <c r="R1209" s="46"/>
      <c r="S1209" s="6" t="str">
        <f>IF($B1209="","",IF(ISNA(MATCH($B1209,账户名,0)),"※这个账户不在【参数设置】的账户档案里",IF($A1209="","※没填日期，这一笔不会进任何月份的报表",IF(AND($G1209&lt;&gt;"",$H1209&lt;&gt;""),"※收入和支出不能同时填",IF(AND(N($G1209)=0,N($H1209)=0),"※收入和支出都没填",IF($E1209="","※没填收支类别，分类报表会漏掉这一笔",IF(ISNA(MATCH($E1209,类别表,0)),"※收支类别不在【参数设置】的清单里",IF($J1209="","△"&amp;$D1209&amp;" 还没填汇率，去【月度汇率】补上就自动算了",IF(YEAR($A1209)&lt;&gt;管理年度,"△不是管理年度的单据，年报里看不到",IF(AND($F1209="内部转账",$Q1209=""),"△内部转账建议在「往来单位」写上对方账户",IF($M1209&lt;0,"△这一笔之后该账户余额成负数了，核一下","")))))))))))</f>
        <v/>
      </c>
    </row>
    <row r="1210" ht="16.5" spans="1:19">
      <c r="A1210" s="45"/>
      <c r="B1210" s="46"/>
      <c r="C1210" s="12" t="str">
        <f>IF($B1210="","",IFERROR(INDEX(账户银行,MATCH($B1210,账户名,0)),""))</f>
        <v/>
      </c>
      <c r="D1210" s="12" t="str">
        <f>IF($B1210="","",IFERROR(INDEX(账户币种,MATCH($B1210,账户名,0)),""))</f>
        <v/>
      </c>
      <c r="E1210" s="47"/>
      <c r="F1210" s="12" t="str">
        <f>IF($E1210="","",IFERROR(INDEX(类别属性,MATCH($E1210,类别表,0)),""))</f>
        <v/>
      </c>
      <c r="G1210" s="48"/>
      <c r="H1210" s="48"/>
      <c r="I1210" s="49"/>
      <c r="J1210" s="24" t="str">
        <f>IF(OR($A1210="",$B1210=""),"",IF($I1210&lt;&gt;"",$I1210,IF($D1210=本位币,1,IFERROR(LOOKUP(2,1/((汇率月份&lt;=$A1210)*(INDEX(记账汇率区,0,MATCH($D1210,汇率币种头,0))&lt;&gt;"")),INDEX(记账汇率区,0,MATCH($D1210,汇率币种头,0))),""))))</f>
        <v/>
      </c>
      <c r="K1210" s="23" t="str">
        <f t="shared" si="36"/>
        <v/>
      </c>
      <c r="L1210" s="23" t="str">
        <f t="shared" si="37"/>
        <v/>
      </c>
      <c r="M1210" s="23" t="str">
        <f>IF($B1210="","",ROUND(SUMIF(账户名,$B1210,账户期初)+SUMIFS($K$6:K1210,$B$6:B1210,$B1210),2))</f>
        <v/>
      </c>
      <c r="N1210" s="23" t="str">
        <f>IF($B1210="","",IFERROR(ROUND(INDEX(账户期初本位,MATCH($B1210,账户名,0))+SUMIFS($L$6:L1210,$B$6:B1210,$B1210),2),""))</f>
        <v/>
      </c>
      <c r="O1210" s="46"/>
      <c r="P1210" s="47"/>
      <c r="Q1210" s="46"/>
      <c r="R1210" s="46"/>
      <c r="S1210" s="6" t="str">
        <f>IF($B1210="","",IF(ISNA(MATCH($B1210,账户名,0)),"※这个账户不在【参数设置】的账户档案里",IF($A1210="","※没填日期，这一笔不会进任何月份的报表",IF(AND($G1210&lt;&gt;"",$H1210&lt;&gt;""),"※收入和支出不能同时填",IF(AND(N($G1210)=0,N($H1210)=0),"※收入和支出都没填",IF($E1210="","※没填收支类别，分类报表会漏掉这一笔",IF(ISNA(MATCH($E1210,类别表,0)),"※收支类别不在【参数设置】的清单里",IF($J1210="","△"&amp;$D1210&amp;" 还没填汇率，去【月度汇率】补上就自动算了",IF(YEAR($A1210)&lt;&gt;管理年度,"△不是管理年度的单据，年报里看不到",IF(AND($F1210="内部转账",$Q1210=""),"△内部转账建议在「往来单位」写上对方账户",IF($M1210&lt;0,"△这一笔之后该账户余额成负数了，核一下","")))))))))))</f>
        <v/>
      </c>
    </row>
    <row r="1211" ht="16.5" spans="1:19">
      <c r="A1211" s="45"/>
      <c r="B1211" s="46"/>
      <c r="C1211" s="12" t="str">
        <f>IF($B1211="","",IFERROR(INDEX(账户银行,MATCH($B1211,账户名,0)),""))</f>
        <v/>
      </c>
      <c r="D1211" s="12" t="str">
        <f>IF($B1211="","",IFERROR(INDEX(账户币种,MATCH($B1211,账户名,0)),""))</f>
        <v/>
      </c>
      <c r="E1211" s="47"/>
      <c r="F1211" s="12" t="str">
        <f>IF($E1211="","",IFERROR(INDEX(类别属性,MATCH($E1211,类别表,0)),""))</f>
        <v/>
      </c>
      <c r="G1211" s="48"/>
      <c r="H1211" s="48"/>
      <c r="I1211" s="49"/>
      <c r="J1211" s="24" t="str">
        <f>IF(OR($A1211="",$B1211=""),"",IF($I1211&lt;&gt;"",$I1211,IF($D1211=本位币,1,IFERROR(LOOKUP(2,1/((汇率月份&lt;=$A1211)*(INDEX(记账汇率区,0,MATCH($D1211,汇率币种头,0))&lt;&gt;"")),INDEX(记账汇率区,0,MATCH($D1211,汇率币种头,0))),""))))</f>
        <v/>
      </c>
      <c r="K1211" s="23" t="str">
        <f t="shared" si="36"/>
        <v/>
      </c>
      <c r="L1211" s="23" t="str">
        <f t="shared" si="37"/>
        <v/>
      </c>
      <c r="M1211" s="23" t="str">
        <f>IF($B1211="","",ROUND(SUMIF(账户名,$B1211,账户期初)+SUMIFS($K$6:K1211,$B$6:B1211,$B1211),2))</f>
        <v/>
      </c>
      <c r="N1211" s="23" t="str">
        <f>IF($B1211="","",IFERROR(ROUND(INDEX(账户期初本位,MATCH($B1211,账户名,0))+SUMIFS($L$6:L1211,$B$6:B1211,$B1211),2),""))</f>
        <v/>
      </c>
      <c r="O1211" s="46"/>
      <c r="P1211" s="47"/>
      <c r="Q1211" s="46"/>
      <c r="R1211" s="46"/>
      <c r="S1211" s="6" t="str">
        <f>IF($B1211="","",IF(ISNA(MATCH($B1211,账户名,0)),"※这个账户不在【参数设置】的账户档案里",IF($A1211="","※没填日期，这一笔不会进任何月份的报表",IF(AND($G1211&lt;&gt;"",$H1211&lt;&gt;""),"※收入和支出不能同时填",IF(AND(N($G1211)=0,N($H1211)=0),"※收入和支出都没填",IF($E1211="","※没填收支类别，分类报表会漏掉这一笔",IF(ISNA(MATCH($E1211,类别表,0)),"※收支类别不在【参数设置】的清单里",IF($J1211="","△"&amp;$D1211&amp;" 还没填汇率，去【月度汇率】补上就自动算了",IF(YEAR($A1211)&lt;&gt;管理年度,"△不是管理年度的单据，年报里看不到",IF(AND($F1211="内部转账",$Q1211=""),"△内部转账建议在「往来单位」写上对方账户",IF($M1211&lt;0,"△这一笔之后该账户余额成负数了，核一下","")))))))))))</f>
        <v/>
      </c>
    </row>
    <row r="1212" ht="16.5" spans="1:19">
      <c r="A1212" s="45"/>
      <c r="B1212" s="46"/>
      <c r="C1212" s="12" t="str">
        <f>IF($B1212="","",IFERROR(INDEX(账户银行,MATCH($B1212,账户名,0)),""))</f>
        <v/>
      </c>
      <c r="D1212" s="12" t="str">
        <f>IF($B1212="","",IFERROR(INDEX(账户币种,MATCH($B1212,账户名,0)),""))</f>
        <v/>
      </c>
      <c r="E1212" s="47"/>
      <c r="F1212" s="12" t="str">
        <f>IF($E1212="","",IFERROR(INDEX(类别属性,MATCH($E1212,类别表,0)),""))</f>
        <v/>
      </c>
      <c r="G1212" s="48"/>
      <c r="H1212" s="48"/>
      <c r="I1212" s="49"/>
      <c r="J1212" s="24" t="str">
        <f>IF(OR($A1212="",$B1212=""),"",IF($I1212&lt;&gt;"",$I1212,IF($D1212=本位币,1,IFERROR(LOOKUP(2,1/((汇率月份&lt;=$A1212)*(INDEX(记账汇率区,0,MATCH($D1212,汇率币种头,0))&lt;&gt;"")),INDEX(记账汇率区,0,MATCH($D1212,汇率币种头,0))),""))))</f>
        <v/>
      </c>
      <c r="K1212" s="23" t="str">
        <f t="shared" si="36"/>
        <v/>
      </c>
      <c r="L1212" s="23" t="str">
        <f t="shared" si="37"/>
        <v/>
      </c>
      <c r="M1212" s="23" t="str">
        <f>IF($B1212="","",ROUND(SUMIF(账户名,$B1212,账户期初)+SUMIFS($K$6:K1212,$B$6:B1212,$B1212),2))</f>
        <v/>
      </c>
      <c r="N1212" s="23" t="str">
        <f>IF($B1212="","",IFERROR(ROUND(INDEX(账户期初本位,MATCH($B1212,账户名,0))+SUMIFS($L$6:L1212,$B$6:B1212,$B1212),2),""))</f>
        <v/>
      </c>
      <c r="O1212" s="46"/>
      <c r="P1212" s="47"/>
      <c r="Q1212" s="46"/>
      <c r="R1212" s="46"/>
      <c r="S1212" s="6" t="str">
        <f>IF($B1212="","",IF(ISNA(MATCH($B1212,账户名,0)),"※这个账户不在【参数设置】的账户档案里",IF($A1212="","※没填日期，这一笔不会进任何月份的报表",IF(AND($G1212&lt;&gt;"",$H1212&lt;&gt;""),"※收入和支出不能同时填",IF(AND(N($G1212)=0,N($H1212)=0),"※收入和支出都没填",IF($E1212="","※没填收支类别，分类报表会漏掉这一笔",IF(ISNA(MATCH($E1212,类别表,0)),"※收支类别不在【参数设置】的清单里",IF($J1212="","△"&amp;$D1212&amp;" 还没填汇率，去【月度汇率】补上就自动算了",IF(YEAR($A1212)&lt;&gt;管理年度,"△不是管理年度的单据，年报里看不到",IF(AND($F1212="内部转账",$Q1212=""),"△内部转账建议在「往来单位」写上对方账户",IF($M1212&lt;0,"△这一笔之后该账户余额成负数了，核一下","")))))))))))</f>
        <v/>
      </c>
    </row>
    <row r="1213" ht="16.5" spans="1:19">
      <c r="A1213" s="45"/>
      <c r="B1213" s="46"/>
      <c r="C1213" s="12" t="str">
        <f>IF($B1213="","",IFERROR(INDEX(账户银行,MATCH($B1213,账户名,0)),""))</f>
        <v/>
      </c>
      <c r="D1213" s="12" t="str">
        <f>IF($B1213="","",IFERROR(INDEX(账户币种,MATCH($B1213,账户名,0)),""))</f>
        <v/>
      </c>
      <c r="E1213" s="47"/>
      <c r="F1213" s="12" t="str">
        <f>IF($E1213="","",IFERROR(INDEX(类别属性,MATCH($E1213,类别表,0)),""))</f>
        <v/>
      </c>
      <c r="G1213" s="48"/>
      <c r="H1213" s="48"/>
      <c r="I1213" s="49"/>
      <c r="J1213" s="24" t="str">
        <f>IF(OR($A1213="",$B1213=""),"",IF($I1213&lt;&gt;"",$I1213,IF($D1213=本位币,1,IFERROR(LOOKUP(2,1/((汇率月份&lt;=$A1213)*(INDEX(记账汇率区,0,MATCH($D1213,汇率币种头,0))&lt;&gt;"")),INDEX(记账汇率区,0,MATCH($D1213,汇率币种头,0))),""))))</f>
        <v/>
      </c>
      <c r="K1213" s="23" t="str">
        <f t="shared" si="36"/>
        <v/>
      </c>
      <c r="L1213" s="23" t="str">
        <f t="shared" si="37"/>
        <v/>
      </c>
      <c r="M1213" s="23" t="str">
        <f>IF($B1213="","",ROUND(SUMIF(账户名,$B1213,账户期初)+SUMIFS($K$6:K1213,$B$6:B1213,$B1213),2))</f>
        <v/>
      </c>
      <c r="N1213" s="23" t="str">
        <f>IF($B1213="","",IFERROR(ROUND(INDEX(账户期初本位,MATCH($B1213,账户名,0))+SUMIFS($L$6:L1213,$B$6:B1213,$B1213),2),""))</f>
        <v/>
      </c>
      <c r="O1213" s="46"/>
      <c r="P1213" s="47"/>
      <c r="Q1213" s="46"/>
      <c r="R1213" s="46"/>
      <c r="S1213" s="6" t="str">
        <f>IF($B1213="","",IF(ISNA(MATCH($B1213,账户名,0)),"※这个账户不在【参数设置】的账户档案里",IF($A1213="","※没填日期，这一笔不会进任何月份的报表",IF(AND($G1213&lt;&gt;"",$H1213&lt;&gt;""),"※收入和支出不能同时填",IF(AND(N($G1213)=0,N($H1213)=0),"※收入和支出都没填",IF($E1213="","※没填收支类别，分类报表会漏掉这一笔",IF(ISNA(MATCH($E1213,类别表,0)),"※收支类别不在【参数设置】的清单里",IF($J1213="","△"&amp;$D1213&amp;" 还没填汇率，去【月度汇率】补上就自动算了",IF(YEAR($A1213)&lt;&gt;管理年度,"△不是管理年度的单据，年报里看不到",IF(AND($F1213="内部转账",$Q1213=""),"△内部转账建议在「往来单位」写上对方账户",IF($M1213&lt;0,"△这一笔之后该账户余额成负数了，核一下","")))))))))))</f>
        <v/>
      </c>
    </row>
    <row r="1214" ht="16.5" spans="1:19">
      <c r="A1214" s="45"/>
      <c r="B1214" s="46"/>
      <c r="C1214" s="12" t="str">
        <f>IF($B1214="","",IFERROR(INDEX(账户银行,MATCH($B1214,账户名,0)),""))</f>
        <v/>
      </c>
      <c r="D1214" s="12" t="str">
        <f>IF($B1214="","",IFERROR(INDEX(账户币种,MATCH($B1214,账户名,0)),""))</f>
        <v/>
      </c>
      <c r="E1214" s="47"/>
      <c r="F1214" s="12" t="str">
        <f>IF($E1214="","",IFERROR(INDEX(类别属性,MATCH($E1214,类别表,0)),""))</f>
        <v/>
      </c>
      <c r="G1214" s="48"/>
      <c r="H1214" s="48"/>
      <c r="I1214" s="49"/>
      <c r="J1214" s="24" t="str">
        <f>IF(OR($A1214="",$B1214=""),"",IF($I1214&lt;&gt;"",$I1214,IF($D1214=本位币,1,IFERROR(LOOKUP(2,1/((汇率月份&lt;=$A1214)*(INDEX(记账汇率区,0,MATCH($D1214,汇率币种头,0))&lt;&gt;"")),INDEX(记账汇率区,0,MATCH($D1214,汇率币种头,0))),""))))</f>
        <v/>
      </c>
      <c r="K1214" s="23" t="str">
        <f t="shared" si="36"/>
        <v/>
      </c>
      <c r="L1214" s="23" t="str">
        <f t="shared" si="37"/>
        <v/>
      </c>
      <c r="M1214" s="23" t="str">
        <f>IF($B1214="","",ROUND(SUMIF(账户名,$B1214,账户期初)+SUMIFS($K$6:K1214,$B$6:B1214,$B1214),2))</f>
        <v/>
      </c>
      <c r="N1214" s="23" t="str">
        <f>IF($B1214="","",IFERROR(ROUND(INDEX(账户期初本位,MATCH($B1214,账户名,0))+SUMIFS($L$6:L1214,$B$6:B1214,$B1214),2),""))</f>
        <v/>
      </c>
      <c r="O1214" s="46"/>
      <c r="P1214" s="47"/>
      <c r="Q1214" s="46"/>
      <c r="R1214" s="46"/>
      <c r="S1214" s="6" t="str">
        <f>IF($B1214="","",IF(ISNA(MATCH($B1214,账户名,0)),"※这个账户不在【参数设置】的账户档案里",IF($A1214="","※没填日期，这一笔不会进任何月份的报表",IF(AND($G1214&lt;&gt;"",$H1214&lt;&gt;""),"※收入和支出不能同时填",IF(AND(N($G1214)=0,N($H1214)=0),"※收入和支出都没填",IF($E1214="","※没填收支类别，分类报表会漏掉这一笔",IF(ISNA(MATCH($E1214,类别表,0)),"※收支类别不在【参数设置】的清单里",IF($J1214="","△"&amp;$D1214&amp;" 还没填汇率，去【月度汇率】补上就自动算了",IF(YEAR($A1214)&lt;&gt;管理年度,"△不是管理年度的单据，年报里看不到",IF(AND($F1214="内部转账",$Q1214=""),"△内部转账建议在「往来单位」写上对方账户",IF($M1214&lt;0,"△这一笔之后该账户余额成负数了，核一下","")))))))))))</f>
        <v/>
      </c>
    </row>
    <row r="1215" ht="16.5" spans="1:19">
      <c r="A1215" s="45"/>
      <c r="B1215" s="46"/>
      <c r="C1215" s="12" t="str">
        <f>IF($B1215="","",IFERROR(INDEX(账户银行,MATCH($B1215,账户名,0)),""))</f>
        <v/>
      </c>
      <c r="D1215" s="12" t="str">
        <f>IF($B1215="","",IFERROR(INDEX(账户币种,MATCH($B1215,账户名,0)),""))</f>
        <v/>
      </c>
      <c r="E1215" s="47"/>
      <c r="F1215" s="12" t="str">
        <f>IF($E1215="","",IFERROR(INDEX(类别属性,MATCH($E1215,类别表,0)),""))</f>
        <v/>
      </c>
      <c r="G1215" s="48"/>
      <c r="H1215" s="48"/>
      <c r="I1215" s="49"/>
      <c r="J1215" s="24" t="str">
        <f>IF(OR($A1215="",$B1215=""),"",IF($I1215&lt;&gt;"",$I1215,IF($D1215=本位币,1,IFERROR(LOOKUP(2,1/((汇率月份&lt;=$A1215)*(INDEX(记账汇率区,0,MATCH($D1215,汇率币种头,0))&lt;&gt;"")),INDEX(记账汇率区,0,MATCH($D1215,汇率币种头,0))),""))))</f>
        <v/>
      </c>
      <c r="K1215" s="23" t="str">
        <f t="shared" si="36"/>
        <v/>
      </c>
      <c r="L1215" s="23" t="str">
        <f t="shared" si="37"/>
        <v/>
      </c>
      <c r="M1215" s="23" t="str">
        <f>IF($B1215="","",ROUND(SUMIF(账户名,$B1215,账户期初)+SUMIFS($K$6:K1215,$B$6:B1215,$B1215),2))</f>
        <v/>
      </c>
      <c r="N1215" s="23" t="str">
        <f>IF($B1215="","",IFERROR(ROUND(INDEX(账户期初本位,MATCH($B1215,账户名,0))+SUMIFS($L$6:L1215,$B$6:B1215,$B1215),2),""))</f>
        <v/>
      </c>
      <c r="O1215" s="46"/>
      <c r="P1215" s="47"/>
      <c r="Q1215" s="46"/>
      <c r="R1215" s="46"/>
      <c r="S1215" s="6" t="str">
        <f>IF($B1215="","",IF(ISNA(MATCH($B1215,账户名,0)),"※这个账户不在【参数设置】的账户档案里",IF($A1215="","※没填日期，这一笔不会进任何月份的报表",IF(AND($G1215&lt;&gt;"",$H1215&lt;&gt;""),"※收入和支出不能同时填",IF(AND(N($G1215)=0,N($H1215)=0),"※收入和支出都没填",IF($E1215="","※没填收支类别，分类报表会漏掉这一笔",IF(ISNA(MATCH($E1215,类别表,0)),"※收支类别不在【参数设置】的清单里",IF($J1215="","△"&amp;$D1215&amp;" 还没填汇率，去【月度汇率】补上就自动算了",IF(YEAR($A1215)&lt;&gt;管理年度,"△不是管理年度的单据，年报里看不到",IF(AND($F1215="内部转账",$Q1215=""),"△内部转账建议在「往来单位」写上对方账户",IF($M1215&lt;0,"△这一笔之后该账户余额成负数了，核一下","")))))))))))</f>
        <v/>
      </c>
    </row>
    <row r="1216" ht="16.5" spans="1:19">
      <c r="A1216" s="45"/>
      <c r="B1216" s="46"/>
      <c r="C1216" s="12" t="str">
        <f>IF($B1216="","",IFERROR(INDEX(账户银行,MATCH($B1216,账户名,0)),""))</f>
        <v/>
      </c>
      <c r="D1216" s="12" t="str">
        <f>IF($B1216="","",IFERROR(INDEX(账户币种,MATCH($B1216,账户名,0)),""))</f>
        <v/>
      </c>
      <c r="E1216" s="47"/>
      <c r="F1216" s="12" t="str">
        <f>IF($E1216="","",IFERROR(INDEX(类别属性,MATCH($E1216,类别表,0)),""))</f>
        <v/>
      </c>
      <c r="G1216" s="48"/>
      <c r="H1216" s="48"/>
      <c r="I1216" s="49"/>
      <c r="J1216" s="24" t="str">
        <f>IF(OR($A1216="",$B1216=""),"",IF($I1216&lt;&gt;"",$I1216,IF($D1216=本位币,1,IFERROR(LOOKUP(2,1/((汇率月份&lt;=$A1216)*(INDEX(记账汇率区,0,MATCH($D1216,汇率币种头,0))&lt;&gt;"")),INDEX(记账汇率区,0,MATCH($D1216,汇率币种头,0))),""))))</f>
        <v/>
      </c>
      <c r="K1216" s="23" t="str">
        <f t="shared" si="36"/>
        <v/>
      </c>
      <c r="L1216" s="23" t="str">
        <f t="shared" si="37"/>
        <v/>
      </c>
      <c r="M1216" s="23" t="str">
        <f>IF($B1216="","",ROUND(SUMIF(账户名,$B1216,账户期初)+SUMIFS($K$6:K1216,$B$6:B1216,$B1216),2))</f>
        <v/>
      </c>
      <c r="N1216" s="23" t="str">
        <f>IF($B1216="","",IFERROR(ROUND(INDEX(账户期初本位,MATCH($B1216,账户名,0))+SUMIFS($L$6:L1216,$B$6:B1216,$B1216),2),""))</f>
        <v/>
      </c>
      <c r="O1216" s="46"/>
      <c r="P1216" s="47"/>
      <c r="Q1216" s="46"/>
      <c r="R1216" s="46"/>
      <c r="S1216" s="6" t="str">
        <f>IF($B1216="","",IF(ISNA(MATCH($B1216,账户名,0)),"※这个账户不在【参数设置】的账户档案里",IF($A1216="","※没填日期，这一笔不会进任何月份的报表",IF(AND($G1216&lt;&gt;"",$H1216&lt;&gt;""),"※收入和支出不能同时填",IF(AND(N($G1216)=0,N($H1216)=0),"※收入和支出都没填",IF($E1216="","※没填收支类别，分类报表会漏掉这一笔",IF(ISNA(MATCH($E1216,类别表,0)),"※收支类别不在【参数设置】的清单里",IF($J1216="","△"&amp;$D1216&amp;" 还没填汇率，去【月度汇率】补上就自动算了",IF(YEAR($A1216)&lt;&gt;管理年度,"△不是管理年度的单据，年报里看不到",IF(AND($F1216="内部转账",$Q1216=""),"△内部转账建议在「往来单位」写上对方账户",IF($M1216&lt;0,"△这一笔之后该账户余额成负数了，核一下","")))))))))))</f>
        <v/>
      </c>
    </row>
    <row r="1217" ht="16.5" spans="1:19">
      <c r="A1217" s="45"/>
      <c r="B1217" s="46"/>
      <c r="C1217" s="12" t="str">
        <f>IF($B1217="","",IFERROR(INDEX(账户银行,MATCH($B1217,账户名,0)),""))</f>
        <v/>
      </c>
      <c r="D1217" s="12" t="str">
        <f>IF($B1217="","",IFERROR(INDEX(账户币种,MATCH($B1217,账户名,0)),""))</f>
        <v/>
      </c>
      <c r="E1217" s="47"/>
      <c r="F1217" s="12" t="str">
        <f>IF($E1217="","",IFERROR(INDEX(类别属性,MATCH($E1217,类别表,0)),""))</f>
        <v/>
      </c>
      <c r="G1217" s="48"/>
      <c r="H1217" s="48"/>
      <c r="I1217" s="49"/>
      <c r="J1217" s="24" t="str">
        <f>IF(OR($A1217="",$B1217=""),"",IF($I1217&lt;&gt;"",$I1217,IF($D1217=本位币,1,IFERROR(LOOKUP(2,1/((汇率月份&lt;=$A1217)*(INDEX(记账汇率区,0,MATCH($D1217,汇率币种头,0))&lt;&gt;"")),INDEX(记账汇率区,0,MATCH($D1217,汇率币种头,0))),""))))</f>
        <v/>
      </c>
      <c r="K1217" s="23" t="str">
        <f t="shared" si="36"/>
        <v/>
      </c>
      <c r="L1217" s="23" t="str">
        <f t="shared" si="37"/>
        <v/>
      </c>
      <c r="M1217" s="23" t="str">
        <f>IF($B1217="","",ROUND(SUMIF(账户名,$B1217,账户期初)+SUMIFS($K$6:K1217,$B$6:B1217,$B1217),2))</f>
        <v/>
      </c>
      <c r="N1217" s="23" t="str">
        <f>IF($B1217="","",IFERROR(ROUND(INDEX(账户期初本位,MATCH($B1217,账户名,0))+SUMIFS($L$6:L1217,$B$6:B1217,$B1217),2),""))</f>
        <v/>
      </c>
      <c r="O1217" s="46"/>
      <c r="P1217" s="47"/>
      <c r="Q1217" s="46"/>
      <c r="R1217" s="46"/>
      <c r="S1217" s="6" t="str">
        <f>IF($B1217="","",IF(ISNA(MATCH($B1217,账户名,0)),"※这个账户不在【参数设置】的账户档案里",IF($A1217="","※没填日期，这一笔不会进任何月份的报表",IF(AND($G1217&lt;&gt;"",$H1217&lt;&gt;""),"※收入和支出不能同时填",IF(AND(N($G1217)=0,N($H1217)=0),"※收入和支出都没填",IF($E1217="","※没填收支类别，分类报表会漏掉这一笔",IF(ISNA(MATCH($E1217,类别表,0)),"※收支类别不在【参数设置】的清单里",IF($J1217="","△"&amp;$D1217&amp;" 还没填汇率，去【月度汇率】补上就自动算了",IF(YEAR($A1217)&lt;&gt;管理年度,"△不是管理年度的单据，年报里看不到",IF(AND($F1217="内部转账",$Q1217=""),"△内部转账建议在「往来单位」写上对方账户",IF($M1217&lt;0,"△这一笔之后该账户余额成负数了，核一下","")))))))))))</f>
        <v/>
      </c>
    </row>
    <row r="1218" ht="16.5" spans="1:19">
      <c r="A1218" s="45"/>
      <c r="B1218" s="46"/>
      <c r="C1218" s="12" t="str">
        <f>IF($B1218="","",IFERROR(INDEX(账户银行,MATCH($B1218,账户名,0)),""))</f>
        <v/>
      </c>
      <c r="D1218" s="12" t="str">
        <f>IF($B1218="","",IFERROR(INDEX(账户币种,MATCH($B1218,账户名,0)),""))</f>
        <v/>
      </c>
      <c r="E1218" s="47"/>
      <c r="F1218" s="12" t="str">
        <f>IF($E1218="","",IFERROR(INDEX(类别属性,MATCH($E1218,类别表,0)),""))</f>
        <v/>
      </c>
      <c r="G1218" s="48"/>
      <c r="H1218" s="48"/>
      <c r="I1218" s="49"/>
      <c r="J1218" s="24" t="str">
        <f>IF(OR($A1218="",$B1218=""),"",IF($I1218&lt;&gt;"",$I1218,IF($D1218=本位币,1,IFERROR(LOOKUP(2,1/((汇率月份&lt;=$A1218)*(INDEX(记账汇率区,0,MATCH($D1218,汇率币种头,0))&lt;&gt;"")),INDEX(记账汇率区,0,MATCH($D1218,汇率币种头,0))),""))))</f>
        <v/>
      </c>
      <c r="K1218" s="23" t="str">
        <f t="shared" si="36"/>
        <v/>
      </c>
      <c r="L1218" s="23" t="str">
        <f t="shared" si="37"/>
        <v/>
      </c>
      <c r="M1218" s="23" t="str">
        <f>IF($B1218="","",ROUND(SUMIF(账户名,$B1218,账户期初)+SUMIFS($K$6:K1218,$B$6:B1218,$B1218),2))</f>
        <v/>
      </c>
      <c r="N1218" s="23" t="str">
        <f>IF($B1218="","",IFERROR(ROUND(INDEX(账户期初本位,MATCH($B1218,账户名,0))+SUMIFS($L$6:L1218,$B$6:B1218,$B1218),2),""))</f>
        <v/>
      </c>
      <c r="O1218" s="46"/>
      <c r="P1218" s="47"/>
      <c r="Q1218" s="46"/>
      <c r="R1218" s="46"/>
      <c r="S1218" s="6" t="str">
        <f>IF($B1218="","",IF(ISNA(MATCH($B1218,账户名,0)),"※这个账户不在【参数设置】的账户档案里",IF($A1218="","※没填日期，这一笔不会进任何月份的报表",IF(AND($G1218&lt;&gt;"",$H1218&lt;&gt;""),"※收入和支出不能同时填",IF(AND(N($G1218)=0,N($H1218)=0),"※收入和支出都没填",IF($E1218="","※没填收支类别，分类报表会漏掉这一笔",IF(ISNA(MATCH($E1218,类别表,0)),"※收支类别不在【参数设置】的清单里",IF($J1218="","△"&amp;$D1218&amp;" 还没填汇率，去【月度汇率】补上就自动算了",IF(YEAR($A1218)&lt;&gt;管理年度,"△不是管理年度的单据，年报里看不到",IF(AND($F1218="内部转账",$Q1218=""),"△内部转账建议在「往来单位」写上对方账户",IF($M1218&lt;0,"△这一笔之后该账户余额成负数了，核一下","")))))))))))</f>
        <v/>
      </c>
    </row>
    <row r="1219" ht="16.5" spans="1:19">
      <c r="A1219" s="45"/>
      <c r="B1219" s="46"/>
      <c r="C1219" s="12" t="str">
        <f>IF($B1219="","",IFERROR(INDEX(账户银行,MATCH($B1219,账户名,0)),""))</f>
        <v/>
      </c>
      <c r="D1219" s="12" t="str">
        <f>IF($B1219="","",IFERROR(INDEX(账户币种,MATCH($B1219,账户名,0)),""))</f>
        <v/>
      </c>
      <c r="E1219" s="47"/>
      <c r="F1219" s="12" t="str">
        <f>IF($E1219="","",IFERROR(INDEX(类别属性,MATCH($E1219,类别表,0)),""))</f>
        <v/>
      </c>
      <c r="G1219" s="48"/>
      <c r="H1219" s="48"/>
      <c r="I1219" s="49"/>
      <c r="J1219" s="24" t="str">
        <f>IF(OR($A1219="",$B1219=""),"",IF($I1219&lt;&gt;"",$I1219,IF($D1219=本位币,1,IFERROR(LOOKUP(2,1/((汇率月份&lt;=$A1219)*(INDEX(记账汇率区,0,MATCH($D1219,汇率币种头,0))&lt;&gt;"")),INDEX(记账汇率区,0,MATCH($D1219,汇率币种头,0))),""))))</f>
        <v/>
      </c>
      <c r="K1219" s="23" t="str">
        <f t="shared" si="36"/>
        <v/>
      </c>
      <c r="L1219" s="23" t="str">
        <f t="shared" si="37"/>
        <v/>
      </c>
      <c r="M1219" s="23" t="str">
        <f>IF($B1219="","",ROUND(SUMIF(账户名,$B1219,账户期初)+SUMIFS($K$6:K1219,$B$6:B1219,$B1219),2))</f>
        <v/>
      </c>
      <c r="N1219" s="23" t="str">
        <f>IF($B1219="","",IFERROR(ROUND(INDEX(账户期初本位,MATCH($B1219,账户名,0))+SUMIFS($L$6:L1219,$B$6:B1219,$B1219),2),""))</f>
        <v/>
      </c>
      <c r="O1219" s="46"/>
      <c r="P1219" s="47"/>
      <c r="Q1219" s="46"/>
      <c r="R1219" s="46"/>
      <c r="S1219" s="6" t="str">
        <f>IF($B1219="","",IF(ISNA(MATCH($B1219,账户名,0)),"※这个账户不在【参数设置】的账户档案里",IF($A1219="","※没填日期，这一笔不会进任何月份的报表",IF(AND($G1219&lt;&gt;"",$H1219&lt;&gt;""),"※收入和支出不能同时填",IF(AND(N($G1219)=0,N($H1219)=0),"※收入和支出都没填",IF($E1219="","※没填收支类别，分类报表会漏掉这一笔",IF(ISNA(MATCH($E1219,类别表,0)),"※收支类别不在【参数设置】的清单里",IF($J1219="","△"&amp;$D1219&amp;" 还没填汇率，去【月度汇率】补上就自动算了",IF(YEAR($A1219)&lt;&gt;管理年度,"△不是管理年度的单据，年报里看不到",IF(AND($F1219="内部转账",$Q1219=""),"△内部转账建议在「往来单位」写上对方账户",IF($M1219&lt;0,"△这一笔之后该账户余额成负数了，核一下","")))))))))))</f>
        <v/>
      </c>
    </row>
    <row r="1220" ht="16.5" spans="1:19">
      <c r="A1220" s="45"/>
      <c r="B1220" s="46"/>
      <c r="C1220" s="12" t="str">
        <f>IF($B1220="","",IFERROR(INDEX(账户银行,MATCH($B1220,账户名,0)),""))</f>
        <v/>
      </c>
      <c r="D1220" s="12" t="str">
        <f>IF($B1220="","",IFERROR(INDEX(账户币种,MATCH($B1220,账户名,0)),""))</f>
        <v/>
      </c>
      <c r="E1220" s="47"/>
      <c r="F1220" s="12" t="str">
        <f>IF($E1220="","",IFERROR(INDEX(类别属性,MATCH($E1220,类别表,0)),""))</f>
        <v/>
      </c>
      <c r="G1220" s="48"/>
      <c r="H1220" s="48"/>
      <c r="I1220" s="49"/>
      <c r="J1220" s="24" t="str">
        <f>IF(OR($A1220="",$B1220=""),"",IF($I1220&lt;&gt;"",$I1220,IF($D1220=本位币,1,IFERROR(LOOKUP(2,1/((汇率月份&lt;=$A1220)*(INDEX(记账汇率区,0,MATCH($D1220,汇率币种头,0))&lt;&gt;"")),INDEX(记账汇率区,0,MATCH($D1220,汇率币种头,0))),""))))</f>
        <v/>
      </c>
      <c r="K1220" s="23" t="str">
        <f t="shared" si="36"/>
        <v/>
      </c>
      <c r="L1220" s="23" t="str">
        <f t="shared" si="37"/>
        <v/>
      </c>
      <c r="M1220" s="23" t="str">
        <f>IF($B1220="","",ROUND(SUMIF(账户名,$B1220,账户期初)+SUMIFS($K$6:K1220,$B$6:B1220,$B1220),2))</f>
        <v/>
      </c>
      <c r="N1220" s="23" t="str">
        <f>IF($B1220="","",IFERROR(ROUND(INDEX(账户期初本位,MATCH($B1220,账户名,0))+SUMIFS($L$6:L1220,$B$6:B1220,$B1220),2),""))</f>
        <v/>
      </c>
      <c r="O1220" s="46"/>
      <c r="P1220" s="47"/>
      <c r="Q1220" s="46"/>
      <c r="R1220" s="46"/>
      <c r="S1220" s="6" t="str">
        <f>IF($B1220="","",IF(ISNA(MATCH($B1220,账户名,0)),"※这个账户不在【参数设置】的账户档案里",IF($A1220="","※没填日期，这一笔不会进任何月份的报表",IF(AND($G1220&lt;&gt;"",$H1220&lt;&gt;""),"※收入和支出不能同时填",IF(AND(N($G1220)=0,N($H1220)=0),"※收入和支出都没填",IF($E1220="","※没填收支类别，分类报表会漏掉这一笔",IF(ISNA(MATCH($E1220,类别表,0)),"※收支类别不在【参数设置】的清单里",IF($J1220="","△"&amp;$D1220&amp;" 还没填汇率，去【月度汇率】补上就自动算了",IF(YEAR($A1220)&lt;&gt;管理年度,"△不是管理年度的单据，年报里看不到",IF(AND($F1220="内部转账",$Q1220=""),"△内部转账建议在「往来单位」写上对方账户",IF($M1220&lt;0,"△这一笔之后该账户余额成负数了，核一下","")))))))))))</f>
        <v/>
      </c>
    </row>
    <row r="1221" ht="16.5" spans="1:19">
      <c r="A1221" s="45"/>
      <c r="B1221" s="46"/>
      <c r="C1221" s="12" t="str">
        <f>IF($B1221="","",IFERROR(INDEX(账户银行,MATCH($B1221,账户名,0)),""))</f>
        <v/>
      </c>
      <c r="D1221" s="12" t="str">
        <f>IF($B1221="","",IFERROR(INDEX(账户币种,MATCH($B1221,账户名,0)),""))</f>
        <v/>
      </c>
      <c r="E1221" s="47"/>
      <c r="F1221" s="12" t="str">
        <f>IF($E1221="","",IFERROR(INDEX(类别属性,MATCH($E1221,类别表,0)),""))</f>
        <v/>
      </c>
      <c r="G1221" s="48"/>
      <c r="H1221" s="48"/>
      <c r="I1221" s="49"/>
      <c r="J1221" s="24" t="str">
        <f>IF(OR($A1221="",$B1221=""),"",IF($I1221&lt;&gt;"",$I1221,IF($D1221=本位币,1,IFERROR(LOOKUP(2,1/((汇率月份&lt;=$A1221)*(INDEX(记账汇率区,0,MATCH($D1221,汇率币种头,0))&lt;&gt;"")),INDEX(记账汇率区,0,MATCH($D1221,汇率币种头,0))),""))))</f>
        <v/>
      </c>
      <c r="K1221" s="23" t="str">
        <f t="shared" si="36"/>
        <v/>
      </c>
      <c r="L1221" s="23" t="str">
        <f t="shared" si="37"/>
        <v/>
      </c>
      <c r="M1221" s="23" t="str">
        <f>IF($B1221="","",ROUND(SUMIF(账户名,$B1221,账户期初)+SUMIFS($K$6:K1221,$B$6:B1221,$B1221),2))</f>
        <v/>
      </c>
      <c r="N1221" s="23" t="str">
        <f>IF($B1221="","",IFERROR(ROUND(INDEX(账户期初本位,MATCH($B1221,账户名,0))+SUMIFS($L$6:L1221,$B$6:B1221,$B1221),2),""))</f>
        <v/>
      </c>
      <c r="O1221" s="46"/>
      <c r="P1221" s="47"/>
      <c r="Q1221" s="46"/>
      <c r="R1221" s="46"/>
      <c r="S1221" s="6" t="str">
        <f>IF($B1221="","",IF(ISNA(MATCH($B1221,账户名,0)),"※这个账户不在【参数设置】的账户档案里",IF($A1221="","※没填日期，这一笔不会进任何月份的报表",IF(AND($G1221&lt;&gt;"",$H1221&lt;&gt;""),"※收入和支出不能同时填",IF(AND(N($G1221)=0,N($H1221)=0),"※收入和支出都没填",IF($E1221="","※没填收支类别，分类报表会漏掉这一笔",IF(ISNA(MATCH($E1221,类别表,0)),"※收支类别不在【参数设置】的清单里",IF($J1221="","△"&amp;$D1221&amp;" 还没填汇率，去【月度汇率】补上就自动算了",IF(YEAR($A1221)&lt;&gt;管理年度,"△不是管理年度的单据，年报里看不到",IF(AND($F1221="内部转账",$Q1221=""),"△内部转账建议在「往来单位」写上对方账户",IF($M1221&lt;0,"△这一笔之后该账户余额成负数了，核一下","")))))))))))</f>
        <v/>
      </c>
    </row>
    <row r="1222" ht="16.5" spans="1:19">
      <c r="A1222" s="45"/>
      <c r="B1222" s="46"/>
      <c r="C1222" s="12" t="str">
        <f>IF($B1222="","",IFERROR(INDEX(账户银行,MATCH($B1222,账户名,0)),""))</f>
        <v/>
      </c>
      <c r="D1222" s="12" t="str">
        <f>IF($B1222="","",IFERROR(INDEX(账户币种,MATCH($B1222,账户名,0)),""))</f>
        <v/>
      </c>
      <c r="E1222" s="47"/>
      <c r="F1222" s="12" t="str">
        <f>IF($E1222="","",IFERROR(INDEX(类别属性,MATCH($E1222,类别表,0)),""))</f>
        <v/>
      </c>
      <c r="G1222" s="48"/>
      <c r="H1222" s="48"/>
      <c r="I1222" s="49"/>
      <c r="J1222" s="24" t="str">
        <f>IF(OR($A1222="",$B1222=""),"",IF($I1222&lt;&gt;"",$I1222,IF($D1222=本位币,1,IFERROR(LOOKUP(2,1/((汇率月份&lt;=$A1222)*(INDEX(记账汇率区,0,MATCH($D1222,汇率币种头,0))&lt;&gt;"")),INDEX(记账汇率区,0,MATCH($D1222,汇率币种头,0))),""))))</f>
        <v/>
      </c>
      <c r="K1222" s="23" t="str">
        <f t="shared" ref="K1222:K1285" si="38">IF(AND($G1222="",$H1222=""),"",ROUND(N($G1222)-N($H1222),2))</f>
        <v/>
      </c>
      <c r="L1222" s="23" t="str">
        <f t="shared" ref="L1222:L1285" si="39">IF(OR($K1222="",$J1222=""),"",ROUND($K1222*$J1222,2))</f>
        <v/>
      </c>
      <c r="M1222" s="23" t="str">
        <f>IF($B1222="","",ROUND(SUMIF(账户名,$B1222,账户期初)+SUMIFS($K$6:K1222,$B$6:B1222,$B1222),2))</f>
        <v/>
      </c>
      <c r="N1222" s="23" t="str">
        <f>IF($B1222="","",IFERROR(ROUND(INDEX(账户期初本位,MATCH($B1222,账户名,0))+SUMIFS($L$6:L1222,$B$6:B1222,$B1222),2),""))</f>
        <v/>
      </c>
      <c r="O1222" s="46"/>
      <c r="P1222" s="47"/>
      <c r="Q1222" s="46"/>
      <c r="R1222" s="46"/>
      <c r="S1222" s="6" t="str">
        <f>IF($B1222="","",IF(ISNA(MATCH($B1222,账户名,0)),"※这个账户不在【参数设置】的账户档案里",IF($A1222="","※没填日期，这一笔不会进任何月份的报表",IF(AND($G1222&lt;&gt;"",$H1222&lt;&gt;""),"※收入和支出不能同时填",IF(AND(N($G1222)=0,N($H1222)=0),"※收入和支出都没填",IF($E1222="","※没填收支类别，分类报表会漏掉这一笔",IF(ISNA(MATCH($E1222,类别表,0)),"※收支类别不在【参数设置】的清单里",IF($J1222="","△"&amp;$D1222&amp;" 还没填汇率，去【月度汇率】补上就自动算了",IF(YEAR($A1222)&lt;&gt;管理年度,"△不是管理年度的单据，年报里看不到",IF(AND($F1222="内部转账",$Q1222=""),"△内部转账建议在「往来单位」写上对方账户",IF($M1222&lt;0,"△这一笔之后该账户余额成负数了，核一下","")))))))))))</f>
        <v/>
      </c>
    </row>
    <row r="1223" ht="16.5" spans="1:19">
      <c r="A1223" s="45"/>
      <c r="B1223" s="46"/>
      <c r="C1223" s="12" t="str">
        <f>IF($B1223="","",IFERROR(INDEX(账户银行,MATCH($B1223,账户名,0)),""))</f>
        <v/>
      </c>
      <c r="D1223" s="12" t="str">
        <f>IF($B1223="","",IFERROR(INDEX(账户币种,MATCH($B1223,账户名,0)),""))</f>
        <v/>
      </c>
      <c r="E1223" s="47"/>
      <c r="F1223" s="12" t="str">
        <f>IF($E1223="","",IFERROR(INDEX(类别属性,MATCH($E1223,类别表,0)),""))</f>
        <v/>
      </c>
      <c r="G1223" s="48"/>
      <c r="H1223" s="48"/>
      <c r="I1223" s="49"/>
      <c r="J1223" s="24" t="str">
        <f>IF(OR($A1223="",$B1223=""),"",IF($I1223&lt;&gt;"",$I1223,IF($D1223=本位币,1,IFERROR(LOOKUP(2,1/((汇率月份&lt;=$A1223)*(INDEX(记账汇率区,0,MATCH($D1223,汇率币种头,0))&lt;&gt;"")),INDEX(记账汇率区,0,MATCH($D1223,汇率币种头,0))),""))))</f>
        <v/>
      </c>
      <c r="K1223" s="23" t="str">
        <f t="shared" si="38"/>
        <v/>
      </c>
      <c r="L1223" s="23" t="str">
        <f t="shared" si="39"/>
        <v/>
      </c>
      <c r="M1223" s="23" t="str">
        <f>IF($B1223="","",ROUND(SUMIF(账户名,$B1223,账户期初)+SUMIFS($K$6:K1223,$B$6:B1223,$B1223),2))</f>
        <v/>
      </c>
      <c r="N1223" s="23" t="str">
        <f>IF($B1223="","",IFERROR(ROUND(INDEX(账户期初本位,MATCH($B1223,账户名,0))+SUMIFS($L$6:L1223,$B$6:B1223,$B1223),2),""))</f>
        <v/>
      </c>
      <c r="O1223" s="46"/>
      <c r="P1223" s="47"/>
      <c r="Q1223" s="46"/>
      <c r="R1223" s="46"/>
      <c r="S1223" s="6" t="str">
        <f>IF($B1223="","",IF(ISNA(MATCH($B1223,账户名,0)),"※这个账户不在【参数设置】的账户档案里",IF($A1223="","※没填日期，这一笔不会进任何月份的报表",IF(AND($G1223&lt;&gt;"",$H1223&lt;&gt;""),"※收入和支出不能同时填",IF(AND(N($G1223)=0,N($H1223)=0),"※收入和支出都没填",IF($E1223="","※没填收支类别，分类报表会漏掉这一笔",IF(ISNA(MATCH($E1223,类别表,0)),"※收支类别不在【参数设置】的清单里",IF($J1223="","△"&amp;$D1223&amp;" 还没填汇率，去【月度汇率】补上就自动算了",IF(YEAR($A1223)&lt;&gt;管理年度,"△不是管理年度的单据，年报里看不到",IF(AND($F1223="内部转账",$Q1223=""),"△内部转账建议在「往来单位」写上对方账户",IF($M1223&lt;0,"△这一笔之后该账户余额成负数了，核一下","")))))))))))</f>
        <v/>
      </c>
    </row>
    <row r="1224" ht="16.5" spans="1:19">
      <c r="A1224" s="45"/>
      <c r="B1224" s="46"/>
      <c r="C1224" s="12" t="str">
        <f>IF($B1224="","",IFERROR(INDEX(账户银行,MATCH($B1224,账户名,0)),""))</f>
        <v/>
      </c>
      <c r="D1224" s="12" t="str">
        <f>IF($B1224="","",IFERROR(INDEX(账户币种,MATCH($B1224,账户名,0)),""))</f>
        <v/>
      </c>
      <c r="E1224" s="47"/>
      <c r="F1224" s="12" t="str">
        <f>IF($E1224="","",IFERROR(INDEX(类别属性,MATCH($E1224,类别表,0)),""))</f>
        <v/>
      </c>
      <c r="G1224" s="48"/>
      <c r="H1224" s="48"/>
      <c r="I1224" s="49"/>
      <c r="J1224" s="24" t="str">
        <f>IF(OR($A1224="",$B1224=""),"",IF($I1224&lt;&gt;"",$I1224,IF($D1224=本位币,1,IFERROR(LOOKUP(2,1/((汇率月份&lt;=$A1224)*(INDEX(记账汇率区,0,MATCH($D1224,汇率币种头,0))&lt;&gt;"")),INDEX(记账汇率区,0,MATCH($D1224,汇率币种头,0))),""))))</f>
        <v/>
      </c>
      <c r="K1224" s="23" t="str">
        <f t="shared" si="38"/>
        <v/>
      </c>
      <c r="L1224" s="23" t="str">
        <f t="shared" si="39"/>
        <v/>
      </c>
      <c r="M1224" s="23" t="str">
        <f>IF($B1224="","",ROUND(SUMIF(账户名,$B1224,账户期初)+SUMIFS($K$6:K1224,$B$6:B1224,$B1224),2))</f>
        <v/>
      </c>
      <c r="N1224" s="23" t="str">
        <f>IF($B1224="","",IFERROR(ROUND(INDEX(账户期初本位,MATCH($B1224,账户名,0))+SUMIFS($L$6:L1224,$B$6:B1224,$B1224),2),""))</f>
        <v/>
      </c>
      <c r="O1224" s="46"/>
      <c r="P1224" s="47"/>
      <c r="Q1224" s="46"/>
      <c r="R1224" s="46"/>
      <c r="S1224" s="6" t="str">
        <f>IF($B1224="","",IF(ISNA(MATCH($B1224,账户名,0)),"※这个账户不在【参数设置】的账户档案里",IF($A1224="","※没填日期，这一笔不会进任何月份的报表",IF(AND($G1224&lt;&gt;"",$H1224&lt;&gt;""),"※收入和支出不能同时填",IF(AND(N($G1224)=0,N($H1224)=0),"※收入和支出都没填",IF($E1224="","※没填收支类别，分类报表会漏掉这一笔",IF(ISNA(MATCH($E1224,类别表,0)),"※收支类别不在【参数设置】的清单里",IF($J1224="","△"&amp;$D1224&amp;" 还没填汇率，去【月度汇率】补上就自动算了",IF(YEAR($A1224)&lt;&gt;管理年度,"△不是管理年度的单据，年报里看不到",IF(AND($F1224="内部转账",$Q1224=""),"△内部转账建议在「往来单位」写上对方账户",IF($M1224&lt;0,"△这一笔之后该账户余额成负数了，核一下","")))))))))))</f>
        <v/>
      </c>
    </row>
    <row r="1225" ht="16.5" spans="1:19">
      <c r="A1225" s="45"/>
      <c r="B1225" s="46"/>
      <c r="C1225" s="12" t="str">
        <f>IF($B1225="","",IFERROR(INDEX(账户银行,MATCH($B1225,账户名,0)),""))</f>
        <v/>
      </c>
      <c r="D1225" s="12" t="str">
        <f>IF($B1225="","",IFERROR(INDEX(账户币种,MATCH($B1225,账户名,0)),""))</f>
        <v/>
      </c>
      <c r="E1225" s="47"/>
      <c r="F1225" s="12" t="str">
        <f>IF($E1225="","",IFERROR(INDEX(类别属性,MATCH($E1225,类别表,0)),""))</f>
        <v/>
      </c>
      <c r="G1225" s="48"/>
      <c r="H1225" s="48"/>
      <c r="I1225" s="49"/>
      <c r="J1225" s="24" t="str">
        <f>IF(OR($A1225="",$B1225=""),"",IF($I1225&lt;&gt;"",$I1225,IF($D1225=本位币,1,IFERROR(LOOKUP(2,1/((汇率月份&lt;=$A1225)*(INDEX(记账汇率区,0,MATCH($D1225,汇率币种头,0))&lt;&gt;"")),INDEX(记账汇率区,0,MATCH($D1225,汇率币种头,0))),""))))</f>
        <v/>
      </c>
      <c r="K1225" s="23" t="str">
        <f t="shared" si="38"/>
        <v/>
      </c>
      <c r="L1225" s="23" t="str">
        <f t="shared" si="39"/>
        <v/>
      </c>
      <c r="M1225" s="23" t="str">
        <f>IF($B1225="","",ROUND(SUMIF(账户名,$B1225,账户期初)+SUMIFS($K$6:K1225,$B$6:B1225,$B1225),2))</f>
        <v/>
      </c>
      <c r="N1225" s="23" t="str">
        <f>IF($B1225="","",IFERROR(ROUND(INDEX(账户期初本位,MATCH($B1225,账户名,0))+SUMIFS($L$6:L1225,$B$6:B1225,$B1225),2),""))</f>
        <v/>
      </c>
      <c r="O1225" s="46"/>
      <c r="P1225" s="47"/>
      <c r="Q1225" s="46"/>
      <c r="R1225" s="46"/>
      <c r="S1225" s="6" t="str">
        <f>IF($B1225="","",IF(ISNA(MATCH($B1225,账户名,0)),"※这个账户不在【参数设置】的账户档案里",IF($A1225="","※没填日期，这一笔不会进任何月份的报表",IF(AND($G1225&lt;&gt;"",$H1225&lt;&gt;""),"※收入和支出不能同时填",IF(AND(N($G1225)=0,N($H1225)=0),"※收入和支出都没填",IF($E1225="","※没填收支类别，分类报表会漏掉这一笔",IF(ISNA(MATCH($E1225,类别表,0)),"※收支类别不在【参数设置】的清单里",IF($J1225="","△"&amp;$D1225&amp;" 还没填汇率，去【月度汇率】补上就自动算了",IF(YEAR($A1225)&lt;&gt;管理年度,"△不是管理年度的单据，年报里看不到",IF(AND($F1225="内部转账",$Q1225=""),"△内部转账建议在「往来单位」写上对方账户",IF($M1225&lt;0,"△这一笔之后该账户余额成负数了，核一下","")))))))))))</f>
        <v/>
      </c>
    </row>
    <row r="1226" ht="16.5" spans="1:19">
      <c r="A1226" s="45"/>
      <c r="B1226" s="46"/>
      <c r="C1226" s="12" t="str">
        <f>IF($B1226="","",IFERROR(INDEX(账户银行,MATCH($B1226,账户名,0)),""))</f>
        <v/>
      </c>
      <c r="D1226" s="12" t="str">
        <f>IF($B1226="","",IFERROR(INDEX(账户币种,MATCH($B1226,账户名,0)),""))</f>
        <v/>
      </c>
      <c r="E1226" s="47"/>
      <c r="F1226" s="12" t="str">
        <f>IF($E1226="","",IFERROR(INDEX(类别属性,MATCH($E1226,类别表,0)),""))</f>
        <v/>
      </c>
      <c r="G1226" s="48"/>
      <c r="H1226" s="48"/>
      <c r="I1226" s="49"/>
      <c r="J1226" s="24" t="str">
        <f>IF(OR($A1226="",$B1226=""),"",IF($I1226&lt;&gt;"",$I1226,IF($D1226=本位币,1,IFERROR(LOOKUP(2,1/((汇率月份&lt;=$A1226)*(INDEX(记账汇率区,0,MATCH($D1226,汇率币种头,0))&lt;&gt;"")),INDEX(记账汇率区,0,MATCH($D1226,汇率币种头,0))),""))))</f>
        <v/>
      </c>
      <c r="K1226" s="23" t="str">
        <f t="shared" si="38"/>
        <v/>
      </c>
      <c r="L1226" s="23" t="str">
        <f t="shared" si="39"/>
        <v/>
      </c>
      <c r="M1226" s="23" t="str">
        <f>IF($B1226="","",ROUND(SUMIF(账户名,$B1226,账户期初)+SUMIFS($K$6:K1226,$B$6:B1226,$B1226),2))</f>
        <v/>
      </c>
      <c r="N1226" s="23" t="str">
        <f>IF($B1226="","",IFERROR(ROUND(INDEX(账户期初本位,MATCH($B1226,账户名,0))+SUMIFS($L$6:L1226,$B$6:B1226,$B1226),2),""))</f>
        <v/>
      </c>
      <c r="O1226" s="46"/>
      <c r="P1226" s="47"/>
      <c r="Q1226" s="46"/>
      <c r="R1226" s="46"/>
      <c r="S1226" s="6" t="str">
        <f>IF($B1226="","",IF(ISNA(MATCH($B1226,账户名,0)),"※这个账户不在【参数设置】的账户档案里",IF($A1226="","※没填日期，这一笔不会进任何月份的报表",IF(AND($G1226&lt;&gt;"",$H1226&lt;&gt;""),"※收入和支出不能同时填",IF(AND(N($G1226)=0,N($H1226)=0),"※收入和支出都没填",IF($E1226="","※没填收支类别，分类报表会漏掉这一笔",IF(ISNA(MATCH($E1226,类别表,0)),"※收支类别不在【参数设置】的清单里",IF($J1226="","△"&amp;$D1226&amp;" 还没填汇率，去【月度汇率】补上就自动算了",IF(YEAR($A1226)&lt;&gt;管理年度,"△不是管理年度的单据，年报里看不到",IF(AND($F1226="内部转账",$Q1226=""),"△内部转账建议在「往来单位」写上对方账户",IF($M1226&lt;0,"△这一笔之后该账户余额成负数了，核一下","")))))))))))</f>
        <v/>
      </c>
    </row>
    <row r="1227" ht="16.5" spans="1:19">
      <c r="A1227" s="45"/>
      <c r="B1227" s="46"/>
      <c r="C1227" s="12" t="str">
        <f>IF($B1227="","",IFERROR(INDEX(账户银行,MATCH($B1227,账户名,0)),""))</f>
        <v/>
      </c>
      <c r="D1227" s="12" t="str">
        <f>IF($B1227="","",IFERROR(INDEX(账户币种,MATCH($B1227,账户名,0)),""))</f>
        <v/>
      </c>
      <c r="E1227" s="47"/>
      <c r="F1227" s="12" t="str">
        <f>IF($E1227="","",IFERROR(INDEX(类别属性,MATCH($E1227,类别表,0)),""))</f>
        <v/>
      </c>
      <c r="G1227" s="48"/>
      <c r="H1227" s="48"/>
      <c r="I1227" s="49"/>
      <c r="J1227" s="24" t="str">
        <f>IF(OR($A1227="",$B1227=""),"",IF($I1227&lt;&gt;"",$I1227,IF($D1227=本位币,1,IFERROR(LOOKUP(2,1/((汇率月份&lt;=$A1227)*(INDEX(记账汇率区,0,MATCH($D1227,汇率币种头,0))&lt;&gt;"")),INDEX(记账汇率区,0,MATCH($D1227,汇率币种头,0))),""))))</f>
        <v/>
      </c>
      <c r="K1227" s="23" t="str">
        <f t="shared" si="38"/>
        <v/>
      </c>
      <c r="L1227" s="23" t="str">
        <f t="shared" si="39"/>
        <v/>
      </c>
      <c r="M1227" s="23" t="str">
        <f>IF($B1227="","",ROUND(SUMIF(账户名,$B1227,账户期初)+SUMIFS($K$6:K1227,$B$6:B1227,$B1227),2))</f>
        <v/>
      </c>
      <c r="N1227" s="23" t="str">
        <f>IF($B1227="","",IFERROR(ROUND(INDEX(账户期初本位,MATCH($B1227,账户名,0))+SUMIFS($L$6:L1227,$B$6:B1227,$B1227),2),""))</f>
        <v/>
      </c>
      <c r="O1227" s="46"/>
      <c r="P1227" s="47"/>
      <c r="Q1227" s="46"/>
      <c r="R1227" s="46"/>
      <c r="S1227" s="6" t="str">
        <f>IF($B1227="","",IF(ISNA(MATCH($B1227,账户名,0)),"※这个账户不在【参数设置】的账户档案里",IF($A1227="","※没填日期，这一笔不会进任何月份的报表",IF(AND($G1227&lt;&gt;"",$H1227&lt;&gt;""),"※收入和支出不能同时填",IF(AND(N($G1227)=0,N($H1227)=0),"※收入和支出都没填",IF($E1227="","※没填收支类别，分类报表会漏掉这一笔",IF(ISNA(MATCH($E1227,类别表,0)),"※收支类别不在【参数设置】的清单里",IF($J1227="","△"&amp;$D1227&amp;" 还没填汇率，去【月度汇率】补上就自动算了",IF(YEAR($A1227)&lt;&gt;管理年度,"△不是管理年度的单据，年报里看不到",IF(AND($F1227="内部转账",$Q1227=""),"△内部转账建议在「往来单位」写上对方账户",IF($M1227&lt;0,"△这一笔之后该账户余额成负数了，核一下","")))))))))))</f>
        <v/>
      </c>
    </row>
    <row r="1228" ht="16.5" spans="1:19">
      <c r="A1228" s="45"/>
      <c r="B1228" s="46"/>
      <c r="C1228" s="12" t="str">
        <f>IF($B1228="","",IFERROR(INDEX(账户银行,MATCH($B1228,账户名,0)),""))</f>
        <v/>
      </c>
      <c r="D1228" s="12" t="str">
        <f>IF($B1228="","",IFERROR(INDEX(账户币种,MATCH($B1228,账户名,0)),""))</f>
        <v/>
      </c>
      <c r="E1228" s="47"/>
      <c r="F1228" s="12" t="str">
        <f>IF($E1228="","",IFERROR(INDEX(类别属性,MATCH($E1228,类别表,0)),""))</f>
        <v/>
      </c>
      <c r="G1228" s="48"/>
      <c r="H1228" s="48"/>
      <c r="I1228" s="49"/>
      <c r="J1228" s="24" t="str">
        <f>IF(OR($A1228="",$B1228=""),"",IF($I1228&lt;&gt;"",$I1228,IF($D1228=本位币,1,IFERROR(LOOKUP(2,1/((汇率月份&lt;=$A1228)*(INDEX(记账汇率区,0,MATCH($D1228,汇率币种头,0))&lt;&gt;"")),INDEX(记账汇率区,0,MATCH($D1228,汇率币种头,0))),""))))</f>
        <v/>
      </c>
      <c r="K1228" s="23" t="str">
        <f t="shared" si="38"/>
        <v/>
      </c>
      <c r="L1228" s="23" t="str">
        <f t="shared" si="39"/>
        <v/>
      </c>
      <c r="M1228" s="23" t="str">
        <f>IF($B1228="","",ROUND(SUMIF(账户名,$B1228,账户期初)+SUMIFS($K$6:K1228,$B$6:B1228,$B1228),2))</f>
        <v/>
      </c>
      <c r="N1228" s="23" t="str">
        <f>IF($B1228="","",IFERROR(ROUND(INDEX(账户期初本位,MATCH($B1228,账户名,0))+SUMIFS($L$6:L1228,$B$6:B1228,$B1228),2),""))</f>
        <v/>
      </c>
      <c r="O1228" s="46"/>
      <c r="P1228" s="47"/>
      <c r="Q1228" s="46"/>
      <c r="R1228" s="46"/>
      <c r="S1228" s="6" t="str">
        <f>IF($B1228="","",IF(ISNA(MATCH($B1228,账户名,0)),"※这个账户不在【参数设置】的账户档案里",IF($A1228="","※没填日期，这一笔不会进任何月份的报表",IF(AND($G1228&lt;&gt;"",$H1228&lt;&gt;""),"※收入和支出不能同时填",IF(AND(N($G1228)=0,N($H1228)=0),"※收入和支出都没填",IF($E1228="","※没填收支类别，分类报表会漏掉这一笔",IF(ISNA(MATCH($E1228,类别表,0)),"※收支类别不在【参数设置】的清单里",IF($J1228="","△"&amp;$D1228&amp;" 还没填汇率，去【月度汇率】补上就自动算了",IF(YEAR($A1228)&lt;&gt;管理年度,"△不是管理年度的单据，年报里看不到",IF(AND($F1228="内部转账",$Q1228=""),"△内部转账建议在「往来单位」写上对方账户",IF($M1228&lt;0,"△这一笔之后该账户余额成负数了，核一下","")))))))))))</f>
        <v/>
      </c>
    </row>
    <row r="1229" ht="16.5" spans="1:19">
      <c r="A1229" s="45"/>
      <c r="B1229" s="46"/>
      <c r="C1229" s="12" t="str">
        <f>IF($B1229="","",IFERROR(INDEX(账户银行,MATCH($B1229,账户名,0)),""))</f>
        <v/>
      </c>
      <c r="D1229" s="12" t="str">
        <f>IF($B1229="","",IFERROR(INDEX(账户币种,MATCH($B1229,账户名,0)),""))</f>
        <v/>
      </c>
      <c r="E1229" s="47"/>
      <c r="F1229" s="12" t="str">
        <f>IF($E1229="","",IFERROR(INDEX(类别属性,MATCH($E1229,类别表,0)),""))</f>
        <v/>
      </c>
      <c r="G1229" s="48"/>
      <c r="H1229" s="48"/>
      <c r="I1229" s="49"/>
      <c r="J1229" s="24" t="str">
        <f>IF(OR($A1229="",$B1229=""),"",IF($I1229&lt;&gt;"",$I1229,IF($D1229=本位币,1,IFERROR(LOOKUP(2,1/((汇率月份&lt;=$A1229)*(INDEX(记账汇率区,0,MATCH($D1229,汇率币种头,0))&lt;&gt;"")),INDEX(记账汇率区,0,MATCH($D1229,汇率币种头,0))),""))))</f>
        <v/>
      </c>
      <c r="K1229" s="23" t="str">
        <f t="shared" si="38"/>
        <v/>
      </c>
      <c r="L1229" s="23" t="str">
        <f t="shared" si="39"/>
        <v/>
      </c>
      <c r="M1229" s="23" t="str">
        <f>IF($B1229="","",ROUND(SUMIF(账户名,$B1229,账户期初)+SUMIFS($K$6:K1229,$B$6:B1229,$B1229),2))</f>
        <v/>
      </c>
      <c r="N1229" s="23" t="str">
        <f>IF($B1229="","",IFERROR(ROUND(INDEX(账户期初本位,MATCH($B1229,账户名,0))+SUMIFS($L$6:L1229,$B$6:B1229,$B1229),2),""))</f>
        <v/>
      </c>
      <c r="O1229" s="46"/>
      <c r="P1229" s="47"/>
      <c r="Q1229" s="46"/>
      <c r="R1229" s="46"/>
      <c r="S1229" s="6" t="str">
        <f>IF($B1229="","",IF(ISNA(MATCH($B1229,账户名,0)),"※这个账户不在【参数设置】的账户档案里",IF($A1229="","※没填日期，这一笔不会进任何月份的报表",IF(AND($G1229&lt;&gt;"",$H1229&lt;&gt;""),"※收入和支出不能同时填",IF(AND(N($G1229)=0,N($H1229)=0),"※收入和支出都没填",IF($E1229="","※没填收支类别，分类报表会漏掉这一笔",IF(ISNA(MATCH($E1229,类别表,0)),"※收支类别不在【参数设置】的清单里",IF($J1229="","△"&amp;$D1229&amp;" 还没填汇率，去【月度汇率】补上就自动算了",IF(YEAR($A1229)&lt;&gt;管理年度,"△不是管理年度的单据，年报里看不到",IF(AND($F1229="内部转账",$Q1229=""),"△内部转账建议在「往来单位」写上对方账户",IF($M1229&lt;0,"△这一笔之后该账户余额成负数了，核一下","")))))))))))</f>
        <v/>
      </c>
    </row>
    <row r="1230" ht="16.5" spans="1:19">
      <c r="A1230" s="45"/>
      <c r="B1230" s="46"/>
      <c r="C1230" s="12" t="str">
        <f>IF($B1230="","",IFERROR(INDEX(账户银行,MATCH($B1230,账户名,0)),""))</f>
        <v/>
      </c>
      <c r="D1230" s="12" t="str">
        <f>IF($B1230="","",IFERROR(INDEX(账户币种,MATCH($B1230,账户名,0)),""))</f>
        <v/>
      </c>
      <c r="E1230" s="47"/>
      <c r="F1230" s="12" t="str">
        <f>IF($E1230="","",IFERROR(INDEX(类别属性,MATCH($E1230,类别表,0)),""))</f>
        <v/>
      </c>
      <c r="G1230" s="48"/>
      <c r="H1230" s="48"/>
      <c r="I1230" s="49"/>
      <c r="J1230" s="24" t="str">
        <f>IF(OR($A1230="",$B1230=""),"",IF($I1230&lt;&gt;"",$I1230,IF($D1230=本位币,1,IFERROR(LOOKUP(2,1/((汇率月份&lt;=$A1230)*(INDEX(记账汇率区,0,MATCH($D1230,汇率币种头,0))&lt;&gt;"")),INDEX(记账汇率区,0,MATCH($D1230,汇率币种头,0))),""))))</f>
        <v/>
      </c>
      <c r="K1230" s="23" t="str">
        <f t="shared" si="38"/>
        <v/>
      </c>
      <c r="L1230" s="23" t="str">
        <f t="shared" si="39"/>
        <v/>
      </c>
      <c r="M1230" s="23" t="str">
        <f>IF($B1230="","",ROUND(SUMIF(账户名,$B1230,账户期初)+SUMIFS($K$6:K1230,$B$6:B1230,$B1230),2))</f>
        <v/>
      </c>
      <c r="N1230" s="23" t="str">
        <f>IF($B1230="","",IFERROR(ROUND(INDEX(账户期初本位,MATCH($B1230,账户名,0))+SUMIFS($L$6:L1230,$B$6:B1230,$B1230),2),""))</f>
        <v/>
      </c>
      <c r="O1230" s="46"/>
      <c r="P1230" s="47"/>
      <c r="Q1230" s="46"/>
      <c r="R1230" s="46"/>
      <c r="S1230" s="6" t="str">
        <f>IF($B1230="","",IF(ISNA(MATCH($B1230,账户名,0)),"※这个账户不在【参数设置】的账户档案里",IF($A1230="","※没填日期，这一笔不会进任何月份的报表",IF(AND($G1230&lt;&gt;"",$H1230&lt;&gt;""),"※收入和支出不能同时填",IF(AND(N($G1230)=0,N($H1230)=0),"※收入和支出都没填",IF($E1230="","※没填收支类别，分类报表会漏掉这一笔",IF(ISNA(MATCH($E1230,类别表,0)),"※收支类别不在【参数设置】的清单里",IF($J1230="","△"&amp;$D1230&amp;" 还没填汇率，去【月度汇率】补上就自动算了",IF(YEAR($A1230)&lt;&gt;管理年度,"△不是管理年度的单据，年报里看不到",IF(AND($F1230="内部转账",$Q1230=""),"△内部转账建议在「往来单位」写上对方账户",IF($M1230&lt;0,"△这一笔之后该账户余额成负数了，核一下","")))))))))))</f>
        <v/>
      </c>
    </row>
    <row r="1231" ht="16.5" spans="1:19">
      <c r="A1231" s="45"/>
      <c r="B1231" s="46"/>
      <c r="C1231" s="12" t="str">
        <f>IF($B1231="","",IFERROR(INDEX(账户银行,MATCH($B1231,账户名,0)),""))</f>
        <v/>
      </c>
      <c r="D1231" s="12" t="str">
        <f>IF($B1231="","",IFERROR(INDEX(账户币种,MATCH($B1231,账户名,0)),""))</f>
        <v/>
      </c>
      <c r="E1231" s="47"/>
      <c r="F1231" s="12" t="str">
        <f>IF($E1231="","",IFERROR(INDEX(类别属性,MATCH($E1231,类别表,0)),""))</f>
        <v/>
      </c>
      <c r="G1231" s="48"/>
      <c r="H1231" s="48"/>
      <c r="I1231" s="49"/>
      <c r="J1231" s="24" t="str">
        <f>IF(OR($A1231="",$B1231=""),"",IF($I1231&lt;&gt;"",$I1231,IF($D1231=本位币,1,IFERROR(LOOKUP(2,1/((汇率月份&lt;=$A1231)*(INDEX(记账汇率区,0,MATCH($D1231,汇率币种头,0))&lt;&gt;"")),INDEX(记账汇率区,0,MATCH($D1231,汇率币种头,0))),""))))</f>
        <v/>
      </c>
      <c r="K1231" s="23" t="str">
        <f t="shared" si="38"/>
        <v/>
      </c>
      <c r="L1231" s="23" t="str">
        <f t="shared" si="39"/>
        <v/>
      </c>
      <c r="M1231" s="23" t="str">
        <f>IF($B1231="","",ROUND(SUMIF(账户名,$B1231,账户期初)+SUMIFS($K$6:K1231,$B$6:B1231,$B1231),2))</f>
        <v/>
      </c>
      <c r="N1231" s="23" t="str">
        <f>IF($B1231="","",IFERROR(ROUND(INDEX(账户期初本位,MATCH($B1231,账户名,0))+SUMIFS($L$6:L1231,$B$6:B1231,$B1231),2),""))</f>
        <v/>
      </c>
      <c r="O1231" s="46"/>
      <c r="P1231" s="47"/>
      <c r="Q1231" s="46"/>
      <c r="R1231" s="46"/>
      <c r="S1231" s="6" t="str">
        <f>IF($B1231="","",IF(ISNA(MATCH($B1231,账户名,0)),"※这个账户不在【参数设置】的账户档案里",IF($A1231="","※没填日期，这一笔不会进任何月份的报表",IF(AND($G1231&lt;&gt;"",$H1231&lt;&gt;""),"※收入和支出不能同时填",IF(AND(N($G1231)=0,N($H1231)=0),"※收入和支出都没填",IF($E1231="","※没填收支类别，分类报表会漏掉这一笔",IF(ISNA(MATCH($E1231,类别表,0)),"※收支类别不在【参数设置】的清单里",IF($J1231="","△"&amp;$D1231&amp;" 还没填汇率，去【月度汇率】补上就自动算了",IF(YEAR($A1231)&lt;&gt;管理年度,"△不是管理年度的单据，年报里看不到",IF(AND($F1231="内部转账",$Q1231=""),"△内部转账建议在「往来单位」写上对方账户",IF($M1231&lt;0,"△这一笔之后该账户余额成负数了，核一下","")))))))))))</f>
        <v/>
      </c>
    </row>
    <row r="1232" ht="16.5" spans="1:19">
      <c r="A1232" s="45"/>
      <c r="B1232" s="46"/>
      <c r="C1232" s="12" t="str">
        <f>IF($B1232="","",IFERROR(INDEX(账户银行,MATCH($B1232,账户名,0)),""))</f>
        <v/>
      </c>
      <c r="D1232" s="12" t="str">
        <f>IF($B1232="","",IFERROR(INDEX(账户币种,MATCH($B1232,账户名,0)),""))</f>
        <v/>
      </c>
      <c r="E1232" s="47"/>
      <c r="F1232" s="12" t="str">
        <f>IF($E1232="","",IFERROR(INDEX(类别属性,MATCH($E1232,类别表,0)),""))</f>
        <v/>
      </c>
      <c r="G1232" s="48"/>
      <c r="H1232" s="48"/>
      <c r="I1232" s="49"/>
      <c r="J1232" s="24" t="str">
        <f>IF(OR($A1232="",$B1232=""),"",IF($I1232&lt;&gt;"",$I1232,IF($D1232=本位币,1,IFERROR(LOOKUP(2,1/((汇率月份&lt;=$A1232)*(INDEX(记账汇率区,0,MATCH($D1232,汇率币种头,0))&lt;&gt;"")),INDEX(记账汇率区,0,MATCH($D1232,汇率币种头,0))),""))))</f>
        <v/>
      </c>
      <c r="K1232" s="23" t="str">
        <f t="shared" si="38"/>
        <v/>
      </c>
      <c r="L1232" s="23" t="str">
        <f t="shared" si="39"/>
        <v/>
      </c>
      <c r="M1232" s="23" t="str">
        <f>IF($B1232="","",ROUND(SUMIF(账户名,$B1232,账户期初)+SUMIFS($K$6:K1232,$B$6:B1232,$B1232),2))</f>
        <v/>
      </c>
      <c r="N1232" s="23" t="str">
        <f>IF($B1232="","",IFERROR(ROUND(INDEX(账户期初本位,MATCH($B1232,账户名,0))+SUMIFS($L$6:L1232,$B$6:B1232,$B1232),2),""))</f>
        <v/>
      </c>
      <c r="O1232" s="46"/>
      <c r="P1232" s="47"/>
      <c r="Q1232" s="46"/>
      <c r="R1232" s="46"/>
      <c r="S1232" s="6" t="str">
        <f>IF($B1232="","",IF(ISNA(MATCH($B1232,账户名,0)),"※这个账户不在【参数设置】的账户档案里",IF($A1232="","※没填日期，这一笔不会进任何月份的报表",IF(AND($G1232&lt;&gt;"",$H1232&lt;&gt;""),"※收入和支出不能同时填",IF(AND(N($G1232)=0,N($H1232)=0),"※收入和支出都没填",IF($E1232="","※没填收支类别，分类报表会漏掉这一笔",IF(ISNA(MATCH($E1232,类别表,0)),"※收支类别不在【参数设置】的清单里",IF($J1232="","△"&amp;$D1232&amp;" 还没填汇率，去【月度汇率】补上就自动算了",IF(YEAR($A1232)&lt;&gt;管理年度,"△不是管理年度的单据，年报里看不到",IF(AND($F1232="内部转账",$Q1232=""),"△内部转账建议在「往来单位」写上对方账户",IF($M1232&lt;0,"△这一笔之后该账户余额成负数了，核一下","")))))))))))</f>
        <v/>
      </c>
    </row>
    <row r="1233" ht="16.5" spans="1:19">
      <c r="A1233" s="45"/>
      <c r="B1233" s="46"/>
      <c r="C1233" s="12" t="str">
        <f>IF($B1233="","",IFERROR(INDEX(账户银行,MATCH($B1233,账户名,0)),""))</f>
        <v/>
      </c>
      <c r="D1233" s="12" t="str">
        <f>IF($B1233="","",IFERROR(INDEX(账户币种,MATCH($B1233,账户名,0)),""))</f>
        <v/>
      </c>
      <c r="E1233" s="47"/>
      <c r="F1233" s="12" t="str">
        <f>IF($E1233="","",IFERROR(INDEX(类别属性,MATCH($E1233,类别表,0)),""))</f>
        <v/>
      </c>
      <c r="G1233" s="48"/>
      <c r="H1233" s="48"/>
      <c r="I1233" s="49"/>
      <c r="J1233" s="24" t="str">
        <f>IF(OR($A1233="",$B1233=""),"",IF($I1233&lt;&gt;"",$I1233,IF($D1233=本位币,1,IFERROR(LOOKUP(2,1/((汇率月份&lt;=$A1233)*(INDEX(记账汇率区,0,MATCH($D1233,汇率币种头,0))&lt;&gt;"")),INDEX(记账汇率区,0,MATCH($D1233,汇率币种头,0))),""))))</f>
        <v/>
      </c>
      <c r="K1233" s="23" t="str">
        <f t="shared" si="38"/>
        <v/>
      </c>
      <c r="L1233" s="23" t="str">
        <f t="shared" si="39"/>
        <v/>
      </c>
      <c r="M1233" s="23" t="str">
        <f>IF($B1233="","",ROUND(SUMIF(账户名,$B1233,账户期初)+SUMIFS($K$6:K1233,$B$6:B1233,$B1233),2))</f>
        <v/>
      </c>
      <c r="N1233" s="23" t="str">
        <f>IF($B1233="","",IFERROR(ROUND(INDEX(账户期初本位,MATCH($B1233,账户名,0))+SUMIFS($L$6:L1233,$B$6:B1233,$B1233),2),""))</f>
        <v/>
      </c>
      <c r="O1233" s="46"/>
      <c r="P1233" s="47"/>
      <c r="Q1233" s="46"/>
      <c r="R1233" s="46"/>
      <c r="S1233" s="6" t="str">
        <f>IF($B1233="","",IF(ISNA(MATCH($B1233,账户名,0)),"※这个账户不在【参数设置】的账户档案里",IF($A1233="","※没填日期，这一笔不会进任何月份的报表",IF(AND($G1233&lt;&gt;"",$H1233&lt;&gt;""),"※收入和支出不能同时填",IF(AND(N($G1233)=0,N($H1233)=0),"※收入和支出都没填",IF($E1233="","※没填收支类别，分类报表会漏掉这一笔",IF(ISNA(MATCH($E1233,类别表,0)),"※收支类别不在【参数设置】的清单里",IF($J1233="","△"&amp;$D1233&amp;" 还没填汇率，去【月度汇率】补上就自动算了",IF(YEAR($A1233)&lt;&gt;管理年度,"△不是管理年度的单据，年报里看不到",IF(AND($F1233="内部转账",$Q1233=""),"△内部转账建议在「往来单位」写上对方账户",IF($M1233&lt;0,"△这一笔之后该账户余额成负数了，核一下","")))))))))))</f>
        <v/>
      </c>
    </row>
    <row r="1234" ht="16.5" spans="1:19">
      <c r="A1234" s="45"/>
      <c r="B1234" s="46"/>
      <c r="C1234" s="12" t="str">
        <f>IF($B1234="","",IFERROR(INDEX(账户银行,MATCH($B1234,账户名,0)),""))</f>
        <v/>
      </c>
      <c r="D1234" s="12" t="str">
        <f>IF($B1234="","",IFERROR(INDEX(账户币种,MATCH($B1234,账户名,0)),""))</f>
        <v/>
      </c>
      <c r="E1234" s="47"/>
      <c r="F1234" s="12" t="str">
        <f>IF($E1234="","",IFERROR(INDEX(类别属性,MATCH($E1234,类别表,0)),""))</f>
        <v/>
      </c>
      <c r="G1234" s="48"/>
      <c r="H1234" s="48"/>
      <c r="I1234" s="49"/>
      <c r="J1234" s="24" t="str">
        <f>IF(OR($A1234="",$B1234=""),"",IF($I1234&lt;&gt;"",$I1234,IF($D1234=本位币,1,IFERROR(LOOKUP(2,1/((汇率月份&lt;=$A1234)*(INDEX(记账汇率区,0,MATCH($D1234,汇率币种头,0))&lt;&gt;"")),INDEX(记账汇率区,0,MATCH($D1234,汇率币种头,0))),""))))</f>
        <v/>
      </c>
      <c r="K1234" s="23" t="str">
        <f t="shared" si="38"/>
        <v/>
      </c>
      <c r="L1234" s="23" t="str">
        <f t="shared" si="39"/>
        <v/>
      </c>
      <c r="M1234" s="23" t="str">
        <f>IF($B1234="","",ROUND(SUMIF(账户名,$B1234,账户期初)+SUMIFS($K$6:K1234,$B$6:B1234,$B1234),2))</f>
        <v/>
      </c>
      <c r="N1234" s="23" t="str">
        <f>IF($B1234="","",IFERROR(ROUND(INDEX(账户期初本位,MATCH($B1234,账户名,0))+SUMIFS($L$6:L1234,$B$6:B1234,$B1234),2),""))</f>
        <v/>
      </c>
      <c r="O1234" s="46"/>
      <c r="P1234" s="47"/>
      <c r="Q1234" s="46"/>
      <c r="R1234" s="46"/>
      <c r="S1234" s="6" t="str">
        <f>IF($B1234="","",IF(ISNA(MATCH($B1234,账户名,0)),"※这个账户不在【参数设置】的账户档案里",IF($A1234="","※没填日期，这一笔不会进任何月份的报表",IF(AND($G1234&lt;&gt;"",$H1234&lt;&gt;""),"※收入和支出不能同时填",IF(AND(N($G1234)=0,N($H1234)=0),"※收入和支出都没填",IF($E1234="","※没填收支类别，分类报表会漏掉这一笔",IF(ISNA(MATCH($E1234,类别表,0)),"※收支类别不在【参数设置】的清单里",IF($J1234="","△"&amp;$D1234&amp;" 还没填汇率，去【月度汇率】补上就自动算了",IF(YEAR($A1234)&lt;&gt;管理年度,"△不是管理年度的单据，年报里看不到",IF(AND($F1234="内部转账",$Q1234=""),"△内部转账建议在「往来单位」写上对方账户",IF($M1234&lt;0,"△这一笔之后该账户余额成负数了，核一下","")))))))))))</f>
        <v/>
      </c>
    </row>
    <row r="1235" ht="16.5" spans="1:19">
      <c r="A1235" s="45"/>
      <c r="B1235" s="46"/>
      <c r="C1235" s="12" t="str">
        <f>IF($B1235="","",IFERROR(INDEX(账户银行,MATCH($B1235,账户名,0)),""))</f>
        <v/>
      </c>
      <c r="D1235" s="12" t="str">
        <f>IF($B1235="","",IFERROR(INDEX(账户币种,MATCH($B1235,账户名,0)),""))</f>
        <v/>
      </c>
      <c r="E1235" s="47"/>
      <c r="F1235" s="12" t="str">
        <f>IF($E1235="","",IFERROR(INDEX(类别属性,MATCH($E1235,类别表,0)),""))</f>
        <v/>
      </c>
      <c r="G1235" s="48"/>
      <c r="H1235" s="48"/>
      <c r="I1235" s="49"/>
      <c r="J1235" s="24" t="str">
        <f>IF(OR($A1235="",$B1235=""),"",IF($I1235&lt;&gt;"",$I1235,IF($D1235=本位币,1,IFERROR(LOOKUP(2,1/((汇率月份&lt;=$A1235)*(INDEX(记账汇率区,0,MATCH($D1235,汇率币种头,0))&lt;&gt;"")),INDEX(记账汇率区,0,MATCH($D1235,汇率币种头,0))),""))))</f>
        <v/>
      </c>
      <c r="K1235" s="23" t="str">
        <f t="shared" si="38"/>
        <v/>
      </c>
      <c r="L1235" s="23" t="str">
        <f t="shared" si="39"/>
        <v/>
      </c>
      <c r="M1235" s="23" t="str">
        <f>IF($B1235="","",ROUND(SUMIF(账户名,$B1235,账户期初)+SUMIFS($K$6:K1235,$B$6:B1235,$B1235),2))</f>
        <v/>
      </c>
      <c r="N1235" s="23" t="str">
        <f>IF($B1235="","",IFERROR(ROUND(INDEX(账户期初本位,MATCH($B1235,账户名,0))+SUMIFS($L$6:L1235,$B$6:B1235,$B1235),2),""))</f>
        <v/>
      </c>
      <c r="O1235" s="46"/>
      <c r="P1235" s="47"/>
      <c r="Q1235" s="46"/>
      <c r="R1235" s="46"/>
      <c r="S1235" s="6" t="str">
        <f>IF($B1235="","",IF(ISNA(MATCH($B1235,账户名,0)),"※这个账户不在【参数设置】的账户档案里",IF($A1235="","※没填日期，这一笔不会进任何月份的报表",IF(AND($G1235&lt;&gt;"",$H1235&lt;&gt;""),"※收入和支出不能同时填",IF(AND(N($G1235)=0,N($H1235)=0),"※收入和支出都没填",IF($E1235="","※没填收支类别，分类报表会漏掉这一笔",IF(ISNA(MATCH($E1235,类别表,0)),"※收支类别不在【参数设置】的清单里",IF($J1235="","△"&amp;$D1235&amp;" 还没填汇率，去【月度汇率】补上就自动算了",IF(YEAR($A1235)&lt;&gt;管理年度,"△不是管理年度的单据，年报里看不到",IF(AND($F1235="内部转账",$Q1235=""),"△内部转账建议在「往来单位」写上对方账户",IF($M1235&lt;0,"△这一笔之后该账户余额成负数了，核一下","")))))))))))</f>
        <v/>
      </c>
    </row>
    <row r="1236" ht="16.5" spans="1:19">
      <c r="A1236" s="45"/>
      <c r="B1236" s="46"/>
      <c r="C1236" s="12" t="str">
        <f>IF($B1236="","",IFERROR(INDEX(账户银行,MATCH($B1236,账户名,0)),""))</f>
        <v/>
      </c>
      <c r="D1236" s="12" t="str">
        <f>IF($B1236="","",IFERROR(INDEX(账户币种,MATCH($B1236,账户名,0)),""))</f>
        <v/>
      </c>
      <c r="E1236" s="47"/>
      <c r="F1236" s="12" t="str">
        <f>IF($E1236="","",IFERROR(INDEX(类别属性,MATCH($E1236,类别表,0)),""))</f>
        <v/>
      </c>
      <c r="G1236" s="48"/>
      <c r="H1236" s="48"/>
      <c r="I1236" s="49"/>
      <c r="J1236" s="24" t="str">
        <f>IF(OR($A1236="",$B1236=""),"",IF($I1236&lt;&gt;"",$I1236,IF($D1236=本位币,1,IFERROR(LOOKUP(2,1/((汇率月份&lt;=$A1236)*(INDEX(记账汇率区,0,MATCH($D1236,汇率币种头,0))&lt;&gt;"")),INDEX(记账汇率区,0,MATCH($D1236,汇率币种头,0))),""))))</f>
        <v/>
      </c>
      <c r="K1236" s="23" t="str">
        <f t="shared" si="38"/>
        <v/>
      </c>
      <c r="L1236" s="23" t="str">
        <f t="shared" si="39"/>
        <v/>
      </c>
      <c r="M1236" s="23" t="str">
        <f>IF($B1236="","",ROUND(SUMIF(账户名,$B1236,账户期初)+SUMIFS($K$6:K1236,$B$6:B1236,$B1236),2))</f>
        <v/>
      </c>
      <c r="N1236" s="23" t="str">
        <f>IF($B1236="","",IFERROR(ROUND(INDEX(账户期初本位,MATCH($B1236,账户名,0))+SUMIFS($L$6:L1236,$B$6:B1236,$B1236),2),""))</f>
        <v/>
      </c>
      <c r="O1236" s="46"/>
      <c r="P1236" s="47"/>
      <c r="Q1236" s="46"/>
      <c r="R1236" s="46"/>
      <c r="S1236" s="6" t="str">
        <f>IF($B1236="","",IF(ISNA(MATCH($B1236,账户名,0)),"※这个账户不在【参数设置】的账户档案里",IF($A1236="","※没填日期，这一笔不会进任何月份的报表",IF(AND($G1236&lt;&gt;"",$H1236&lt;&gt;""),"※收入和支出不能同时填",IF(AND(N($G1236)=0,N($H1236)=0),"※收入和支出都没填",IF($E1236="","※没填收支类别，分类报表会漏掉这一笔",IF(ISNA(MATCH($E1236,类别表,0)),"※收支类别不在【参数设置】的清单里",IF($J1236="","△"&amp;$D1236&amp;" 还没填汇率，去【月度汇率】补上就自动算了",IF(YEAR($A1236)&lt;&gt;管理年度,"△不是管理年度的单据，年报里看不到",IF(AND($F1236="内部转账",$Q1236=""),"△内部转账建议在「往来单位」写上对方账户",IF($M1236&lt;0,"△这一笔之后该账户余额成负数了，核一下","")))))))))))</f>
        <v/>
      </c>
    </row>
    <row r="1237" ht="16.5" spans="1:19">
      <c r="A1237" s="45"/>
      <c r="B1237" s="46"/>
      <c r="C1237" s="12" t="str">
        <f>IF($B1237="","",IFERROR(INDEX(账户银行,MATCH($B1237,账户名,0)),""))</f>
        <v/>
      </c>
      <c r="D1237" s="12" t="str">
        <f>IF($B1237="","",IFERROR(INDEX(账户币种,MATCH($B1237,账户名,0)),""))</f>
        <v/>
      </c>
      <c r="E1237" s="47"/>
      <c r="F1237" s="12" t="str">
        <f>IF($E1237="","",IFERROR(INDEX(类别属性,MATCH($E1237,类别表,0)),""))</f>
        <v/>
      </c>
      <c r="G1237" s="48"/>
      <c r="H1237" s="48"/>
      <c r="I1237" s="49"/>
      <c r="J1237" s="24" t="str">
        <f>IF(OR($A1237="",$B1237=""),"",IF($I1237&lt;&gt;"",$I1237,IF($D1237=本位币,1,IFERROR(LOOKUP(2,1/((汇率月份&lt;=$A1237)*(INDEX(记账汇率区,0,MATCH($D1237,汇率币种头,0))&lt;&gt;"")),INDEX(记账汇率区,0,MATCH($D1237,汇率币种头,0))),""))))</f>
        <v/>
      </c>
      <c r="K1237" s="23" t="str">
        <f t="shared" si="38"/>
        <v/>
      </c>
      <c r="L1237" s="23" t="str">
        <f t="shared" si="39"/>
        <v/>
      </c>
      <c r="M1237" s="23" t="str">
        <f>IF($B1237="","",ROUND(SUMIF(账户名,$B1237,账户期初)+SUMIFS($K$6:K1237,$B$6:B1237,$B1237),2))</f>
        <v/>
      </c>
      <c r="N1237" s="23" t="str">
        <f>IF($B1237="","",IFERROR(ROUND(INDEX(账户期初本位,MATCH($B1237,账户名,0))+SUMIFS($L$6:L1237,$B$6:B1237,$B1237),2),""))</f>
        <v/>
      </c>
      <c r="O1237" s="46"/>
      <c r="P1237" s="47"/>
      <c r="Q1237" s="46"/>
      <c r="R1237" s="46"/>
      <c r="S1237" s="6" t="str">
        <f>IF($B1237="","",IF(ISNA(MATCH($B1237,账户名,0)),"※这个账户不在【参数设置】的账户档案里",IF($A1237="","※没填日期，这一笔不会进任何月份的报表",IF(AND($G1237&lt;&gt;"",$H1237&lt;&gt;""),"※收入和支出不能同时填",IF(AND(N($G1237)=0,N($H1237)=0),"※收入和支出都没填",IF($E1237="","※没填收支类别，分类报表会漏掉这一笔",IF(ISNA(MATCH($E1237,类别表,0)),"※收支类别不在【参数设置】的清单里",IF($J1237="","△"&amp;$D1237&amp;" 还没填汇率，去【月度汇率】补上就自动算了",IF(YEAR($A1237)&lt;&gt;管理年度,"△不是管理年度的单据，年报里看不到",IF(AND($F1237="内部转账",$Q1237=""),"△内部转账建议在「往来单位」写上对方账户",IF($M1237&lt;0,"△这一笔之后该账户余额成负数了，核一下","")))))))))))</f>
        <v/>
      </c>
    </row>
    <row r="1238" ht="16.5" spans="1:19">
      <c r="A1238" s="45"/>
      <c r="B1238" s="46"/>
      <c r="C1238" s="12" t="str">
        <f>IF($B1238="","",IFERROR(INDEX(账户银行,MATCH($B1238,账户名,0)),""))</f>
        <v/>
      </c>
      <c r="D1238" s="12" t="str">
        <f>IF($B1238="","",IFERROR(INDEX(账户币种,MATCH($B1238,账户名,0)),""))</f>
        <v/>
      </c>
      <c r="E1238" s="47"/>
      <c r="F1238" s="12" t="str">
        <f>IF($E1238="","",IFERROR(INDEX(类别属性,MATCH($E1238,类别表,0)),""))</f>
        <v/>
      </c>
      <c r="G1238" s="48"/>
      <c r="H1238" s="48"/>
      <c r="I1238" s="49"/>
      <c r="J1238" s="24" t="str">
        <f>IF(OR($A1238="",$B1238=""),"",IF($I1238&lt;&gt;"",$I1238,IF($D1238=本位币,1,IFERROR(LOOKUP(2,1/((汇率月份&lt;=$A1238)*(INDEX(记账汇率区,0,MATCH($D1238,汇率币种头,0))&lt;&gt;"")),INDEX(记账汇率区,0,MATCH($D1238,汇率币种头,0))),""))))</f>
        <v/>
      </c>
      <c r="K1238" s="23" t="str">
        <f t="shared" si="38"/>
        <v/>
      </c>
      <c r="L1238" s="23" t="str">
        <f t="shared" si="39"/>
        <v/>
      </c>
      <c r="M1238" s="23" t="str">
        <f>IF($B1238="","",ROUND(SUMIF(账户名,$B1238,账户期初)+SUMIFS($K$6:K1238,$B$6:B1238,$B1238),2))</f>
        <v/>
      </c>
      <c r="N1238" s="23" t="str">
        <f>IF($B1238="","",IFERROR(ROUND(INDEX(账户期初本位,MATCH($B1238,账户名,0))+SUMIFS($L$6:L1238,$B$6:B1238,$B1238),2),""))</f>
        <v/>
      </c>
      <c r="O1238" s="46"/>
      <c r="P1238" s="47"/>
      <c r="Q1238" s="46"/>
      <c r="R1238" s="46"/>
      <c r="S1238" s="6" t="str">
        <f>IF($B1238="","",IF(ISNA(MATCH($B1238,账户名,0)),"※这个账户不在【参数设置】的账户档案里",IF($A1238="","※没填日期，这一笔不会进任何月份的报表",IF(AND($G1238&lt;&gt;"",$H1238&lt;&gt;""),"※收入和支出不能同时填",IF(AND(N($G1238)=0,N($H1238)=0),"※收入和支出都没填",IF($E1238="","※没填收支类别，分类报表会漏掉这一笔",IF(ISNA(MATCH($E1238,类别表,0)),"※收支类别不在【参数设置】的清单里",IF($J1238="","△"&amp;$D1238&amp;" 还没填汇率，去【月度汇率】补上就自动算了",IF(YEAR($A1238)&lt;&gt;管理年度,"△不是管理年度的单据，年报里看不到",IF(AND($F1238="内部转账",$Q1238=""),"△内部转账建议在「往来单位」写上对方账户",IF($M1238&lt;0,"△这一笔之后该账户余额成负数了，核一下","")))))))))))</f>
        <v/>
      </c>
    </row>
    <row r="1239" ht="16.5" spans="1:19">
      <c r="A1239" s="45"/>
      <c r="B1239" s="46"/>
      <c r="C1239" s="12" t="str">
        <f>IF($B1239="","",IFERROR(INDEX(账户银行,MATCH($B1239,账户名,0)),""))</f>
        <v/>
      </c>
      <c r="D1239" s="12" t="str">
        <f>IF($B1239="","",IFERROR(INDEX(账户币种,MATCH($B1239,账户名,0)),""))</f>
        <v/>
      </c>
      <c r="E1239" s="47"/>
      <c r="F1239" s="12" t="str">
        <f>IF($E1239="","",IFERROR(INDEX(类别属性,MATCH($E1239,类别表,0)),""))</f>
        <v/>
      </c>
      <c r="G1239" s="48"/>
      <c r="H1239" s="48"/>
      <c r="I1239" s="49"/>
      <c r="J1239" s="24" t="str">
        <f>IF(OR($A1239="",$B1239=""),"",IF($I1239&lt;&gt;"",$I1239,IF($D1239=本位币,1,IFERROR(LOOKUP(2,1/((汇率月份&lt;=$A1239)*(INDEX(记账汇率区,0,MATCH($D1239,汇率币种头,0))&lt;&gt;"")),INDEX(记账汇率区,0,MATCH($D1239,汇率币种头,0))),""))))</f>
        <v/>
      </c>
      <c r="K1239" s="23" t="str">
        <f t="shared" si="38"/>
        <v/>
      </c>
      <c r="L1239" s="23" t="str">
        <f t="shared" si="39"/>
        <v/>
      </c>
      <c r="M1239" s="23" t="str">
        <f>IF($B1239="","",ROUND(SUMIF(账户名,$B1239,账户期初)+SUMIFS($K$6:K1239,$B$6:B1239,$B1239),2))</f>
        <v/>
      </c>
      <c r="N1239" s="23" t="str">
        <f>IF($B1239="","",IFERROR(ROUND(INDEX(账户期初本位,MATCH($B1239,账户名,0))+SUMIFS($L$6:L1239,$B$6:B1239,$B1239),2),""))</f>
        <v/>
      </c>
      <c r="O1239" s="46"/>
      <c r="P1239" s="47"/>
      <c r="Q1239" s="46"/>
      <c r="R1239" s="46"/>
      <c r="S1239" s="6" t="str">
        <f>IF($B1239="","",IF(ISNA(MATCH($B1239,账户名,0)),"※这个账户不在【参数设置】的账户档案里",IF($A1239="","※没填日期，这一笔不会进任何月份的报表",IF(AND($G1239&lt;&gt;"",$H1239&lt;&gt;""),"※收入和支出不能同时填",IF(AND(N($G1239)=0,N($H1239)=0),"※收入和支出都没填",IF($E1239="","※没填收支类别，分类报表会漏掉这一笔",IF(ISNA(MATCH($E1239,类别表,0)),"※收支类别不在【参数设置】的清单里",IF($J1239="","△"&amp;$D1239&amp;" 还没填汇率，去【月度汇率】补上就自动算了",IF(YEAR($A1239)&lt;&gt;管理年度,"△不是管理年度的单据，年报里看不到",IF(AND($F1239="内部转账",$Q1239=""),"△内部转账建议在「往来单位」写上对方账户",IF($M1239&lt;0,"△这一笔之后该账户余额成负数了，核一下","")))))))))))</f>
        <v/>
      </c>
    </row>
    <row r="1240" ht="16.5" spans="1:19">
      <c r="A1240" s="45"/>
      <c r="B1240" s="46"/>
      <c r="C1240" s="12" t="str">
        <f>IF($B1240="","",IFERROR(INDEX(账户银行,MATCH($B1240,账户名,0)),""))</f>
        <v/>
      </c>
      <c r="D1240" s="12" t="str">
        <f>IF($B1240="","",IFERROR(INDEX(账户币种,MATCH($B1240,账户名,0)),""))</f>
        <v/>
      </c>
      <c r="E1240" s="47"/>
      <c r="F1240" s="12" t="str">
        <f>IF($E1240="","",IFERROR(INDEX(类别属性,MATCH($E1240,类别表,0)),""))</f>
        <v/>
      </c>
      <c r="G1240" s="48"/>
      <c r="H1240" s="48"/>
      <c r="I1240" s="49"/>
      <c r="J1240" s="24" t="str">
        <f>IF(OR($A1240="",$B1240=""),"",IF($I1240&lt;&gt;"",$I1240,IF($D1240=本位币,1,IFERROR(LOOKUP(2,1/((汇率月份&lt;=$A1240)*(INDEX(记账汇率区,0,MATCH($D1240,汇率币种头,0))&lt;&gt;"")),INDEX(记账汇率区,0,MATCH($D1240,汇率币种头,0))),""))))</f>
        <v/>
      </c>
      <c r="K1240" s="23" t="str">
        <f t="shared" si="38"/>
        <v/>
      </c>
      <c r="L1240" s="23" t="str">
        <f t="shared" si="39"/>
        <v/>
      </c>
      <c r="M1240" s="23" t="str">
        <f>IF($B1240="","",ROUND(SUMIF(账户名,$B1240,账户期初)+SUMIFS($K$6:K1240,$B$6:B1240,$B1240),2))</f>
        <v/>
      </c>
      <c r="N1240" s="23" t="str">
        <f>IF($B1240="","",IFERROR(ROUND(INDEX(账户期初本位,MATCH($B1240,账户名,0))+SUMIFS($L$6:L1240,$B$6:B1240,$B1240),2),""))</f>
        <v/>
      </c>
      <c r="O1240" s="46"/>
      <c r="P1240" s="47"/>
      <c r="Q1240" s="46"/>
      <c r="R1240" s="46"/>
      <c r="S1240" s="6" t="str">
        <f>IF($B1240="","",IF(ISNA(MATCH($B1240,账户名,0)),"※这个账户不在【参数设置】的账户档案里",IF($A1240="","※没填日期，这一笔不会进任何月份的报表",IF(AND($G1240&lt;&gt;"",$H1240&lt;&gt;""),"※收入和支出不能同时填",IF(AND(N($G1240)=0,N($H1240)=0),"※收入和支出都没填",IF($E1240="","※没填收支类别，分类报表会漏掉这一笔",IF(ISNA(MATCH($E1240,类别表,0)),"※收支类别不在【参数设置】的清单里",IF($J1240="","△"&amp;$D1240&amp;" 还没填汇率，去【月度汇率】补上就自动算了",IF(YEAR($A1240)&lt;&gt;管理年度,"△不是管理年度的单据，年报里看不到",IF(AND($F1240="内部转账",$Q1240=""),"△内部转账建议在「往来单位」写上对方账户",IF($M1240&lt;0,"△这一笔之后该账户余额成负数了，核一下","")))))))))))</f>
        <v/>
      </c>
    </row>
    <row r="1241" ht="16.5" spans="1:19">
      <c r="A1241" s="45"/>
      <c r="B1241" s="46"/>
      <c r="C1241" s="12" t="str">
        <f>IF($B1241="","",IFERROR(INDEX(账户银行,MATCH($B1241,账户名,0)),""))</f>
        <v/>
      </c>
      <c r="D1241" s="12" t="str">
        <f>IF($B1241="","",IFERROR(INDEX(账户币种,MATCH($B1241,账户名,0)),""))</f>
        <v/>
      </c>
      <c r="E1241" s="47"/>
      <c r="F1241" s="12" t="str">
        <f>IF($E1241="","",IFERROR(INDEX(类别属性,MATCH($E1241,类别表,0)),""))</f>
        <v/>
      </c>
      <c r="G1241" s="48"/>
      <c r="H1241" s="48"/>
      <c r="I1241" s="49"/>
      <c r="J1241" s="24" t="str">
        <f>IF(OR($A1241="",$B1241=""),"",IF($I1241&lt;&gt;"",$I1241,IF($D1241=本位币,1,IFERROR(LOOKUP(2,1/((汇率月份&lt;=$A1241)*(INDEX(记账汇率区,0,MATCH($D1241,汇率币种头,0))&lt;&gt;"")),INDEX(记账汇率区,0,MATCH($D1241,汇率币种头,0))),""))))</f>
        <v/>
      </c>
      <c r="K1241" s="23" t="str">
        <f t="shared" si="38"/>
        <v/>
      </c>
      <c r="L1241" s="23" t="str">
        <f t="shared" si="39"/>
        <v/>
      </c>
      <c r="M1241" s="23" t="str">
        <f>IF($B1241="","",ROUND(SUMIF(账户名,$B1241,账户期初)+SUMIFS($K$6:K1241,$B$6:B1241,$B1241),2))</f>
        <v/>
      </c>
      <c r="N1241" s="23" t="str">
        <f>IF($B1241="","",IFERROR(ROUND(INDEX(账户期初本位,MATCH($B1241,账户名,0))+SUMIFS($L$6:L1241,$B$6:B1241,$B1241),2),""))</f>
        <v/>
      </c>
      <c r="O1241" s="46"/>
      <c r="P1241" s="47"/>
      <c r="Q1241" s="46"/>
      <c r="R1241" s="46"/>
      <c r="S1241" s="6" t="str">
        <f>IF($B1241="","",IF(ISNA(MATCH($B1241,账户名,0)),"※这个账户不在【参数设置】的账户档案里",IF($A1241="","※没填日期，这一笔不会进任何月份的报表",IF(AND($G1241&lt;&gt;"",$H1241&lt;&gt;""),"※收入和支出不能同时填",IF(AND(N($G1241)=0,N($H1241)=0),"※收入和支出都没填",IF($E1241="","※没填收支类别，分类报表会漏掉这一笔",IF(ISNA(MATCH($E1241,类别表,0)),"※收支类别不在【参数设置】的清单里",IF($J1241="","△"&amp;$D1241&amp;" 还没填汇率，去【月度汇率】补上就自动算了",IF(YEAR($A1241)&lt;&gt;管理年度,"△不是管理年度的单据，年报里看不到",IF(AND($F1241="内部转账",$Q1241=""),"△内部转账建议在「往来单位」写上对方账户",IF($M1241&lt;0,"△这一笔之后该账户余额成负数了，核一下","")))))))))))</f>
        <v/>
      </c>
    </row>
    <row r="1242" ht="16.5" spans="1:19">
      <c r="A1242" s="45"/>
      <c r="B1242" s="46"/>
      <c r="C1242" s="12" t="str">
        <f>IF($B1242="","",IFERROR(INDEX(账户银行,MATCH($B1242,账户名,0)),""))</f>
        <v/>
      </c>
      <c r="D1242" s="12" t="str">
        <f>IF($B1242="","",IFERROR(INDEX(账户币种,MATCH($B1242,账户名,0)),""))</f>
        <v/>
      </c>
      <c r="E1242" s="47"/>
      <c r="F1242" s="12" t="str">
        <f>IF($E1242="","",IFERROR(INDEX(类别属性,MATCH($E1242,类别表,0)),""))</f>
        <v/>
      </c>
      <c r="G1242" s="48"/>
      <c r="H1242" s="48"/>
      <c r="I1242" s="49"/>
      <c r="J1242" s="24" t="str">
        <f>IF(OR($A1242="",$B1242=""),"",IF($I1242&lt;&gt;"",$I1242,IF($D1242=本位币,1,IFERROR(LOOKUP(2,1/((汇率月份&lt;=$A1242)*(INDEX(记账汇率区,0,MATCH($D1242,汇率币种头,0))&lt;&gt;"")),INDEX(记账汇率区,0,MATCH($D1242,汇率币种头,0))),""))))</f>
        <v/>
      </c>
      <c r="K1242" s="23" t="str">
        <f t="shared" si="38"/>
        <v/>
      </c>
      <c r="L1242" s="23" t="str">
        <f t="shared" si="39"/>
        <v/>
      </c>
      <c r="M1242" s="23" t="str">
        <f>IF($B1242="","",ROUND(SUMIF(账户名,$B1242,账户期初)+SUMIFS($K$6:K1242,$B$6:B1242,$B1242),2))</f>
        <v/>
      </c>
      <c r="N1242" s="23" t="str">
        <f>IF($B1242="","",IFERROR(ROUND(INDEX(账户期初本位,MATCH($B1242,账户名,0))+SUMIFS($L$6:L1242,$B$6:B1242,$B1242),2),""))</f>
        <v/>
      </c>
      <c r="O1242" s="46"/>
      <c r="P1242" s="47"/>
      <c r="Q1242" s="46"/>
      <c r="R1242" s="46"/>
      <c r="S1242" s="6" t="str">
        <f>IF($B1242="","",IF(ISNA(MATCH($B1242,账户名,0)),"※这个账户不在【参数设置】的账户档案里",IF($A1242="","※没填日期，这一笔不会进任何月份的报表",IF(AND($G1242&lt;&gt;"",$H1242&lt;&gt;""),"※收入和支出不能同时填",IF(AND(N($G1242)=0,N($H1242)=0),"※收入和支出都没填",IF($E1242="","※没填收支类别，分类报表会漏掉这一笔",IF(ISNA(MATCH($E1242,类别表,0)),"※收支类别不在【参数设置】的清单里",IF($J1242="","△"&amp;$D1242&amp;" 还没填汇率，去【月度汇率】补上就自动算了",IF(YEAR($A1242)&lt;&gt;管理年度,"△不是管理年度的单据，年报里看不到",IF(AND($F1242="内部转账",$Q1242=""),"△内部转账建议在「往来单位」写上对方账户",IF($M1242&lt;0,"△这一笔之后该账户余额成负数了，核一下","")))))))))))</f>
        <v/>
      </c>
    </row>
    <row r="1243" ht="16.5" spans="1:19">
      <c r="A1243" s="45"/>
      <c r="B1243" s="46"/>
      <c r="C1243" s="12" t="str">
        <f>IF($B1243="","",IFERROR(INDEX(账户银行,MATCH($B1243,账户名,0)),""))</f>
        <v/>
      </c>
      <c r="D1243" s="12" t="str">
        <f>IF($B1243="","",IFERROR(INDEX(账户币种,MATCH($B1243,账户名,0)),""))</f>
        <v/>
      </c>
      <c r="E1243" s="47"/>
      <c r="F1243" s="12" t="str">
        <f>IF($E1243="","",IFERROR(INDEX(类别属性,MATCH($E1243,类别表,0)),""))</f>
        <v/>
      </c>
      <c r="G1243" s="48"/>
      <c r="H1243" s="48"/>
      <c r="I1243" s="49"/>
      <c r="J1243" s="24" t="str">
        <f>IF(OR($A1243="",$B1243=""),"",IF($I1243&lt;&gt;"",$I1243,IF($D1243=本位币,1,IFERROR(LOOKUP(2,1/((汇率月份&lt;=$A1243)*(INDEX(记账汇率区,0,MATCH($D1243,汇率币种头,0))&lt;&gt;"")),INDEX(记账汇率区,0,MATCH($D1243,汇率币种头,0))),""))))</f>
        <v/>
      </c>
      <c r="K1243" s="23" t="str">
        <f t="shared" si="38"/>
        <v/>
      </c>
      <c r="L1243" s="23" t="str">
        <f t="shared" si="39"/>
        <v/>
      </c>
      <c r="M1243" s="23" t="str">
        <f>IF($B1243="","",ROUND(SUMIF(账户名,$B1243,账户期初)+SUMIFS($K$6:K1243,$B$6:B1243,$B1243),2))</f>
        <v/>
      </c>
      <c r="N1243" s="23" t="str">
        <f>IF($B1243="","",IFERROR(ROUND(INDEX(账户期初本位,MATCH($B1243,账户名,0))+SUMIFS($L$6:L1243,$B$6:B1243,$B1243),2),""))</f>
        <v/>
      </c>
      <c r="O1243" s="46"/>
      <c r="P1243" s="47"/>
      <c r="Q1243" s="46"/>
      <c r="R1243" s="46"/>
      <c r="S1243" s="6" t="str">
        <f>IF($B1243="","",IF(ISNA(MATCH($B1243,账户名,0)),"※这个账户不在【参数设置】的账户档案里",IF($A1243="","※没填日期，这一笔不会进任何月份的报表",IF(AND($G1243&lt;&gt;"",$H1243&lt;&gt;""),"※收入和支出不能同时填",IF(AND(N($G1243)=0,N($H1243)=0),"※收入和支出都没填",IF($E1243="","※没填收支类别，分类报表会漏掉这一笔",IF(ISNA(MATCH($E1243,类别表,0)),"※收支类别不在【参数设置】的清单里",IF($J1243="","△"&amp;$D1243&amp;" 还没填汇率，去【月度汇率】补上就自动算了",IF(YEAR($A1243)&lt;&gt;管理年度,"△不是管理年度的单据，年报里看不到",IF(AND($F1243="内部转账",$Q1243=""),"△内部转账建议在「往来单位」写上对方账户",IF($M1243&lt;0,"△这一笔之后该账户余额成负数了，核一下","")))))))))))</f>
        <v/>
      </c>
    </row>
    <row r="1244" ht="16.5" spans="1:19">
      <c r="A1244" s="45"/>
      <c r="B1244" s="46"/>
      <c r="C1244" s="12" t="str">
        <f>IF($B1244="","",IFERROR(INDEX(账户银行,MATCH($B1244,账户名,0)),""))</f>
        <v/>
      </c>
      <c r="D1244" s="12" t="str">
        <f>IF($B1244="","",IFERROR(INDEX(账户币种,MATCH($B1244,账户名,0)),""))</f>
        <v/>
      </c>
      <c r="E1244" s="47"/>
      <c r="F1244" s="12" t="str">
        <f>IF($E1244="","",IFERROR(INDEX(类别属性,MATCH($E1244,类别表,0)),""))</f>
        <v/>
      </c>
      <c r="G1244" s="48"/>
      <c r="H1244" s="48"/>
      <c r="I1244" s="49"/>
      <c r="J1244" s="24" t="str">
        <f>IF(OR($A1244="",$B1244=""),"",IF($I1244&lt;&gt;"",$I1244,IF($D1244=本位币,1,IFERROR(LOOKUP(2,1/((汇率月份&lt;=$A1244)*(INDEX(记账汇率区,0,MATCH($D1244,汇率币种头,0))&lt;&gt;"")),INDEX(记账汇率区,0,MATCH($D1244,汇率币种头,0))),""))))</f>
        <v/>
      </c>
      <c r="K1244" s="23" t="str">
        <f t="shared" si="38"/>
        <v/>
      </c>
      <c r="L1244" s="23" t="str">
        <f t="shared" si="39"/>
        <v/>
      </c>
      <c r="M1244" s="23" t="str">
        <f>IF($B1244="","",ROUND(SUMIF(账户名,$B1244,账户期初)+SUMIFS($K$6:K1244,$B$6:B1244,$B1244),2))</f>
        <v/>
      </c>
      <c r="N1244" s="23" t="str">
        <f>IF($B1244="","",IFERROR(ROUND(INDEX(账户期初本位,MATCH($B1244,账户名,0))+SUMIFS($L$6:L1244,$B$6:B1244,$B1244),2),""))</f>
        <v/>
      </c>
      <c r="O1244" s="46"/>
      <c r="P1244" s="47"/>
      <c r="Q1244" s="46"/>
      <c r="R1244" s="46"/>
      <c r="S1244" s="6" t="str">
        <f>IF($B1244="","",IF(ISNA(MATCH($B1244,账户名,0)),"※这个账户不在【参数设置】的账户档案里",IF($A1244="","※没填日期，这一笔不会进任何月份的报表",IF(AND($G1244&lt;&gt;"",$H1244&lt;&gt;""),"※收入和支出不能同时填",IF(AND(N($G1244)=0,N($H1244)=0),"※收入和支出都没填",IF($E1244="","※没填收支类别，分类报表会漏掉这一笔",IF(ISNA(MATCH($E1244,类别表,0)),"※收支类别不在【参数设置】的清单里",IF($J1244="","△"&amp;$D1244&amp;" 还没填汇率，去【月度汇率】补上就自动算了",IF(YEAR($A1244)&lt;&gt;管理年度,"△不是管理年度的单据，年报里看不到",IF(AND($F1244="内部转账",$Q1244=""),"△内部转账建议在「往来单位」写上对方账户",IF($M1244&lt;0,"△这一笔之后该账户余额成负数了，核一下","")))))))))))</f>
        <v/>
      </c>
    </row>
    <row r="1245" ht="16.5" spans="1:19">
      <c r="A1245" s="45"/>
      <c r="B1245" s="46"/>
      <c r="C1245" s="12" t="str">
        <f>IF($B1245="","",IFERROR(INDEX(账户银行,MATCH($B1245,账户名,0)),""))</f>
        <v/>
      </c>
      <c r="D1245" s="12" t="str">
        <f>IF($B1245="","",IFERROR(INDEX(账户币种,MATCH($B1245,账户名,0)),""))</f>
        <v/>
      </c>
      <c r="E1245" s="47"/>
      <c r="F1245" s="12" t="str">
        <f>IF($E1245="","",IFERROR(INDEX(类别属性,MATCH($E1245,类别表,0)),""))</f>
        <v/>
      </c>
      <c r="G1245" s="48"/>
      <c r="H1245" s="48"/>
      <c r="I1245" s="49"/>
      <c r="J1245" s="24" t="str">
        <f>IF(OR($A1245="",$B1245=""),"",IF($I1245&lt;&gt;"",$I1245,IF($D1245=本位币,1,IFERROR(LOOKUP(2,1/((汇率月份&lt;=$A1245)*(INDEX(记账汇率区,0,MATCH($D1245,汇率币种头,0))&lt;&gt;"")),INDEX(记账汇率区,0,MATCH($D1245,汇率币种头,0))),""))))</f>
        <v/>
      </c>
      <c r="K1245" s="23" t="str">
        <f t="shared" si="38"/>
        <v/>
      </c>
      <c r="L1245" s="23" t="str">
        <f t="shared" si="39"/>
        <v/>
      </c>
      <c r="M1245" s="23" t="str">
        <f>IF($B1245="","",ROUND(SUMIF(账户名,$B1245,账户期初)+SUMIFS($K$6:K1245,$B$6:B1245,$B1245),2))</f>
        <v/>
      </c>
      <c r="N1245" s="23" t="str">
        <f>IF($B1245="","",IFERROR(ROUND(INDEX(账户期初本位,MATCH($B1245,账户名,0))+SUMIFS($L$6:L1245,$B$6:B1245,$B1245),2),""))</f>
        <v/>
      </c>
      <c r="O1245" s="46"/>
      <c r="P1245" s="47"/>
      <c r="Q1245" s="46"/>
      <c r="R1245" s="46"/>
      <c r="S1245" s="6" t="str">
        <f>IF($B1245="","",IF(ISNA(MATCH($B1245,账户名,0)),"※这个账户不在【参数设置】的账户档案里",IF($A1245="","※没填日期，这一笔不会进任何月份的报表",IF(AND($G1245&lt;&gt;"",$H1245&lt;&gt;""),"※收入和支出不能同时填",IF(AND(N($G1245)=0,N($H1245)=0),"※收入和支出都没填",IF($E1245="","※没填收支类别，分类报表会漏掉这一笔",IF(ISNA(MATCH($E1245,类别表,0)),"※收支类别不在【参数设置】的清单里",IF($J1245="","△"&amp;$D1245&amp;" 还没填汇率，去【月度汇率】补上就自动算了",IF(YEAR($A1245)&lt;&gt;管理年度,"△不是管理年度的单据，年报里看不到",IF(AND($F1245="内部转账",$Q1245=""),"△内部转账建议在「往来单位」写上对方账户",IF($M1245&lt;0,"△这一笔之后该账户余额成负数了，核一下","")))))))))))</f>
        <v/>
      </c>
    </row>
    <row r="1246" ht="16.5" spans="1:19">
      <c r="A1246" s="45"/>
      <c r="B1246" s="46"/>
      <c r="C1246" s="12" t="str">
        <f>IF($B1246="","",IFERROR(INDEX(账户银行,MATCH($B1246,账户名,0)),""))</f>
        <v/>
      </c>
      <c r="D1246" s="12" t="str">
        <f>IF($B1246="","",IFERROR(INDEX(账户币种,MATCH($B1246,账户名,0)),""))</f>
        <v/>
      </c>
      <c r="E1246" s="47"/>
      <c r="F1246" s="12" t="str">
        <f>IF($E1246="","",IFERROR(INDEX(类别属性,MATCH($E1246,类别表,0)),""))</f>
        <v/>
      </c>
      <c r="G1246" s="48"/>
      <c r="H1246" s="48"/>
      <c r="I1246" s="49"/>
      <c r="J1246" s="24" t="str">
        <f>IF(OR($A1246="",$B1246=""),"",IF($I1246&lt;&gt;"",$I1246,IF($D1246=本位币,1,IFERROR(LOOKUP(2,1/((汇率月份&lt;=$A1246)*(INDEX(记账汇率区,0,MATCH($D1246,汇率币种头,0))&lt;&gt;"")),INDEX(记账汇率区,0,MATCH($D1246,汇率币种头,0))),""))))</f>
        <v/>
      </c>
      <c r="K1246" s="23" t="str">
        <f t="shared" si="38"/>
        <v/>
      </c>
      <c r="L1246" s="23" t="str">
        <f t="shared" si="39"/>
        <v/>
      </c>
      <c r="M1246" s="23" t="str">
        <f>IF($B1246="","",ROUND(SUMIF(账户名,$B1246,账户期初)+SUMIFS($K$6:K1246,$B$6:B1246,$B1246),2))</f>
        <v/>
      </c>
      <c r="N1246" s="23" t="str">
        <f>IF($B1246="","",IFERROR(ROUND(INDEX(账户期初本位,MATCH($B1246,账户名,0))+SUMIFS($L$6:L1246,$B$6:B1246,$B1246),2),""))</f>
        <v/>
      </c>
      <c r="O1246" s="46"/>
      <c r="P1246" s="47"/>
      <c r="Q1246" s="46"/>
      <c r="R1246" s="46"/>
      <c r="S1246" s="6" t="str">
        <f>IF($B1246="","",IF(ISNA(MATCH($B1246,账户名,0)),"※这个账户不在【参数设置】的账户档案里",IF($A1246="","※没填日期，这一笔不会进任何月份的报表",IF(AND($G1246&lt;&gt;"",$H1246&lt;&gt;""),"※收入和支出不能同时填",IF(AND(N($G1246)=0,N($H1246)=0),"※收入和支出都没填",IF($E1246="","※没填收支类别，分类报表会漏掉这一笔",IF(ISNA(MATCH($E1246,类别表,0)),"※收支类别不在【参数设置】的清单里",IF($J1246="","△"&amp;$D1246&amp;" 还没填汇率，去【月度汇率】补上就自动算了",IF(YEAR($A1246)&lt;&gt;管理年度,"△不是管理年度的单据，年报里看不到",IF(AND($F1246="内部转账",$Q1246=""),"△内部转账建议在「往来单位」写上对方账户",IF($M1246&lt;0,"△这一笔之后该账户余额成负数了，核一下","")))))))))))</f>
        <v/>
      </c>
    </row>
    <row r="1247" ht="16.5" spans="1:19">
      <c r="A1247" s="45"/>
      <c r="B1247" s="46"/>
      <c r="C1247" s="12" t="str">
        <f>IF($B1247="","",IFERROR(INDEX(账户银行,MATCH($B1247,账户名,0)),""))</f>
        <v/>
      </c>
      <c r="D1247" s="12" t="str">
        <f>IF($B1247="","",IFERROR(INDEX(账户币种,MATCH($B1247,账户名,0)),""))</f>
        <v/>
      </c>
      <c r="E1247" s="47"/>
      <c r="F1247" s="12" t="str">
        <f>IF($E1247="","",IFERROR(INDEX(类别属性,MATCH($E1247,类别表,0)),""))</f>
        <v/>
      </c>
      <c r="G1247" s="48"/>
      <c r="H1247" s="48"/>
      <c r="I1247" s="49"/>
      <c r="J1247" s="24" t="str">
        <f>IF(OR($A1247="",$B1247=""),"",IF($I1247&lt;&gt;"",$I1247,IF($D1247=本位币,1,IFERROR(LOOKUP(2,1/((汇率月份&lt;=$A1247)*(INDEX(记账汇率区,0,MATCH($D1247,汇率币种头,0))&lt;&gt;"")),INDEX(记账汇率区,0,MATCH($D1247,汇率币种头,0))),""))))</f>
        <v/>
      </c>
      <c r="K1247" s="23" t="str">
        <f t="shared" si="38"/>
        <v/>
      </c>
      <c r="L1247" s="23" t="str">
        <f t="shared" si="39"/>
        <v/>
      </c>
      <c r="M1247" s="23" t="str">
        <f>IF($B1247="","",ROUND(SUMIF(账户名,$B1247,账户期初)+SUMIFS($K$6:K1247,$B$6:B1247,$B1247),2))</f>
        <v/>
      </c>
      <c r="N1247" s="23" t="str">
        <f>IF($B1247="","",IFERROR(ROUND(INDEX(账户期初本位,MATCH($B1247,账户名,0))+SUMIFS($L$6:L1247,$B$6:B1247,$B1247),2),""))</f>
        <v/>
      </c>
      <c r="O1247" s="46"/>
      <c r="P1247" s="47"/>
      <c r="Q1247" s="46"/>
      <c r="R1247" s="46"/>
      <c r="S1247" s="6" t="str">
        <f>IF($B1247="","",IF(ISNA(MATCH($B1247,账户名,0)),"※这个账户不在【参数设置】的账户档案里",IF($A1247="","※没填日期，这一笔不会进任何月份的报表",IF(AND($G1247&lt;&gt;"",$H1247&lt;&gt;""),"※收入和支出不能同时填",IF(AND(N($G1247)=0,N($H1247)=0),"※收入和支出都没填",IF($E1247="","※没填收支类别，分类报表会漏掉这一笔",IF(ISNA(MATCH($E1247,类别表,0)),"※收支类别不在【参数设置】的清单里",IF($J1247="","△"&amp;$D1247&amp;" 还没填汇率，去【月度汇率】补上就自动算了",IF(YEAR($A1247)&lt;&gt;管理年度,"△不是管理年度的单据，年报里看不到",IF(AND($F1247="内部转账",$Q1247=""),"△内部转账建议在「往来单位」写上对方账户",IF($M1247&lt;0,"△这一笔之后该账户余额成负数了，核一下","")))))))))))</f>
        <v/>
      </c>
    </row>
    <row r="1248" ht="16.5" spans="1:19">
      <c r="A1248" s="45"/>
      <c r="B1248" s="46"/>
      <c r="C1248" s="12" t="str">
        <f>IF($B1248="","",IFERROR(INDEX(账户银行,MATCH($B1248,账户名,0)),""))</f>
        <v/>
      </c>
      <c r="D1248" s="12" t="str">
        <f>IF($B1248="","",IFERROR(INDEX(账户币种,MATCH($B1248,账户名,0)),""))</f>
        <v/>
      </c>
      <c r="E1248" s="47"/>
      <c r="F1248" s="12" t="str">
        <f>IF($E1248="","",IFERROR(INDEX(类别属性,MATCH($E1248,类别表,0)),""))</f>
        <v/>
      </c>
      <c r="G1248" s="48"/>
      <c r="H1248" s="48"/>
      <c r="I1248" s="49"/>
      <c r="J1248" s="24" t="str">
        <f>IF(OR($A1248="",$B1248=""),"",IF($I1248&lt;&gt;"",$I1248,IF($D1248=本位币,1,IFERROR(LOOKUP(2,1/((汇率月份&lt;=$A1248)*(INDEX(记账汇率区,0,MATCH($D1248,汇率币种头,0))&lt;&gt;"")),INDEX(记账汇率区,0,MATCH($D1248,汇率币种头,0))),""))))</f>
        <v/>
      </c>
      <c r="K1248" s="23" t="str">
        <f t="shared" si="38"/>
        <v/>
      </c>
      <c r="L1248" s="23" t="str">
        <f t="shared" si="39"/>
        <v/>
      </c>
      <c r="M1248" s="23" t="str">
        <f>IF($B1248="","",ROUND(SUMIF(账户名,$B1248,账户期初)+SUMIFS($K$6:K1248,$B$6:B1248,$B1248),2))</f>
        <v/>
      </c>
      <c r="N1248" s="23" t="str">
        <f>IF($B1248="","",IFERROR(ROUND(INDEX(账户期初本位,MATCH($B1248,账户名,0))+SUMIFS($L$6:L1248,$B$6:B1248,$B1248),2),""))</f>
        <v/>
      </c>
      <c r="O1248" s="46"/>
      <c r="P1248" s="47"/>
      <c r="Q1248" s="46"/>
      <c r="R1248" s="46"/>
      <c r="S1248" s="6" t="str">
        <f>IF($B1248="","",IF(ISNA(MATCH($B1248,账户名,0)),"※这个账户不在【参数设置】的账户档案里",IF($A1248="","※没填日期，这一笔不会进任何月份的报表",IF(AND($G1248&lt;&gt;"",$H1248&lt;&gt;""),"※收入和支出不能同时填",IF(AND(N($G1248)=0,N($H1248)=0),"※收入和支出都没填",IF($E1248="","※没填收支类别，分类报表会漏掉这一笔",IF(ISNA(MATCH($E1248,类别表,0)),"※收支类别不在【参数设置】的清单里",IF($J1248="","△"&amp;$D1248&amp;" 还没填汇率，去【月度汇率】补上就自动算了",IF(YEAR($A1248)&lt;&gt;管理年度,"△不是管理年度的单据，年报里看不到",IF(AND($F1248="内部转账",$Q1248=""),"△内部转账建议在「往来单位」写上对方账户",IF($M1248&lt;0,"△这一笔之后该账户余额成负数了，核一下","")))))))))))</f>
        <v/>
      </c>
    </row>
    <row r="1249" ht="16.5" spans="1:19">
      <c r="A1249" s="45"/>
      <c r="B1249" s="46"/>
      <c r="C1249" s="12" t="str">
        <f>IF($B1249="","",IFERROR(INDEX(账户银行,MATCH($B1249,账户名,0)),""))</f>
        <v/>
      </c>
      <c r="D1249" s="12" t="str">
        <f>IF($B1249="","",IFERROR(INDEX(账户币种,MATCH($B1249,账户名,0)),""))</f>
        <v/>
      </c>
      <c r="E1249" s="47"/>
      <c r="F1249" s="12" t="str">
        <f>IF($E1249="","",IFERROR(INDEX(类别属性,MATCH($E1249,类别表,0)),""))</f>
        <v/>
      </c>
      <c r="G1249" s="48"/>
      <c r="H1249" s="48"/>
      <c r="I1249" s="49"/>
      <c r="J1249" s="24" t="str">
        <f>IF(OR($A1249="",$B1249=""),"",IF($I1249&lt;&gt;"",$I1249,IF($D1249=本位币,1,IFERROR(LOOKUP(2,1/((汇率月份&lt;=$A1249)*(INDEX(记账汇率区,0,MATCH($D1249,汇率币种头,0))&lt;&gt;"")),INDEX(记账汇率区,0,MATCH($D1249,汇率币种头,0))),""))))</f>
        <v/>
      </c>
      <c r="K1249" s="23" t="str">
        <f t="shared" si="38"/>
        <v/>
      </c>
      <c r="L1249" s="23" t="str">
        <f t="shared" si="39"/>
        <v/>
      </c>
      <c r="M1249" s="23" t="str">
        <f>IF($B1249="","",ROUND(SUMIF(账户名,$B1249,账户期初)+SUMIFS($K$6:K1249,$B$6:B1249,$B1249),2))</f>
        <v/>
      </c>
      <c r="N1249" s="23" t="str">
        <f>IF($B1249="","",IFERROR(ROUND(INDEX(账户期初本位,MATCH($B1249,账户名,0))+SUMIFS($L$6:L1249,$B$6:B1249,$B1249),2),""))</f>
        <v/>
      </c>
      <c r="O1249" s="46"/>
      <c r="P1249" s="47"/>
      <c r="Q1249" s="46"/>
      <c r="R1249" s="46"/>
      <c r="S1249" s="6" t="str">
        <f>IF($B1249="","",IF(ISNA(MATCH($B1249,账户名,0)),"※这个账户不在【参数设置】的账户档案里",IF($A1249="","※没填日期，这一笔不会进任何月份的报表",IF(AND($G1249&lt;&gt;"",$H1249&lt;&gt;""),"※收入和支出不能同时填",IF(AND(N($G1249)=0,N($H1249)=0),"※收入和支出都没填",IF($E1249="","※没填收支类别，分类报表会漏掉这一笔",IF(ISNA(MATCH($E1249,类别表,0)),"※收支类别不在【参数设置】的清单里",IF($J1249="","△"&amp;$D1249&amp;" 还没填汇率，去【月度汇率】补上就自动算了",IF(YEAR($A1249)&lt;&gt;管理年度,"△不是管理年度的单据，年报里看不到",IF(AND($F1249="内部转账",$Q1249=""),"△内部转账建议在「往来单位」写上对方账户",IF($M1249&lt;0,"△这一笔之后该账户余额成负数了，核一下","")))))))))))</f>
        <v/>
      </c>
    </row>
    <row r="1250" ht="16.5" spans="1:19">
      <c r="A1250" s="45"/>
      <c r="B1250" s="46"/>
      <c r="C1250" s="12" t="str">
        <f>IF($B1250="","",IFERROR(INDEX(账户银行,MATCH($B1250,账户名,0)),""))</f>
        <v/>
      </c>
      <c r="D1250" s="12" t="str">
        <f>IF($B1250="","",IFERROR(INDEX(账户币种,MATCH($B1250,账户名,0)),""))</f>
        <v/>
      </c>
      <c r="E1250" s="47"/>
      <c r="F1250" s="12" t="str">
        <f>IF($E1250="","",IFERROR(INDEX(类别属性,MATCH($E1250,类别表,0)),""))</f>
        <v/>
      </c>
      <c r="G1250" s="48"/>
      <c r="H1250" s="48"/>
      <c r="I1250" s="49"/>
      <c r="J1250" s="24" t="str">
        <f>IF(OR($A1250="",$B1250=""),"",IF($I1250&lt;&gt;"",$I1250,IF($D1250=本位币,1,IFERROR(LOOKUP(2,1/((汇率月份&lt;=$A1250)*(INDEX(记账汇率区,0,MATCH($D1250,汇率币种头,0))&lt;&gt;"")),INDEX(记账汇率区,0,MATCH($D1250,汇率币种头,0))),""))))</f>
        <v/>
      </c>
      <c r="K1250" s="23" t="str">
        <f t="shared" si="38"/>
        <v/>
      </c>
      <c r="L1250" s="23" t="str">
        <f t="shared" si="39"/>
        <v/>
      </c>
      <c r="M1250" s="23" t="str">
        <f>IF($B1250="","",ROUND(SUMIF(账户名,$B1250,账户期初)+SUMIFS($K$6:K1250,$B$6:B1250,$B1250),2))</f>
        <v/>
      </c>
      <c r="N1250" s="23" t="str">
        <f>IF($B1250="","",IFERROR(ROUND(INDEX(账户期初本位,MATCH($B1250,账户名,0))+SUMIFS($L$6:L1250,$B$6:B1250,$B1250),2),""))</f>
        <v/>
      </c>
      <c r="O1250" s="46"/>
      <c r="P1250" s="47"/>
      <c r="Q1250" s="46"/>
      <c r="R1250" s="46"/>
      <c r="S1250" s="6" t="str">
        <f>IF($B1250="","",IF(ISNA(MATCH($B1250,账户名,0)),"※这个账户不在【参数设置】的账户档案里",IF($A1250="","※没填日期，这一笔不会进任何月份的报表",IF(AND($G1250&lt;&gt;"",$H1250&lt;&gt;""),"※收入和支出不能同时填",IF(AND(N($G1250)=0,N($H1250)=0),"※收入和支出都没填",IF($E1250="","※没填收支类别，分类报表会漏掉这一笔",IF(ISNA(MATCH($E1250,类别表,0)),"※收支类别不在【参数设置】的清单里",IF($J1250="","△"&amp;$D1250&amp;" 还没填汇率，去【月度汇率】补上就自动算了",IF(YEAR($A1250)&lt;&gt;管理年度,"△不是管理年度的单据，年报里看不到",IF(AND($F1250="内部转账",$Q1250=""),"△内部转账建议在「往来单位」写上对方账户",IF($M1250&lt;0,"△这一笔之后该账户余额成负数了，核一下","")))))))))))</f>
        <v/>
      </c>
    </row>
    <row r="1251" ht="16.5" spans="1:19">
      <c r="A1251" s="45"/>
      <c r="B1251" s="46"/>
      <c r="C1251" s="12" t="str">
        <f>IF($B1251="","",IFERROR(INDEX(账户银行,MATCH($B1251,账户名,0)),""))</f>
        <v/>
      </c>
      <c r="D1251" s="12" t="str">
        <f>IF($B1251="","",IFERROR(INDEX(账户币种,MATCH($B1251,账户名,0)),""))</f>
        <v/>
      </c>
      <c r="E1251" s="47"/>
      <c r="F1251" s="12" t="str">
        <f>IF($E1251="","",IFERROR(INDEX(类别属性,MATCH($E1251,类别表,0)),""))</f>
        <v/>
      </c>
      <c r="G1251" s="48"/>
      <c r="H1251" s="48"/>
      <c r="I1251" s="49"/>
      <c r="J1251" s="24" t="str">
        <f>IF(OR($A1251="",$B1251=""),"",IF($I1251&lt;&gt;"",$I1251,IF($D1251=本位币,1,IFERROR(LOOKUP(2,1/((汇率月份&lt;=$A1251)*(INDEX(记账汇率区,0,MATCH($D1251,汇率币种头,0))&lt;&gt;"")),INDEX(记账汇率区,0,MATCH($D1251,汇率币种头,0))),""))))</f>
        <v/>
      </c>
      <c r="K1251" s="23" t="str">
        <f t="shared" si="38"/>
        <v/>
      </c>
      <c r="L1251" s="23" t="str">
        <f t="shared" si="39"/>
        <v/>
      </c>
      <c r="M1251" s="23" t="str">
        <f>IF($B1251="","",ROUND(SUMIF(账户名,$B1251,账户期初)+SUMIFS($K$6:K1251,$B$6:B1251,$B1251),2))</f>
        <v/>
      </c>
      <c r="N1251" s="23" t="str">
        <f>IF($B1251="","",IFERROR(ROUND(INDEX(账户期初本位,MATCH($B1251,账户名,0))+SUMIFS($L$6:L1251,$B$6:B1251,$B1251),2),""))</f>
        <v/>
      </c>
      <c r="O1251" s="46"/>
      <c r="P1251" s="47"/>
      <c r="Q1251" s="46"/>
      <c r="R1251" s="46"/>
      <c r="S1251" s="6" t="str">
        <f>IF($B1251="","",IF(ISNA(MATCH($B1251,账户名,0)),"※这个账户不在【参数设置】的账户档案里",IF($A1251="","※没填日期，这一笔不会进任何月份的报表",IF(AND($G1251&lt;&gt;"",$H1251&lt;&gt;""),"※收入和支出不能同时填",IF(AND(N($G1251)=0,N($H1251)=0),"※收入和支出都没填",IF($E1251="","※没填收支类别，分类报表会漏掉这一笔",IF(ISNA(MATCH($E1251,类别表,0)),"※收支类别不在【参数设置】的清单里",IF($J1251="","△"&amp;$D1251&amp;" 还没填汇率，去【月度汇率】补上就自动算了",IF(YEAR($A1251)&lt;&gt;管理年度,"△不是管理年度的单据，年报里看不到",IF(AND($F1251="内部转账",$Q1251=""),"△内部转账建议在「往来单位」写上对方账户",IF($M1251&lt;0,"△这一笔之后该账户余额成负数了，核一下","")))))))))))</f>
        <v/>
      </c>
    </row>
    <row r="1252" ht="16.5" spans="1:19">
      <c r="A1252" s="45"/>
      <c r="B1252" s="46"/>
      <c r="C1252" s="12" t="str">
        <f>IF($B1252="","",IFERROR(INDEX(账户银行,MATCH($B1252,账户名,0)),""))</f>
        <v/>
      </c>
      <c r="D1252" s="12" t="str">
        <f>IF($B1252="","",IFERROR(INDEX(账户币种,MATCH($B1252,账户名,0)),""))</f>
        <v/>
      </c>
      <c r="E1252" s="47"/>
      <c r="F1252" s="12" t="str">
        <f>IF($E1252="","",IFERROR(INDEX(类别属性,MATCH($E1252,类别表,0)),""))</f>
        <v/>
      </c>
      <c r="G1252" s="48"/>
      <c r="H1252" s="48"/>
      <c r="I1252" s="49"/>
      <c r="J1252" s="24" t="str">
        <f>IF(OR($A1252="",$B1252=""),"",IF($I1252&lt;&gt;"",$I1252,IF($D1252=本位币,1,IFERROR(LOOKUP(2,1/((汇率月份&lt;=$A1252)*(INDEX(记账汇率区,0,MATCH($D1252,汇率币种头,0))&lt;&gt;"")),INDEX(记账汇率区,0,MATCH($D1252,汇率币种头,0))),""))))</f>
        <v/>
      </c>
      <c r="K1252" s="23" t="str">
        <f t="shared" si="38"/>
        <v/>
      </c>
      <c r="L1252" s="23" t="str">
        <f t="shared" si="39"/>
        <v/>
      </c>
      <c r="M1252" s="23" t="str">
        <f>IF($B1252="","",ROUND(SUMIF(账户名,$B1252,账户期初)+SUMIFS($K$6:K1252,$B$6:B1252,$B1252),2))</f>
        <v/>
      </c>
      <c r="N1252" s="23" t="str">
        <f>IF($B1252="","",IFERROR(ROUND(INDEX(账户期初本位,MATCH($B1252,账户名,0))+SUMIFS($L$6:L1252,$B$6:B1252,$B1252),2),""))</f>
        <v/>
      </c>
      <c r="O1252" s="46"/>
      <c r="P1252" s="47"/>
      <c r="Q1252" s="46"/>
      <c r="R1252" s="46"/>
      <c r="S1252" s="6" t="str">
        <f>IF($B1252="","",IF(ISNA(MATCH($B1252,账户名,0)),"※这个账户不在【参数设置】的账户档案里",IF($A1252="","※没填日期，这一笔不会进任何月份的报表",IF(AND($G1252&lt;&gt;"",$H1252&lt;&gt;""),"※收入和支出不能同时填",IF(AND(N($G1252)=0,N($H1252)=0),"※收入和支出都没填",IF($E1252="","※没填收支类别，分类报表会漏掉这一笔",IF(ISNA(MATCH($E1252,类别表,0)),"※收支类别不在【参数设置】的清单里",IF($J1252="","△"&amp;$D1252&amp;" 还没填汇率，去【月度汇率】补上就自动算了",IF(YEAR($A1252)&lt;&gt;管理年度,"△不是管理年度的单据，年报里看不到",IF(AND($F1252="内部转账",$Q1252=""),"△内部转账建议在「往来单位」写上对方账户",IF($M1252&lt;0,"△这一笔之后该账户余额成负数了，核一下","")))))))))))</f>
        <v/>
      </c>
    </row>
    <row r="1253" ht="16.5" spans="1:19">
      <c r="A1253" s="45"/>
      <c r="B1253" s="46"/>
      <c r="C1253" s="12" t="str">
        <f>IF($B1253="","",IFERROR(INDEX(账户银行,MATCH($B1253,账户名,0)),""))</f>
        <v/>
      </c>
      <c r="D1253" s="12" t="str">
        <f>IF($B1253="","",IFERROR(INDEX(账户币种,MATCH($B1253,账户名,0)),""))</f>
        <v/>
      </c>
      <c r="E1253" s="47"/>
      <c r="F1253" s="12" t="str">
        <f>IF($E1253="","",IFERROR(INDEX(类别属性,MATCH($E1253,类别表,0)),""))</f>
        <v/>
      </c>
      <c r="G1253" s="48"/>
      <c r="H1253" s="48"/>
      <c r="I1253" s="49"/>
      <c r="J1253" s="24" t="str">
        <f>IF(OR($A1253="",$B1253=""),"",IF($I1253&lt;&gt;"",$I1253,IF($D1253=本位币,1,IFERROR(LOOKUP(2,1/((汇率月份&lt;=$A1253)*(INDEX(记账汇率区,0,MATCH($D1253,汇率币种头,0))&lt;&gt;"")),INDEX(记账汇率区,0,MATCH($D1253,汇率币种头,0))),""))))</f>
        <v/>
      </c>
      <c r="K1253" s="23" t="str">
        <f t="shared" si="38"/>
        <v/>
      </c>
      <c r="L1253" s="23" t="str">
        <f t="shared" si="39"/>
        <v/>
      </c>
      <c r="M1253" s="23" t="str">
        <f>IF($B1253="","",ROUND(SUMIF(账户名,$B1253,账户期初)+SUMIFS($K$6:K1253,$B$6:B1253,$B1253),2))</f>
        <v/>
      </c>
      <c r="N1253" s="23" t="str">
        <f>IF($B1253="","",IFERROR(ROUND(INDEX(账户期初本位,MATCH($B1253,账户名,0))+SUMIFS($L$6:L1253,$B$6:B1253,$B1253),2),""))</f>
        <v/>
      </c>
      <c r="O1253" s="46"/>
      <c r="P1253" s="47"/>
      <c r="Q1253" s="46"/>
      <c r="R1253" s="46"/>
      <c r="S1253" s="6" t="str">
        <f>IF($B1253="","",IF(ISNA(MATCH($B1253,账户名,0)),"※这个账户不在【参数设置】的账户档案里",IF($A1253="","※没填日期，这一笔不会进任何月份的报表",IF(AND($G1253&lt;&gt;"",$H1253&lt;&gt;""),"※收入和支出不能同时填",IF(AND(N($G1253)=0,N($H1253)=0),"※收入和支出都没填",IF($E1253="","※没填收支类别，分类报表会漏掉这一笔",IF(ISNA(MATCH($E1253,类别表,0)),"※收支类别不在【参数设置】的清单里",IF($J1253="","△"&amp;$D1253&amp;" 还没填汇率，去【月度汇率】补上就自动算了",IF(YEAR($A1253)&lt;&gt;管理年度,"△不是管理年度的单据，年报里看不到",IF(AND($F1253="内部转账",$Q1253=""),"△内部转账建议在「往来单位」写上对方账户",IF($M1253&lt;0,"△这一笔之后该账户余额成负数了，核一下","")))))))))))</f>
        <v/>
      </c>
    </row>
    <row r="1254" ht="16.5" spans="1:19">
      <c r="A1254" s="45"/>
      <c r="B1254" s="46"/>
      <c r="C1254" s="12" t="str">
        <f>IF($B1254="","",IFERROR(INDEX(账户银行,MATCH($B1254,账户名,0)),""))</f>
        <v/>
      </c>
      <c r="D1254" s="12" t="str">
        <f>IF($B1254="","",IFERROR(INDEX(账户币种,MATCH($B1254,账户名,0)),""))</f>
        <v/>
      </c>
      <c r="E1254" s="47"/>
      <c r="F1254" s="12" t="str">
        <f>IF($E1254="","",IFERROR(INDEX(类别属性,MATCH($E1254,类别表,0)),""))</f>
        <v/>
      </c>
      <c r="G1254" s="48"/>
      <c r="H1254" s="48"/>
      <c r="I1254" s="49"/>
      <c r="J1254" s="24" t="str">
        <f>IF(OR($A1254="",$B1254=""),"",IF($I1254&lt;&gt;"",$I1254,IF($D1254=本位币,1,IFERROR(LOOKUP(2,1/((汇率月份&lt;=$A1254)*(INDEX(记账汇率区,0,MATCH($D1254,汇率币种头,0))&lt;&gt;"")),INDEX(记账汇率区,0,MATCH($D1254,汇率币种头,0))),""))))</f>
        <v/>
      </c>
      <c r="K1254" s="23" t="str">
        <f t="shared" si="38"/>
        <v/>
      </c>
      <c r="L1254" s="23" t="str">
        <f t="shared" si="39"/>
        <v/>
      </c>
      <c r="M1254" s="23" t="str">
        <f>IF($B1254="","",ROUND(SUMIF(账户名,$B1254,账户期初)+SUMIFS($K$6:K1254,$B$6:B1254,$B1254),2))</f>
        <v/>
      </c>
      <c r="N1254" s="23" t="str">
        <f>IF($B1254="","",IFERROR(ROUND(INDEX(账户期初本位,MATCH($B1254,账户名,0))+SUMIFS($L$6:L1254,$B$6:B1254,$B1254),2),""))</f>
        <v/>
      </c>
      <c r="O1254" s="46"/>
      <c r="P1254" s="47"/>
      <c r="Q1254" s="46"/>
      <c r="R1254" s="46"/>
      <c r="S1254" s="6" t="str">
        <f>IF($B1254="","",IF(ISNA(MATCH($B1254,账户名,0)),"※这个账户不在【参数设置】的账户档案里",IF($A1254="","※没填日期，这一笔不会进任何月份的报表",IF(AND($G1254&lt;&gt;"",$H1254&lt;&gt;""),"※收入和支出不能同时填",IF(AND(N($G1254)=0,N($H1254)=0),"※收入和支出都没填",IF($E1254="","※没填收支类别，分类报表会漏掉这一笔",IF(ISNA(MATCH($E1254,类别表,0)),"※收支类别不在【参数设置】的清单里",IF($J1254="","△"&amp;$D1254&amp;" 还没填汇率，去【月度汇率】补上就自动算了",IF(YEAR($A1254)&lt;&gt;管理年度,"△不是管理年度的单据，年报里看不到",IF(AND($F1254="内部转账",$Q1254=""),"△内部转账建议在「往来单位」写上对方账户",IF($M1254&lt;0,"△这一笔之后该账户余额成负数了，核一下","")))))))))))</f>
        <v/>
      </c>
    </row>
    <row r="1255" ht="16.5" spans="1:19">
      <c r="A1255" s="45"/>
      <c r="B1255" s="46"/>
      <c r="C1255" s="12" t="str">
        <f>IF($B1255="","",IFERROR(INDEX(账户银行,MATCH($B1255,账户名,0)),""))</f>
        <v/>
      </c>
      <c r="D1255" s="12" t="str">
        <f>IF($B1255="","",IFERROR(INDEX(账户币种,MATCH($B1255,账户名,0)),""))</f>
        <v/>
      </c>
      <c r="E1255" s="47"/>
      <c r="F1255" s="12" t="str">
        <f>IF($E1255="","",IFERROR(INDEX(类别属性,MATCH($E1255,类别表,0)),""))</f>
        <v/>
      </c>
      <c r="G1255" s="48"/>
      <c r="H1255" s="48"/>
      <c r="I1255" s="49"/>
      <c r="J1255" s="24" t="str">
        <f>IF(OR($A1255="",$B1255=""),"",IF($I1255&lt;&gt;"",$I1255,IF($D1255=本位币,1,IFERROR(LOOKUP(2,1/((汇率月份&lt;=$A1255)*(INDEX(记账汇率区,0,MATCH($D1255,汇率币种头,0))&lt;&gt;"")),INDEX(记账汇率区,0,MATCH($D1255,汇率币种头,0))),""))))</f>
        <v/>
      </c>
      <c r="K1255" s="23" t="str">
        <f t="shared" si="38"/>
        <v/>
      </c>
      <c r="L1255" s="23" t="str">
        <f t="shared" si="39"/>
        <v/>
      </c>
      <c r="M1255" s="23" t="str">
        <f>IF($B1255="","",ROUND(SUMIF(账户名,$B1255,账户期初)+SUMIFS($K$6:K1255,$B$6:B1255,$B1255),2))</f>
        <v/>
      </c>
      <c r="N1255" s="23" t="str">
        <f>IF($B1255="","",IFERROR(ROUND(INDEX(账户期初本位,MATCH($B1255,账户名,0))+SUMIFS($L$6:L1255,$B$6:B1255,$B1255),2),""))</f>
        <v/>
      </c>
      <c r="O1255" s="46"/>
      <c r="P1255" s="47"/>
      <c r="Q1255" s="46"/>
      <c r="R1255" s="46"/>
      <c r="S1255" s="6" t="str">
        <f>IF($B1255="","",IF(ISNA(MATCH($B1255,账户名,0)),"※这个账户不在【参数设置】的账户档案里",IF($A1255="","※没填日期，这一笔不会进任何月份的报表",IF(AND($G1255&lt;&gt;"",$H1255&lt;&gt;""),"※收入和支出不能同时填",IF(AND(N($G1255)=0,N($H1255)=0),"※收入和支出都没填",IF($E1255="","※没填收支类别，分类报表会漏掉这一笔",IF(ISNA(MATCH($E1255,类别表,0)),"※收支类别不在【参数设置】的清单里",IF($J1255="","△"&amp;$D1255&amp;" 还没填汇率，去【月度汇率】补上就自动算了",IF(YEAR($A1255)&lt;&gt;管理年度,"△不是管理年度的单据，年报里看不到",IF(AND($F1255="内部转账",$Q1255=""),"△内部转账建议在「往来单位」写上对方账户",IF($M1255&lt;0,"△这一笔之后该账户余额成负数了，核一下","")))))))))))</f>
        <v/>
      </c>
    </row>
    <row r="1256" ht="16.5" spans="1:19">
      <c r="A1256" s="45"/>
      <c r="B1256" s="46"/>
      <c r="C1256" s="12" t="str">
        <f>IF($B1256="","",IFERROR(INDEX(账户银行,MATCH($B1256,账户名,0)),""))</f>
        <v/>
      </c>
      <c r="D1256" s="12" t="str">
        <f>IF($B1256="","",IFERROR(INDEX(账户币种,MATCH($B1256,账户名,0)),""))</f>
        <v/>
      </c>
      <c r="E1256" s="47"/>
      <c r="F1256" s="12" t="str">
        <f>IF($E1256="","",IFERROR(INDEX(类别属性,MATCH($E1256,类别表,0)),""))</f>
        <v/>
      </c>
      <c r="G1256" s="48"/>
      <c r="H1256" s="48"/>
      <c r="I1256" s="49"/>
      <c r="J1256" s="24" t="str">
        <f>IF(OR($A1256="",$B1256=""),"",IF($I1256&lt;&gt;"",$I1256,IF($D1256=本位币,1,IFERROR(LOOKUP(2,1/((汇率月份&lt;=$A1256)*(INDEX(记账汇率区,0,MATCH($D1256,汇率币种头,0))&lt;&gt;"")),INDEX(记账汇率区,0,MATCH($D1256,汇率币种头,0))),""))))</f>
        <v/>
      </c>
      <c r="K1256" s="23" t="str">
        <f t="shared" si="38"/>
        <v/>
      </c>
      <c r="L1256" s="23" t="str">
        <f t="shared" si="39"/>
        <v/>
      </c>
      <c r="M1256" s="23" t="str">
        <f>IF($B1256="","",ROUND(SUMIF(账户名,$B1256,账户期初)+SUMIFS($K$6:K1256,$B$6:B1256,$B1256),2))</f>
        <v/>
      </c>
      <c r="N1256" s="23" t="str">
        <f>IF($B1256="","",IFERROR(ROUND(INDEX(账户期初本位,MATCH($B1256,账户名,0))+SUMIFS($L$6:L1256,$B$6:B1256,$B1256),2),""))</f>
        <v/>
      </c>
      <c r="O1256" s="46"/>
      <c r="P1256" s="47"/>
      <c r="Q1256" s="46"/>
      <c r="R1256" s="46"/>
      <c r="S1256" s="6" t="str">
        <f>IF($B1256="","",IF(ISNA(MATCH($B1256,账户名,0)),"※这个账户不在【参数设置】的账户档案里",IF($A1256="","※没填日期，这一笔不会进任何月份的报表",IF(AND($G1256&lt;&gt;"",$H1256&lt;&gt;""),"※收入和支出不能同时填",IF(AND(N($G1256)=0,N($H1256)=0),"※收入和支出都没填",IF($E1256="","※没填收支类别，分类报表会漏掉这一笔",IF(ISNA(MATCH($E1256,类别表,0)),"※收支类别不在【参数设置】的清单里",IF($J1256="","△"&amp;$D1256&amp;" 还没填汇率，去【月度汇率】补上就自动算了",IF(YEAR($A1256)&lt;&gt;管理年度,"△不是管理年度的单据，年报里看不到",IF(AND($F1256="内部转账",$Q1256=""),"△内部转账建议在「往来单位」写上对方账户",IF($M1256&lt;0,"△这一笔之后该账户余额成负数了，核一下","")))))))))))</f>
        <v/>
      </c>
    </row>
    <row r="1257" ht="16.5" spans="1:19">
      <c r="A1257" s="45"/>
      <c r="B1257" s="46"/>
      <c r="C1257" s="12" t="str">
        <f>IF($B1257="","",IFERROR(INDEX(账户银行,MATCH($B1257,账户名,0)),""))</f>
        <v/>
      </c>
      <c r="D1257" s="12" t="str">
        <f>IF($B1257="","",IFERROR(INDEX(账户币种,MATCH($B1257,账户名,0)),""))</f>
        <v/>
      </c>
      <c r="E1257" s="47"/>
      <c r="F1257" s="12" t="str">
        <f>IF($E1257="","",IFERROR(INDEX(类别属性,MATCH($E1257,类别表,0)),""))</f>
        <v/>
      </c>
      <c r="G1257" s="48"/>
      <c r="H1257" s="48"/>
      <c r="I1257" s="49"/>
      <c r="J1257" s="24" t="str">
        <f>IF(OR($A1257="",$B1257=""),"",IF($I1257&lt;&gt;"",$I1257,IF($D1257=本位币,1,IFERROR(LOOKUP(2,1/((汇率月份&lt;=$A1257)*(INDEX(记账汇率区,0,MATCH($D1257,汇率币种头,0))&lt;&gt;"")),INDEX(记账汇率区,0,MATCH($D1257,汇率币种头,0))),""))))</f>
        <v/>
      </c>
      <c r="K1257" s="23" t="str">
        <f t="shared" si="38"/>
        <v/>
      </c>
      <c r="L1257" s="23" t="str">
        <f t="shared" si="39"/>
        <v/>
      </c>
      <c r="M1257" s="23" t="str">
        <f>IF($B1257="","",ROUND(SUMIF(账户名,$B1257,账户期初)+SUMIFS($K$6:K1257,$B$6:B1257,$B1257),2))</f>
        <v/>
      </c>
      <c r="N1257" s="23" t="str">
        <f>IF($B1257="","",IFERROR(ROUND(INDEX(账户期初本位,MATCH($B1257,账户名,0))+SUMIFS($L$6:L1257,$B$6:B1257,$B1257),2),""))</f>
        <v/>
      </c>
      <c r="O1257" s="46"/>
      <c r="P1257" s="47"/>
      <c r="Q1257" s="46"/>
      <c r="R1257" s="46"/>
      <c r="S1257" s="6" t="str">
        <f>IF($B1257="","",IF(ISNA(MATCH($B1257,账户名,0)),"※这个账户不在【参数设置】的账户档案里",IF($A1257="","※没填日期，这一笔不会进任何月份的报表",IF(AND($G1257&lt;&gt;"",$H1257&lt;&gt;""),"※收入和支出不能同时填",IF(AND(N($G1257)=0,N($H1257)=0),"※收入和支出都没填",IF($E1257="","※没填收支类别，分类报表会漏掉这一笔",IF(ISNA(MATCH($E1257,类别表,0)),"※收支类别不在【参数设置】的清单里",IF($J1257="","△"&amp;$D1257&amp;" 还没填汇率，去【月度汇率】补上就自动算了",IF(YEAR($A1257)&lt;&gt;管理年度,"△不是管理年度的单据，年报里看不到",IF(AND($F1257="内部转账",$Q1257=""),"△内部转账建议在「往来单位」写上对方账户",IF($M1257&lt;0,"△这一笔之后该账户余额成负数了，核一下","")))))))))))</f>
        <v/>
      </c>
    </row>
    <row r="1258" ht="16.5" spans="1:19">
      <c r="A1258" s="45"/>
      <c r="B1258" s="46"/>
      <c r="C1258" s="12" t="str">
        <f>IF($B1258="","",IFERROR(INDEX(账户银行,MATCH($B1258,账户名,0)),""))</f>
        <v/>
      </c>
      <c r="D1258" s="12" t="str">
        <f>IF($B1258="","",IFERROR(INDEX(账户币种,MATCH($B1258,账户名,0)),""))</f>
        <v/>
      </c>
      <c r="E1258" s="47"/>
      <c r="F1258" s="12" t="str">
        <f>IF($E1258="","",IFERROR(INDEX(类别属性,MATCH($E1258,类别表,0)),""))</f>
        <v/>
      </c>
      <c r="G1258" s="48"/>
      <c r="H1258" s="48"/>
      <c r="I1258" s="49"/>
      <c r="J1258" s="24" t="str">
        <f>IF(OR($A1258="",$B1258=""),"",IF($I1258&lt;&gt;"",$I1258,IF($D1258=本位币,1,IFERROR(LOOKUP(2,1/((汇率月份&lt;=$A1258)*(INDEX(记账汇率区,0,MATCH($D1258,汇率币种头,0))&lt;&gt;"")),INDEX(记账汇率区,0,MATCH($D1258,汇率币种头,0))),""))))</f>
        <v/>
      </c>
      <c r="K1258" s="23" t="str">
        <f t="shared" si="38"/>
        <v/>
      </c>
      <c r="L1258" s="23" t="str">
        <f t="shared" si="39"/>
        <v/>
      </c>
      <c r="M1258" s="23" t="str">
        <f>IF($B1258="","",ROUND(SUMIF(账户名,$B1258,账户期初)+SUMIFS($K$6:K1258,$B$6:B1258,$B1258),2))</f>
        <v/>
      </c>
      <c r="N1258" s="23" t="str">
        <f>IF($B1258="","",IFERROR(ROUND(INDEX(账户期初本位,MATCH($B1258,账户名,0))+SUMIFS($L$6:L1258,$B$6:B1258,$B1258),2),""))</f>
        <v/>
      </c>
      <c r="O1258" s="46"/>
      <c r="P1258" s="47"/>
      <c r="Q1258" s="46"/>
      <c r="R1258" s="46"/>
      <c r="S1258" s="6" t="str">
        <f>IF($B1258="","",IF(ISNA(MATCH($B1258,账户名,0)),"※这个账户不在【参数设置】的账户档案里",IF($A1258="","※没填日期，这一笔不会进任何月份的报表",IF(AND($G1258&lt;&gt;"",$H1258&lt;&gt;""),"※收入和支出不能同时填",IF(AND(N($G1258)=0,N($H1258)=0),"※收入和支出都没填",IF($E1258="","※没填收支类别，分类报表会漏掉这一笔",IF(ISNA(MATCH($E1258,类别表,0)),"※收支类别不在【参数设置】的清单里",IF($J1258="","△"&amp;$D1258&amp;" 还没填汇率，去【月度汇率】补上就自动算了",IF(YEAR($A1258)&lt;&gt;管理年度,"△不是管理年度的单据，年报里看不到",IF(AND($F1258="内部转账",$Q1258=""),"△内部转账建议在「往来单位」写上对方账户",IF($M1258&lt;0,"△这一笔之后该账户余额成负数了，核一下","")))))))))))</f>
        <v/>
      </c>
    </row>
    <row r="1259" ht="16.5" spans="1:19">
      <c r="A1259" s="45"/>
      <c r="B1259" s="46"/>
      <c r="C1259" s="12" t="str">
        <f>IF($B1259="","",IFERROR(INDEX(账户银行,MATCH($B1259,账户名,0)),""))</f>
        <v/>
      </c>
      <c r="D1259" s="12" t="str">
        <f>IF($B1259="","",IFERROR(INDEX(账户币种,MATCH($B1259,账户名,0)),""))</f>
        <v/>
      </c>
      <c r="E1259" s="47"/>
      <c r="F1259" s="12" t="str">
        <f>IF($E1259="","",IFERROR(INDEX(类别属性,MATCH($E1259,类别表,0)),""))</f>
        <v/>
      </c>
      <c r="G1259" s="48"/>
      <c r="H1259" s="48"/>
      <c r="I1259" s="49"/>
      <c r="J1259" s="24" t="str">
        <f>IF(OR($A1259="",$B1259=""),"",IF($I1259&lt;&gt;"",$I1259,IF($D1259=本位币,1,IFERROR(LOOKUP(2,1/((汇率月份&lt;=$A1259)*(INDEX(记账汇率区,0,MATCH($D1259,汇率币种头,0))&lt;&gt;"")),INDEX(记账汇率区,0,MATCH($D1259,汇率币种头,0))),""))))</f>
        <v/>
      </c>
      <c r="K1259" s="23" t="str">
        <f t="shared" si="38"/>
        <v/>
      </c>
      <c r="L1259" s="23" t="str">
        <f t="shared" si="39"/>
        <v/>
      </c>
      <c r="M1259" s="23" t="str">
        <f>IF($B1259="","",ROUND(SUMIF(账户名,$B1259,账户期初)+SUMIFS($K$6:K1259,$B$6:B1259,$B1259),2))</f>
        <v/>
      </c>
      <c r="N1259" s="23" t="str">
        <f>IF($B1259="","",IFERROR(ROUND(INDEX(账户期初本位,MATCH($B1259,账户名,0))+SUMIFS($L$6:L1259,$B$6:B1259,$B1259),2),""))</f>
        <v/>
      </c>
      <c r="O1259" s="46"/>
      <c r="P1259" s="47"/>
      <c r="Q1259" s="46"/>
      <c r="R1259" s="46"/>
      <c r="S1259" s="6" t="str">
        <f>IF($B1259="","",IF(ISNA(MATCH($B1259,账户名,0)),"※这个账户不在【参数设置】的账户档案里",IF($A1259="","※没填日期，这一笔不会进任何月份的报表",IF(AND($G1259&lt;&gt;"",$H1259&lt;&gt;""),"※收入和支出不能同时填",IF(AND(N($G1259)=0,N($H1259)=0),"※收入和支出都没填",IF($E1259="","※没填收支类别，分类报表会漏掉这一笔",IF(ISNA(MATCH($E1259,类别表,0)),"※收支类别不在【参数设置】的清单里",IF($J1259="","△"&amp;$D1259&amp;" 还没填汇率，去【月度汇率】补上就自动算了",IF(YEAR($A1259)&lt;&gt;管理年度,"△不是管理年度的单据，年报里看不到",IF(AND($F1259="内部转账",$Q1259=""),"△内部转账建议在「往来单位」写上对方账户",IF($M1259&lt;0,"△这一笔之后该账户余额成负数了，核一下","")))))))))))</f>
        <v/>
      </c>
    </row>
    <row r="1260" ht="16.5" spans="1:19">
      <c r="A1260" s="45"/>
      <c r="B1260" s="46"/>
      <c r="C1260" s="12" t="str">
        <f>IF($B1260="","",IFERROR(INDEX(账户银行,MATCH($B1260,账户名,0)),""))</f>
        <v/>
      </c>
      <c r="D1260" s="12" t="str">
        <f>IF($B1260="","",IFERROR(INDEX(账户币种,MATCH($B1260,账户名,0)),""))</f>
        <v/>
      </c>
      <c r="E1260" s="47"/>
      <c r="F1260" s="12" t="str">
        <f>IF($E1260="","",IFERROR(INDEX(类别属性,MATCH($E1260,类别表,0)),""))</f>
        <v/>
      </c>
      <c r="G1260" s="48"/>
      <c r="H1260" s="48"/>
      <c r="I1260" s="49"/>
      <c r="J1260" s="24" t="str">
        <f>IF(OR($A1260="",$B1260=""),"",IF($I1260&lt;&gt;"",$I1260,IF($D1260=本位币,1,IFERROR(LOOKUP(2,1/((汇率月份&lt;=$A1260)*(INDEX(记账汇率区,0,MATCH($D1260,汇率币种头,0))&lt;&gt;"")),INDEX(记账汇率区,0,MATCH($D1260,汇率币种头,0))),""))))</f>
        <v/>
      </c>
      <c r="K1260" s="23" t="str">
        <f t="shared" si="38"/>
        <v/>
      </c>
      <c r="L1260" s="23" t="str">
        <f t="shared" si="39"/>
        <v/>
      </c>
      <c r="M1260" s="23" t="str">
        <f>IF($B1260="","",ROUND(SUMIF(账户名,$B1260,账户期初)+SUMIFS($K$6:K1260,$B$6:B1260,$B1260),2))</f>
        <v/>
      </c>
      <c r="N1260" s="23" t="str">
        <f>IF($B1260="","",IFERROR(ROUND(INDEX(账户期初本位,MATCH($B1260,账户名,0))+SUMIFS($L$6:L1260,$B$6:B1260,$B1260),2),""))</f>
        <v/>
      </c>
      <c r="O1260" s="46"/>
      <c r="P1260" s="47"/>
      <c r="Q1260" s="46"/>
      <c r="R1260" s="46"/>
      <c r="S1260" s="6" t="str">
        <f>IF($B1260="","",IF(ISNA(MATCH($B1260,账户名,0)),"※这个账户不在【参数设置】的账户档案里",IF($A1260="","※没填日期，这一笔不会进任何月份的报表",IF(AND($G1260&lt;&gt;"",$H1260&lt;&gt;""),"※收入和支出不能同时填",IF(AND(N($G1260)=0,N($H1260)=0),"※收入和支出都没填",IF($E1260="","※没填收支类别，分类报表会漏掉这一笔",IF(ISNA(MATCH($E1260,类别表,0)),"※收支类别不在【参数设置】的清单里",IF($J1260="","△"&amp;$D1260&amp;" 还没填汇率，去【月度汇率】补上就自动算了",IF(YEAR($A1260)&lt;&gt;管理年度,"△不是管理年度的单据，年报里看不到",IF(AND($F1260="内部转账",$Q1260=""),"△内部转账建议在「往来单位」写上对方账户",IF($M1260&lt;0,"△这一笔之后该账户余额成负数了，核一下","")))))))))))</f>
        <v/>
      </c>
    </row>
    <row r="1261" ht="16.5" spans="1:19">
      <c r="A1261" s="45"/>
      <c r="B1261" s="46"/>
      <c r="C1261" s="12" t="str">
        <f>IF($B1261="","",IFERROR(INDEX(账户银行,MATCH($B1261,账户名,0)),""))</f>
        <v/>
      </c>
      <c r="D1261" s="12" t="str">
        <f>IF($B1261="","",IFERROR(INDEX(账户币种,MATCH($B1261,账户名,0)),""))</f>
        <v/>
      </c>
      <c r="E1261" s="47"/>
      <c r="F1261" s="12" t="str">
        <f>IF($E1261="","",IFERROR(INDEX(类别属性,MATCH($E1261,类别表,0)),""))</f>
        <v/>
      </c>
      <c r="G1261" s="48"/>
      <c r="H1261" s="48"/>
      <c r="I1261" s="49"/>
      <c r="J1261" s="24" t="str">
        <f>IF(OR($A1261="",$B1261=""),"",IF($I1261&lt;&gt;"",$I1261,IF($D1261=本位币,1,IFERROR(LOOKUP(2,1/((汇率月份&lt;=$A1261)*(INDEX(记账汇率区,0,MATCH($D1261,汇率币种头,0))&lt;&gt;"")),INDEX(记账汇率区,0,MATCH($D1261,汇率币种头,0))),""))))</f>
        <v/>
      </c>
      <c r="K1261" s="23" t="str">
        <f t="shared" si="38"/>
        <v/>
      </c>
      <c r="L1261" s="23" t="str">
        <f t="shared" si="39"/>
        <v/>
      </c>
      <c r="M1261" s="23" t="str">
        <f>IF($B1261="","",ROUND(SUMIF(账户名,$B1261,账户期初)+SUMIFS($K$6:K1261,$B$6:B1261,$B1261),2))</f>
        <v/>
      </c>
      <c r="N1261" s="23" t="str">
        <f>IF($B1261="","",IFERROR(ROUND(INDEX(账户期初本位,MATCH($B1261,账户名,0))+SUMIFS($L$6:L1261,$B$6:B1261,$B1261),2),""))</f>
        <v/>
      </c>
      <c r="O1261" s="46"/>
      <c r="P1261" s="47"/>
      <c r="Q1261" s="46"/>
      <c r="R1261" s="46"/>
      <c r="S1261" s="6" t="str">
        <f>IF($B1261="","",IF(ISNA(MATCH($B1261,账户名,0)),"※这个账户不在【参数设置】的账户档案里",IF($A1261="","※没填日期，这一笔不会进任何月份的报表",IF(AND($G1261&lt;&gt;"",$H1261&lt;&gt;""),"※收入和支出不能同时填",IF(AND(N($G1261)=0,N($H1261)=0),"※收入和支出都没填",IF($E1261="","※没填收支类别，分类报表会漏掉这一笔",IF(ISNA(MATCH($E1261,类别表,0)),"※收支类别不在【参数设置】的清单里",IF($J1261="","△"&amp;$D1261&amp;" 还没填汇率，去【月度汇率】补上就自动算了",IF(YEAR($A1261)&lt;&gt;管理年度,"△不是管理年度的单据，年报里看不到",IF(AND($F1261="内部转账",$Q1261=""),"△内部转账建议在「往来单位」写上对方账户",IF($M1261&lt;0,"△这一笔之后该账户余额成负数了，核一下","")))))))))))</f>
        <v/>
      </c>
    </row>
    <row r="1262" ht="16.5" spans="1:19">
      <c r="A1262" s="45"/>
      <c r="B1262" s="46"/>
      <c r="C1262" s="12" t="str">
        <f>IF($B1262="","",IFERROR(INDEX(账户银行,MATCH($B1262,账户名,0)),""))</f>
        <v/>
      </c>
      <c r="D1262" s="12" t="str">
        <f>IF($B1262="","",IFERROR(INDEX(账户币种,MATCH($B1262,账户名,0)),""))</f>
        <v/>
      </c>
      <c r="E1262" s="47"/>
      <c r="F1262" s="12" t="str">
        <f>IF($E1262="","",IFERROR(INDEX(类别属性,MATCH($E1262,类别表,0)),""))</f>
        <v/>
      </c>
      <c r="G1262" s="48"/>
      <c r="H1262" s="48"/>
      <c r="I1262" s="49"/>
      <c r="J1262" s="24" t="str">
        <f>IF(OR($A1262="",$B1262=""),"",IF($I1262&lt;&gt;"",$I1262,IF($D1262=本位币,1,IFERROR(LOOKUP(2,1/((汇率月份&lt;=$A1262)*(INDEX(记账汇率区,0,MATCH($D1262,汇率币种头,0))&lt;&gt;"")),INDEX(记账汇率区,0,MATCH($D1262,汇率币种头,0))),""))))</f>
        <v/>
      </c>
      <c r="K1262" s="23" t="str">
        <f t="shared" si="38"/>
        <v/>
      </c>
      <c r="L1262" s="23" t="str">
        <f t="shared" si="39"/>
        <v/>
      </c>
      <c r="M1262" s="23" t="str">
        <f>IF($B1262="","",ROUND(SUMIF(账户名,$B1262,账户期初)+SUMIFS($K$6:K1262,$B$6:B1262,$B1262),2))</f>
        <v/>
      </c>
      <c r="N1262" s="23" t="str">
        <f>IF($B1262="","",IFERROR(ROUND(INDEX(账户期初本位,MATCH($B1262,账户名,0))+SUMIFS($L$6:L1262,$B$6:B1262,$B1262),2),""))</f>
        <v/>
      </c>
      <c r="O1262" s="46"/>
      <c r="P1262" s="47"/>
      <c r="Q1262" s="46"/>
      <c r="R1262" s="46"/>
      <c r="S1262" s="6" t="str">
        <f>IF($B1262="","",IF(ISNA(MATCH($B1262,账户名,0)),"※这个账户不在【参数设置】的账户档案里",IF($A1262="","※没填日期，这一笔不会进任何月份的报表",IF(AND($G1262&lt;&gt;"",$H1262&lt;&gt;""),"※收入和支出不能同时填",IF(AND(N($G1262)=0,N($H1262)=0),"※收入和支出都没填",IF($E1262="","※没填收支类别，分类报表会漏掉这一笔",IF(ISNA(MATCH($E1262,类别表,0)),"※收支类别不在【参数设置】的清单里",IF($J1262="","△"&amp;$D1262&amp;" 还没填汇率，去【月度汇率】补上就自动算了",IF(YEAR($A1262)&lt;&gt;管理年度,"△不是管理年度的单据，年报里看不到",IF(AND($F1262="内部转账",$Q1262=""),"△内部转账建议在「往来单位」写上对方账户",IF($M1262&lt;0,"△这一笔之后该账户余额成负数了，核一下","")))))))))))</f>
        <v/>
      </c>
    </row>
    <row r="1263" ht="16.5" spans="1:19">
      <c r="A1263" s="45"/>
      <c r="B1263" s="46"/>
      <c r="C1263" s="12" t="str">
        <f>IF($B1263="","",IFERROR(INDEX(账户银行,MATCH($B1263,账户名,0)),""))</f>
        <v/>
      </c>
      <c r="D1263" s="12" t="str">
        <f>IF($B1263="","",IFERROR(INDEX(账户币种,MATCH($B1263,账户名,0)),""))</f>
        <v/>
      </c>
      <c r="E1263" s="47"/>
      <c r="F1263" s="12" t="str">
        <f>IF($E1263="","",IFERROR(INDEX(类别属性,MATCH($E1263,类别表,0)),""))</f>
        <v/>
      </c>
      <c r="G1263" s="48"/>
      <c r="H1263" s="48"/>
      <c r="I1263" s="49"/>
      <c r="J1263" s="24" t="str">
        <f>IF(OR($A1263="",$B1263=""),"",IF($I1263&lt;&gt;"",$I1263,IF($D1263=本位币,1,IFERROR(LOOKUP(2,1/((汇率月份&lt;=$A1263)*(INDEX(记账汇率区,0,MATCH($D1263,汇率币种头,0))&lt;&gt;"")),INDEX(记账汇率区,0,MATCH($D1263,汇率币种头,0))),""))))</f>
        <v/>
      </c>
      <c r="K1263" s="23" t="str">
        <f t="shared" si="38"/>
        <v/>
      </c>
      <c r="L1263" s="23" t="str">
        <f t="shared" si="39"/>
        <v/>
      </c>
      <c r="M1263" s="23" t="str">
        <f>IF($B1263="","",ROUND(SUMIF(账户名,$B1263,账户期初)+SUMIFS($K$6:K1263,$B$6:B1263,$B1263),2))</f>
        <v/>
      </c>
      <c r="N1263" s="23" t="str">
        <f>IF($B1263="","",IFERROR(ROUND(INDEX(账户期初本位,MATCH($B1263,账户名,0))+SUMIFS($L$6:L1263,$B$6:B1263,$B1263),2),""))</f>
        <v/>
      </c>
      <c r="O1263" s="46"/>
      <c r="P1263" s="47"/>
      <c r="Q1263" s="46"/>
      <c r="R1263" s="46"/>
      <c r="S1263" s="6" t="str">
        <f>IF($B1263="","",IF(ISNA(MATCH($B1263,账户名,0)),"※这个账户不在【参数设置】的账户档案里",IF($A1263="","※没填日期，这一笔不会进任何月份的报表",IF(AND($G1263&lt;&gt;"",$H1263&lt;&gt;""),"※收入和支出不能同时填",IF(AND(N($G1263)=0,N($H1263)=0),"※收入和支出都没填",IF($E1263="","※没填收支类别，分类报表会漏掉这一笔",IF(ISNA(MATCH($E1263,类别表,0)),"※收支类别不在【参数设置】的清单里",IF($J1263="","△"&amp;$D1263&amp;" 还没填汇率，去【月度汇率】补上就自动算了",IF(YEAR($A1263)&lt;&gt;管理年度,"△不是管理年度的单据，年报里看不到",IF(AND($F1263="内部转账",$Q1263=""),"△内部转账建议在「往来单位」写上对方账户",IF($M1263&lt;0,"△这一笔之后该账户余额成负数了，核一下","")))))))))))</f>
        <v/>
      </c>
    </row>
    <row r="1264" ht="16.5" spans="1:19">
      <c r="A1264" s="45"/>
      <c r="B1264" s="46"/>
      <c r="C1264" s="12" t="str">
        <f>IF($B1264="","",IFERROR(INDEX(账户银行,MATCH($B1264,账户名,0)),""))</f>
        <v/>
      </c>
      <c r="D1264" s="12" t="str">
        <f>IF($B1264="","",IFERROR(INDEX(账户币种,MATCH($B1264,账户名,0)),""))</f>
        <v/>
      </c>
      <c r="E1264" s="47"/>
      <c r="F1264" s="12" t="str">
        <f>IF($E1264="","",IFERROR(INDEX(类别属性,MATCH($E1264,类别表,0)),""))</f>
        <v/>
      </c>
      <c r="G1264" s="48"/>
      <c r="H1264" s="48"/>
      <c r="I1264" s="49"/>
      <c r="J1264" s="24" t="str">
        <f>IF(OR($A1264="",$B1264=""),"",IF($I1264&lt;&gt;"",$I1264,IF($D1264=本位币,1,IFERROR(LOOKUP(2,1/((汇率月份&lt;=$A1264)*(INDEX(记账汇率区,0,MATCH($D1264,汇率币种头,0))&lt;&gt;"")),INDEX(记账汇率区,0,MATCH($D1264,汇率币种头,0))),""))))</f>
        <v/>
      </c>
      <c r="K1264" s="23" t="str">
        <f t="shared" si="38"/>
        <v/>
      </c>
      <c r="L1264" s="23" t="str">
        <f t="shared" si="39"/>
        <v/>
      </c>
      <c r="M1264" s="23" t="str">
        <f>IF($B1264="","",ROUND(SUMIF(账户名,$B1264,账户期初)+SUMIFS($K$6:K1264,$B$6:B1264,$B1264),2))</f>
        <v/>
      </c>
      <c r="N1264" s="23" t="str">
        <f>IF($B1264="","",IFERROR(ROUND(INDEX(账户期初本位,MATCH($B1264,账户名,0))+SUMIFS($L$6:L1264,$B$6:B1264,$B1264),2),""))</f>
        <v/>
      </c>
      <c r="O1264" s="46"/>
      <c r="P1264" s="47"/>
      <c r="Q1264" s="46"/>
      <c r="R1264" s="46"/>
      <c r="S1264" s="6" t="str">
        <f>IF($B1264="","",IF(ISNA(MATCH($B1264,账户名,0)),"※这个账户不在【参数设置】的账户档案里",IF($A1264="","※没填日期，这一笔不会进任何月份的报表",IF(AND($G1264&lt;&gt;"",$H1264&lt;&gt;""),"※收入和支出不能同时填",IF(AND(N($G1264)=0,N($H1264)=0),"※收入和支出都没填",IF($E1264="","※没填收支类别，分类报表会漏掉这一笔",IF(ISNA(MATCH($E1264,类别表,0)),"※收支类别不在【参数设置】的清单里",IF($J1264="","△"&amp;$D1264&amp;" 还没填汇率，去【月度汇率】补上就自动算了",IF(YEAR($A1264)&lt;&gt;管理年度,"△不是管理年度的单据，年报里看不到",IF(AND($F1264="内部转账",$Q1264=""),"△内部转账建议在「往来单位」写上对方账户",IF($M1264&lt;0,"△这一笔之后该账户余额成负数了，核一下","")))))))))))</f>
        <v/>
      </c>
    </row>
    <row r="1265" ht="16.5" spans="1:19">
      <c r="A1265" s="45"/>
      <c r="B1265" s="46"/>
      <c r="C1265" s="12" t="str">
        <f>IF($B1265="","",IFERROR(INDEX(账户银行,MATCH($B1265,账户名,0)),""))</f>
        <v/>
      </c>
      <c r="D1265" s="12" t="str">
        <f>IF($B1265="","",IFERROR(INDEX(账户币种,MATCH($B1265,账户名,0)),""))</f>
        <v/>
      </c>
      <c r="E1265" s="47"/>
      <c r="F1265" s="12" t="str">
        <f>IF($E1265="","",IFERROR(INDEX(类别属性,MATCH($E1265,类别表,0)),""))</f>
        <v/>
      </c>
      <c r="G1265" s="48"/>
      <c r="H1265" s="48"/>
      <c r="I1265" s="49"/>
      <c r="J1265" s="24" t="str">
        <f>IF(OR($A1265="",$B1265=""),"",IF($I1265&lt;&gt;"",$I1265,IF($D1265=本位币,1,IFERROR(LOOKUP(2,1/((汇率月份&lt;=$A1265)*(INDEX(记账汇率区,0,MATCH($D1265,汇率币种头,0))&lt;&gt;"")),INDEX(记账汇率区,0,MATCH($D1265,汇率币种头,0))),""))))</f>
        <v/>
      </c>
      <c r="K1265" s="23" t="str">
        <f t="shared" si="38"/>
        <v/>
      </c>
      <c r="L1265" s="23" t="str">
        <f t="shared" si="39"/>
        <v/>
      </c>
      <c r="M1265" s="23" t="str">
        <f>IF($B1265="","",ROUND(SUMIF(账户名,$B1265,账户期初)+SUMIFS($K$6:K1265,$B$6:B1265,$B1265),2))</f>
        <v/>
      </c>
      <c r="N1265" s="23" t="str">
        <f>IF($B1265="","",IFERROR(ROUND(INDEX(账户期初本位,MATCH($B1265,账户名,0))+SUMIFS($L$6:L1265,$B$6:B1265,$B1265),2),""))</f>
        <v/>
      </c>
      <c r="O1265" s="46"/>
      <c r="P1265" s="47"/>
      <c r="Q1265" s="46"/>
      <c r="R1265" s="46"/>
      <c r="S1265" s="6" t="str">
        <f>IF($B1265="","",IF(ISNA(MATCH($B1265,账户名,0)),"※这个账户不在【参数设置】的账户档案里",IF($A1265="","※没填日期，这一笔不会进任何月份的报表",IF(AND($G1265&lt;&gt;"",$H1265&lt;&gt;""),"※收入和支出不能同时填",IF(AND(N($G1265)=0,N($H1265)=0),"※收入和支出都没填",IF($E1265="","※没填收支类别，分类报表会漏掉这一笔",IF(ISNA(MATCH($E1265,类别表,0)),"※收支类别不在【参数设置】的清单里",IF($J1265="","△"&amp;$D1265&amp;" 还没填汇率，去【月度汇率】补上就自动算了",IF(YEAR($A1265)&lt;&gt;管理年度,"△不是管理年度的单据，年报里看不到",IF(AND($F1265="内部转账",$Q1265=""),"△内部转账建议在「往来单位」写上对方账户",IF($M1265&lt;0,"△这一笔之后该账户余额成负数了，核一下","")))))))))))</f>
        <v/>
      </c>
    </row>
    <row r="1266" ht="16.5" spans="1:19">
      <c r="A1266" s="45"/>
      <c r="B1266" s="46"/>
      <c r="C1266" s="12" t="str">
        <f>IF($B1266="","",IFERROR(INDEX(账户银行,MATCH($B1266,账户名,0)),""))</f>
        <v/>
      </c>
      <c r="D1266" s="12" t="str">
        <f>IF($B1266="","",IFERROR(INDEX(账户币种,MATCH($B1266,账户名,0)),""))</f>
        <v/>
      </c>
      <c r="E1266" s="47"/>
      <c r="F1266" s="12" t="str">
        <f>IF($E1266="","",IFERROR(INDEX(类别属性,MATCH($E1266,类别表,0)),""))</f>
        <v/>
      </c>
      <c r="G1266" s="48"/>
      <c r="H1266" s="48"/>
      <c r="I1266" s="49"/>
      <c r="J1266" s="24" t="str">
        <f>IF(OR($A1266="",$B1266=""),"",IF($I1266&lt;&gt;"",$I1266,IF($D1266=本位币,1,IFERROR(LOOKUP(2,1/((汇率月份&lt;=$A1266)*(INDEX(记账汇率区,0,MATCH($D1266,汇率币种头,0))&lt;&gt;"")),INDEX(记账汇率区,0,MATCH($D1266,汇率币种头,0))),""))))</f>
        <v/>
      </c>
      <c r="K1266" s="23" t="str">
        <f t="shared" si="38"/>
        <v/>
      </c>
      <c r="L1266" s="23" t="str">
        <f t="shared" si="39"/>
        <v/>
      </c>
      <c r="M1266" s="23" t="str">
        <f>IF($B1266="","",ROUND(SUMIF(账户名,$B1266,账户期初)+SUMIFS($K$6:K1266,$B$6:B1266,$B1266),2))</f>
        <v/>
      </c>
      <c r="N1266" s="23" t="str">
        <f>IF($B1266="","",IFERROR(ROUND(INDEX(账户期初本位,MATCH($B1266,账户名,0))+SUMIFS($L$6:L1266,$B$6:B1266,$B1266),2),""))</f>
        <v/>
      </c>
      <c r="O1266" s="46"/>
      <c r="P1266" s="47"/>
      <c r="Q1266" s="46"/>
      <c r="R1266" s="46"/>
      <c r="S1266" s="6" t="str">
        <f>IF($B1266="","",IF(ISNA(MATCH($B1266,账户名,0)),"※这个账户不在【参数设置】的账户档案里",IF($A1266="","※没填日期，这一笔不会进任何月份的报表",IF(AND($G1266&lt;&gt;"",$H1266&lt;&gt;""),"※收入和支出不能同时填",IF(AND(N($G1266)=0,N($H1266)=0),"※收入和支出都没填",IF($E1266="","※没填收支类别，分类报表会漏掉这一笔",IF(ISNA(MATCH($E1266,类别表,0)),"※收支类别不在【参数设置】的清单里",IF($J1266="","△"&amp;$D1266&amp;" 还没填汇率，去【月度汇率】补上就自动算了",IF(YEAR($A1266)&lt;&gt;管理年度,"△不是管理年度的单据，年报里看不到",IF(AND($F1266="内部转账",$Q1266=""),"△内部转账建议在「往来单位」写上对方账户",IF($M1266&lt;0,"△这一笔之后该账户余额成负数了，核一下","")))))))))))</f>
        <v/>
      </c>
    </row>
    <row r="1267" ht="16.5" spans="1:19">
      <c r="A1267" s="45"/>
      <c r="B1267" s="46"/>
      <c r="C1267" s="12" t="str">
        <f>IF($B1267="","",IFERROR(INDEX(账户银行,MATCH($B1267,账户名,0)),""))</f>
        <v/>
      </c>
      <c r="D1267" s="12" t="str">
        <f>IF($B1267="","",IFERROR(INDEX(账户币种,MATCH($B1267,账户名,0)),""))</f>
        <v/>
      </c>
      <c r="E1267" s="47"/>
      <c r="F1267" s="12" t="str">
        <f>IF($E1267="","",IFERROR(INDEX(类别属性,MATCH($E1267,类别表,0)),""))</f>
        <v/>
      </c>
      <c r="G1267" s="48"/>
      <c r="H1267" s="48"/>
      <c r="I1267" s="49"/>
      <c r="J1267" s="24" t="str">
        <f>IF(OR($A1267="",$B1267=""),"",IF($I1267&lt;&gt;"",$I1267,IF($D1267=本位币,1,IFERROR(LOOKUP(2,1/((汇率月份&lt;=$A1267)*(INDEX(记账汇率区,0,MATCH($D1267,汇率币种头,0))&lt;&gt;"")),INDEX(记账汇率区,0,MATCH($D1267,汇率币种头,0))),""))))</f>
        <v/>
      </c>
      <c r="K1267" s="23" t="str">
        <f t="shared" si="38"/>
        <v/>
      </c>
      <c r="L1267" s="23" t="str">
        <f t="shared" si="39"/>
        <v/>
      </c>
      <c r="M1267" s="23" t="str">
        <f>IF($B1267="","",ROUND(SUMIF(账户名,$B1267,账户期初)+SUMIFS($K$6:K1267,$B$6:B1267,$B1267),2))</f>
        <v/>
      </c>
      <c r="N1267" s="23" t="str">
        <f>IF($B1267="","",IFERROR(ROUND(INDEX(账户期初本位,MATCH($B1267,账户名,0))+SUMIFS($L$6:L1267,$B$6:B1267,$B1267),2),""))</f>
        <v/>
      </c>
      <c r="O1267" s="46"/>
      <c r="P1267" s="47"/>
      <c r="Q1267" s="46"/>
      <c r="R1267" s="46"/>
      <c r="S1267" s="6" t="str">
        <f>IF($B1267="","",IF(ISNA(MATCH($B1267,账户名,0)),"※这个账户不在【参数设置】的账户档案里",IF($A1267="","※没填日期，这一笔不会进任何月份的报表",IF(AND($G1267&lt;&gt;"",$H1267&lt;&gt;""),"※收入和支出不能同时填",IF(AND(N($G1267)=0,N($H1267)=0),"※收入和支出都没填",IF($E1267="","※没填收支类别，分类报表会漏掉这一笔",IF(ISNA(MATCH($E1267,类别表,0)),"※收支类别不在【参数设置】的清单里",IF($J1267="","△"&amp;$D1267&amp;" 还没填汇率，去【月度汇率】补上就自动算了",IF(YEAR($A1267)&lt;&gt;管理年度,"△不是管理年度的单据，年报里看不到",IF(AND($F1267="内部转账",$Q1267=""),"△内部转账建议在「往来单位」写上对方账户",IF($M1267&lt;0,"△这一笔之后该账户余额成负数了，核一下","")))))))))))</f>
        <v/>
      </c>
    </row>
    <row r="1268" ht="16.5" spans="1:19">
      <c r="A1268" s="45"/>
      <c r="B1268" s="46"/>
      <c r="C1268" s="12" t="str">
        <f>IF($B1268="","",IFERROR(INDEX(账户银行,MATCH($B1268,账户名,0)),""))</f>
        <v/>
      </c>
      <c r="D1268" s="12" t="str">
        <f>IF($B1268="","",IFERROR(INDEX(账户币种,MATCH($B1268,账户名,0)),""))</f>
        <v/>
      </c>
      <c r="E1268" s="47"/>
      <c r="F1268" s="12" t="str">
        <f>IF($E1268="","",IFERROR(INDEX(类别属性,MATCH($E1268,类别表,0)),""))</f>
        <v/>
      </c>
      <c r="G1268" s="48"/>
      <c r="H1268" s="48"/>
      <c r="I1268" s="49"/>
      <c r="J1268" s="24" t="str">
        <f>IF(OR($A1268="",$B1268=""),"",IF($I1268&lt;&gt;"",$I1268,IF($D1268=本位币,1,IFERROR(LOOKUP(2,1/((汇率月份&lt;=$A1268)*(INDEX(记账汇率区,0,MATCH($D1268,汇率币种头,0))&lt;&gt;"")),INDEX(记账汇率区,0,MATCH($D1268,汇率币种头,0))),""))))</f>
        <v/>
      </c>
      <c r="K1268" s="23" t="str">
        <f t="shared" si="38"/>
        <v/>
      </c>
      <c r="L1268" s="23" t="str">
        <f t="shared" si="39"/>
        <v/>
      </c>
      <c r="M1268" s="23" t="str">
        <f>IF($B1268="","",ROUND(SUMIF(账户名,$B1268,账户期初)+SUMIFS($K$6:K1268,$B$6:B1268,$B1268),2))</f>
        <v/>
      </c>
      <c r="N1268" s="23" t="str">
        <f>IF($B1268="","",IFERROR(ROUND(INDEX(账户期初本位,MATCH($B1268,账户名,0))+SUMIFS($L$6:L1268,$B$6:B1268,$B1268),2),""))</f>
        <v/>
      </c>
      <c r="O1268" s="46"/>
      <c r="P1268" s="47"/>
      <c r="Q1268" s="46"/>
      <c r="R1268" s="46"/>
      <c r="S1268" s="6" t="str">
        <f>IF($B1268="","",IF(ISNA(MATCH($B1268,账户名,0)),"※这个账户不在【参数设置】的账户档案里",IF($A1268="","※没填日期，这一笔不会进任何月份的报表",IF(AND($G1268&lt;&gt;"",$H1268&lt;&gt;""),"※收入和支出不能同时填",IF(AND(N($G1268)=0,N($H1268)=0),"※收入和支出都没填",IF($E1268="","※没填收支类别，分类报表会漏掉这一笔",IF(ISNA(MATCH($E1268,类别表,0)),"※收支类别不在【参数设置】的清单里",IF($J1268="","△"&amp;$D1268&amp;" 还没填汇率，去【月度汇率】补上就自动算了",IF(YEAR($A1268)&lt;&gt;管理年度,"△不是管理年度的单据，年报里看不到",IF(AND($F1268="内部转账",$Q1268=""),"△内部转账建议在「往来单位」写上对方账户",IF($M1268&lt;0,"△这一笔之后该账户余额成负数了，核一下","")))))))))))</f>
        <v/>
      </c>
    </row>
    <row r="1269" ht="16.5" spans="1:19">
      <c r="A1269" s="45"/>
      <c r="B1269" s="46"/>
      <c r="C1269" s="12" t="str">
        <f>IF($B1269="","",IFERROR(INDEX(账户银行,MATCH($B1269,账户名,0)),""))</f>
        <v/>
      </c>
      <c r="D1269" s="12" t="str">
        <f>IF($B1269="","",IFERROR(INDEX(账户币种,MATCH($B1269,账户名,0)),""))</f>
        <v/>
      </c>
      <c r="E1269" s="47"/>
      <c r="F1269" s="12" t="str">
        <f>IF($E1269="","",IFERROR(INDEX(类别属性,MATCH($E1269,类别表,0)),""))</f>
        <v/>
      </c>
      <c r="G1269" s="48"/>
      <c r="H1269" s="48"/>
      <c r="I1269" s="49"/>
      <c r="J1269" s="24" t="str">
        <f>IF(OR($A1269="",$B1269=""),"",IF($I1269&lt;&gt;"",$I1269,IF($D1269=本位币,1,IFERROR(LOOKUP(2,1/((汇率月份&lt;=$A1269)*(INDEX(记账汇率区,0,MATCH($D1269,汇率币种头,0))&lt;&gt;"")),INDEX(记账汇率区,0,MATCH($D1269,汇率币种头,0))),""))))</f>
        <v/>
      </c>
      <c r="K1269" s="23" t="str">
        <f t="shared" si="38"/>
        <v/>
      </c>
      <c r="L1269" s="23" t="str">
        <f t="shared" si="39"/>
        <v/>
      </c>
      <c r="M1269" s="23" t="str">
        <f>IF($B1269="","",ROUND(SUMIF(账户名,$B1269,账户期初)+SUMIFS($K$6:K1269,$B$6:B1269,$B1269),2))</f>
        <v/>
      </c>
      <c r="N1269" s="23" t="str">
        <f>IF($B1269="","",IFERROR(ROUND(INDEX(账户期初本位,MATCH($B1269,账户名,0))+SUMIFS($L$6:L1269,$B$6:B1269,$B1269),2),""))</f>
        <v/>
      </c>
      <c r="O1269" s="46"/>
      <c r="P1269" s="47"/>
      <c r="Q1269" s="46"/>
      <c r="R1269" s="46"/>
      <c r="S1269" s="6" t="str">
        <f>IF($B1269="","",IF(ISNA(MATCH($B1269,账户名,0)),"※这个账户不在【参数设置】的账户档案里",IF($A1269="","※没填日期，这一笔不会进任何月份的报表",IF(AND($G1269&lt;&gt;"",$H1269&lt;&gt;""),"※收入和支出不能同时填",IF(AND(N($G1269)=0,N($H1269)=0),"※收入和支出都没填",IF($E1269="","※没填收支类别，分类报表会漏掉这一笔",IF(ISNA(MATCH($E1269,类别表,0)),"※收支类别不在【参数设置】的清单里",IF($J1269="","△"&amp;$D1269&amp;" 还没填汇率，去【月度汇率】补上就自动算了",IF(YEAR($A1269)&lt;&gt;管理年度,"△不是管理年度的单据，年报里看不到",IF(AND($F1269="内部转账",$Q1269=""),"△内部转账建议在「往来单位」写上对方账户",IF($M1269&lt;0,"△这一笔之后该账户余额成负数了，核一下","")))))))))))</f>
        <v/>
      </c>
    </row>
    <row r="1270" ht="16.5" spans="1:19">
      <c r="A1270" s="45"/>
      <c r="B1270" s="46"/>
      <c r="C1270" s="12" t="str">
        <f>IF($B1270="","",IFERROR(INDEX(账户银行,MATCH($B1270,账户名,0)),""))</f>
        <v/>
      </c>
      <c r="D1270" s="12" t="str">
        <f>IF($B1270="","",IFERROR(INDEX(账户币种,MATCH($B1270,账户名,0)),""))</f>
        <v/>
      </c>
      <c r="E1270" s="47"/>
      <c r="F1270" s="12" t="str">
        <f>IF($E1270="","",IFERROR(INDEX(类别属性,MATCH($E1270,类别表,0)),""))</f>
        <v/>
      </c>
      <c r="G1270" s="48"/>
      <c r="H1270" s="48"/>
      <c r="I1270" s="49"/>
      <c r="J1270" s="24" t="str">
        <f>IF(OR($A1270="",$B1270=""),"",IF($I1270&lt;&gt;"",$I1270,IF($D1270=本位币,1,IFERROR(LOOKUP(2,1/((汇率月份&lt;=$A1270)*(INDEX(记账汇率区,0,MATCH($D1270,汇率币种头,0))&lt;&gt;"")),INDEX(记账汇率区,0,MATCH($D1270,汇率币种头,0))),""))))</f>
        <v/>
      </c>
      <c r="K1270" s="23" t="str">
        <f t="shared" si="38"/>
        <v/>
      </c>
      <c r="L1270" s="23" t="str">
        <f t="shared" si="39"/>
        <v/>
      </c>
      <c r="M1270" s="23" t="str">
        <f>IF($B1270="","",ROUND(SUMIF(账户名,$B1270,账户期初)+SUMIFS($K$6:K1270,$B$6:B1270,$B1270),2))</f>
        <v/>
      </c>
      <c r="N1270" s="23" t="str">
        <f>IF($B1270="","",IFERROR(ROUND(INDEX(账户期初本位,MATCH($B1270,账户名,0))+SUMIFS($L$6:L1270,$B$6:B1270,$B1270),2),""))</f>
        <v/>
      </c>
      <c r="O1270" s="46"/>
      <c r="P1270" s="47"/>
      <c r="Q1270" s="46"/>
      <c r="R1270" s="46"/>
      <c r="S1270" s="6" t="str">
        <f>IF($B1270="","",IF(ISNA(MATCH($B1270,账户名,0)),"※这个账户不在【参数设置】的账户档案里",IF($A1270="","※没填日期，这一笔不会进任何月份的报表",IF(AND($G1270&lt;&gt;"",$H1270&lt;&gt;""),"※收入和支出不能同时填",IF(AND(N($G1270)=0,N($H1270)=0),"※收入和支出都没填",IF($E1270="","※没填收支类别，分类报表会漏掉这一笔",IF(ISNA(MATCH($E1270,类别表,0)),"※收支类别不在【参数设置】的清单里",IF($J1270="","△"&amp;$D1270&amp;" 还没填汇率，去【月度汇率】补上就自动算了",IF(YEAR($A1270)&lt;&gt;管理年度,"△不是管理年度的单据，年报里看不到",IF(AND($F1270="内部转账",$Q1270=""),"△内部转账建议在「往来单位」写上对方账户",IF($M1270&lt;0,"△这一笔之后该账户余额成负数了，核一下","")))))))))))</f>
        <v/>
      </c>
    </row>
    <row r="1271" ht="16.5" spans="1:19">
      <c r="A1271" s="45"/>
      <c r="B1271" s="46"/>
      <c r="C1271" s="12" t="str">
        <f>IF($B1271="","",IFERROR(INDEX(账户银行,MATCH($B1271,账户名,0)),""))</f>
        <v/>
      </c>
      <c r="D1271" s="12" t="str">
        <f>IF($B1271="","",IFERROR(INDEX(账户币种,MATCH($B1271,账户名,0)),""))</f>
        <v/>
      </c>
      <c r="E1271" s="47"/>
      <c r="F1271" s="12" t="str">
        <f>IF($E1271="","",IFERROR(INDEX(类别属性,MATCH($E1271,类别表,0)),""))</f>
        <v/>
      </c>
      <c r="G1271" s="48"/>
      <c r="H1271" s="48"/>
      <c r="I1271" s="49"/>
      <c r="J1271" s="24" t="str">
        <f>IF(OR($A1271="",$B1271=""),"",IF($I1271&lt;&gt;"",$I1271,IF($D1271=本位币,1,IFERROR(LOOKUP(2,1/((汇率月份&lt;=$A1271)*(INDEX(记账汇率区,0,MATCH($D1271,汇率币种头,0))&lt;&gt;"")),INDEX(记账汇率区,0,MATCH($D1271,汇率币种头,0))),""))))</f>
        <v/>
      </c>
      <c r="K1271" s="23" t="str">
        <f t="shared" si="38"/>
        <v/>
      </c>
      <c r="L1271" s="23" t="str">
        <f t="shared" si="39"/>
        <v/>
      </c>
      <c r="M1271" s="23" t="str">
        <f>IF($B1271="","",ROUND(SUMIF(账户名,$B1271,账户期初)+SUMIFS($K$6:K1271,$B$6:B1271,$B1271),2))</f>
        <v/>
      </c>
      <c r="N1271" s="23" t="str">
        <f>IF($B1271="","",IFERROR(ROUND(INDEX(账户期初本位,MATCH($B1271,账户名,0))+SUMIFS($L$6:L1271,$B$6:B1271,$B1271),2),""))</f>
        <v/>
      </c>
      <c r="O1271" s="46"/>
      <c r="P1271" s="47"/>
      <c r="Q1271" s="46"/>
      <c r="R1271" s="46"/>
      <c r="S1271" s="6" t="str">
        <f>IF($B1271="","",IF(ISNA(MATCH($B1271,账户名,0)),"※这个账户不在【参数设置】的账户档案里",IF($A1271="","※没填日期，这一笔不会进任何月份的报表",IF(AND($G1271&lt;&gt;"",$H1271&lt;&gt;""),"※收入和支出不能同时填",IF(AND(N($G1271)=0,N($H1271)=0),"※收入和支出都没填",IF($E1271="","※没填收支类别，分类报表会漏掉这一笔",IF(ISNA(MATCH($E1271,类别表,0)),"※收支类别不在【参数设置】的清单里",IF($J1271="","△"&amp;$D1271&amp;" 还没填汇率，去【月度汇率】补上就自动算了",IF(YEAR($A1271)&lt;&gt;管理年度,"△不是管理年度的单据，年报里看不到",IF(AND($F1271="内部转账",$Q1271=""),"△内部转账建议在「往来单位」写上对方账户",IF($M1271&lt;0,"△这一笔之后该账户余额成负数了，核一下","")))))))))))</f>
        <v/>
      </c>
    </row>
    <row r="1272" ht="16.5" spans="1:19">
      <c r="A1272" s="45"/>
      <c r="B1272" s="46"/>
      <c r="C1272" s="12" t="str">
        <f>IF($B1272="","",IFERROR(INDEX(账户银行,MATCH($B1272,账户名,0)),""))</f>
        <v/>
      </c>
      <c r="D1272" s="12" t="str">
        <f>IF($B1272="","",IFERROR(INDEX(账户币种,MATCH($B1272,账户名,0)),""))</f>
        <v/>
      </c>
      <c r="E1272" s="47"/>
      <c r="F1272" s="12" t="str">
        <f>IF($E1272="","",IFERROR(INDEX(类别属性,MATCH($E1272,类别表,0)),""))</f>
        <v/>
      </c>
      <c r="G1272" s="48"/>
      <c r="H1272" s="48"/>
      <c r="I1272" s="49"/>
      <c r="J1272" s="24" t="str">
        <f>IF(OR($A1272="",$B1272=""),"",IF($I1272&lt;&gt;"",$I1272,IF($D1272=本位币,1,IFERROR(LOOKUP(2,1/((汇率月份&lt;=$A1272)*(INDEX(记账汇率区,0,MATCH($D1272,汇率币种头,0))&lt;&gt;"")),INDEX(记账汇率区,0,MATCH($D1272,汇率币种头,0))),""))))</f>
        <v/>
      </c>
      <c r="K1272" s="23" t="str">
        <f t="shared" si="38"/>
        <v/>
      </c>
      <c r="L1272" s="23" t="str">
        <f t="shared" si="39"/>
        <v/>
      </c>
      <c r="M1272" s="23" t="str">
        <f>IF($B1272="","",ROUND(SUMIF(账户名,$B1272,账户期初)+SUMIFS($K$6:K1272,$B$6:B1272,$B1272),2))</f>
        <v/>
      </c>
      <c r="N1272" s="23" t="str">
        <f>IF($B1272="","",IFERROR(ROUND(INDEX(账户期初本位,MATCH($B1272,账户名,0))+SUMIFS($L$6:L1272,$B$6:B1272,$B1272),2),""))</f>
        <v/>
      </c>
      <c r="O1272" s="46"/>
      <c r="P1272" s="47"/>
      <c r="Q1272" s="46"/>
      <c r="R1272" s="46"/>
      <c r="S1272" s="6" t="str">
        <f>IF($B1272="","",IF(ISNA(MATCH($B1272,账户名,0)),"※这个账户不在【参数设置】的账户档案里",IF($A1272="","※没填日期，这一笔不会进任何月份的报表",IF(AND($G1272&lt;&gt;"",$H1272&lt;&gt;""),"※收入和支出不能同时填",IF(AND(N($G1272)=0,N($H1272)=0),"※收入和支出都没填",IF($E1272="","※没填收支类别，分类报表会漏掉这一笔",IF(ISNA(MATCH($E1272,类别表,0)),"※收支类别不在【参数设置】的清单里",IF($J1272="","△"&amp;$D1272&amp;" 还没填汇率，去【月度汇率】补上就自动算了",IF(YEAR($A1272)&lt;&gt;管理年度,"△不是管理年度的单据，年报里看不到",IF(AND($F1272="内部转账",$Q1272=""),"△内部转账建议在「往来单位」写上对方账户",IF($M1272&lt;0,"△这一笔之后该账户余额成负数了，核一下","")))))))))))</f>
        <v/>
      </c>
    </row>
    <row r="1273" ht="16.5" spans="1:19">
      <c r="A1273" s="45"/>
      <c r="B1273" s="46"/>
      <c r="C1273" s="12" t="str">
        <f>IF($B1273="","",IFERROR(INDEX(账户银行,MATCH($B1273,账户名,0)),""))</f>
        <v/>
      </c>
      <c r="D1273" s="12" t="str">
        <f>IF($B1273="","",IFERROR(INDEX(账户币种,MATCH($B1273,账户名,0)),""))</f>
        <v/>
      </c>
      <c r="E1273" s="47"/>
      <c r="F1273" s="12" t="str">
        <f>IF($E1273="","",IFERROR(INDEX(类别属性,MATCH($E1273,类别表,0)),""))</f>
        <v/>
      </c>
      <c r="G1273" s="48"/>
      <c r="H1273" s="48"/>
      <c r="I1273" s="49"/>
      <c r="J1273" s="24" t="str">
        <f>IF(OR($A1273="",$B1273=""),"",IF($I1273&lt;&gt;"",$I1273,IF($D1273=本位币,1,IFERROR(LOOKUP(2,1/((汇率月份&lt;=$A1273)*(INDEX(记账汇率区,0,MATCH($D1273,汇率币种头,0))&lt;&gt;"")),INDEX(记账汇率区,0,MATCH($D1273,汇率币种头,0))),""))))</f>
        <v/>
      </c>
      <c r="K1273" s="23" t="str">
        <f t="shared" si="38"/>
        <v/>
      </c>
      <c r="L1273" s="23" t="str">
        <f t="shared" si="39"/>
        <v/>
      </c>
      <c r="M1273" s="23" t="str">
        <f>IF($B1273="","",ROUND(SUMIF(账户名,$B1273,账户期初)+SUMIFS($K$6:K1273,$B$6:B1273,$B1273),2))</f>
        <v/>
      </c>
      <c r="N1273" s="23" t="str">
        <f>IF($B1273="","",IFERROR(ROUND(INDEX(账户期初本位,MATCH($B1273,账户名,0))+SUMIFS($L$6:L1273,$B$6:B1273,$B1273),2),""))</f>
        <v/>
      </c>
      <c r="O1273" s="46"/>
      <c r="P1273" s="47"/>
      <c r="Q1273" s="46"/>
      <c r="R1273" s="46"/>
      <c r="S1273" s="6" t="str">
        <f>IF($B1273="","",IF(ISNA(MATCH($B1273,账户名,0)),"※这个账户不在【参数设置】的账户档案里",IF($A1273="","※没填日期，这一笔不会进任何月份的报表",IF(AND($G1273&lt;&gt;"",$H1273&lt;&gt;""),"※收入和支出不能同时填",IF(AND(N($G1273)=0,N($H1273)=0),"※收入和支出都没填",IF($E1273="","※没填收支类别，分类报表会漏掉这一笔",IF(ISNA(MATCH($E1273,类别表,0)),"※收支类别不在【参数设置】的清单里",IF($J1273="","△"&amp;$D1273&amp;" 还没填汇率，去【月度汇率】补上就自动算了",IF(YEAR($A1273)&lt;&gt;管理年度,"△不是管理年度的单据，年报里看不到",IF(AND($F1273="内部转账",$Q1273=""),"△内部转账建议在「往来单位」写上对方账户",IF($M1273&lt;0,"△这一笔之后该账户余额成负数了，核一下","")))))))))))</f>
        <v/>
      </c>
    </row>
    <row r="1274" ht="16.5" spans="1:19">
      <c r="A1274" s="45"/>
      <c r="B1274" s="46"/>
      <c r="C1274" s="12" t="str">
        <f>IF($B1274="","",IFERROR(INDEX(账户银行,MATCH($B1274,账户名,0)),""))</f>
        <v/>
      </c>
      <c r="D1274" s="12" t="str">
        <f>IF($B1274="","",IFERROR(INDEX(账户币种,MATCH($B1274,账户名,0)),""))</f>
        <v/>
      </c>
      <c r="E1274" s="47"/>
      <c r="F1274" s="12" t="str">
        <f>IF($E1274="","",IFERROR(INDEX(类别属性,MATCH($E1274,类别表,0)),""))</f>
        <v/>
      </c>
      <c r="G1274" s="48"/>
      <c r="H1274" s="48"/>
      <c r="I1274" s="49"/>
      <c r="J1274" s="24" t="str">
        <f>IF(OR($A1274="",$B1274=""),"",IF($I1274&lt;&gt;"",$I1274,IF($D1274=本位币,1,IFERROR(LOOKUP(2,1/((汇率月份&lt;=$A1274)*(INDEX(记账汇率区,0,MATCH($D1274,汇率币种头,0))&lt;&gt;"")),INDEX(记账汇率区,0,MATCH($D1274,汇率币种头,0))),""))))</f>
        <v/>
      </c>
      <c r="K1274" s="23" t="str">
        <f t="shared" si="38"/>
        <v/>
      </c>
      <c r="L1274" s="23" t="str">
        <f t="shared" si="39"/>
        <v/>
      </c>
      <c r="M1274" s="23" t="str">
        <f>IF($B1274="","",ROUND(SUMIF(账户名,$B1274,账户期初)+SUMIFS($K$6:K1274,$B$6:B1274,$B1274),2))</f>
        <v/>
      </c>
      <c r="N1274" s="23" t="str">
        <f>IF($B1274="","",IFERROR(ROUND(INDEX(账户期初本位,MATCH($B1274,账户名,0))+SUMIFS($L$6:L1274,$B$6:B1274,$B1274),2),""))</f>
        <v/>
      </c>
      <c r="O1274" s="46"/>
      <c r="P1274" s="47"/>
      <c r="Q1274" s="46"/>
      <c r="R1274" s="46"/>
      <c r="S1274" s="6" t="str">
        <f>IF($B1274="","",IF(ISNA(MATCH($B1274,账户名,0)),"※这个账户不在【参数设置】的账户档案里",IF($A1274="","※没填日期，这一笔不会进任何月份的报表",IF(AND($G1274&lt;&gt;"",$H1274&lt;&gt;""),"※收入和支出不能同时填",IF(AND(N($G1274)=0,N($H1274)=0),"※收入和支出都没填",IF($E1274="","※没填收支类别，分类报表会漏掉这一笔",IF(ISNA(MATCH($E1274,类别表,0)),"※收支类别不在【参数设置】的清单里",IF($J1274="","△"&amp;$D1274&amp;" 还没填汇率，去【月度汇率】补上就自动算了",IF(YEAR($A1274)&lt;&gt;管理年度,"△不是管理年度的单据，年报里看不到",IF(AND($F1274="内部转账",$Q1274=""),"△内部转账建议在「往来单位」写上对方账户",IF($M1274&lt;0,"△这一笔之后该账户余额成负数了，核一下","")))))))))))</f>
        <v/>
      </c>
    </row>
    <row r="1275" ht="16.5" spans="1:19">
      <c r="A1275" s="45"/>
      <c r="B1275" s="46"/>
      <c r="C1275" s="12" t="str">
        <f>IF($B1275="","",IFERROR(INDEX(账户银行,MATCH($B1275,账户名,0)),""))</f>
        <v/>
      </c>
      <c r="D1275" s="12" t="str">
        <f>IF($B1275="","",IFERROR(INDEX(账户币种,MATCH($B1275,账户名,0)),""))</f>
        <v/>
      </c>
      <c r="E1275" s="47"/>
      <c r="F1275" s="12" t="str">
        <f>IF($E1275="","",IFERROR(INDEX(类别属性,MATCH($E1275,类别表,0)),""))</f>
        <v/>
      </c>
      <c r="G1275" s="48"/>
      <c r="H1275" s="48"/>
      <c r="I1275" s="49"/>
      <c r="J1275" s="24" t="str">
        <f>IF(OR($A1275="",$B1275=""),"",IF($I1275&lt;&gt;"",$I1275,IF($D1275=本位币,1,IFERROR(LOOKUP(2,1/((汇率月份&lt;=$A1275)*(INDEX(记账汇率区,0,MATCH($D1275,汇率币种头,0))&lt;&gt;"")),INDEX(记账汇率区,0,MATCH($D1275,汇率币种头,0))),""))))</f>
        <v/>
      </c>
      <c r="K1275" s="23" t="str">
        <f t="shared" si="38"/>
        <v/>
      </c>
      <c r="L1275" s="23" t="str">
        <f t="shared" si="39"/>
        <v/>
      </c>
      <c r="M1275" s="23" t="str">
        <f>IF($B1275="","",ROUND(SUMIF(账户名,$B1275,账户期初)+SUMIFS($K$6:K1275,$B$6:B1275,$B1275),2))</f>
        <v/>
      </c>
      <c r="N1275" s="23" t="str">
        <f>IF($B1275="","",IFERROR(ROUND(INDEX(账户期初本位,MATCH($B1275,账户名,0))+SUMIFS($L$6:L1275,$B$6:B1275,$B1275),2),""))</f>
        <v/>
      </c>
      <c r="O1275" s="46"/>
      <c r="P1275" s="47"/>
      <c r="Q1275" s="46"/>
      <c r="R1275" s="46"/>
      <c r="S1275" s="6" t="str">
        <f>IF($B1275="","",IF(ISNA(MATCH($B1275,账户名,0)),"※这个账户不在【参数设置】的账户档案里",IF($A1275="","※没填日期，这一笔不会进任何月份的报表",IF(AND($G1275&lt;&gt;"",$H1275&lt;&gt;""),"※收入和支出不能同时填",IF(AND(N($G1275)=0,N($H1275)=0),"※收入和支出都没填",IF($E1275="","※没填收支类别，分类报表会漏掉这一笔",IF(ISNA(MATCH($E1275,类别表,0)),"※收支类别不在【参数设置】的清单里",IF($J1275="","△"&amp;$D1275&amp;" 还没填汇率，去【月度汇率】补上就自动算了",IF(YEAR($A1275)&lt;&gt;管理年度,"△不是管理年度的单据，年报里看不到",IF(AND($F1275="内部转账",$Q1275=""),"△内部转账建议在「往来单位」写上对方账户",IF($M1275&lt;0,"△这一笔之后该账户余额成负数了，核一下","")))))))))))</f>
        <v/>
      </c>
    </row>
    <row r="1276" ht="16.5" spans="1:19">
      <c r="A1276" s="45"/>
      <c r="B1276" s="46"/>
      <c r="C1276" s="12" t="str">
        <f>IF($B1276="","",IFERROR(INDEX(账户银行,MATCH($B1276,账户名,0)),""))</f>
        <v/>
      </c>
      <c r="D1276" s="12" t="str">
        <f>IF($B1276="","",IFERROR(INDEX(账户币种,MATCH($B1276,账户名,0)),""))</f>
        <v/>
      </c>
      <c r="E1276" s="47"/>
      <c r="F1276" s="12" t="str">
        <f>IF($E1276="","",IFERROR(INDEX(类别属性,MATCH($E1276,类别表,0)),""))</f>
        <v/>
      </c>
      <c r="G1276" s="48"/>
      <c r="H1276" s="48"/>
      <c r="I1276" s="49"/>
      <c r="J1276" s="24" t="str">
        <f>IF(OR($A1276="",$B1276=""),"",IF($I1276&lt;&gt;"",$I1276,IF($D1276=本位币,1,IFERROR(LOOKUP(2,1/((汇率月份&lt;=$A1276)*(INDEX(记账汇率区,0,MATCH($D1276,汇率币种头,0))&lt;&gt;"")),INDEX(记账汇率区,0,MATCH($D1276,汇率币种头,0))),""))))</f>
        <v/>
      </c>
      <c r="K1276" s="23" t="str">
        <f t="shared" si="38"/>
        <v/>
      </c>
      <c r="L1276" s="23" t="str">
        <f t="shared" si="39"/>
        <v/>
      </c>
      <c r="M1276" s="23" t="str">
        <f>IF($B1276="","",ROUND(SUMIF(账户名,$B1276,账户期初)+SUMIFS($K$6:K1276,$B$6:B1276,$B1276),2))</f>
        <v/>
      </c>
      <c r="N1276" s="23" t="str">
        <f>IF($B1276="","",IFERROR(ROUND(INDEX(账户期初本位,MATCH($B1276,账户名,0))+SUMIFS($L$6:L1276,$B$6:B1276,$B1276),2),""))</f>
        <v/>
      </c>
      <c r="O1276" s="46"/>
      <c r="P1276" s="47"/>
      <c r="Q1276" s="46"/>
      <c r="R1276" s="46"/>
      <c r="S1276" s="6" t="str">
        <f>IF($B1276="","",IF(ISNA(MATCH($B1276,账户名,0)),"※这个账户不在【参数设置】的账户档案里",IF($A1276="","※没填日期，这一笔不会进任何月份的报表",IF(AND($G1276&lt;&gt;"",$H1276&lt;&gt;""),"※收入和支出不能同时填",IF(AND(N($G1276)=0,N($H1276)=0),"※收入和支出都没填",IF($E1276="","※没填收支类别，分类报表会漏掉这一笔",IF(ISNA(MATCH($E1276,类别表,0)),"※收支类别不在【参数设置】的清单里",IF($J1276="","△"&amp;$D1276&amp;" 还没填汇率，去【月度汇率】补上就自动算了",IF(YEAR($A1276)&lt;&gt;管理年度,"△不是管理年度的单据，年报里看不到",IF(AND($F1276="内部转账",$Q1276=""),"△内部转账建议在「往来单位」写上对方账户",IF($M1276&lt;0,"△这一笔之后该账户余额成负数了，核一下","")))))))))))</f>
        <v/>
      </c>
    </row>
    <row r="1277" ht="16.5" spans="1:19">
      <c r="A1277" s="45"/>
      <c r="B1277" s="46"/>
      <c r="C1277" s="12" t="str">
        <f>IF($B1277="","",IFERROR(INDEX(账户银行,MATCH($B1277,账户名,0)),""))</f>
        <v/>
      </c>
      <c r="D1277" s="12" t="str">
        <f>IF($B1277="","",IFERROR(INDEX(账户币种,MATCH($B1277,账户名,0)),""))</f>
        <v/>
      </c>
      <c r="E1277" s="47"/>
      <c r="F1277" s="12" t="str">
        <f>IF($E1277="","",IFERROR(INDEX(类别属性,MATCH($E1277,类别表,0)),""))</f>
        <v/>
      </c>
      <c r="G1277" s="48"/>
      <c r="H1277" s="48"/>
      <c r="I1277" s="49"/>
      <c r="J1277" s="24" t="str">
        <f>IF(OR($A1277="",$B1277=""),"",IF($I1277&lt;&gt;"",$I1277,IF($D1277=本位币,1,IFERROR(LOOKUP(2,1/((汇率月份&lt;=$A1277)*(INDEX(记账汇率区,0,MATCH($D1277,汇率币种头,0))&lt;&gt;"")),INDEX(记账汇率区,0,MATCH($D1277,汇率币种头,0))),""))))</f>
        <v/>
      </c>
      <c r="K1277" s="23" t="str">
        <f t="shared" si="38"/>
        <v/>
      </c>
      <c r="L1277" s="23" t="str">
        <f t="shared" si="39"/>
        <v/>
      </c>
      <c r="M1277" s="23" t="str">
        <f>IF($B1277="","",ROUND(SUMIF(账户名,$B1277,账户期初)+SUMIFS($K$6:K1277,$B$6:B1277,$B1277),2))</f>
        <v/>
      </c>
      <c r="N1277" s="23" t="str">
        <f>IF($B1277="","",IFERROR(ROUND(INDEX(账户期初本位,MATCH($B1277,账户名,0))+SUMIFS($L$6:L1277,$B$6:B1277,$B1277),2),""))</f>
        <v/>
      </c>
      <c r="O1277" s="46"/>
      <c r="P1277" s="47"/>
      <c r="Q1277" s="46"/>
      <c r="R1277" s="46"/>
      <c r="S1277" s="6" t="str">
        <f>IF($B1277="","",IF(ISNA(MATCH($B1277,账户名,0)),"※这个账户不在【参数设置】的账户档案里",IF($A1277="","※没填日期，这一笔不会进任何月份的报表",IF(AND($G1277&lt;&gt;"",$H1277&lt;&gt;""),"※收入和支出不能同时填",IF(AND(N($G1277)=0,N($H1277)=0),"※收入和支出都没填",IF($E1277="","※没填收支类别，分类报表会漏掉这一笔",IF(ISNA(MATCH($E1277,类别表,0)),"※收支类别不在【参数设置】的清单里",IF($J1277="","△"&amp;$D1277&amp;" 还没填汇率，去【月度汇率】补上就自动算了",IF(YEAR($A1277)&lt;&gt;管理年度,"△不是管理年度的单据，年报里看不到",IF(AND($F1277="内部转账",$Q1277=""),"△内部转账建议在「往来单位」写上对方账户",IF($M1277&lt;0,"△这一笔之后该账户余额成负数了，核一下","")))))))))))</f>
        <v/>
      </c>
    </row>
    <row r="1278" ht="16.5" spans="1:19">
      <c r="A1278" s="45"/>
      <c r="B1278" s="46"/>
      <c r="C1278" s="12" t="str">
        <f>IF($B1278="","",IFERROR(INDEX(账户银行,MATCH($B1278,账户名,0)),""))</f>
        <v/>
      </c>
      <c r="D1278" s="12" t="str">
        <f>IF($B1278="","",IFERROR(INDEX(账户币种,MATCH($B1278,账户名,0)),""))</f>
        <v/>
      </c>
      <c r="E1278" s="47"/>
      <c r="F1278" s="12" t="str">
        <f>IF($E1278="","",IFERROR(INDEX(类别属性,MATCH($E1278,类别表,0)),""))</f>
        <v/>
      </c>
      <c r="G1278" s="48"/>
      <c r="H1278" s="48"/>
      <c r="I1278" s="49"/>
      <c r="J1278" s="24" t="str">
        <f>IF(OR($A1278="",$B1278=""),"",IF($I1278&lt;&gt;"",$I1278,IF($D1278=本位币,1,IFERROR(LOOKUP(2,1/((汇率月份&lt;=$A1278)*(INDEX(记账汇率区,0,MATCH($D1278,汇率币种头,0))&lt;&gt;"")),INDEX(记账汇率区,0,MATCH($D1278,汇率币种头,0))),""))))</f>
        <v/>
      </c>
      <c r="K1278" s="23" t="str">
        <f t="shared" si="38"/>
        <v/>
      </c>
      <c r="L1278" s="23" t="str">
        <f t="shared" si="39"/>
        <v/>
      </c>
      <c r="M1278" s="23" t="str">
        <f>IF($B1278="","",ROUND(SUMIF(账户名,$B1278,账户期初)+SUMIFS($K$6:K1278,$B$6:B1278,$B1278),2))</f>
        <v/>
      </c>
      <c r="N1278" s="23" t="str">
        <f>IF($B1278="","",IFERROR(ROUND(INDEX(账户期初本位,MATCH($B1278,账户名,0))+SUMIFS($L$6:L1278,$B$6:B1278,$B1278),2),""))</f>
        <v/>
      </c>
      <c r="O1278" s="46"/>
      <c r="P1278" s="47"/>
      <c r="Q1278" s="46"/>
      <c r="R1278" s="46"/>
      <c r="S1278" s="6" t="str">
        <f>IF($B1278="","",IF(ISNA(MATCH($B1278,账户名,0)),"※这个账户不在【参数设置】的账户档案里",IF($A1278="","※没填日期，这一笔不会进任何月份的报表",IF(AND($G1278&lt;&gt;"",$H1278&lt;&gt;""),"※收入和支出不能同时填",IF(AND(N($G1278)=0,N($H1278)=0),"※收入和支出都没填",IF($E1278="","※没填收支类别，分类报表会漏掉这一笔",IF(ISNA(MATCH($E1278,类别表,0)),"※收支类别不在【参数设置】的清单里",IF($J1278="","△"&amp;$D1278&amp;" 还没填汇率，去【月度汇率】补上就自动算了",IF(YEAR($A1278)&lt;&gt;管理年度,"△不是管理年度的单据，年报里看不到",IF(AND($F1278="内部转账",$Q1278=""),"△内部转账建议在「往来单位」写上对方账户",IF($M1278&lt;0,"△这一笔之后该账户余额成负数了，核一下","")))))))))))</f>
        <v/>
      </c>
    </row>
    <row r="1279" ht="16.5" spans="1:19">
      <c r="A1279" s="45"/>
      <c r="B1279" s="46"/>
      <c r="C1279" s="12" t="str">
        <f>IF($B1279="","",IFERROR(INDEX(账户银行,MATCH($B1279,账户名,0)),""))</f>
        <v/>
      </c>
      <c r="D1279" s="12" t="str">
        <f>IF($B1279="","",IFERROR(INDEX(账户币种,MATCH($B1279,账户名,0)),""))</f>
        <v/>
      </c>
      <c r="E1279" s="47"/>
      <c r="F1279" s="12" t="str">
        <f>IF($E1279="","",IFERROR(INDEX(类别属性,MATCH($E1279,类别表,0)),""))</f>
        <v/>
      </c>
      <c r="G1279" s="48"/>
      <c r="H1279" s="48"/>
      <c r="I1279" s="49"/>
      <c r="J1279" s="24" t="str">
        <f>IF(OR($A1279="",$B1279=""),"",IF($I1279&lt;&gt;"",$I1279,IF($D1279=本位币,1,IFERROR(LOOKUP(2,1/((汇率月份&lt;=$A1279)*(INDEX(记账汇率区,0,MATCH($D1279,汇率币种头,0))&lt;&gt;"")),INDEX(记账汇率区,0,MATCH($D1279,汇率币种头,0))),""))))</f>
        <v/>
      </c>
      <c r="K1279" s="23" t="str">
        <f t="shared" si="38"/>
        <v/>
      </c>
      <c r="L1279" s="23" t="str">
        <f t="shared" si="39"/>
        <v/>
      </c>
      <c r="M1279" s="23" t="str">
        <f>IF($B1279="","",ROUND(SUMIF(账户名,$B1279,账户期初)+SUMIFS($K$6:K1279,$B$6:B1279,$B1279),2))</f>
        <v/>
      </c>
      <c r="N1279" s="23" t="str">
        <f>IF($B1279="","",IFERROR(ROUND(INDEX(账户期初本位,MATCH($B1279,账户名,0))+SUMIFS($L$6:L1279,$B$6:B1279,$B1279),2),""))</f>
        <v/>
      </c>
      <c r="O1279" s="46"/>
      <c r="P1279" s="47"/>
      <c r="Q1279" s="46"/>
      <c r="R1279" s="46"/>
      <c r="S1279" s="6" t="str">
        <f>IF($B1279="","",IF(ISNA(MATCH($B1279,账户名,0)),"※这个账户不在【参数设置】的账户档案里",IF($A1279="","※没填日期，这一笔不会进任何月份的报表",IF(AND($G1279&lt;&gt;"",$H1279&lt;&gt;""),"※收入和支出不能同时填",IF(AND(N($G1279)=0,N($H1279)=0),"※收入和支出都没填",IF($E1279="","※没填收支类别，分类报表会漏掉这一笔",IF(ISNA(MATCH($E1279,类别表,0)),"※收支类别不在【参数设置】的清单里",IF($J1279="","△"&amp;$D1279&amp;" 还没填汇率，去【月度汇率】补上就自动算了",IF(YEAR($A1279)&lt;&gt;管理年度,"△不是管理年度的单据，年报里看不到",IF(AND($F1279="内部转账",$Q1279=""),"△内部转账建议在「往来单位」写上对方账户",IF($M1279&lt;0,"△这一笔之后该账户余额成负数了，核一下","")))))))))))</f>
        <v/>
      </c>
    </row>
    <row r="1280" ht="16.5" spans="1:19">
      <c r="A1280" s="45"/>
      <c r="B1280" s="46"/>
      <c r="C1280" s="12" t="str">
        <f>IF($B1280="","",IFERROR(INDEX(账户银行,MATCH($B1280,账户名,0)),""))</f>
        <v/>
      </c>
      <c r="D1280" s="12" t="str">
        <f>IF($B1280="","",IFERROR(INDEX(账户币种,MATCH($B1280,账户名,0)),""))</f>
        <v/>
      </c>
      <c r="E1280" s="47"/>
      <c r="F1280" s="12" t="str">
        <f>IF($E1280="","",IFERROR(INDEX(类别属性,MATCH($E1280,类别表,0)),""))</f>
        <v/>
      </c>
      <c r="G1280" s="48"/>
      <c r="H1280" s="48"/>
      <c r="I1280" s="49"/>
      <c r="J1280" s="24" t="str">
        <f>IF(OR($A1280="",$B1280=""),"",IF($I1280&lt;&gt;"",$I1280,IF($D1280=本位币,1,IFERROR(LOOKUP(2,1/((汇率月份&lt;=$A1280)*(INDEX(记账汇率区,0,MATCH($D1280,汇率币种头,0))&lt;&gt;"")),INDEX(记账汇率区,0,MATCH($D1280,汇率币种头,0))),""))))</f>
        <v/>
      </c>
      <c r="K1280" s="23" t="str">
        <f t="shared" si="38"/>
        <v/>
      </c>
      <c r="L1280" s="23" t="str">
        <f t="shared" si="39"/>
        <v/>
      </c>
      <c r="M1280" s="23" t="str">
        <f>IF($B1280="","",ROUND(SUMIF(账户名,$B1280,账户期初)+SUMIFS($K$6:K1280,$B$6:B1280,$B1280),2))</f>
        <v/>
      </c>
      <c r="N1280" s="23" t="str">
        <f>IF($B1280="","",IFERROR(ROUND(INDEX(账户期初本位,MATCH($B1280,账户名,0))+SUMIFS($L$6:L1280,$B$6:B1280,$B1280),2),""))</f>
        <v/>
      </c>
      <c r="O1280" s="46"/>
      <c r="P1280" s="47"/>
      <c r="Q1280" s="46"/>
      <c r="R1280" s="46"/>
      <c r="S1280" s="6" t="str">
        <f>IF($B1280="","",IF(ISNA(MATCH($B1280,账户名,0)),"※这个账户不在【参数设置】的账户档案里",IF($A1280="","※没填日期，这一笔不会进任何月份的报表",IF(AND($G1280&lt;&gt;"",$H1280&lt;&gt;""),"※收入和支出不能同时填",IF(AND(N($G1280)=0,N($H1280)=0),"※收入和支出都没填",IF($E1280="","※没填收支类别，分类报表会漏掉这一笔",IF(ISNA(MATCH($E1280,类别表,0)),"※收支类别不在【参数设置】的清单里",IF($J1280="","△"&amp;$D1280&amp;" 还没填汇率，去【月度汇率】补上就自动算了",IF(YEAR($A1280)&lt;&gt;管理年度,"△不是管理年度的单据，年报里看不到",IF(AND($F1280="内部转账",$Q1280=""),"△内部转账建议在「往来单位」写上对方账户",IF($M1280&lt;0,"△这一笔之后该账户余额成负数了，核一下","")))))))))))</f>
        <v/>
      </c>
    </row>
    <row r="1281" ht="16.5" spans="1:19">
      <c r="A1281" s="45"/>
      <c r="B1281" s="46"/>
      <c r="C1281" s="12" t="str">
        <f>IF($B1281="","",IFERROR(INDEX(账户银行,MATCH($B1281,账户名,0)),""))</f>
        <v/>
      </c>
      <c r="D1281" s="12" t="str">
        <f>IF($B1281="","",IFERROR(INDEX(账户币种,MATCH($B1281,账户名,0)),""))</f>
        <v/>
      </c>
      <c r="E1281" s="47"/>
      <c r="F1281" s="12" t="str">
        <f>IF($E1281="","",IFERROR(INDEX(类别属性,MATCH($E1281,类别表,0)),""))</f>
        <v/>
      </c>
      <c r="G1281" s="48"/>
      <c r="H1281" s="48"/>
      <c r="I1281" s="49"/>
      <c r="J1281" s="24" t="str">
        <f>IF(OR($A1281="",$B1281=""),"",IF($I1281&lt;&gt;"",$I1281,IF($D1281=本位币,1,IFERROR(LOOKUP(2,1/((汇率月份&lt;=$A1281)*(INDEX(记账汇率区,0,MATCH($D1281,汇率币种头,0))&lt;&gt;"")),INDEX(记账汇率区,0,MATCH($D1281,汇率币种头,0))),""))))</f>
        <v/>
      </c>
      <c r="K1281" s="23" t="str">
        <f t="shared" si="38"/>
        <v/>
      </c>
      <c r="L1281" s="23" t="str">
        <f t="shared" si="39"/>
        <v/>
      </c>
      <c r="M1281" s="23" t="str">
        <f>IF($B1281="","",ROUND(SUMIF(账户名,$B1281,账户期初)+SUMIFS($K$6:K1281,$B$6:B1281,$B1281),2))</f>
        <v/>
      </c>
      <c r="N1281" s="23" t="str">
        <f>IF($B1281="","",IFERROR(ROUND(INDEX(账户期初本位,MATCH($B1281,账户名,0))+SUMIFS($L$6:L1281,$B$6:B1281,$B1281),2),""))</f>
        <v/>
      </c>
      <c r="O1281" s="46"/>
      <c r="P1281" s="47"/>
      <c r="Q1281" s="46"/>
      <c r="R1281" s="46"/>
      <c r="S1281" s="6" t="str">
        <f>IF($B1281="","",IF(ISNA(MATCH($B1281,账户名,0)),"※这个账户不在【参数设置】的账户档案里",IF($A1281="","※没填日期，这一笔不会进任何月份的报表",IF(AND($G1281&lt;&gt;"",$H1281&lt;&gt;""),"※收入和支出不能同时填",IF(AND(N($G1281)=0,N($H1281)=0),"※收入和支出都没填",IF($E1281="","※没填收支类别，分类报表会漏掉这一笔",IF(ISNA(MATCH($E1281,类别表,0)),"※收支类别不在【参数设置】的清单里",IF($J1281="","△"&amp;$D1281&amp;" 还没填汇率，去【月度汇率】补上就自动算了",IF(YEAR($A1281)&lt;&gt;管理年度,"△不是管理年度的单据，年报里看不到",IF(AND($F1281="内部转账",$Q1281=""),"△内部转账建议在「往来单位」写上对方账户",IF($M1281&lt;0,"△这一笔之后该账户余额成负数了，核一下","")))))))))))</f>
        <v/>
      </c>
    </row>
    <row r="1282" ht="16.5" spans="1:19">
      <c r="A1282" s="45"/>
      <c r="B1282" s="46"/>
      <c r="C1282" s="12" t="str">
        <f>IF($B1282="","",IFERROR(INDEX(账户银行,MATCH($B1282,账户名,0)),""))</f>
        <v/>
      </c>
      <c r="D1282" s="12" t="str">
        <f>IF($B1282="","",IFERROR(INDEX(账户币种,MATCH($B1282,账户名,0)),""))</f>
        <v/>
      </c>
      <c r="E1282" s="47"/>
      <c r="F1282" s="12" t="str">
        <f>IF($E1282="","",IFERROR(INDEX(类别属性,MATCH($E1282,类别表,0)),""))</f>
        <v/>
      </c>
      <c r="G1282" s="48"/>
      <c r="H1282" s="48"/>
      <c r="I1282" s="49"/>
      <c r="J1282" s="24" t="str">
        <f>IF(OR($A1282="",$B1282=""),"",IF($I1282&lt;&gt;"",$I1282,IF($D1282=本位币,1,IFERROR(LOOKUP(2,1/((汇率月份&lt;=$A1282)*(INDEX(记账汇率区,0,MATCH($D1282,汇率币种头,0))&lt;&gt;"")),INDEX(记账汇率区,0,MATCH($D1282,汇率币种头,0))),""))))</f>
        <v/>
      </c>
      <c r="K1282" s="23" t="str">
        <f t="shared" si="38"/>
        <v/>
      </c>
      <c r="L1282" s="23" t="str">
        <f t="shared" si="39"/>
        <v/>
      </c>
      <c r="M1282" s="23" t="str">
        <f>IF($B1282="","",ROUND(SUMIF(账户名,$B1282,账户期初)+SUMIFS($K$6:K1282,$B$6:B1282,$B1282),2))</f>
        <v/>
      </c>
      <c r="N1282" s="23" t="str">
        <f>IF($B1282="","",IFERROR(ROUND(INDEX(账户期初本位,MATCH($B1282,账户名,0))+SUMIFS($L$6:L1282,$B$6:B1282,$B1282),2),""))</f>
        <v/>
      </c>
      <c r="O1282" s="46"/>
      <c r="P1282" s="47"/>
      <c r="Q1282" s="46"/>
      <c r="R1282" s="46"/>
      <c r="S1282" s="6" t="str">
        <f>IF($B1282="","",IF(ISNA(MATCH($B1282,账户名,0)),"※这个账户不在【参数设置】的账户档案里",IF($A1282="","※没填日期，这一笔不会进任何月份的报表",IF(AND($G1282&lt;&gt;"",$H1282&lt;&gt;""),"※收入和支出不能同时填",IF(AND(N($G1282)=0,N($H1282)=0),"※收入和支出都没填",IF($E1282="","※没填收支类别，分类报表会漏掉这一笔",IF(ISNA(MATCH($E1282,类别表,0)),"※收支类别不在【参数设置】的清单里",IF($J1282="","△"&amp;$D1282&amp;" 还没填汇率，去【月度汇率】补上就自动算了",IF(YEAR($A1282)&lt;&gt;管理年度,"△不是管理年度的单据，年报里看不到",IF(AND($F1282="内部转账",$Q1282=""),"△内部转账建议在「往来单位」写上对方账户",IF($M1282&lt;0,"△这一笔之后该账户余额成负数了，核一下","")))))))))))</f>
        <v/>
      </c>
    </row>
    <row r="1283" ht="16.5" spans="1:19">
      <c r="A1283" s="45"/>
      <c r="B1283" s="46"/>
      <c r="C1283" s="12" t="str">
        <f>IF($B1283="","",IFERROR(INDEX(账户银行,MATCH($B1283,账户名,0)),""))</f>
        <v/>
      </c>
      <c r="D1283" s="12" t="str">
        <f>IF($B1283="","",IFERROR(INDEX(账户币种,MATCH($B1283,账户名,0)),""))</f>
        <v/>
      </c>
      <c r="E1283" s="47"/>
      <c r="F1283" s="12" t="str">
        <f>IF($E1283="","",IFERROR(INDEX(类别属性,MATCH($E1283,类别表,0)),""))</f>
        <v/>
      </c>
      <c r="G1283" s="48"/>
      <c r="H1283" s="48"/>
      <c r="I1283" s="49"/>
      <c r="J1283" s="24" t="str">
        <f>IF(OR($A1283="",$B1283=""),"",IF($I1283&lt;&gt;"",$I1283,IF($D1283=本位币,1,IFERROR(LOOKUP(2,1/((汇率月份&lt;=$A1283)*(INDEX(记账汇率区,0,MATCH($D1283,汇率币种头,0))&lt;&gt;"")),INDEX(记账汇率区,0,MATCH($D1283,汇率币种头,0))),""))))</f>
        <v/>
      </c>
      <c r="K1283" s="23" t="str">
        <f t="shared" si="38"/>
        <v/>
      </c>
      <c r="L1283" s="23" t="str">
        <f t="shared" si="39"/>
        <v/>
      </c>
      <c r="M1283" s="23" t="str">
        <f>IF($B1283="","",ROUND(SUMIF(账户名,$B1283,账户期初)+SUMIFS($K$6:K1283,$B$6:B1283,$B1283),2))</f>
        <v/>
      </c>
      <c r="N1283" s="23" t="str">
        <f>IF($B1283="","",IFERROR(ROUND(INDEX(账户期初本位,MATCH($B1283,账户名,0))+SUMIFS($L$6:L1283,$B$6:B1283,$B1283),2),""))</f>
        <v/>
      </c>
      <c r="O1283" s="46"/>
      <c r="P1283" s="47"/>
      <c r="Q1283" s="46"/>
      <c r="R1283" s="46"/>
      <c r="S1283" s="6" t="str">
        <f>IF($B1283="","",IF(ISNA(MATCH($B1283,账户名,0)),"※这个账户不在【参数设置】的账户档案里",IF($A1283="","※没填日期，这一笔不会进任何月份的报表",IF(AND($G1283&lt;&gt;"",$H1283&lt;&gt;""),"※收入和支出不能同时填",IF(AND(N($G1283)=0,N($H1283)=0),"※收入和支出都没填",IF($E1283="","※没填收支类别，分类报表会漏掉这一笔",IF(ISNA(MATCH($E1283,类别表,0)),"※收支类别不在【参数设置】的清单里",IF($J1283="","△"&amp;$D1283&amp;" 还没填汇率，去【月度汇率】补上就自动算了",IF(YEAR($A1283)&lt;&gt;管理年度,"△不是管理年度的单据，年报里看不到",IF(AND($F1283="内部转账",$Q1283=""),"△内部转账建议在「往来单位」写上对方账户",IF($M1283&lt;0,"△这一笔之后该账户余额成负数了，核一下","")))))))))))</f>
        <v/>
      </c>
    </row>
    <row r="1284" ht="16.5" spans="1:19">
      <c r="A1284" s="45"/>
      <c r="B1284" s="46"/>
      <c r="C1284" s="12" t="str">
        <f>IF($B1284="","",IFERROR(INDEX(账户银行,MATCH($B1284,账户名,0)),""))</f>
        <v/>
      </c>
      <c r="D1284" s="12" t="str">
        <f>IF($B1284="","",IFERROR(INDEX(账户币种,MATCH($B1284,账户名,0)),""))</f>
        <v/>
      </c>
      <c r="E1284" s="47"/>
      <c r="F1284" s="12" t="str">
        <f>IF($E1284="","",IFERROR(INDEX(类别属性,MATCH($E1284,类别表,0)),""))</f>
        <v/>
      </c>
      <c r="G1284" s="48"/>
      <c r="H1284" s="48"/>
      <c r="I1284" s="49"/>
      <c r="J1284" s="24" t="str">
        <f>IF(OR($A1284="",$B1284=""),"",IF($I1284&lt;&gt;"",$I1284,IF($D1284=本位币,1,IFERROR(LOOKUP(2,1/((汇率月份&lt;=$A1284)*(INDEX(记账汇率区,0,MATCH($D1284,汇率币种头,0))&lt;&gt;"")),INDEX(记账汇率区,0,MATCH($D1284,汇率币种头,0))),""))))</f>
        <v/>
      </c>
      <c r="K1284" s="23" t="str">
        <f t="shared" si="38"/>
        <v/>
      </c>
      <c r="L1284" s="23" t="str">
        <f t="shared" si="39"/>
        <v/>
      </c>
      <c r="M1284" s="23" t="str">
        <f>IF($B1284="","",ROUND(SUMIF(账户名,$B1284,账户期初)+SUMIFS($K$6:K1284,$B$6:B1284,$B1284),2))</f>
        <v/>
      </c>
      <c r="N1284" s="23" t="str">
        <f>IF($B1284="","",IFERROR(ROUND(INDEX(账户期初本位,MATCH($B1284,账户名,0))+SUMIFS($L$6:L1284,$B$6:B1284,$B1284),2),""))</f>
        <v/>
      </c>
      <c r="O1284" s="46"/>
      <c r="P1284" s="47"/>
      <c r="Q1284" s="46"/>
      <c r="R1284" s="46"/>
      <c r="S1284" s="6" t="str">
        <f>IF($B1284="","",IF(ISNA(MATCH($B1284,账户名,0)),"※这个账户不在【参数设置】的账户档案里",IF($A1284="","※没填日期，这一笔不会进任何月份的报表",IF(AND($G1284&lt;&gt;"",$H1284&lt;&gt;""),"※收入和支出不能同时填",IF(AND(N($G1284)=0,N($H1284)=0),"※收入和支出都没填",IF($E1284="","※没填收支类别，分类报表会漏掉这一笔",IF(ISNA(MATCH($E1284,类别表,0)),"※收支类别不在【参数设置】的清单里",IF($J1284="","△"&amp;$D1284&amp;" 还没填汇率，去【月度汇率】补上就自动算了",IF(YEAR($A1284)&lt;&gt;管理年度,"△不是管理年度的单据，年报里看不到",IF(AND($F1284="内部转账",$Q1284=""),"△内部转账建议在「往来单位」写上对方账户",IF($M1284&lt;0,"△这一笔之后该账户余额成负数了，核一下","")))))))))))</f>
        <v/>
      </c>
    </row>
    <row r="1285" ht="16.5" spans="1:19">
      <c r="A1285" s="45"/>
      <c r="B1285" s="46"/>
      <c r="C1285" s="12" t="str">
        <f>IF($B1285="","",IFERROR(INDEX(账户银行,MATCH($B1285,账户名,0)),""))</f>
        <v/>
      </c>
      <c r="D1285" s="12" t="str">
        <f>IF($B1285="","",IFERROR(INDEX(账户币种,MATCH($B1285,账户名,0)),""))</f>
        <v/>
      </c>
      <c r="E1285" s="47"/>
      <c r="F1285" s="12" t="str">
        <f>IF($E1285="","",IFERROR(INDEX(类别属性,MATCH($E1285,类别表,0)),""))</f>
        <v/>
      </c>
      <c r="G1285" s="48"/>
      <c r="H1285" s="48"/>
      <c r="I1285" s="49"/>
      <c r="J1285" s="24" t="str">
        <f>IF(OR($A1285="",$B1285=""),"",IF($I1285&lt;&gt;"",$I1285,IF($D1285=本位币,1,IFERROR(LOOKUP(2,1/((汇率月份&lt;=$A1285)*(INDEX(记账汇率区,0,MATCH($D1285,汇率币种头,0))&lt;&gt;"")),INDEX(记账汇率区,0,MATCH($D1285,汇率币种头,0))),""))))</f>
        <v/>
      </c>
      <c r="K1285" s="23" t="str">
        <f t="shared" si="38"/>
        <v/>
      </c>
      <c r="L1285" s="23" t="str">
        <f t="shared" si="39"/>
        <v/>
      </c>
      <c r="M1285" s="23" t="str">
        <f>IF($B1285="","",ROUND(SUMIF(账户名,$B1285,账户期初)+SUMIFS($K$6:K1285,$B$6:B1285,$B1285),2))</f>
        <v/>
      </c>
      <c r="N1285" s="23" t="str">
        <f>IF($B1285="","",IFERROR(ROUND(INDEX(账户期初本位,MATCH($B1285,账户名,0))+SUMIFS($L$6:L1285,$B$6:B1285,$B1285),2),""))</f>
        <v/>
      </c>
      <c r="O1285" s="46"/>
      <c r="P1285" s="47"/>
      <c r="Q1285" s="46"/>
      <c r="R1285" s="46"/>
      <c r="S1285" s="6" t="str">
        <f>IF($B1285="","",IF(ISNA(MATCH($B1285,账户名,0)),"※这个账户不在【参数设置】的账户档案里",IF($A1285="","※没填日期，这一笔不会进任何月份的报表",IF(AND($G1285&lt;&gt;"",$H1285&lt;&gt;""),"※收入和支出不能同时填",IF(AND(N($G1285)=0,N($H1285)=0),"※收入和支出都没填",IF($E1285="","※没填收支类别，分类报表会漏掉这一笔",IF(ISNA(MATCH($E1285,类别表,0)),"※收支类别不在【参数设置】的清单里",IF($J1285="","△"&amp;$D1285&amp;" 还没填汇率，去【月度汇率】补上就自动算了",IF(YEAR($A1285)&lt;&gt;管理年度,"△不是管理年度的单据，年报里看不到",IF(AND($F1285="内部转账",$Q1285=""),"△内部转账建议在「往来单位」写上对方账户",IF($M1285&lt;0,"△这一笔之后该账户余额成负数了，核一下","")))))))))))</f>
        <v/>
      </c>
    </row>
    <row r="1286" ht="16.5" spans="1:19">
      <c r="A1286" s="45"/>
      <c r="B1286" s="46"/>
      <c r="C1286" s="12" t="str">
        <f>IF($B1286="","",IFERROR(INDEX(账户银行,MATCH($B1286,账户名,0)),""))</f>
        <v/>
      </c>
      <c r="D1286" s="12" t="str">
        <f>IF($B1286="","",IFERROR(INDEX(账户币种,MATCH($B1286,账户名,0)),""))</f>
        <v/>
      </c>
      <c r="E1286" s="47"/>
      <c r="F1286" s="12" t="str">
        <f>IF($E1286="","",IFERROR(INDEX(类别属性,MATCH($E1286,类别表,0)),""))</f>
        <v/>
      </c>
      <c r="G1286" s="48"/>
      <c r="H1286" s="48"/>
      <c r="I1286" s="49"/>
      <c r="J1286" s="24" t="str">
        <f>IF(OR($A1286="",$B1286=""),"",IF($I1286&lt;&gt;"",$I1286,IF($D1286=本位币,1,IFERROR(LOOKUP(2,1/((汇率月份&lt;=$A1286)*(INDEX(记账汇率区,0,MATCH($D1286,汇率币种头,0))&lt;&gt;"")),INDEX(记账汇率区,0,MATCH($D1286,汇率币种头,0))),""))))</f>
        <v/>
      </c>
      <c r="K1286" s="23" t="str">
        <f t="shared" ref="K1286:K1349" si="40">IF(AND($G1286="",$H1286=""),"",ROUND(N($G1286)-N($H1286),2))</f>
        <v/>
      </c>
      <c r="L1286" s="23" t="str">
        <f t="shared" ref="L1286:L1349" si="41">IF(OR($K1286="",$J1286=""),"",ROUND($K1286*$J1286,2))</f>
        <v/>
      </c>
      <c r="M1286" s="23" t="str">
        <f>IF($B1286="","",ROUND(SUMIF(账户名,$B1286,账户期初)+SUMIFS($K$6:K1286,$B$6:B1286,$B1286),2))</f>
        <v/>
      </c>
      <c r="N1286" s="23" t="str">
        <f>IF($B1286="","",IFERROR(ROUND(INDEX(账户期初本位,MATCH($B1286,账户名,0))+SUMIFS($L$6:L1286,$B$6:B1286,$B1286),2),""))</f>
        <v/>
      </c>
      <c r="O1286" s="46"/>
      <c r="P1286" s="47"/>
      <c r="Q1286" s="46"/>
      <c r="R1286" s="46"/>
      <c r="S1286" s="6" t="str">
        <f>IF($B1286="","",IF(ISNA(MATCH($B1286,账户名,0)),"※这个账户不在【参数设置】的账户档案里",IF($A1286="","※没填日期，这一笔不会进任何月份的报表",IF(AND($G1286&lt;&gt;"",$H1286&lt;&gt;""),"※收入和支出不能同时填",IF(AND(N($G1286)=0,N($H1286)=0),"※收入和支出都没填",IF($E1286="","※没填收支类别，分类报表会漏掉这一笔",IF(ISNA(MATCH($E1286,类别表,0)),"※收支类别不在【参数设置】的清单里",IF($J1286="","△"&amp;$D1286&amp;" 还没填汇率，去【月度汇率】补上就自动算了",IF(YEAR($A1286)&lt;&gt;管理年度,"△不是管理年度的单据，年报里看不到",IF(AND($F1286="内部转账",$Q1286=""),"△内部转账建议在「往来单位」写上对方账户",IF($M1286&lt;0,"△这一笔之后该账户余额成负数了，核一下","")))))))))))</f>
        <v/>
      </c>
    </row>
    <row r="1287" ht="16.5" spans="1:19">
      <c r="A1287" s="45"/>
      <c r="B1287" s="46"/>
      <c r="C1287" s="12" t="str">
        <f>IF($B1287="","",IFERROR(INDEX(账户银行,MATCH($B1287,账户名,0)),""))</f>
        <v/>
      </c>
      <c r="D1287" s="12" t="str">
        <f>IF($B1287="","",IFERROR(INDEX(账户币种,MATCH($B1287,账户名,0)),""))</f>
        <v/>
      </c>
      <c r="E1287" s="47"/>
      <c r="F1287" s="12" t="str">
        <f>IF($E1287="","",IFERROR(INDEX(类别属性,MATCH($E1287,类别表,0)),""))</f>
        <v/>
      </c>
      <c r="G1287" s="48"/>
      <c r="H1287" s="48"/>
      <c r="I1287" s="49"/>
      <c r="J1287" s="24" t="str">
        <f>IF(OR($A1287="",$B1287=""),"",IF($I1287&lt;&gt;"",$I1287,IF($D1287=本位币,1,IFERROR(LOOKUP(2,1/((汇率月份&lt;=$A1287)*(INDEX(记账汇率区,0,MATCH($D1287,汇率币种头,0))&lt;&gt;"")),INDEX(记账汇率区,0,MATCH($D1287,汇率币种头,0))),""))))</f>
        <v/>
      </c>
      <c r="K1287" s="23" t="str">
        <f t="shared" si="40"/>
        <v/>
      </c>
      <c r="L1287" s="23" t="str">
        <f t="shared" si="41"/>
        <v/>
      </c>
      <c r="M1287" s="23" t="str">
        <f>IF($B1287="","",ROUND(SUMIF(账户名,$B1287,账户期初)+SUMIFS($K$6:K1287,$B$6:B1287,$B1287),2))</f>
        <v/>
      </c>
      <c r="N1287" s="23" t="str">
        <f>IF($B1287="","",IFERROR(ROUND(INDEX(账户期初本位,MATCH($B1287,账户名,0))+SUMIFS($L$6:L1287,$B$6:B1287,$B1287),2),""))</f>
        <v/>
      </c>
      <c r="O1287" s="46"/>
      <c r="P1287" s="47"/>
      <c r="Q1287" s="46"/>
      <c r="R1287" s="46"/>
      <c r="S1287" s="6" t="str">
        <f>IF($B1287="","",IF(ISNA(MATCH($B1287,账户名,0)),"※这个账户不在【参数设置】的账户档案里",IF($A1287="","※没填日期，这一笔不会进任何月份的报表",IF(AND($G1287&lt;&gt;"",$H1287&lt;&gt;""),"※收入和支出不能同时填",IF(AND(N($G1287)=0,N($H1287)=0),"※收入和支出都没填",IF($E1287="","※没填收支类别，分类报表会漏掉这一笔",IF(ISNA(MATCH($E1287,类别表,0)),"※收支类别不在【参数设置】的清单里",IF($J1287="","△"&amp;$D1287&amp;" 还没填汇率，去【月度汇率】补上就自动算了",IF(YEAR($A1287)&lt;&gt;管理年度,"△不是管理年度的单据，年报里看不到",IF(AND($F1287="内部转账",$Q1287=""),"△内部转账建议在「往来单位」写上对方账户",IF($M1287&lt;0,"△这一笔之后该账户余额成负数了，核一下","")))))))))))</f>
        <v/>
      </c>
    </row>
    <row r="1288" ht="16.5" spans="1:19">
      <c r="A1288" s="45"/>
      <c r="B1288" s="46"/>
      <c r="C1288" s="12" t="str">
        <f>IF($B1288="","",IFERROR(INDEX(账户银行,MATCH($B1288,账户名,0)),""))</f>
        <v/>
      </c>
      <c r="D1288" s="12" t="str">
        <f>IF($B1288="","",IFERROR(INDEX(账户币种,MATCH($B1288,账户名,0)),""))</f>
        <v/>
      </c>
      <c r="E1288" s="47"/>
      <c r="F1288" s="12" t="str">
        <f>IF($E1288="","",IFERROR(INDEX(类别属性,MATCH($E1288,类别表,0)),""))</f>
        <v/>
      </c>
      <c r="G1288" s="48"/>
      <c r="H1288" s="48"/>
      <c r="I1288" s="49"/>
      <c r="J1288" s="24" t="str">
        <f>IF(OR($A1288="",$B1288=""),"",IF($I1288&lt;&gt;"",$I1288,IF($D1288=本位币,1,IFERROR(LOOKUP(2,1/((汇率月份&lt;=$A1288)*(INDEX(记账汇率区,0,MATCH($D1288,汇率币种头,0))&lt;&gt;"")),INDEX(记账汇率区,0,MATCH($D1288,汇率币种头,0))),""))))</f>
        <v/>
      </c>
      <c r="K1288" s="23" t="str">
        <f t="shared" si="40"/>
        <v/>
      </c>
      <c r="L1288" s="23" t="str">
        <f t="shared" si="41"/>
        <v/>
      </c>
      <c r="M1288" s="23" t="str">
        <f>IF($B1288="","",ROUND(SUMIF(账户名,$B1288,账户期初)+SUMIFS($K$6:K1288,$B$6:B1288,$B1288),2))</f>
        <v/>
      </c>
      <c r="N1288" s="23" t="str">
        <f>IF($B1288="","",IFERROR(ROUND(INDEX(账户期初本位,MATCH($B1288,账户名,0))+SUMIFS($L$6:L1288,$B$6:B1288,$B1288),2),""))</f>
        <v/>
      </c>
      <c r="O1288" s="46"/>
      <c r="P1288" s="47"/>
      <c r="Q1288" s="46"/>
      <c r="R1288" s="46"/>
      <c r="S1288" s="6" t="str">
        <f>IF($B1288="","",IF(ISNA(MATCH($B1288,账户名,0)),"※这个账户不在【参数设置】的账户档案里",IF($A1288="","※没填日期，这一笔不会进任何月份的报表",IF(AND($G1288&lt;&gt;"",$H1288&lt;&gt;""),"※收入和支出不能同时填",IF(AND(N($G1288)=0,N($H1288)=0),"※收入和支出都没填",IF($E1288="","※没填收支类别，分类报表会漏掉这一笔",IF(ISNA(MATCH($E1288,类别表,0)),"※收支类别不在【参数设置】的清单里",IF($J1288="","△"&amp;$D1288&amp;" 还没填汇率，去【月度汇率】补上就自动算了",IF(YEAR($A1288)&lt;&gt;管理年度,"△不是管理年度的单据，年报里看不到",IF(AND($F1288="内部转账",$Q1288=""),"△内部转账建议在「往来单位」写上对方账户",IF($M1288&lt;0,"△这一笔之后该账户余额成负数了，核一下","")))))))))))</f>
        <v/>
      </c>
    </row>
    <row r="1289" ht="16.5" spans="1:19">
      <c r="A1289" s="45"/>
      <c r="B1289" s="46"/>
      <c r="C1289" s="12" t="str">
        <f>IF($B1289="","",IFERROR(INDEX(账户银行,MATCH($B1289,账户名,0)),""))</f>
        <v/>
      </c>
      <c r="D1289" s="12" t="str">
        <f>IF($B1289="","",IFERROR(INDEX(账户币种,MATCH($B1289,账户名,0)),""))</f>
        <v/>
      </c>
      <c r="E1289" s="47"/>
      <c r="F1289" s="12" t="str">
        <f>IF($E1289="","",IFERROR(INDEX(类别属性,MATCH($E1289,类别表,0)),""))</f>
        <v/>
      </c>
      <c r="G1289" s="48"/>
      <c r="H1289" s="48"/>
      <c r="I1289" s="49"/>
      <c r="J1289" s="24" t="str">
        <f>IF(OR($A1289="",$B1289=""),"",IF($I1289&lt;&gt;"",$I1289,IF($D1289=本位币,1,IFERROR(LOOKUP(2,1/((汇率月份&lt;=$A1289)*(INDEX(记账汇率区,0,MATCH($D1289,汇率币种头,0))&lt;&gt;"")),INDEX(记账汇率区,0,MATCH($D1289,汇率币种头,0))),""))))</f>
        <v/>
      </c>
      <c r="K1289" s="23" t="str">
        <f t="shared" si="40"/>
        <v/>
      </c>
      <c r="L1289" s="23" t="str">
        <f t="shared" si="41"/>
        <v/>
      </c>
      <c r="M1289" s="23" t="str">
        <f>IF($B1289="","",ROUND(SUMIF(账户名,$B1289,账户期初)+SUMIFS($K$6:K1289,$B$6:B1289,$B1289),2))</f>
        <v/>
      </c>
      <c r="N1289" s="23" t="str">
        <f>IF($B1289="","",IFERROR(ROUND(INDEX(账户期初本位,MATCH($B1289,账户名,0))+SUMIFS($L$6:L1289,$B$6:B1289,$B1289),2),""))</f>
        <v/>
      </c>
      <c r="O1289" s="46"/>
      <c r="P1289" s="47"/>
      <c r="Q1289" s="46"/>
      <c r="R1289" s="46"/>
      <c r="S1289" s="6" t="str">
        <f>IF($B1289="","",IF(ISNA(MATCH($B1289,账户名,0)),"※这个账户不在【参数设置】的账户档案里",IF($A1289="","※没填日期，这一笔不会进任何月份的报表",IF(AND($G1289&lt;&gt;"",$H1289&lt;&gt;""),"※收入和支出不能同时填",IF(AND(N($G1289)=0,N($H1289)=0),"※收入和支出都没填",IF($E1289="","※没填收支类别，分类报表会漏掉这一笔",IF(ISNA(MATCH($E1289,类别表,0)),"※收支类别不在【参数设置】的清单里",IF($J1289="","△"&amp;$D1289&amp;" 还没填汇率，去【月度汇率】补上就自动算了",IF(YEAR($A1289)&lt;&gt;管理年度,"△不是管理年度的单据，年报里看不到",IF(AND($F1289="内部转账",$Q1289=""),"△内部转账建议在「往来单位」写上对方账户",IF($M1289&lt;0,"△这一笔之后该账户余额成负数了，核一下","")))))))))))</f>
        <v/>
      </c>
    </row>
    <row r="1290" ht="16.5" spans="1:19">
      <c r="A1290" s="45"/>
      <c r="B1290" s="46"/>
      <c r="C1290" s="12" t="str">
        <f>IF($B1290="","",IFERROR(INDEX(账户银行,MATCH($B1290,账户名,0)),""))</f>
        <v/>
      </c>
      <c r="D1290" s="12" t="str">
        <f>IF($B1290="","",IFERROR(INDEX(账户币种,MATCH($B1290,账户名,0)),""))</f>
        <v/>
      </c>
      <c r="E1290" s="47"/>
      <c r="F1290" s="12" t="str">
        <f>IF($E1290="","",IFERROR(INDEX(类别属性,MATCH($E1290,类别表,0)),""))</f>
        <v/>
      </c>
      <c r="G1290" s="48"/>
      <c r="H1290" s="48"/>
      <c r="I1290" s="49"/>
      <c r="J1290" s="24" t="str">
        <f>IF(OR($A1290="",$B1290=""),"",IF($I1290&lt;&gt;"",$I1290,IF($D1290=本位币,1,IFERROR(LOOKUP(2,1/((汇率月份&lt;=$A1290)*(INDEX(记账汇率区,0,MATCH($D1290,汇率币种头,0))&lt;&gt;"")),INDEX(记账汇率区,0,MATCH($D1290,汇率币种头,0))),""))))</f>
        <v/>
      </c>
      <c r="K1290" s="23" t="str">
        <f t="shared" si="40"/>
        <v/>
      </c>
      <c r="L1290" s="23" t="str">
        <f t="shared" si="41"/>
        <v/>
      </c>
      <c r="M1290" s="23" t="str">
        <f>IF($B1290="","",ROUND(SUMIF(账户名,$B1290,账户期初)+SUMIFS($K$6:K1290,$B$6:B1290,$B1290),2))</f>
        <v/>
      </c>
      <c r="N1290" s="23" t="str">
        <f>IF($B1290="","",IFERROR(ROUND(INDEX(账户期初本位,MATCH($B1290,账户名,0))+SUMIFS($L$6:L1290,$B$6:B1290,$B1290),2),""))</f>
        <v/>
      </c>
      <c r="O1290" s="46"/>
      <c r="P1290" s="47"/>
      <c r="Q1290" s="46"/>
      <c r="R1290" s="46"/>
      <c r="S1290" s="6" t="str">
        <f>IF($B1290="","",IF(ISNA(MATCH($B1290,账户名,0)),"※这个账户不在【参数设置】的账户档案里",IF($A1290="","※没填日期，这一笔不会进任何月份的报表",IF(AND($G1290&lt;&gt;"",$H1290&lt;&gt;""),"※收入和支出不能同时填",IF(AND(N($G1290)=0,N($H1290)=0),"※收入和支出都没填",IF($E1290="","※没填收支类别，分类报表会漏掉这一笔",IF(ISNA(MATCH($E1290,类别表,0)),"※收支类别不在【参数设置】的清单里",IF($J1290="","△"&amp;$D1290&amp;" 还没填汇率，去【月度汇率】补上就自动算了",IF(YEAR($A1290)&lt;&gt;管理年度,"△不是管理年度的单据，年报里看不到",IF(AND($F1290="内部转账",$Q1290=""),"△内部转账建议在「往来单位」写上对方账户",IF($M1290&lt;0,"△这一笔之后该账户余额成负数了，核一下","")))))))))))</f>
        <v/>
      </c>
    </row>
    <row r="1291" ht="16.5" spans="1:19">
      <c r="A1291" s="45"/>
      <c r="B1291" s="46"/>
      <c r="C1291" s="12" t="str">
        <f>IF($B1291="","",IFERROR(INDEX(账户银行,MATCH($B1291,账户名,0)),""))</f>
        <v/>
      </c>
      <c r="D1291" s="12" t="str">
        <f>IF($B1291="","",IFERROR(INDEX(账户币种,MATCH($B1291,账户名,0)),""))</f>
        <v/>
      </c>
      <c r="E1291" s="47"/>
      <c r="F1291" s="12" t="str">
        <f>IF($E1291="","",IFERROR(INDEX(类别属性,MATCH($E1291,类别表,0)),""))</f>
        <v/>
      </c>
      <c r="G1291" s="48"/>
      <c r="H1291" s="48"/>
      <c r="I1291" s="49"/>
      <c r="J1291" s="24" t="str">
        <f>IF(OR($A1291="",$B1291=""),"",IF($I1291&lt;&gt;"",$I1291,IF($D1291=本位币,1,IFERROR(LOOKUP(2,1/((汇率月份&lt;=$A1291)*(INDEX(记账汇率区,0,MATCH($D1291,汇率币种头,0))&lt;&gt;"")),INDEX(记账汇率区,0,MATCH($D1291,汇率币种头,0))),""))))</f>
        <v/>
      </c>
      <c r="K1291" s="23" t="str">
        <f t="shared" si="40"/>
        <v/>
      </c>
      <c r="L1291" s="23" t="str">
        <f t="shared" si="41"/>
        <v/>
      </c>
      <c r="M1291" s="23" t="str">
        <f>IF($B1291="","",ROUND(SUMIF(账户名,$B1291,账户期初)+SUMIFS($K$6:K1291,$B$6:B1291,$B1291),2))</f>
        <v/>
      </c>
      <c r="N1291" s="23" t="str">
        <f>IF($B1291="","",IFERROR(ROUND(INDEX(账户期初本位,MATCH($B1291,账户名,0))+SUMIFS($L$6:L1291,$B$6:B1291,$B1291),2),""))</f>
        <v/>
      </c>
      <c r="O1291" s="46"/>
      <c r="P1291" s="47"/>
      <c r="Q1291" s="46"/>
      <c r="R1291" s="46"/>
      <c r="S1291" s="6" t="str">
        <f>IF($B1291="","",IF(ISNA(MATCH($B1291,账户名,0)),"※这个账户不在【参数设置】的账户档案里",IF($A1291="","※没填日期，这一笔不会进任何月份的报表",IF(AND($G1291&lt;&gt;"",$H1291&lt;&gt;""),"※收入和支出不能同时填",IF(AND(N($G1291)=0,N($H1291)=0),"※收入和支出都没填",IF($E1291="","※没填收支类别，分类报表会漏掉这一笔",IF(ISNA(MATCH($E1291,类别表,0)),"※收支类别不在【参数设置】的清单里",IF($J1291="","△"&amp;$D1291&amp;" 还没填汇率，去【月度汇率】补上就自动算了",IF(YEAR($A1291)&lt;&gt;管理年度,"△不是管理年度的单据，年报里看不到",IF(AND($F1291="内部转账",$Q1291=""),"△内部转账建议在「往来单位」写上对方账户",IF($M1291&lt;0,"△这一笔之后该账户余额成负数了，核一下","")))))))))))</f>
        <v/>
      </c>
    </row>
    <row r="1292" ht="16.5" spans="1:19">
      <c r="A1292" s="45"/>
      <c r="B1292" s="46"/>
      <c r="C1292" s="12" t="str">
        <f>IF($B1292="","",IFERROR(INDEX(账户银行,MATCH($B1292,账户名,0)),""))</f>
        <v/>
      </c>
      <c r="D1292" s="12" t="str">
        <f>IF($B1292="","",IFERROR(INDEX(账户币种,MATCH($B1292,账户名,0)),""))</f>
        <v/>
      </c>
      <c r="E1292" s="47"/>
      <c r="F1292" s="12" t="str">
        <f>IF($E1292="","",IFERROR(INDEX(类别属性,MATCH($E1292,类别表,0)),""))</f>
        <v/>
      </c>
      <c r="G1292" s="48"/>
      <c r="H1292" s="48"/>
      <c r="I1292" s="49"/>
      <c r="J1292" s="24" t="str">
        <f>IF(OR($A1292="",$B1292=""),"",IF($I1292&lt;&gt;"",$I1292,IF($D1292=本位币,1,IFERROR(LOOKUP(2,1/((汇率月份&lt;=$A1292)*(INDEX(记账汇率区,0,MATCH($D1292,汇率币种头,0))&lt;&gt;"")),INDEX(记账汇率区,0,MATCH($D1292,汇率币种头,0))),""))))</f>
        <v/>
      </c>
      <c r="K1292" s="23" t="str">
        <f t="shared" si="40"/>
        <v/>
      </c>
      <c r="L1292" s="23" t="str">
        <f t="shared" si="41"/>
        <v/>
      </c>
      <c r="M1292" s="23" t="str">
        <f>IF($B1292="","",ROUND(SUMIF(账户名,$B1292,账户期初)+SUMIFS($K$6:K1292,$B$6:B1292,$B1292),2))</f>
        <v/>
      </c>
      <c r="N1292" s="23" t="str">
        <f>IF($B1292="","",IFERROR(ROUND(INDEX(账户期初本位,MATCH($B1292,账户名,0))+SUMIFS($L$6:L1292,$B$6:B1292,$B1292),2),""))</f>
        <v/>
      </c>
      <c r="O1292" s="46"/>
      <c r="P1292" s="47"/>
      <c r="Q1292" s="46"/>
      <c r="R1292" s="46"/>
      <c r="S1292" s="6" t="str">
        <f>IF($B1292="","",IF(ISNA(MATCH($B1292,账户名,0)),"※这个账户不在【参数设置】的账户档案里",IF($A1292="","※没填日期，这一笔不会进任何月份的报表",IF(AND($G1292&lt;&gt;"",$H1292&lt;&gt;""),"※收入和支出不能同时填",IF(AND(N($G1292)=0,N($H1292)=0),"※收入和支出都没填",IF($E1292="","※没填收支类别，分类报表会漏掉这一笔",IF(ISNA(MATCH($E1292,类别表,0)),"※收支类别不在【参数设置】的清单里",IF($J1292="","△"&amp;$D1292&amp;" 还没填汇率，去【月度汇率】补上就自动算了",IF(YEAR($A1292)&lt;&gt;管理年度,"△不是管理年度的单据，年报里看不到",IF(AND($F1292="内部转账",$Q1292=""),"△内部转账建议在「往来单位」写上对方账户",IF($M1292&lt;0,"△这一笔之后该账户余额成负数了，核一下","")))))))))))</f>
        <v/>
      </c>
    </row>
    <row r="1293" ht="16.5" spans="1:19">
      <c r="A1293" s="45"/>
      <c r="B1293" s="46"/>
      <c r="C1293" s="12" t="str">
        <f>IF($B1293="","",IFERROR(INDEX(账户银行,MATCH($B1293,账户名,0)),""))</f>
        <v/>
      </c>
      <c r="D1293" s="12" t="str">
        <f>IF($B1293="","",IFERROR(INDEX(账户币种,MATCH($B1293,账户名,0)),""))</f>
        <v/>
      </c>
      <c r="E1293" s="47"/>
      <c r="F1293" s="12" t="str">
        <f>IF($E1293="","",IFERROR(INDEX(类别属性,MATCH($E1293,类别表,0)),""))</f>
        <v/>
      </c>
      <c r="G1293" s="48"/>
      <c r="H1293" s="48"/>
      <c r="I1293" s="49"/>
      <c r="J1293" s="24" t="str">
        <f>IF(OR($A1293="",$B1293=""),"",IF($I1293&lt;&gt;"",$I1293,IF($D1293=本位币,1,IFERROR(LOOKUP(2,1/((汇率月份&lt;=$A1293)*(INDEX(记账汇率区,0,MATCH($D1293,汇率币种头,0))&lt;&gt;"")),INDEX(记账汇率区,0,MATCH($D1293,汇率币种头,0))),""))))</f>
        <v/>
      </c>
      <c r="K1293" s="23" t="str">
        <f t="shared" si="40"/>
        <v/>
      </c>
      <c r="L1293" s="23" t="str">
        <f t="shared" si="41"/>
        <v/>
      </c>
      <c r="M1293" s="23" t="str">
        <f>IF($B1293="","",ROUND(SUMIF(账户名,$B1293,账户期初)+SUMIFS($K$6:K1293,$B$6:B1293,$B1293),2))</f>
        <v/>
      </c>
      <c r="N1293" s="23" t="str">
        <f>IF($B1293="","",IFERROR(ROUND(INDEX(账户期初本位,MATCH($B1293,账户名,0))+SUMIFS($L$6:L1293,$B$6:B1293,$B1293),2),""))</f>
        <v/>
      </c>
      <c r="O1293" s="46"/>
      <c r="P1293" s="47"/>
      <c r="Q1293" s="46"/>
      <c r="R1293" s="46"/>
      <c r="S1293" s="6" t="str">
        <f>IF($B1293="","",IF(ISNA(MATCH($B1293,账户名,0)),"※这个账户不在【参数设置】的账户档案里",IF($A1293="","※没填日期，这一笔不会进任何月份的报表",IF(AND($G1293&lt;&gt;"",$H1293&lt;&gt;""),"※收入和支出不能同时填",IF(AND(N($G1293)=0,N($H1293)=0),"※收入和支出都没填",IF($E1293="","※没填收支类别，分类报表会漏掉这一笔",IF(ISNA(MATCH($E1293,类别表,0)),"※收支类别不在【参数设置】的清单里",IF($J1293="","△"&amp;$D1293&amp;" 还没填汇率，去【月度汇率】补上就自动算了",IF(YEAR($A1293)&lt;&gt;管理年度,"△不是管理年度的单据，年报里看不到",IF(AND($F1293="内部转账",$Q1293=""),"△内部转账建议在「往来单位」写上对方账户",IF($M1293&lt;0,"△这一笔之后该账户余额成负数了，核一下","")))))))))))</f>
        <v/>
      </c>
    </row>
    <row r="1294" ht="16.5" spans="1:19">
      <c r="A1294" s="45"/>
      <c r="B1294" s="46"/>
      <c r="C1294" s="12" t="str">
        <f>IF($B1294="","",IFERROR(INDEX(账户银行,MATCH($B1294,账户名,0)),""))</f>
        <v/>
      </c>
      <c r="D1294" s="12" t="str">
        <f>IF($B1294="","",IFERROR(INDEX(账户币种,MATCH($B1294,账户名,0)),""))</f>
        <v/>
      </c>
      <c r="E1294" s="47"/>
      <c r="F1294" s="12" t="str">
        <f>IF($E1294="","",IFERROR(INDEX(类别属性,MATCH($E1294,类别表,0)),""))</f>
        <v/>
      </c>
      <c r="G1294" s="48"/>
      <c r="H1294" s="48"/>
      <c r="I1294" s="49"/>
      <c r="J1294" s="24" t="str">
        <f>IF(OR($A1294="",$B1294=""),"",IF($I1294&lt;&gt;"",$I1294,IF($D1294=本位币,1,IFERROR(LOOKUP(2,1/((汇率月份&lt;=$A1294)*(INDEX(记账汇率区,0,MATCH($D1294,汇率币种头,0))&lt;&gt;"")),INDEX(记账汇率区,0,MATCH($D1294,汇率币种头,0))),""))))</f>
        <v/>
      </c>
      <c r="K1294" s="23" t="str">
        <f t="shared" si="40"/>
        <v/>
      </c>
      <c r="L1294" s="23" t="str">
        <f t="shared" si="41"/>
        <v/>
      </c>
      <c r="M1294" s="23" t="str">
        <f>IF($B1294="","",ROUND(SUMIF(账户名,$B1294,账户期初)+SUMIFS($K$6:K1294,$B$6:B1294,$B1294),2))</f>
        <v/>
      </c>
      <c r="N1294" s="23" t="str">
        <f>IF($B1294="","",IFERROR(ROUND(INDEX(账户期初本位,MATCH($B1294,账户名,0))+SUMIFS($L$6:L1294,$B$6:B1294,$B1294),2),""))</f>
        <v/>
      </c>
      <c r="O1294" s="46"/>
      <c r="P1294" s="47"/>
      <c r="Q1294" s="46"/>
      <c r="R1294" s="46"/>
      <c r="S1294" s="6" t="str">
        <f>IF($B1294="","",IF(ISNA(MATCH($B1294,账户名,0)),"※这个账户不在【参数设置】的账户档案里",IF($A1294="","※没填日期，这一笔不会进任何月份的报表",IF(AND($G1294&lt;&gt;"",$H1294&lt;&gt;""),"※收入和支出不能同时填",IF(AND(N($G1294)=0,N($H1294)=0),"※收入和支出都没填",IF($E1294="","※没填收支类别，分类报表会漏掉这一笔",IF(ISNA(MATCH($E1294,类别表,0)),"※收支类别不在【参数设置】的清单里",IF($J1294="","△"&amp;$D1294&amp;" 还没填汇率，去【月度汇率】补上就自动算了",IF(YEAR($A1294)&lt;&gt;管理年度,"△不是管理年度的单据，年报里看不到",IF(AND($F1294="内部转账",$Q1294=""),"△内部转账建议在「往来单位」写上对方账户",IF($M1294&lt;0,"△这一笔之后该账户余额成负数了，核一下","")))))))))))</f>
        <v/>
      </c>
    </row>
    <row r="1295" ht="16.5" spans="1:19">
      <c r="A1295" s="45"/>
      <c r="B1295" s="46"/>
      <c r="C1295" s="12" t="str">
        <f>IF($B1295="","",IFERROR(INDEX(账户银行,MATCH($B1295,账户名,0)),""))</f>
        <v/>
      </c>
      <c r="D1295" s="12" t="str">
        <f>IF($B1295="","",IFERROR(INDEX(账户币种,MATCH($B1295,账户名,0)),""))</f>
        <v/>
      </c>
      <c r="E1295" s="47"/>
      <c r="F1295" s="12" t="str">
        <f>IF($E1295="","",IFERROR(INDEX(类别属性,MATCH($E1295,类别表,0)),""))</f>
        <v/>
      </c>
      <c r="G1295" s="48"/>
      <c r="H1295" s="48"/>
      <c r="I1295" s="49"/>
      <c r="J1295" s="24" t="str">
        <f>IF(OR($A1295="",$B1295=""),"",IF($I1295&lt;&gt;"",$I1295,IF($D1295=本位币,1,IFERROR(LOOKUP(2,1/((汇率月份&lt;=$A1295)*(INDEX(记账汇率区,0,MATCH($D1295,汇率币种头,0))&lt;&gt;"")),INDEX(记账汇率区,0,MATCH($D1295,汇率币种头,0))),""))))</f>
        <v/>
      </c>
      <c r="K1295" s="23" t="str">
        <f t="shared" si="40"/>
        <v/>
      </c>
      <c r="L1295" s="23" t="str">
        <f t="shared" si="41"/>
        <v/>
      </c>
      <c r="M1295" s="23" t="str">
        <f>IF($B1295="","",ROUND(SUMIF(账户名,$B1295,账户期初)+SUMIFS($K$6:K1295,$B$6:B1295,$B1295),2))</f>
        <v/>
      </c>
      <c r="N1295" s="23" t="str">
        <f>IF($B1295="","",IFERROR(ROUND(INDEX(账户期初本位,MATCH($B1295,账户名,0))+SUMIFS($L$6:L1295,$B$6:B1295,$B1295),2),""))</f>
        <v/>
      </c>
      <c r="O1295" s="46"/>
      <c r="P1295" s="47"/>
      <c r="Q1295" s="46"/>
      <c r="R1295" s="46"/>
      <c r="S1295" s="6" t="str">
        <f>IF($B1295="","",IF(ISNA(MATCH($B1295,账户名,0)),"※这个账户不在【参数设置】的账户档案里",IF($A1295="","※没填日期，这一笔不会进任何月份的报表",IF(AND($G1295&lt;&gt;"",$H1295&lt;&gt;""),"※收入和支出不能同时填",IF(AND(N($G1295)=0,N($H1295)=0),"※收入和支出都没填",IF($E1295="","※没填收支类别，分类报表会漏掉这一笔",IF(ISNA(MATCH($E1295,类别表,0)),"※收支类别不在【参数设置】的清单里",IF($J1295="","△"&amp;$D1295&amp;" 还没填汇率，去【月度汇率】补上就自动算了",IF(YEAR($A1295)&lt;&gt;管理年度,"△不是管理年度的单据，年报里看不到",IF(AND($F1295="内部转账",$Q1295=""),"△内部转账建议在「往来单位」写上对方账户",IF($M1295&lt;0,"△这一笔之后该账户余额成负数了，核一下","")))))))))))</f>
        <v/>
      </c>
    </row>
    <row r="1296" ht="16.5" spans="1:19">
      <c r="A1296" s="45"/>
      <c r="B1296" s="46"/>
      <c r="C1296" s="12" t="str">
        <f>IF($B1296="","",IFERROR(INDEX(账户银行,MATCH($B1296,账户名,0)),""))</f>
        <v/>
      </c>
      <c r="D1296" s="12" t="str">
        <f>IF($B1296="","",IFERROR(INDEX(账户币种,MATCH($B1296,账户名,0)),""))</f>
        <v/>
      </c>
      <c r="E1296" s="47"/>
      <c r="F1296" s="12" t="str">
        <f>IF($E1296="","",IFERROR(INDEX(类别属性,MATCH($E1296,类别表,0)),""))</f>
        <v/>
      </c>
      <c r="G1296" s="48"/>
      <c r="H1296" s="48"/>
      <c r="I1296" s="49"/>
      <c r="J1296" s="24" t="str">
        <f>IF(OR($A1296="",$B1296=""),"",IF($I1296&lt;&gt;"",$I1296,IF($D1296=本位币,1,IFERROR(LOOKUP(2,1/((汇率月份&lt;=$A1296)*(INDEX(记账汇率区,0,MATCH($D1296,汇率币种头,0))&lt;&gt;"")),INDEX(记账汇率区,0,MATCH($D1296,汇率币种头,0))),""))))</f>
        <v/>
      </c>
      <c r="K1296" s="23" t="str">
        <f t="shared" si="40"/>
        <v/>
      </c>
      <c r="L1296" s="23" t="str">
        <f t="shared" si="41"/>
        <v/>
      </c>
      <c r="M1296" s="23" t="str">
        <f>IF($B1296="","",ROUND(SUMIF(账户名,$B1296,账户期初)+SUMIFS($K$6:K1296,$B$6:B1296,$B1296),2))</f>
        <v/>
      </c>
      <c r="N1296" s="23" t="str">
        <f>IF($B1296="","",IFERROR(ROUND(INDEX(账户期初本位,MATCH($B1296,账户名,0))+SUMIFS($L$6:L1296,$B$6:B1296,$B1296),2),""))</f>
        <v/>
      </c>
      <c r="O1296" s="46"/>
      <c r="P1296" s="47"/>
      <c r="Q1296" s="46"/>
      <c r="R1296" s="46"/>
      <c r="S1296" s="6" t="str">
        <f>IF($B1296="","",IF(ISNA(MATCH($B1296,账户名,0)),"※这个账户不在【参数设置】的账户档案里",IF($A1296="","※没填日期，这一笔不会进任何月份的报表",IF(AND($G1296&lt;&gt;"",$H1296&lt;&gt;""),"※收入和支出不能同时填",IF(AND(N($G1296)=0,N($H1296)=0),"※收入和支出都没填",IF($E1296="","※没填收支类别，分类报表会漏掉这一笔",IF(ISNA(MATCH($E1296,类别表,0)),"※收支类别不在【参数设置】的清单里",IF($J1296="","△"&amp;$D1296&amp;" 还没填汇率，去【月度汇率】补上就自动算了",IF(YEAR($A1296)&lt;&gt;管理年度,"△不是管理年度的单据，年报里看不到",IF(AND($F1296="内部转账",$Q1296=""),"△内部转账建议在「往来单位」写上对方账户",IF($M1296&lt;0,"△这一笔之后该账户余额成负数了，核一下","")))))))))))</f>
        <v/>
      </c>
    </row>
    <row r="1297" ht="16.5" spans="1:19">
      <c r="A1297" s="45"/>
      <c r="B1297" s="46"/>
      <c r="C1297" s="12" t="str">
        <f>IF($B1297="","",IFERROR(INDEX(账户银行,MATCH($B1297,账户名,0)),""))</f>
        <v/>
      </c>
      <c r="D1297" s="12" t="str">
        <f>IF($B1297="","",IFERROR(INDEX(账户币种,MATCH($B1297,账户名,0)),""))</f>
        <v/>
      </c>
      <c r="E1297" s="47"/>
      <c r="F1297" s="12" t="str">
        <f>IF($E1297="","",IFERROR(INDEX(类别属性,MATCH($E1297,类别表,0)),""))</f>
        <v/>
      </c>
      <c r="G1297" s="48"/>
      <c r="H1297" s="48"/>
      <c r="I1297" s="49"/>
      <c r="J1297" s="24" t="str">
        <f>IF(OR($A1297="",$B1297=""),"",IF($I1297&lt;&gt;"",$I1297,IF($D1297=本位币,1,IFERROR(LOOKUP(2,1/((汇率月份&lt;=$A1297)*(INDEX(记账汇率区,0,MATCH($D1297,汇率币种头,0))&lt;&gt;"")),INDEX(记账汇率区,0,MATCH($D1297,汇率币种头,0))),""))))</f>
        <v/>
      </c>
      <c r="K1297" s="23" t="str">
        <f t="shared" si="40"/>
        <v/>
      </c>
      <c r="L1297" s="23" t="str">
        <f t="shared" si="41"/>
        <v/>
      </c>
      <c r="M1297" s="23" t="str">
        <f>IF($B1297="","",ROUND(SUMIF(账户名,$B1297,账户期初)+SUMIFS($K$6:K1297,$B$6:B1297,$B1297),2))</f>
        <v/>
      </c>
      <c r="N1297" s="23" t="str">
        <f>IF($B1297="","",IFERROR(ROUND(INDEX(账户期初本位,MATCH($B1297,账户名,0))+SUMIFS($L$6:L1297,$B$6:B1297,$B1297),2),""))</f>
        <v/>
      </c>
      <c r="O1297" s="46"/>
      <c r="P1297" s="47"/>
      <c r="Q1297" s="46"/>
      <c r="R1297" s="46"/>
      <c r="S1297" s="6" t="str">
        <f>IF($B1297="","",IF(ISNA(MATCH($B1297,账户名,0)),"※这个账户不在【参数设置】的账户档案里",IF($A1297="","※没填日期，这一笔不会进任何月份的报表",IF(AND($G1297&lt;&gt;"",$H1297&lt;&gt;""),"※收入和支出不能同时填",IF(AND(N($G1297)=0,N($H1297)=0),"※收入和支出都没填",IF($E1297="","※没填收支类别，分类报表会漏掉这一笔",IF(ISNA(MATCH($E1297,类别表,0)),"※收支类别不在【参数设置】的清单里",IF($J1297="","△"&amp;$D1297&amp;" 还没填汇率，去【月度汇率】补上就自动算了",IF(YEAR($A1297)&lt;&gt;管理年度,"△不是管理年度的单据，年报里看不到",IF(AND($F1297="内部转账",$Q1297=""),"△内部转账建议在「往来单位」写上对方账户",IF($M1297&lt;0,"△这一笔之后该账户余额成负数了，核一下","")))))))))))</f>
        <v/>
      </c>
    </row>
    <row r="1298" ht="16.5" spans="1:19">
      <c r="A1298" s="45"/>
      <c r="B1298" s="46"/>
      <c r="C1298" s="12" t="str">
        <f>IF($B1298="","",IFERROR(INDEX(账户银行,MATCH($B1298,账户名,0)),""))</f>
        <v/>
      </c>
      <c r="D1298" s="12" t="str">
        <f>IF($B1298="","",IFERROR(INDEX(账户币种,MATCH($B1298,账户名,0)),""))</f>
        <v/>
      </c>
      <c r="E1298" s="47"/>
      <c r="F1298" s="12" t="str">
        <f>IF($E1298="","",IFERROR(INDEX(类别属性,MATCH($E1298,类别表,0)),""))</f>
        <v/>
      </c>
      <c r="G1298" s="48"/>
      <c r="H1298" s="48"/>
      <c r="I1298" s="49"/>
      <c r="J1298" s="24" t="str">
        <f>IF(OR($A1298="",$B1298=""),"",IF($I1298&lt;&gt;"",$I1298,IF($D1298=本位币,1,IFERROR(LOOKUP(2,1/((汇率月份&lt;=$A1298)*(INDEX(记账汇率区,0,MATCH($D1298,汇率币种头,0))&lt;&gt;"")),INDEX(记账汇率区,0,MATCH($D1298,汇率币种头,0))),""))))</f>
        <v/>
      </c>
      <c r="K1298" s="23" t="str">
        <f t="shared" si="40"/>
        <v/>
      </c>
      <c r="L1298" s="23" t="str">
        <f t="shared" si="41"/>
        <v/>
      </c>
      <c r="M1298" s="23" t="str">
        <f>IF($B1298="","",ROUND(SUMIF(账户名,$B1298,账户期初)+SUMIFS($K$6:K1298,$B$6:B1298,$B1298),2))</f>
        <v/>
      </c>
      <c r="N1298" s="23" t="str">
        <f>IF($B1298="","",IFERROR(ROUND(INDEX(账户期初本位,MATCH($B1298,账户名,0))+SUMIFS($L$6:L1298,$B$6:B1298,$B1298),2),""))</f>
        <v/>
      </c>
      <c r="O1298" s="46"/>
      <c r="P1298" s="47"/>
      <c r="Q1298" s="46"/>
      <c r="R1298" s="46"/>
      <c r="S1298" s="6" t="str">
        <f>IF($B1298="","",IF(ISNA(MATCH($B1298,账户名,0)),"※这个账户不在【参数设置】的账户档案里",IF($A1298="","※没填日期，这一笔不会进任何月份的报表",IF(AND($G1298&lt;&gt;"",$H1298&lt;&gt;""),"※收入和支出不能同时填",IF(AND(N($G1298)=0,N($H1298)=0),"※收入和支出都没填",IF($E1298="","※没填收支类别，分类报表会漏掉这一笔",IF(ISNA(MATCH($E1298,类别表,0)),"※收支类别不在【参数设置】的清单里",IF($J1298="","△"&amp;$D1298&amp;" 还没填汇率，去【月度汇率】补上就自动算了",IF(YEAR($A1298)&lt;&gt;管理年度,"△不是管理年度的单据，年报里看不到",IF(AND($F1298="内部转账",$Q1298=""),"△内部转账建议在「往来单位」写上对方账户",IF($M1298&lt;0,"△这一笔之后该账户余额成负数了，核一下","")))))))))))</f>
        <v/>
      </c>
    </row>
    <row r="1299" ht="16.5" spans="1:19">
      <c r="A1299" s="45"/>
      <c r="B1299" s="46"/>
      <c r="C1299" s="12" t="str">
        <f>IF($B1299="","",IFERROR(INDEX(账户银行,MATCH($B1299,账户名,0)),""))</f>
        <v/>
      </c>
      <c r="D1299" s="12" t="str">
        <f>IF($B1299="","",IFERROR(INDEX(账户币种,MATCH($B1299,账户名,0)),""))</f>
        <v/>
      </c>
      <c r="E1299" s="47"/>
      <c r="F1299" s="12" t="str">
        <f>IF($E1299="","",IFERROR(INDEX(类别属性,MATCH($E1299,类别表,0)),""))</f>
        <v/>
      </c>
      <c r="G1299" s="48"/>
      <c r="H1299" s="48"/>
      <c r="I1299" s="49"/>
      <c r="J1299" s="24" t="str">
        <f>IF(OR($A1299="",$B1299=""),"",IF($I1299&lt;&gt;"",$I1299,IF($D1299=本位币,1,IFERROR(LOOKUP(2,1/((汇率月份&lt;=$A1299)*(INDEX(记账汇率区,0,MATCH($D1299,汇率币种头,0))&lt;&gt;"")),INDEX(记账汇率区,0,MATCH($D1299,汇率币种头,0))),""))))</f>
        <v/>
      </c>
      <c r="K1299" s="23" t="str">
        <f t="shared" si="40"/>
        <v/>
      </c>
      <c r="L1299" s="23" t="str">
        <f t="shared" si="41"/>
        <v/>
      </c>
      <c r="M1299" s="23" t="str">
        <f>IF($B1299="","",ROUND(SUMIF(账户名,$B1299,账户期初)+SUMIFS($K$6:K1299,$B$6:B1299,$B1299),2))</f>
        <v/>
      </c>
      <c r="N1299" s="23" t="str">
        <f>IF($B1299="","",IFERROR(ROUND(INDEX(账户期初本位,MATCH($B1299,账户名,0))+SUMIFS($L$6:L1299,$B$6:B1299,$B1299),2),""))</f>
        <v/>
      </c>
      <c r="O1299" s="46"/>
      <c r="P1299" s="47"/>
      <c r="Q1299" s="46"/>
      <c r="R1299" s="46"/>
      <c r="S1299" s="6" t="str">
        <f>IF($B1299="","",IF(ISNA(MATCH($B1299,账户名,0)),"※这个账户不在【参数设置】的账户档案里",IF($A1299="","※没填日期，这一笔不会进任何月份的报表",IF(AND($G1299&lt;&gt;"",$H1299&lt;&gt;""),"※收入和支出不能同时填",IF(AND(N($G1299)=0,N($H1299)=0),"※收入和支出都没填",IF($E1299="","※没填收支类别，分类报表会漏掉这一笔",IF(ISNA(MATCH($E1299,类别表,0)),"※收支类别不在【参数设置】的清单里",IF($J1299="","△"&amp;$D1299&amp;" 还没填汇率，去【月度汇率】补上就自动算了",IF(YEAR($A1299)&lt;&gt;管理年度,"△不是管理年度的单据，年报里看不到",IF(AND($F1299="内部转账",$Q1299=""),"△内部转账建议在「往来单位」写上对方账户",IF($M1299&lt;0,"△这一笔之后该账户余额成负数了，核一下","")))))))))))</f>
        <v/>
      </c>
    </row>
    <row r="1300" ht="16.5" spans="1:19">
      <c r="A1300" s="45"/>
      <c r="B1300" s="46"/>
      <c r="C1300" s="12" t="str">
        <f>IF($B1300="","",IFERROR(INDEX(账户银行,MATCH($B1300,账户名,0)),""))</f>
        <v/>
      </c>
      <c r="D1300" s="12" t="str">
        <f>IF($B1300="","",IFERROR(INDEX(账户币种,MATCH($B1300,账户名,0)),""))</f>
        <v/>
      </c>
      <c r="E1300" s="47"/>
      <c r="F1300" s="12" t="str">
        <f>IF($E1300="","",IFERROR(INDEX(类别属性,MATCH($E1300,类别表,0)),""))</f>
        <v/>
      </c>
      <c r="G1300" s="48"/>
      <c r="H1300" s="48"/>
      <c r="I1300" s="49"/>
      <c r="J1300" s="24" t="str">
        <f>IF(OR($A1300="",$B1300=""),"",IF($I1300&lt;&gt;"",$I1300,IF($D1300=本位币,1,IFERROR(LOOKUP(2,1/((汇率月份&lt;=$A1300)*(INDEX(记账汇率区,0,MATCH($D1300,汇率币种头,0))&lt;&gt;"")),INDEX(记账汇率区,0,MATCH($D1300,汇率币种头,0))),""))))</f>
        <v/>
      </c>
      <c r="K1300" s="23" t="str">
        <f t="shared" si="40"/>
        <v/>
      </c>
      <c r="L1300" s="23" t="str">
        <f t="shared" si="41"/>
        <v/>
      </c>
      <c r="M1300" s="23" t="str">
        <f>IF($B1300="","",ROUND(SUMIF(账户名,$B1300,账户期初)+SUMIFS($K$6:K1300,$B$6:B1300,$B1300),2))</f>
        <v/>
      </c>
      <c r="N1300" s="23" t="str">
        <f>IF($B1300="","",IFERROR(ROUND(INDEX(账户期初本位,MATCH($B1300,账户名,0))+SUMIFS($L$6:L1300,$B$6:B1300,$B1300),2),""))</f>
        <v/>
      </c>
      <c r="O1300" s="46"/>
      <c r="P1300" s="47"/>
      <c r="Q1300" s="46"/>
      <c r="R1300" s="46"/>
      <c r="S1300" s="6" t="str">
        <f>IF($B1300="","",IF(ISNA(MATCH($B1300,账户名,0)),"※这个账户不在【参数设置】的账户档案里",IF($A1300="","※没填日期，这一笔不会进任何月份的报表",IF(AND($G1300&lt;&gt;"",$H1300&lt;&gt;""),"※收入和支出不能同时填",IF(AND(N($G1300)=0,N($H1300)=0),"※收入和支出都没填",IF($E1300="","※没填收支类别，分类报表会漏掉这一笔",IF(ISNA(MATCH($E1300,类别表,0)),"※收支类别不在【参数设置】的清单里",IF($J1300="","△"&amp;$D1300&amp;" 还没填汇率，去【月度汇率】补上就自动算了",IF(YEAR($A1300)&lt;&gt;管理年度,"△不是管理年度的单据，年报里看不到",IF(AND($F1300="内部转账",$Q1300=""),"△内部转账建议在「往来单位」写上对方账户",IF($M1300&lt;0,"△这一笔之后该账户余额成负数了，核一下","")))))))))))</f>
        <v/>
      </c>
    </row>
    <row r="1301" ht="16.5" spans="1:19">
      <c r="A1301" s="45"/>
      <c r="B1301" s="46"/>
      <c r="C1301" s="12" t="str">
        <f>IF($B1301="","",IFERROR(INDEX(账户银行,MATCH($B1301,账户名,0)),""))</f>
        <v/>
      </c>
      <c r="D1301" s="12" t="str">
        <f>IF($B1301="","",IFERROR(INDEX(账户币种,MATCH($B1301,账户名,0)),""))</f>
        <v/>
      </c>
      <c r="E1301" s="47"/>
      <c r="F1301" s="12" t="str">
        <f>IF($E1301="","",IFERROR(INDEX(类别属性,MATCH($E1301,类别表,0)),""))</f>
        <v/>
      </c>
      <c r="G1301" s="48"/>
      <c r="H1301" s="48"/>
      <c r="I1301" s="49"/>
      <c r="J1301" s="24" t="str">
        <f>IF(OR($A1301="",$B1301=""),"",IF($I1301&lt;&gt;"",$I1301,IF($D1301=本位币,1,IFERROR(LOOKUP(2,1/((汇率月份&lt;=$A1301)*(INDEX(记账汇率区,0,MATCH($D1301,汇率币种头,0))&lt;&gt;"")),INDEX(记账汇率区,0,MATCH($D1301,汇率币种头,0))),""))))</f>
        <v/>
      </c>
      <c r="K1301" s="23" t="str">
        <f t="shared" si="40"/>
        <v/>
      </c>
      <c r="L1301" s="23" t="str">
        <f t="shared" si="41"/>
        <v/>
      </c>
      <c r="M1301" s="23" t="str">
        <f>IF($B1301="","",ROUND(SUMIF(账户名,$B1301,账户期初)+SUMIFS($K$6:K1301,$B$6:B1301,$B1301),2))</f>
        <v/>
      </c>
      <c r="N1301" s="23" t="str">
        <f>IF($B1301="","",IFERROR(ROUND(INDEX(账户期初本位,MATCH($B1301,账户名,0))+SUMIFS($L$6:L1301,$B$6:B1301,$B1301),2),""))</f>
        <v/>
      </c>
      <c r="O1301" s="46"/>
      <c r="P1301" s="47"/>
      <c r="Q1301" s="46"/>
      <c r="R1301" s="46"/>
      <c r="S1301" s="6" t="str">
        <f>IF($B1301="","",IF(ISNA(MATCH($B1301,账户名,0)),"※这个账户不在【参数设置】的账户档案里",IF($A1301="","※没填日期，这一笔不会进任何月份的报表",IF(AND($G1301&lt;&gt;"",$H1301&lt;&gt;""),"※收入和支出不能同时填",IF(AND(N($G1301)=0,N($H1301)=0),"※收入和支出都没填",IF($E1301="","※没填收支类别，分类报表会漏掉这一笔",IF(ISNA(MATCH($E1301,类别表,0)),"※收支类别不在【参数设置】的清单里",IF($J1301="","△"&amp;$D1301&amp;" 还没填汇率，去【月度汇率】补上就自动算了",IF(YEAR($A1301)&lt;&gt;管理年度,"△不是管理年度的单据，年报里看不到",IF(AND($F1301="内部转账",$Q1301=""),"△内部转账建议在「往来单位」写上对方账户",IF($M1301&lt;0,"△这一笔之后该账户余额成负数了，核一下","")))))))))))</f>
        <v/>
      </c>
    </row>
    <row r="1302" ht="16.5" spans="1:19">
      <c r="A1302" s="45"/>
      <c r="B1302" s="46"/>
      <c r="C1302" s="12" t="str">
        <f>IF($B1302="","",IFERROR(INDEX(账户银行,MATCH($B1302,账户名,0)),""))</f>
        <v/>
      </c>
      <c r="D1302" s="12" t="str">
        <f>IF($B1302="","",IFERROR(INDEX(账户币种,MATCH($B1302,账户名,0)),""))</f>
        <v/>
      </c>
      <c r="E1302" s="47"/>
      <c r="F1302" s="12" t="str">
        <f>IF($E1302="","",IFERROR(INDEX(类别属性,MATCH($E1302,类别表,0)),""))</f>
        <v/>
      </c>
      <c r="G1302" s="48"/>
      <c r="H1302" s="48"/>
      <c r="I1302" s="49"/>
      <c r="J1302" s="24" t="str">
        <f>IF(OR($A1302="",$B1302=""),"",IF($I1302&lt;&gt;"",$I1302,IF($D1302=本位币,1,IFERROR(LOOKUP(2,1/((汇率月份&lt;=$A1302)*(INDEX(记账汇率区,0,MATCH($D1302,汇率币种头,0))&lt;&gt;"")),INDEX(记账汇率区,0,MATCH($D1302,汇率币种头,0))),""))))</f>
        <v/>
      </c>
      <c r="K1302" s="23" t="str">
        <f t="shared" si="40"/>
        <v/>
      </c>
      <c r="L1302" s="23" t="str">
        <f t="shared" si="41"/>
        <v/>
      </c>
      <c r="M1302" s="23" t="str">
        <f>IF($B1302="","",ROUND(SUMIF(账户名,$B1302,账户期初)+SUMIFS($K$6:K1302,$B$6:B1302,$B1302),2))</f>
        <v/>
      </c>
      <c r="N1302" s="23" t="str">
        <f>IF($B1302="","",IFERROR(ROUND(INDEX(账户期初本位,MATCH($B1302,账户名,0))+SUMIFS($L$6:L1302,$B$6:B1302,$B1302),2),""))</f>
        <v/>
      </c>
      <c r="O1302" s="46"/>
      <c r="P1302" s="47"/>
      <c r="Q1302" s="46"/>
      <c r="R1302" s="46"/>
      <c r="S1302" s="6" t="str">
        <f>IF($B1302="","",IF(ISNA(MATCH($B1302,账户名,0)),"※这个账户不在【参数设置】的账户档案里",IF($A1302="","※没填日期，这一笔不会进任何月份的报表",IF(AND($G1302&lt;&gt;"",$H1302&lt;&gt;""),"※收入和支出不能同时填",IF(AND(N($G1302)=0,N($H1302)=0),"※收入和支出都没填",IF($E1302="","※没填收支类别，分类报表会漏掉这一笔",IF(ISNA(MATCH($E1302,类别表,0)),"※收支类别不在【参数设置】的清单里",IF($J1302="","△"&amp;$D1302&amp;" 还没填汇率，去【月度汇率】补上就自动算了",IF(YEAR($A1302)&lt;&gt;管理年度,"△不是管理年度的单据，年报里看不到",IF(AND($F1302="内部转账",$Q1302=""),"△内部转账建议在「往来单位」写上对方账户",IF($M1302&lt;0,"△这一笔之后该账户余额成负数了，核一下","")))))))))))</f>
        <v/>
      </c>
    </row>
    <row r="1303" ht="16.5" spans="1:19">
      <c r="A1303" s="45"/>
      <c r="B1303" s="46"/>
      <c r="C1303" s="12" t="str">
        <f>IF($B1303="","",IFERROR(INDEX(账户银行,MATCH($B1303,账户名,0)),""))</f>
        <v/>
      </c>
      <c r="D1303" s="12" t="str">
        <f>IF($B1303="","",IFERROR(INDEX(账户币种,MATCH($B1303,账户名,0)),""))</f>
        <v/>
      </c>
      <c r="E1303" s="47"/>
      <c r="F1303" s="12" t="str">
        <f>IF($E1303="","",IFERROR(INDEX(类别属性,MATCH($E1303,类别表,0)),""))</f>
        <v/>
      </c>
      <c r="G1303" s="48"/>
      <c r="H1303" s="48"/>
      <c r="I1303" s="49"/>
      <c r="J1303" s="24" t="str">
        <f>IF(OR($A1303="",$B1303=""),"",IF($I1303&lt;&gt;"",$I1303,IF($D1303=本位币,1,IFERROR(LOOKUP(2,1/((汇率月份&lt;=$A1303)*(INDEX(记账汇率区,0,MATCH($D1303,汇率币种头,0))&lt;&gt;"")),INDEX(记账汇率区,0,MATCH($D1303,汇率币种头,0))),""))))</f>
        <v/>
      </c>
      <c r="K1303" s="23" t="str">
        <f t="shared" si="40"/>
        <v/>
      </c>
      <c r="L1303" s="23" t="str">
        <f t="shared" si="41"/>
        <v/>
      </c>
      <c r="M1303" s="23" t="str">
        <f>IF($B1303="","",ROUND(SUMIF(账户名,$B1303,账户期初)+SUMIFS($K$6:K1303,$B$6:B1303,$B1303),2))</f>
        <v/>
      </c>
      <c r="N1303" s="23" t="str">
        <f>IF($B1303="","",IFERROR(ROUND(INDEX(账户期初本位,MATCH($B1303,账户名,0))+SUMIFS($L$6:L1303,$B$6:B1303,$B1303),2),""))</f>
        <v/>
      </c>
      <c r="O1303" s="46"/>
      <c r="P1303" s="47"/>
      <c r="Q1303" s="46"/>
      <c r="R1303" s="46"/>
      <c r="S1303" s="6" t="str">
        <f>IF($B1303="","",IF(ISNA(MATCH($B1303,账户名,0)),"※这个账户不在【参数设置】的账户档案里",IF($A1303="","※没填日期，这一笔不会进任何月份的报表",IF(AND($G1303&lt;&gt;"",$H1303&lt;&gt;""),"※收入和支出不能同时填",IF(AND(N($G1303)=0,N($H1303)=0),"※收入和支出都没填",IF($E1303="","※没填收支类别，分类报表会漏掉这一笔",IF(ISNA(MATCH($E1303,类别表,0)),"※收支类别不在【参数设置】的清单里",IF($J1303="","△"&amp;$D1303&amp;" 还没填汇率，去【月度汇率】补上就自动算了",IF(YEAR($A1303)&lt;&gt;管理年度,"△不是管理年度的单据，年报里看不到",IF(AND($F1303="内部转账",$Q1303=""),"△内部转账建议在「往来单位」写上对方账户",IF($M1303&lt;0,"△这一笔之后该账户余额成负数了，核一下","")))))))))))</f>
        <v/>
      </c>
    </row>
    <row r="1304" ht="16.5" spans="1:19">
      <c r="A1304" s="45"/>
      <c r="B1304" s="46"/>
      <c r="C1304" s="12" t="str">
        <f>IF($B1304="","",IFERROR(INDEX(账户银行,MATCH($B1304,账户名,0)),""))</f>
        <v/>
      </c>
      <c r="D1304" s="12" t="str">
        <f>IF($B1304="","",IFERROR(INDEX(账户币种,MATCH($B1304,账户名,0)),""))</f>
        <v/>
      </c>
      <c r="E1304" s="47"/>
      <c r="F1304" s="12" t="str">
        <f>IF($E1304="","",IFERROR(INDEX(类别属性,MATCH($E1304,类别表,0)),""))</f>
        <v/>
      </c>
      <c r="G1304" s="48"/>
      <c r="H1304" s="48"/>
      <c r="I1304" s="49"/>
      <c r="J1304" s="24" t="str">
        <f>IF(OR($A1304="",$B1304=""),"",IF($I1304&lt;&gt;"",$I1304,IF($D1304=本位币,1,IFERROR(LOOKUP(2,1/((汇率月份&lt;=$A1304)*(INDEX(记账汇率区,0,MATCH($D1304,汇率币种头,0))&lt;&gt;"")),INDEX(记账汇率区,0,MATCH($D1304,汇率币种头,0))),""))))</f>
        <v/>
      </c>
      <c r="K1304" s="23" t="str">
        <f t="shared" si="40"/>
        <v/>
      </c>
      <c r="L1304" s="23" t="str">
        <f t="shared" si="41"/>
        <v/>
      </c>
      <c r="M1304" s="23" t="str">
        <f>IF($B1304="","",ROUND(SUMIF(账户名,$B1304,账户期初)+SUMIFS($K$6:K1304,$B$6:B1304,$B1304),2))</f>
        <v/>
      </c>
      <c r="N1304" s="23" t="str">
        <f>IF($B1304="","",IFERROR(ROUND(INDEX(账户期初本位,MATCH($B1304,账户名,0))+SUMIFS($L$6:L1304,$B$6:B1304,$B1304),2),""))</f>
        <v/>
      </c>
      <c r="O1304" s="46"/>
      <c r="P1304" s="47"/>
      <c r="Q1304" s="46"/>
      <c r="R1304" s="46"/>
      <c r="S1304" s="6" t="str">
        <f>IF($B1304="","",IF(ISNA(MATCH($B1304,账户名,0)),"※这个账户不在【参数设置】的账户档案里",IF($A1304="","※没填日期，这一笔不会进任何月份的报表",IF(AND($G1304&lt;&gt;"",$H1304&lt;&gt;""),"※收入和支出不能同时填",IF(AND(N($G1304)=0,N($H1304)=0),"※收入和支出都没填",IF($E1304="","※没填收支类别，分类报表会漏掉这一笔",IF(ISNA(MATCH($E1304,类别表,0)),"※收支类别不在【参数设置】的清单里",IF($J1304="","△"&amp;$D1304&amp;" 还没填汇率，去【月度汇率】补上就自动算了",IF(YEAR($A1304)&lt;&gt;管理年度,"△不是管理年度的单据，年报里看不到",IF(AND($F1304="内部转账",$Q1304=""),"△内部转账建议在「往来单位」写上对方账户",IF($M1304&lt;0,"△这一笔之后该账户余额成负数了，核一下","")))))))))))</f>
        <v/>
      </c>
    </row>
    <row r="1305" ht="16.5" spans="1:19">
      <c r="A1305" s="45"/>
      <c r="B1305" s="46"/>
      <c r="C1305" s="12" t="str">
        <f>IF($B1305="","",IFERROR(INDEX(账户银行,MATCH($B1305,账户名,0)),""))</f>
        <v/>
      </c>
      <c r="D1305" s="12" t="str">
        <f>IF($B1305="","",IFERROR(INDEX(账户币种,MATCH($B1305,账户名,0)),""))</f>
        <v/>
      </c>
      <c r="E1305" s="47"/>
      <c r="F1305" s="12" t="str">
        <f>IF($E1305="","",IFERROR(INDEX(类别属性,MATCH($E1305,类别表,0)),""))</f>
        <v/>
      </c>
      <c r="G1305" s="48"/>
      <c r="H1305" s="48"/>
      <c r="I1305" s="49"/>
      <c r="J1305" s="24" t="str">
        <f>IF(OR($A1305="",$B1305=""),"",IF($I1305&lt;&gt;"",$I1305,IF($D1305=本位币,1,IFERROR(LOOKUP(2,1/((汇率月份&lt;=$A1305)*(INDEX(记账汇率区,0,MATCH($D1305,汇率币种头,0))&lt;&gt;"")),INDEX(记账汇率区,0,MATCH($D1305,汇率币种头,0))),""))))</f>
        <v/>
      </c>
      <c r="K1305" s="23" t="str">
        <f t="shared" si="40"/>
        <v/>
      </c>
      <c r="L1305" s="23" t="str">
        <f t="shared" si="41"/>
        <v/>
      </c>
      <c r="M1305" s="23" t="str">
        <f>IF($B1305="","",ROUND(SUMIF(账户名,$B1305,账户期初)+SUMIFS($K$6:K1305,$B$6:B1305,$B1305),2))</f>
        <v/>
      </c>
      <c r="N1305" s="23" t="str">
        <f>IF($B1305="","",IFERROR(ROUND(INDEX(账户期初本位,MATCH($B1305,账户名,0))+SUMIFS($L$6:L1305,$B$6:B1305,$B1305),2),""))</f>
        <v/>
      </c>
      <c r="O1305" s="46"/>
      <c r="P1305" s="47"/>
      <c r="Q1305" s="46"/>
      <c r="R1305" s="46"/>
      <c r="S1305" s="6" t="str">
        <f>IF($B1305="","",IF(ISNA(MATCH($B1305,账户名,0)),"※这个账户不在【参数设置】的账户档案里",IF($A1305="","※没填日期，这一笔不会进任何月份的报表",IF(AND($G1305&lt;&gt;"",$H1305&lt;&gt;""),"※收入和支出不能同时填",IF(AND(N($G1305)=0,N($H1305)=0),"※收入和支出都没填",IF($E1305="","※没填收支类别，分类报表会漏掉这一笔",IF(ISNA(MATCH($E1305,类别表,0)),"※收支类别不在【参数设置】的清单里",IF($J1305="","△"&amp;$D1305&amp;" 还没填汇率，去【月度汇率】补上就自动算了",IF(YEAR($A1305)&lt;&gt;管理年度,"△不是管理年度的单据，年报里看不到",IF(AND($F1305="内部转账",$Q1305=""),"△内部转账建议在「往来单位」写上对方账户",IF($M1305&lt;0,"△这一笔之后该账户余额成负数了，核一下","")))))))))))</f>
        <v/>
      </c>
    </row>
    <row r="1306" ht="16.5" spans="1:19">
      <c r="A1306" s="45"/>
      <c r="B1306" s="46"/>
      <c r="C1306" s="12" t="str">
        <f>IF($B1306="","",IFERROR(INDEX(账户银行,MATCH($B1306,账户名,0)),""))</f>
        <v/>
      </c>
      <c r="D1306" s="12" t="str">
        <f>IF($B1306="","",IFERROR(INDEX(账户币种,MATCH($B1306,账户名,0)),""))</f>
        <v/>
      </c>
      <c r="E1306" s="47"/>
      <c r="F1306" s="12" t="str">
        <f>IF($E1306="","",IFERROR(INDEX(类别属性,MATCH($E1306,类别表,0)),""))</f>
        <v/>
      </c>
      <c r="G1306" s="48"/>
      <c r="H1306" s="48"/>
      <c r="I1306" s="49"/>
      <c r="J1306" s="24" t="str">
        <f>IF(OR($A1306="",$B1306=""),"",IF($I1306&lt;&gt;"",$I1306,IF($D1306=本位币,1,IFERROR(LOOKUP(2,1/((汇率月份&lt;=$A1306)*(INDEX(记账汇率区,0,MATCH($D1306,汇率币种头,0))&lt;&gt;"")),INDEX(记账汇率区,0,MATCH($D1306,汇率币种头,0))),""))))</f>
        <v/>
      </c>
      <c r="K1306" s="23" t="str">
        <f t="shared" si="40"/>
        <v/>
      </c>
      <c r="L1306" s="23" t="str">
        <f t="shared" si="41"/>
        <v/>
      </c>
      <c r="M1306" s="23" t="str">
        <f>IF($B1306="","",ROUND(SUMIF(账户名,$B1306,账户期初)+SUMIFS($K$6:K1306,$B$6:B1306,$B1306),2))</f>
        <v/>
      </c>
      <c r="N1306" s="23" t="str">
        <f>IF($B1306="","",IFERROR(ROUND(INDEX(账户期初本位,MATCH($B1306,账户名,0))+SUMIFS($L$6:L1306,$B$6:B1306,$B1306),2),""))</f>
        <v/>
      </c>
      <c r="O1306" s="46"/>
      <c r="P1306" s="47"/>
      <c r="Q1306" s="46"/>
      <c r="R1306" s="46"/>
      <c r="S1306" s="6" t="str">
        <f>IF($B1306="","",IF(ISNA(MATCH($B1306,账户名,0)),"※这个账户不在【参数设置】的账户档案里",IF($A1306="","※没填日期，这一笔不会进任何月份的报表",IF(AND($G1306&lt;&gt;"",$H1306&lt;&gt;""),"※收入和支出不能同时填",IF(AND(N($G1306)=0,N($H1306)=0),"※收入和支出都没填",IF($E1306="","※没填收支类别，分类报表会漏掉这一笔",IF(ISNA(MATCH($E1306,类别表,0)),"※收支类别不在【参数设置】的清单里",IF($J1306="","△"&amp;$D1306&amp;" 还没填汇率，去【月度汇率】补上就自动算了",IF(YEAR($A1306)&lt;&gt;管理年度,"△不是管理年度的单据，年报里看不到",IF(AND($F1306="内部转账",$Q1306=""),"△内部转账建议在「往来单位」写上对方账户",IF($M1306&lt;0,"△这一笔之后该账户余额成负数了，核一下","")))))))))))</f>
        <v/>
      </c>
    </row>
    <row r="1307" ht="16.5" spans="1:19">
      <c r="A1307" s="45"/>
      <c r="B1307" s="46"/>
      <c r="C1307" s="12" t="str">
        <f>IF($B1307="","",IFERROR(INDEX(账户银行,MATCH($B1307,账户名,0)),""))</f>
        <v/>
      </c>
      <c r="D1307" s="12" t="str">
        <f>IF($B1307="","",IFERROR(INDEX(账户币种,MATCH($B1307,账户名,0)),""))</f>
        <v/>
      </c>
      <c r="E1307" s="47"/>
      <c r="F1307" s="12" t="str">
        <f>IF($E1307="","",IFERROR(INDEX(类别属性,MATCH($E1307,类别表,0)),""))</f>
        <v/>
      </c>
      <c r="G1307" s="48"/>
      <c r="H1307" s="48"/>
      <c r="I1307" s="49"/>
      <c r="J1307" s="24" t="str">
        <f>IF(OR($A1307="",$B1307=""),"",IF($I1307&lt;&gt;"",$I1307,IF($D1307=本位币,1,IFERROR(LOOKUP(2,1/((汇率月份&lt;=$A1307)*(INDEX(记账汇率区,0,MATCH($D1307,汇率币种头,0))&lt;&gt;"")),INDEX(记账汇率区,0,MATCH($D1307,汇率币种头,0))),""))))</f>
        <v/>
      </c>
      <c r="K1307" s="23" t="str">
        <f t="shared" si="40"/>
        <v/>
      </c>
      <c r="L1307" s="23" t="str">
        <f t="shared" si="41"/>
        <v/>
      </c>
      <c r="M1307" s="23" t="str">
        <f>IF($B1307="","",ROUND(SUMIF(账户名,$B1307,账户期初)+SUMIFS($K$6:K1307,$B$6:B1307,$B1307),2))</f>
        <v/>
      </c>
      <c r="N1307" s="23" t="str">
        <f>IF($B1307="","",IFERROR(ROUND(INDEX(账户期初本位,MATCH($B1307,账户名,0))+SUMIFS($L$6:L1307,$B$6:B1307,$B1307),2),""))</f>
        <v/>
      </c>
      <c r="O1307" s="46"/>
      <c r="P1307" s="47"/>
      <c r="Q1307" s="46"/>
      <c r="R1307" s="46"/>
      <c r="S1307" s="6" t="str">
        <f>IF($B1307="","",IF(ISNA(MATCH($B1307,账户名,0)),"※这个账户不在【参数设置】的账户档案里",IF($A1307="","※没填日期，这一笔不会进任何月份的报表",IF(AND($G1307&lt;&gt;"",$H1307&lt;&gt;""),"※收入和支出不能同时填",IF(AND(N($G1307)=0,N($H1307)=0),"※收入和支出都没填",IF($E1307="","※没填收支类别，分类报表会漏掉这一笔",IF(ISNA(MATCH($E1307,类别表,0)),"※收支类别不在【参数设置】的清单里",IF($J1307="","△"&amp;$D1307&amp;" 还没填汇率，去【月度汇率】补上就自动算了",IF(YEAR($A1307)&lt;&gt;管理年度,"△不是管理年度的单据，年报里看不到",IF(AND($F1307="内部转账",$Q1307=""),"△内部转账建议在「往来单位」写上对方账户",IF($M1307&lt;0,"△这一笔之后该账户余额成负数了，核一下","")))))))))))</f>
        <v/>
      </c>
    </row>
    <row r="1308" ht="16.5" spans="1:19">
      <c r="A1308" s="45"/>
      <c r="B1308" s="46"/>
      <c r="C1308" s="12" t="str">
        <f>IF($B1308="","",IFERROR(INDEX(账户银行,MATCH($B1308,账户名,0)),""))</f>
        <v/>
      </c>
      <c r="D1308" s="12" t="str">
        <f>IF($B1308="","",IFERROR(INDEX(账户币种,MATCH($B1308,账户名,0)),""))</f>
        <v/>
      </c>
      <c r="E1308" s="47"/>
      <c r="F1308" s="12" t="str">
        <f>IF($E1308="","",IFERROR(INDEX(类别属性,MATCH($E1308,类别表,0)),""))</f>
        <v/>
      </c>
      <c r="G1308" s="48"/>
      <c r="H1308" s="48"/>
      <c r="I1308" s="49"/>
      <c r="J1308" s="24" t="str">
        <f>IF(OR($A1308="",$B1308=""),"",IF($I1308&lt;&gt;"",$I1308,IF($D1308=本位币,1,IFERROR(LOOKUP(2,1/((汇率月份&lt;=$A1308)*(INDEX(记账汇率区,0,MATCH($D1308,汇率币种头,0))&lt;&gt;"")),INDEX(记账汇率区,0,MATCH($D1308,汇率币种头,0))),""))))</f>
        <v/>
      </c>
      <c r="K1308" s="23" t="str">
        <f t="shared" si="40"/>
        <v/>
      </c>
      <c r="L1308" s="23" t="str">
        <f t="shared" si="41"/>
        <v/>
      </c>
      <c r="M1308" s="23" t="str">
        <f>IF($B1308="","",ROUND(SUMIF(账户名,$B1308,账户期初)+SUMIFS($K$6:K1308,$B$6:B1308,$B1308),2))</f>
        <v/>
      </c>
      <c r="N1308" s="23" t="str">
        <f>IF($B1308="","",IFERROR(ROUND(INDEX(账户期初本位,MATCH($B1308,账户名,0))+SUMIFS($L$6:L1308,$B$6:B1308,$B1308),2),""))</f>
        <v/>
      </c>
      <c r="O1308" s="46"/>
      <c r="P1308" s="47"/>
      <c r="Q1308" s="46"/>
      <c r="R1308" s="46"/>
      <c r="S1308" s="6" t="str">
        <f>IF($B1308="","",IF(ISNA(MATCH($B1308,账户名,0)),"※这个账户不在【参数设置】的账户档案里",IF($A1308="","※没填日期，这一笔不会进任何月份的报表",IF(AND($G1308&lt;&gt;"",$H1308&lt;&gt;""),"※收入和支出不能同时填",IF(AND(N($G1308)=0,N($H1308)=0),"※收入和支出都没填",IF($E1308="","※没填收支类别，分类报表会漏掉这一笔",IF(ISNA(MATCH($E1308,类别表,0)),"※收支类别不在【参数设置】的清单里",IF($J1308="","△"&amp;$D1308&amp;" 还没填汇率，去【月度汇率】补上就自动算了",IF(YEAR($A1308)&lt;&gt;管理年度,"△不是管理年度的单据，年报里看不到",IF(AND($F1308="内部转账",$Q1308=""),"△内部转账建议在「往来单位」写上对方账户",IF($M1308&lt;0,"△这一笔之后该账户余额成负数了，核一下","")))))))))))</f>
        <v/>
      </c>
    </row>
    <row r="1309" ht="16.5" spans="1:19">
      <c r="A1309" s="45"/>
      <c r="B1309" s="46"/>
      <c r="C1309" s="12" t="str">
        <f>IF($B1309="","",IFERROR(INDEX(账户银行,MATCH($B1309,账户名,0)),""))</f>
        <v/>
      </c>
      <c r="D1309" s="12" t="str">
        <f>IF($B1309="","",IFERROR(INDEX(账户币种,MATCH($B1309,账户名,0)),""))</f>
        <v/>
      </c>
      <c r="E1309" s="47"/>
      <c r="F1309" s="12" t="str">
        <f>IF($E1309="","",IFERROR(INDEX(类别属性,MATCH($E1309,类别表,0)),""))</f>
        <v/>
      </c>
      <c r="G1309" s="48"/>
      <c r="H1309" s="48"/>
      <c r="I1309" s="49"/>
      <c r="J1309" s="24" t="str">
        <f>IF(OR($A1309="",$B1309=""),"",IF($I1309&lt;&gt;"",$I1309,IF($D1309=本位币,1,IFERROR(LOOKUP(2,1/((汇率月份&lt;=$A1309)*(INDEX(记账汇率区,0,MATCH($D1309,汇率币种头,0))&lt;&gt;"")),INDEX(记账汇率区,0,MATCH($D1309,汇率币种头,0))),""))))</f>
        <v/>
      </c>
      <c r="K1309" s="23" t="str">
        <f t="shared" si="40"/>
        <v/>
      </c>
      <c r="L1309" s="23" t="str">
        <f t="shared" si="41"/>
        <v/>
      </c>
      <c r="M1309" s="23" t="str">
        <f>IF($B1309="","",ROUND(SUMIF(账户名,$B1309,账户期初)+SUMIFS($K$6:K1309,$B$6:B1309,$B1309),2))</f>
        <v/>
      </c>
      <c r="N1309" s="23" t="str">
        <f>IF($B1309="","",IFERROR(ROUND(INDEX(账户期初本位,MATCH($B1309,账户名,0))+SUMIFS($L$6:L1309,$B$6:B1309,$B1309),2),""))</f>
        <v/>
      </c>
      <c r="O1309" s="46"/>
      <c r="P1309" s="47"/>
      <c r="Q1309" s="46"/>
      <c r="R1309" s="46"/>
      <c r="S1309" s="6" t="str">
        <f>IF($B1309="","",IF(ISNA(MATCH($B1309,账户名,0)),"※这个账户不在【参数设置】的账户档案里",IF($A1309="","※没填日期，这一笔不会进任何月份的报表",IF(AND($G1309&lt;&gt;"",$H1309&lt;&gt;""),"※收入和支出不能同时填",IF(AND(N($G1309)=0,N($H1309)=0),"※收入和支出都没填",IF($E1309="","※没填收支类别，分类报表会漏掉这一笔",IF(ISNA(MATCH($E1309,类别表,0)),"※收支类别不在【参数设置】的清单里",IF($J1309="","△"&amp;$D1309&amp;" 还没填汇率，去【月度汇率】补上就自动算了",IF(YEAR($A1309)&lt;&gt;管理年度,"△不是管理年度的单据，年报里看不到",IF(AND($F1309="内部转账",$Q1309=""),"△内部转账建议在「往来单位」写上对方账户",IF($M1309&lt;0,"△这一笔之后该账户余额成负数了，核一下","")))))))))))</f>
        <v/>
      </c>
    </row>
    <row r="1310" ht="16.5" spans="1:19">
      <c r="A1310" s="45"/>
      <c r="B1310" s="46"/>
      <c r="C1310" s="12" t="str">
        <f>IF($B1310="","",IFERROR(INDEX(账户银行,MATCH($B1310,账户名,0)),""))</f>
        <v/>
      </c>
      <c r="D1310" s="12" t="str">
        <f>IF($B1310="","",IFERROR(INDEX(账户币种,MATCH($B1310,账户名,0)),""))</f>
        <v/>
      </c>
      <c r="E1310" s="47"/>
      <c r="F1310" s="12" t="str">
        <f>IF($E1310="","",IFERROR(INDEX(类别属性,MATCH($E1310,类别表,0)),""))</f>
        <v/>
      </c>
      <c r="G1310" s="48"/>
      <c r="H1310" s="48"/>
      <c r="I1310" s="49"/>
      <c r="J1310" s="24" t="str">
        <f>IF(OR($A1310="",$B1310=""),"",IF($I1310&lt;&gt;"",$I1310,IF($D1310=本位币,1,IFERROR(LOOKUP(2,1/((汇率月份&lt;=$A1310)*(INDEX(记账汇率区,0,MATCH($D1310,汇率币种头,0))&lt;&gt;"")),INDEX(记账汇率区,0,MATCH($D1310,汇率币种头,0))),""))))</f>
        <v/>
      </c>
      <c r="K1310" s="23" t="str">
        <f t="shared" si="40"/>
        <v/>
      </c>
      <c r="L1310" s="23" t="str">
        <f t="shared" si="41"/>
        <v/>
      </c>
      <c r="M1310" s="23" t="str">
        <f>IF($B1310="","",ROUND(SUMIF(账户名,$B1310,账户期初)+SUMIFS($K$6:K1310,$B$6:B1310,$B1310),2))</f>
        <v/>
      </c>
      <c r="N1310" s="23" t="str">
        <f>IF($B1310="","",IFERROR(ROUND(INDEX(账户期初本位,MATCH($B1310,账户名,0))+SUMIFS($L$6:L1310,$B$6:B1310,$B1310),2),""))</f>
        <v/>
      </c>
      <c r="O1310" s="46"/>
      <c r="P1310" s="47"/>
      <c r="Q1310" s="46"/>
      <c r="R1310" s="46"/>
      <c r="S1310" s="6" t="str">
        <f>IF($B1310="","",IF(ISNA(MATCH($B1310,账户名,0)),"※这个账户不在【参数设置】的账户档案里",IF($A1310="","※没填日期，这一笔不会进任何月份的报表",IF(AND($G1310&lt;&gt;"",$H1310&lt;&gt;""),"※收入和支出不能同时填",IF(AND(N($G1310)=0,N($H1310)=0),"※收入和支出都没填",IF($E1310="","※没填收支类别，分类报表会漏掉这一笔",IF(ISNA(MATCH($E1310,类别表,0)),"※收支类别不在【参数设置】的清单里",IF($J1310="","△"&amp;$D1310&amp;" 还没填汇率，去【月度汇率】补上就自动算了",IF(YEAR($A1310)&lt;&gt;管理年度,"△不是管理年度的单据，年报里看不到",IF(AND($F1310="内部转账",$Q1310=""),"△内部转账建议在「往来单位」写上对方账户",IF($M1310&lt;0,"△这一笔之后该账户余额成负数了，核一下","")))))))))))</f>
        <v/>
      </c>
    </row>
    <row r="1311" ht="16.5" spans="1:19">
      <c r="A1311" s="45"/>
      <c r="B1311" s="46"/>
      <c r="C1311" s="12" t="str">
        <f>IF($B1311="","",IFERROR(INDEX(账户银行,MATCH($B1311,账户名,0)),""))</f>
        <v/>
      </c>
      <c r="D1311" s="12" t="str">
        <f>IF($B1311="","",IFERROR(INDEX(账户币种,MATCH($B1311,账户名,0)),""))</f>
        <v/>
      </c>
      <c r="E1311" s="47"/>
      <c r="F1311" s="12" t="str">
        <f>IF($E1311="","",IFERROR(INDEX(类别属性,MATCH($E1311,类别表,0)),""))</f>
        <v/>
      </c>
      <c r="G1311" s="48"/>
      <c r="H1311" s="48"/>
      <c r="I1311" s="49"/>
      <c r="J1311" s="24" t="str">
        <f>IF(OR($A1311="",$B1311=""),"",IF($I1311&lt;&gt;"",$I1311,IF($D1311=本位币,1,IFERROR(LOOKUP(2,1/((汇率月份&lt;=$A1311)*(INDEX(记账汇率区,0,MATCH($D1311,汇率币种头,0))&lt;&gt;"")),INDEX(记账汇率区,0,MATCH($D1311,汇率币种头,0))),""))))</f>
        <v/>
      </c>
      <c r="K1311" s="23" t="str">
        <f t="shared" si="40"/>
        <v/>
      </c>
      <c r="L1311" s="23" t="str">
        <f t="shared" si="41"/>
        <v/>
      </c>
      <c r="M1311" s="23" t="str">
        <f>IF($B1311="","",ROUND(SUMIF(账户名,$B1311,账户期初)+SUMIFS($K$6:K1311,$B$6:B1311,$B1311),2))</f>
        <v/>
      </c>
      <c r="N1311" s="23" t="str">
        <f>IF($B1311="","",IFERROR(ROUND(INDEX(账户期初本位,MATCH($B1311,账户名,0))+SUMIFS($L$6:L1311,$B$6:B1311,$B1311),2),""))</f>
        <v/>
      </c>
      <c r="O1311" s="46"/>
      <c r="P1311" s="47"/>
      <c r="Q1311" s="46"/>
      <c r="R1311" s="46"/>
      <c r="S1311" s="6" t="str">
        <f>IF($B1311="","",IF(ISNA(MATCH($B1311,账户名,0)),"※这个账户不在【参数设置】的账户档案里",IF($A1311="","※没填日期，这一笔不会进任何月份的报表",IF(AND($G1311&lt;&gt;"",$H1311&lt;&gt;""),"※收入和支出不能同时填",IF(AND(N($G1311)=0,N($H1311)=0),"※收入和支出都没填",IF($E1311="","※没填收支类别，分类报表会漏掉这一笔",IF(ISNA(MATCH($E1311,类别表,0)),"※收支类别不在【参数设置】的清单里",IF($J1311="","△"&amp;$D1311&amp;" 还没填汇率，去【月度汇率】补上就自动算了",IF(YEAR($A1311)&lt;&gt;管理年度,"△不是管理年度的单据，年报里看不到",IF(AND($F1311="内部转账",$Q1311=""),"△内部转账建议在「往来单位」写上对方账户",IF($M1311&lt;0,"△这一笔之后该账户余额成负数了，核一下","")))))))))))</f>
        <v/>
      </c>
    </row>
    <row r="1312" ht="16.5" spans="1:19">
      <c r="A1312" s="45"/>
      <c r="B1312" s="46"/>
      <c r="C1312" s="12" t="str">
        <f>IF($B1312="","",IFERROR(INDEX(账户银行,MATCH($B1312,账户名,0)),""))</f>
        <v/>
      </c>
      <c r="D1312" s="12" t="str">
        <f>IF($B1312="","",IFERROR(INDEX(账户币种,MATCH($B1312,账户名,0)),""))</f>
        <v/>
      </c>
      <c r="E1312" s="47"/>
      <c r="F1312" s="12" t="str">
        <f>IF($E1312="","",IFERROR(INDEX(类别属性,MATCH($E1312,类别表,0)),""))</f>
        <v/>
      </c>
      <c r="G1312" s="48"/>
      <c r="H1312" s="48"/>
      <c r="I1312" s="49"/>
      <c r="J1312" s="24" t="str">
        <f>IF(OR($A1312="",$B1312=""),"",IF($I1312&lt;&gt;"",$I1312,IF($D1312=本位币,1,IFERROR(LOOKUP(2,1/((汇率月份&lt;=$A1312)*(INDEX(记账汇率区,0,MATCH($D1312,汇率币种头,0))&lt;&gt;"")),INDEX(记账汇率区,0,MATCH($D1312,汇率币种头,0))),""))))</f>
        <v/>
      </c>
      <c r="K1312" s="23" t="str">
        <f t="shared" si="40"/>
        <v/>
      </c>
      <c r="L1312" s="23" t="str">
        <f t="shared" si="41"/>
        <v/>
      </c>
      <c r="M1312" s="23" t="str">
        <f>IF($B1312="","",ROUND(SUMIF(账户名,$B1312,账户期初)+SUMIFS($K$6:K1312,$B$6:B1312,$B1312),2))</f>
        <v/>
      </c>
      <c r="N1312" s="23" t="str">
        <f>IF($B1312="","",IFERROR(ROUND(INDEX(账户期初本位,MATCH($B1312,账户名,0))+SUMIFS($L$6:L1312,$B$6:B1312,$B1312),2),""))</f>
        <v/>
      </c>
      <c r="O1312" s="46"/>
      <c r="P1312" s="47"/>
      <c r="Q1312" s="46"/>
      <c r="R1312" s="46"/>
      <c r="S1312" s="6" t="str">
        <f>IF($B1312="","",IF(ISNA(MATCH($B1312,账户名,0)),"※这个账户不在【参数设置】的账户档案里",IF($A1312="","※没填日期，这一笔不会进任何月份的报表",IF(AND($G1312&lt;&gt;"",$H1312&lt;&gt;""),"※收入和支出不能同时填",IF(AND(N($G1312)=0,N($H1312)=0),"※收入和支出都没填",IF($E1312="","※没填收支类别，分类报表会漏掉这一笔",IF(ISNA(MATCH($E1312,类别表,0)),"※收支类别不在【参数设置】的清单里",IF($J1312="","△"&amp;$D1312&amp;" 还没填汇率，去【月度汇率】补上就自动算了",IF(YEAR($A1312)&lt;&gt;管理年度,"△不是管理年度的单据，年报里看不到",IF(AND($F1312="内部转账",$Q1312=""),"△内部转账建议在「往来单位」写上对方账户",IF($M1312&lt;0,"△这一笔之后该账户余额成负数了，核一下","")))))))))))</f>
        <v/>
      </c>
    </row>
    <row r="1313" ht="16.5" spans="1:19">
      <c r="A1313" s="45"/>
      <c r="B1313" s="46"/>
      <c r="C1313" s="12" t="str">
        <f>IF($B1313="","",IFERROR(INDEX(账户银行,MATCH($B1313,账户名,0)),""))</f>
        <v/>
      </c>
      <c r="D1313" s="12" t="str">
        <f>IF($B1313="","",IFERROR(INDEX(账户币种,MATCH($B1313,账户名,0)),""))</f>
        <v/>
      </c>
      <c r="E1313" s="47"/>
      <c r="F1313" s="12" t="str">
        <f>IF($E1313="","",IFERROR(INDEX(类别属性,MATCH($E1313,类别表,0)),""))</f>
        <v/>
      </c>
      <c r="G1313" s="48"/>
      <c r="H1313" s="48"/>
      <c r="I1313" s="49"/>
      <c r="J1313" s="24" t="str">
        <f>IF(OR($A1313="",$B1313=""),"",IF($I1313&lt;&gt;"",$I1313,IF($D1313=本位币,1,IFERROR(LOOKUP(2,1/((汇率月份&lt;=$A1313)*(INDEX(记账汇率区,0,MATCH($D1313,汇率币种头,0))&lt;&gt;"")),INDEX(记账汇率区,0,MATCH($D1313,汇率币种头,0))),""))))</f>
        <v/>
      </c>
      <c r="K1313" s="23" t="str">
        <f t="shared" si="40"/>
        <v/>
      </c>
      <c r="L1313" s="23" t="str">
        <f t="shared" si="41"/>
        <v/>
      </c>
      <c r="M1313" s="23" t="str">
        <f>IF($B1313="","",ROUND(SUMIF(账户名,$B1313,账户期初)+SUMIFS($K$6:K1313,$B$6:B1313,$B1313),2))</f>
        <v/>
      </c>
      <c r="N1313" s="23" t="str">
        <f>IF($B1313="","",IFERROR(ROUND(INDEX(账户期初本位,MATCH($B1313,账户名,0))+SUMIFS($L$6:L1313,$B$6:B1313,$B1313),2),""))</f>
        <v/>
      </c>
      <c r="O1313" s="46"/>
      <c r="P1313" s="47"/>
      <c r="Q1313" s="46"/>
      <c r="R1313" s="46"/>
      <c r="S1313" s="6" t="str">
        <f>IF($B1313="","",IF(ISNA(MATCH($B1313,账户名,0)),"※这个账户不在【参数设置】的账户档案里",IF($A1313="","※没填日期，这一笔不会进任何月份的报表",IF(AND($G1313&lt;&gt;"",$H1313&lt;&gt;""),"※收入和支出不能同时填",IF(AND(N($G1313)=0,N($H1313)=0),"※收入和支出都没填",IF($E1313="","※没填收支类别，分类报表会漏掉这一笔",IF(ISNA(MATCH($E1313,类别表,0)),"※收支类别不在【参数设置】的清单里",IF($J1313="","△"&amp;$D1313&amp;" 还没填汇率，去【月度汇率】补上就自动算了",IF(YEAR($A1313)&lt;&gt;管理年度,"△不是管理年度的单据，年报里看不到",IF(AND($F1313="内部转账",$Q1313=""),"△内部转账建议在「往来单位」写上对方账户",IF($M1313&lt;0,"△这一笔之后该账户余额成负数了，核一下","")))))))))))</f>
        <v/>
      </c>
    </row>
    <row r="1314" ht="16.5" spans="1:19">
      <c r="A1314" s="45"/>
      <c r="B1314" s="46"/>
      <c r="C1314" s="12" t="str">
        <f>IF($B1314="","",IFERROR(INDEX(账户银行,MATCH($B1314,账户名,0)),""))</f>
        <v/>
      </c>
      <c r="D1314" s="12" t="str">
        <f>IF($B1314="","",IFERROR(INDEX(账户币种,MATCH($B1314,账户名,0)),""))</f>
        <v/>
      </c>
      <c r="E1314" s="47"/>
      <c r="F1314" s="12" t="str">
        <f>IF($E1314="","",IFERROR(INDEX(类别属性,MATCH($E1314,类别表,0)),""))</f>
        <v/>
      </c>
      <c r="G1314" s="48"/>
      <c r="H1314" s="48"/>
      <c r="I1314" s="49"/>
      <c r="J1314" s="24" t="str">
        <f>IF(OR($A1314="",$B1314=""),"",IF($I1314&lt;&gt;"",$I1314,IF($D1314=本位币,1,IFERROR(LOOKUP(2,1/((汇率月份&lt;=$A1314)*(INDEX(记账汇率区,0,MATCH($D1314,汇率币种头,0))&lt;&gt;"")),INDEX(记账汇率区,0,MATCH($D1314,汇率币种头,0))),""))))</f>
        <v/>
      </c>
      <c r="K1314" s="23" t="str">
        <f t="shared" si="40"/>
        <v/>
      </c>
      <c r="L1314" s="23" t="str">
        <f t="shared" si="41"/>
        <v/>
      </c>
      <c r="M1314" s="23" t="str">
        <f>IF($B1314="","",ROUND(SUMIF(账户名,$B1314,账户期初)+SUMIFS($K$6:K1314,$B$6:B1314,$B1314),2))</f>
        <v/>
      </c>
      <c r="N1314" s="23" t="str">
        <f>IF($B1314="","",IFERROR(ROUND(INDEX(账户期初本位,MATCH($B1314,账户名,0))+SUMIFS($L$6:L1314,$B$6:B1314,$B1314),2),""))</f>
        <v/>
      </c>
      <c r="O1314" s="46"/>
      <c r="P1314" s="47"/>
      <c r="Q1314" s="46"/>
      <c r="R1314" s="46"/>
      <c r="S1314" s="6" t="str">
        <f>IF($B1314="","",IF(ISNA(MATCH($B1314,账户名,0)),"※这个账户不在【参数设置】的账户档案里",IF($A1314="","※没填日期，这一笔不会进任何月份的报表",IF(AND($G1314&lt;&gt;"",$H1314&lt;&gt;""),"※收入和支出不能同时填",IF(AND(N($G1314)=0,N($H1314)=0),"※收入和支出都没填",IF($E1314="","※没填收支类别，分类报表会漏掉这一笔",IF(ISNA(MATCH($E1314,类别表,0)),"※收支类别不在【参数设置】的清单里",IF($J1314="","△"&amp;$D1314&amp;" 还没填汇率，去【月度汇率】补上就自动算了",IF(YEAR($A1314)&lt;&gt;管理年度,"△不是管理年度的单据，年报里看不到",IF(AND($F1314="内部转账",$Q1314=""),"△内部转账建议在「往来单位」写上对方账户",IF($M1314&lt;0,"△这一笔之后该账户余额成负数了，核一下","")))))))))))</f>
        <v/>
      </c>
    </row>
    <row r="1315" ht="16.5" spans="1:19">
      <c r="A1315" s="45"/>
      <c r="B1315" s="46"/>
      <c r="C1315" s="12" t="str">
        <f>IF($B1315="","",IFERROR(INDEX(账户银行,MATCH($B1315,账户名,0)),""))</f>
        <v/>
      </c>
      <c r="D1315" s="12" t="str">
        <f>IF($B1315="","",IFERROR(INDEX(账户币种,MATCH($B1315,账户名,0)),""))</f>
        <v/>
      </c>
      <c r="E1315" s="47"/>
      <c r="F1315" s="12" t="str">
        <f>IF($E1315="","",IFERROR(INDEX(类别属性,MATCH($E1315,类别表,0)),""))</f>
        <v/>
      </c>
      <c r="G1315" s="48"/>
      <c r="H1315" s="48"/>
      <c r="I1315" s="49"/>
      <c r="J1315" s="24" t="str">
        <f>IF(OR($A1315="",$B1315=""),"",IF($I1315&lt;&gt;"",$I1315,IF($D1315=本位币,1,IFERROR(LOOKUP(2,1/((汇率月份&lt;=$A1315)*(INDEX(记账汇率区,0,MATCH($D1315,汇率币种头,0))&lt;&gt;"")),INDEX(记账汇率区,0,MATCH($D1315,汇率币种头,0))),""))))</f>
        <v/>
      </c>
      <c r="K1315" s="23" t="str">
        <f t="shared" si="40"/>
        <v/>
      </c>
      <c r="L1315" s="23" t="str">
        <f t="shared" si="41"/>
        <v/>
      </c>
      <c r="M1315" s="23" t="str">
        <f>IF($B1315="","",ROUND(SUMIF(账户名,$B1315,账户期初)+SUMIFS($K$6:K1315,$B$6:B1315,$B1315),2))</f>
        <v/>
      </c>
      <c r="N1315" s="23" t="str">
        <f>IF($B1315="","",IFERROR(ROUND(INDEX(账户期初本位,MATCH($B1315,账户名,0))+SUMIFS($L$6:L1315,$B$6:B1315,$B1315),2),""))</f>
        <v/>
      </c>
      <c r="O1315" s="46"/>
      <c r="P1315" s="47"/>
      <c r="Q1315" s="46"/>
      <c r="R1315" s="46"/>
      <c r="S1315" s="6" t="str">
        <f>IF($B1315="","",IF(ISNA(MATCH($B1315,账户名,0)),"※这个账户不在【参数设置】的账户档案里",IF($A1315="","※没填日期，这一笔不会进任何月份的报表",IF(AND($G1315&lt;&gt;"",$H1315&lt;&gt;""),"※收入和支出不能同时填",IF(AND(N($G1315)=0,N($H1315)=0),"※收入和支出都没填",IF($E1315="","※没填收支类别，分类报表会漏掉这一笔",IF(ISNA(MATCH($E1315,类别表,0)),"※收支类别不在【参数设置】的清单里",IF($J1315="","△"&amp;$D1315&amp;" 还没填汇率，去【月度汇率】补上就自动算了",IF(YEAR($A1315)&lt;&gt;管理年度,"△不是管理年度的单据，年报里看不到",IF(AND($F1315="内部转账",$Q1315=""),"△内部转账建议在「往来单位」写上对方账户",IF($M1315&lt;0,"△这一笔之后该账户余额成负数了，核一下","")))))))))))</f>
        <v/>
      </c>
    </row>
    <row r="1316" ht="16.5" spans="1:19">
      <c r="A1316" s="45"/>
      <c r="B1316" s="46"/>
      <c r="C1316" s="12" t="str">
        <f>IF($B1316="","",IFERROR(INDEX(账户银行,MATCH($B1316,账户名,0)),""))</f>
        <v/>
      </c>
      <c r="D1316" s="12" t="str">
        <f>IF($B1316="","",IFERROR(INDEX(账户币种,MATCH($B1316,账户名,0)),""))</f>
        <v/>
      </c>
      <c r="E1316" s="47"/>
      <c r="F1316" s="12" t="str">
        <f>IF($E1316="","",IFERROR(INDEX(类别属性,MATCH($E1316,类别表,0)),""))</f>
        <v/>
      </c>
      <c r="G1316" s="48"/>
      <c r="H1316" s="48"/>
      <c r="I1316" s="49"/>
      <c r="J1316" s="24" t="str">
        <f>IF(OR($A1316="",$B1316=""),"",IF($I1316&lt;&gt;"",$I1316,IF($D1316=本位币,1,IFERROR(LOOKUP(2,1/((汇率月份&lt;=$A1316)*(INDEX(记账汇率区,0,MATCH($D1316,汇率币种头,0))&lt;&gt;"")),INDEX(记账汇率区,0,MATCH($D1316,汇率币种头,0))),""))))</f>
        <v/>
      </c>
      <c r="K1316" s="23" t="str">
        <f t="shared" si="40"/>
        <v/>
      </c>
      <c r="L1316" s="23" t="str">
        <f t="shared" si="41"/>
        <v/>
      </c>
      <c r="M1316" s="23" t="str">
        <f>IF($B1316="","",ROUND(SUMIF(账户名,$B1316,账户期初)+SUMIFS($K$6:K1316,$B$6:B1316,$B1316),2))</f>
        <v/>
      </c>
      <c r="N1316" s="23" t="str">
        <f>IF($B1316="","",IFERROR(ROUND(INDEX(账户期初本位,MATCH($B1316,账户名,0))+SUMIFS($L$6:L1316,$B$6:B1316,$B1316),2),""))</f>
        <v/>
      </c>
      <c r="O1316" s="46"/>
      <c r="P1316" s="47"/>
      <c r="Q1316" s="46"/>
      <c r="R1316" s="46"/>
      <c r="S1316" s="6" t="str">
        <f>IF($B1316="","",IF(ISNA(MATCH($B1316,账户名,0)),"※这个账户不在【参数设置】的账户档案里",IF($A1316="","※没填日期，这一笔不会进任何月份的报表",IF(AND($G1316&lt;&gt;"",$H1316&lt;&gt;""),"※收入和支出不能同时填",IF(AND(N($G1316)=0,N($H1316)=0),"※收入和支出都没填",IF($E1316="","※没填收支类别，分类报表会漏掉这一笔",IF(ISNA(MATCH($E1316,类别表,0)),"※收支类别不在【参数设置】的清单里",IF($J1316="","△"&amp;$D1316&amp;" 还没填汇率，去【月度汇率】补上就自动算了",IF(YEAR($A1316)&lt;&gt;管理年度,"△不是管理年度的单据，年报里看不到",IF(AND($F1316="内部转账",$Q1316=""),"△内部转账建议在「往来单位」写上对方账户",IF($M1316&lt;0,"△这一笔之后该账户余额成负数了，核一下","")))))))))))</f>
        <v/>
      </c>
    </row>
    <row r="1317" ht="16.5" spans="1:19">
      <c r="A1317" s="45"/>
      <c r="B1317" s="46"/>
      <c r="C1317" s="12" t="str">
        <f>IF($B1317="","",IFERROR(INDEX(账户银行,MATCH($B1317,账户名,0)),""))</f>
        <v/>
      </c>
      <c r="D1317" s="12" t="str">
        <f>IF($B1317="","",IFERROR(INDEX(账户币种,MATCH($B1317,账户名,0)),""))</f>
        <v/>
      </c>
      <c r="E1317" s="47"/>
      <c r="F1317" s="12" t="str">
        <f>IF($E1317="","",IFERROR(INDEX(类别属性,MATCH($E1317,类别表,0)),""))</f>
        <v/>
      </c>
      <c r="G1317" s="48"/>
      <c r="H1317" s="48"/>
      <c r="I1317" s="49"/>
      <c r="J1317" s="24" t="str">
        <f>IF(OR($A1317="",$B1317=""),"",IF($I1317&lt;&gt;"",$I1317,IF($D1317=本位币,1,IFERROR(LOOKUP(2,1/((汇率月份&lt;=$A1317)*(INDEX(记账汇率区,0,MATCH($D1317,汇率币种头,0))&lt;&gt;"")),INDEX(记账汇率区,0,MATCH($D1317,汇率币种头,0))),""))))</f>
        <v/>
      </c>
      <c r="K1317" s="23" t="str">
        <f t="shared" si="40"/>
        <v/>
      </c>
      <c r="L1317" s="23" t="str">
        <f t="shared" si="41"/>
        <v/>
      </c>
      <c r="M1317" s="23" t="str">
        <f>IF($B1317="","",ROUND(SUMIF(账户名,$B1317,账户期初)+SUMIFS($K$6:K1317,$B$6:B1317,$B1317),2))</f>
        <v/>
      </c>
      <c r="N1317" s="23" t="str">
        <f>IF($B1317="","",IFERROR(ROUND(INDEX(账户期初本位,MATCH($B1317,账户名,0))+SUMIFS($L$6:L1317,$B$6:B1317,$B1317),2),""))</f>
        <v/>
      </c>
      <c r="O1317" s="46"/>
      <c r="P1317" s="47"/>
      <c r="Q1317" s="46"/>
      <c r="R1317" s="46"/>
      <c r="S1317" s="6" t="str">
        <f>IF($B1317="","",IF(ISNA(MATCH($B1317,账户名,0)),"※这个账户不在【参数设置】的账户档案里",IF($A1317="","※没填日期，这一笔不会进任何月份的报表",IF(AND($G1317&lt;&gt;"",$H1317&lt;&gt;""),"※收入和支出不能同时填",IF(AND(N($G1317)=0,N($H1317)=0),"※收入和支出都没填",IF($E1317="","※没填收支类别，分类报表会漏掉这一笔",IF(ISNA(MATCH($E1317,类别表,0)),"※收支类别不在【参数设置】的清单里",IF($J1317="","△"&amp;$D1317&amp;" 还没填汇率，去【月度汇率】补上就自动算了",IF(YEAR($A1317)&lt;&gt;管理年度,"△不是管理年度的单据，年报里看不到",IF(AND($F1317="内部转账",$Q1317=""),"△内部转账建议在「往来单位」写上对方账户",IF($M1317&lt;0,"△这一笔之后该账户余额成负数了，核一下","")))))))))))</f>
        <v/>
      </c>
    </row>
    <row r="1318" ht="16.5" spans="1:19">
      <c r="A1318" s="45"/>
      <c r="B1318" s="46"/>
      <c r="C1318" s="12" t="str">
        <f>IF($B1318="","",IFERROR(INDEX(账户银行,MATCH($B1318,账户名,0)),""))</f>
        <v/>
      </c>
      <c r="D1318" s="12" t="str">
        <f>IF($B1318="","",IFERROR(INDEX(账户币种,MATCH($B1318,账户名,0)),""))</f>
        <v/>
      </c>
      <c r="E1318" s="47"/>
      <c r="F1318" s="12" t="str">
        <f>IF($E1318="","",IFERROR(INDEX(类别属性,MATCH($E1318,类别表,0)),""))</f>
        <v/>
      </c>
      <c r="G1318" s="48"/>
      <c r="H1318" s="48"/>
      <c r="I1318" s="49"/>
      <c r="J1318" s="24" t="str">
        <f>IF(OR($A1318="",$B1318=""),"",IF($I1318&lt;&gt;"",$I1318,IF($D1318=本位币,1,IFERROR(LOOKUP(2,1/((汇率月份&lt;=$A1318)*(INDEX(记账汇率区,0,MATCH($D1318,汇率币种头,0))&lt;&gt;"")),INDEX(记账汇率区,0,MATCH($D1318,汇率币种头,0))),""))))</f>
        <v/>
      </c>
      <c r="K1318" s="23" t="str">
        <f t="shared" si="40"/>
        <v/>
      </c>
      <c r="L1318" s="23" t="str">
        <f t="shared" si="41"/>
        <v/>
      </c>
      <c r="M1318" s="23" t="str">
        <f>IF($B1318="","",ROUND(SUMIF(账户名,$B1318,账户期初)+SUMIFS($K$6:K1318,$B$6:B1318,$B1318),2))</f>
        <v/>
      </c>
      <c r="N1318" s="23" t="str">
        <f>IF($B1318="","",IFERROR(ROUND(INDEX(账户期初本位,MATCH($B1318,账户名,0))+SUMIFS($L$6:L1318,$B$6:B1318,$B1318),2),""))</f>
        <v/>
      </c>
      <c r="O1318" s="46"/>
      <c r="P1318" s="47"/>
      <c r="Q1318" s="46"/>
      <c r="R1318" s="46"/>
      <c r="S1318" s="6" t="str">
        <f>IF($B1318="","",IF(ISNA(MATCH($B1318,账户名,0)),"※这个账户不在【参数设置】的账户档案里",IF($A1318="","※没填日期，这一笔不会进任何月份的报表",IF(AND($G1318&lt;&gt;"",$H1318&lt;&gt;""),"※收入和支出不能同时填",IF(AND(N($G1318)=0,N($H1318)=0),"※收入和支出都没填",IF($E1318="","※没填收支类别，分类报表会漏掉这一笔",IF(ISNA(MATCH($E1318,类别表,0)),"※收支类别不在【参数设置】的清单里",IF($J1318="","△"&amp;$D1318&amp;" 还没填汇率，去【月度汇率】补上就自动算了",IF(YEAR($A1318)&lt;&gt;管理年度,"△不是管理年度的单据，年报里看不到",IF(AND($F1318="内部转账",$Q1318=""),"△内部转账建议在「往来单位」写上对方账户",IF($M1318&lt;0,"△这一笔之后该账户余额成负数了，核一下","")))))))))))</f>
        <v/>
      </c>
    </row>
    <row r="1319" ht="16.5" spans="1:19">
      <c r="A1319" s="45"/>
      <c r="B1319" s="46"/>
      <c r="C1319" s="12" t="str">
        <f>IF($B1319="","",IFERROR(INDEX(账户银行,MATCH($B1319,账户名,0)),""))</f>
        <v/>
      </c>
      <c r="D1319" s="12" t="str">
        <f>IF($B1319="","",IFERROR(INDEX(账户币种,MATCH($B1319,账户名,0)),""))</f>
        <v/>
      </c>
      <c r="E1319" s="47"/>
      <c r="F1319" s="12" t="str">
        <f>IF($E1319="","",IFERROR(INDEX(类别属性,MATCH($E1319,类别表,0)),""))</f>
        <v/>
      </c>
      <c r="G1319" s="48"/>
      <c r="H1319" s="48"/>
      <c r="I1319" s="49"/>
      <c r="J1319" s="24" t="str">
        <f>IF(OR($A1319="",$B1319=""),"",IF($I1319&lt;&gt;"",$I1319,IF($D1319=本位币,1,IFERROR(LOOKUP(2,1/((汇率月份&lt;=$A1319)*(INDEX(记账汇率区,0,MATCH($D1319,汇率币种头,0))&lt;&gt;"")),INDEX(记账汇率区,0,MATCH($D1319,汇率币种头,0))),""))))</f>
        <v/>
      </c>
      <c r="K1319" s="23" t="str">
        <f t="shared" si="40"/>
        <v/>
      </c>
      <c r="L1319" s="23" t="str">
        <f t="shared" si="41"/>
        <v/>
      </c>
      <c r="M1319" s="23" t="str">
        <f>IF($B1319="","",ROUND(SUMIF(账户名,$B1319,账户期初)+SUMIFS($K$6:K1319,$B$6:B1319,$B1319),2))</f>
        <v/>
      </c>
      <c r="N1319" s="23" t="str">
        <f>IF($B1319="","",IFERROR(ROUND(INDEX(账户期初本位,MATCH($B1319,账户名,0))+SUMIFS($L$6:L1319,$B$6:B1319,$B1319),2),""))</f>
        <v/>
      </c>
      <c r="O1319" s="46"/>
      <c r="P1319" s="47"/>
      <c r="Q1319" s="46"/>
      <c r="R1319" s="46"/>
      <c r="S1319" s="6" t="str">
        <f>IF($B1319="","",IF(ISNA(MATCH($B1319,账户名,0)),"※这个账户不在【参数设置】的账户档案里",IF($A1319="","※没填日期，这一笔不会进任何月份的报表",IF(AND($G1319&lt;&gt;"",$H1319&lt;&gt;""),"※收入和支出不能同时填",IF(AND(N($G1319)=0,N($H1319)=0),"※收入和支出都没填",IF($E1319="","※没填收支类别，分类报表会漏掉这一笔",IF(ISNA(MATCH($E1319,类别表,0)),"※收支类别不在【参数设置】的清单里",IF($J1319="","△"&amp;$D1319&amp;" 还没填汇率，去【月度汇率】补上就自动算了",IF(YEAR($A1319)&lt;&gt;管理年度,"△不是管理年度的单据，年报里看不到",IF(AND($F1319="内部转账",$Q1319=""),"△内部转账建议在「往来单位」写上对方账户",IF($M1319&lt;0,"△这一笔之后该账户余额成负数了，核一下","")))))))))))</f>
        <v/>
      </c>
    </row>
    <row r="1320" ht="16.5" spans="1:19">
      <c r="A1320" s="45"/>
      <c r="B1320" s="46"/>
      <c r="C1320" s="12" t="str">
        <f>IF($B1320="","",IFERROR(INDEX(账户银行,MATCH($B1320,账户名,0)),""))</f>
        <v/>
      </c>
      <c r="D1320" s="12" t="str">
        <f>IF($B1320="","",IFERROR(INDEX(账户币种,MATCH($B1320,账户名,0)),""))</f>
        <v/>
      </c>
      <c r="E1320" s="47"/>
      <c r="F1320" s="12" t="str">
        <f>IF($E1320="","",IFERROR(INDEX(类别属性,MATCH($E1320,类别表,0)),""))</f>
        <v/>
      </c>
      <c r="G1320" s="48"/>
      <c r="H1320" s="48"/>
      <c r="I1320" s="49"/>
      <c r="J1320" s="24" t="str">
        <f>IF(OR($A1320="",$B1320=""),"",IF($I1320&lt;&gt;"",$I1320,IF($D1320=本位币,1,IFERROR(LOOKUP(2,1/((汇率月份&lt;=$A1320)*(INDEX(记账汇率区,0,MATCH($D1320,汇率币种头,0))&lt;&gt;"")),INDEX(记账汇率区,0,MATCH($D1320,汇率币种头,0))),""))))</f>
        <v/>
      </c>
      <c r="K1320" s="23" t="str">
        <f t="shared" si="40"/>
        <v/>
      </c>
      <c r="L1320" s="23" t="str">
        <f t="shared" si="41"/>
        <v/>
      </c>
      <c r="M1320" s="23" t="str">
        <f>IF($B1320="","",ROUND(SUMIF(账户名,$B1320,账户期初)+SUMIFS($K$6:K1320,$B$6:B1320,$B1320),2))</f>
        <v/>
      </c>
      <c r="N1320" s="23" t="str">
        <f>IF($B1320="","",IFERROR(ROUND(INDEX(账户期初本位,MATCH($B1320,账户名,0))+SUMIFS($L$6:L1320,$B$6:B1320,$B1320),2),""))</f>
        <v/>
      </c>
      <c r="O1320" s="46"/>
      <c r="P1320" s="47"/>
      <c r="Q1320" s="46"/>
      <c r="R1320" s="46"/>
      <c r="S1320" s="6" t="str">
        <f>IF($B1320="","",IF(ISNA(MATCH($B1320,账户名,0)),"※这个账户不在【参数设置】的账户档案里",IF($A1320="","※没填日期，这一笔不会进任何月份的报表",IF(AND($G1320&lt;&gt;"",$H1320&lt;&gt;""),"※收入和支出不能同时填",IF(AND(N($G1320)=0,N($H1320)=0),"※收入和支出都没填",IF($E1320="","※没填收支类别，分类报表会漏掉这一笔",IF(ISNA(MATCH($E1320,类别表,0)),"※收支类别不在【参数设置】的清单里",IF($J1320="","△"&amp;$D1320&amp;" 还没填汇率，去【月度汇率】补上就自动算了",IF(YEAR($A1320)&lt;&gt;管理年度,"△不是管理年度的单据，年报里看不到",IF(AND($F1320="内部转账",$Q1320=""),"△内部转账建议在「往来单位」写上对方账户",IF($M1320&lt;0,"△这一笔之后该账户余额成负数了，核一下","")))))))))))</f>
        <v/>
      </c>
    </row>
    <row r="1321" ht="16.5" spans="1:19">
      <c r="A1321" s="45"/>
      <c r="B1321" s="46"/>
      <c r="C1321" s="12" t="str">
        <f>IF($B1321="","",IFERROR(INDEX(账户银行,MATCH($B1321,账户名,0)),""))</f>
        <v/>
      </c>
      <c r="D1321" s="12" t="str">
        <f>IF($B1321="","",IFERROR(INDEX(账户币种,MATCH($B1321,账户名,0)),""))</f>
        <v/>
      </c>
      <c r="E1321" s="47"/>
      <c r="F1321" s="12" t="str">
        <f>IF($E1321="","",IFERROR(INDEX(类别属性,MATCH($E1321,类别表,0)),""))</f>
        <v/>
      </c>
      <c r="G1321" s="48"/>
      <c r="H1321" s="48"/>
      <c r="I1321" s="49"/>
      <c r="J1321" s="24" t="str">
        <f>IF(OR($A1321="",$B1321=""),"",IF($I1321&lt;&gt;"",$I1321,IF($D1321=本位币,1,IFERROR(LOOKUP(2,1/((汇率月份&lt;=$A1321)*(INDEX(记账汇率区,0,MATCH($D1321,汇率币种头,0))&lt;&gt;"")),INDEX(记账汇率区,0,MATCH($D1321,汇率币种头,0))),""))))</f>
        <v/>
      </c>
      <c r="K1321" s="23" t="str">
        <f t="shared" si="40"/>
        <v/>
      </c>
      <c r="L1321" s="23" t="str">
        <f t="shared" si="41"/>
        <v/>
      </c>
      <c r="M1321" s="23" t="str">
        <f>IF($B1321="","",ROUND(SUMIF(账户名,$B1321,账户期初)+SUMIFS($K$6:K1321,$B$6:B1321,$B1321),2))</f>
        <v/>
      </c>
      <c r="N1321" s="23" t="str">
        <f>IF($B1321="","",IFERROR(ROUND(INDEX(账户期初本位,MATCH($B1321,账户名,0))+SUMIFS($L$6:L1321,$B$6:B1321,$B1321),2),""))</f>
        <v/>
      </c>
      <c r="O1321" s="46"/>
      <c r="P1321" s="47"/>
      <c r="Q1321" s="46"/>
      <c r="R1321" s="46"/>
      <c r="S1321" s="6" t="str">
        <f>IF($B1321="","",IF(ISNA(MATCH($B1321,账户名,0)),"※这个账户不在【参数设置】的账户档案里",IF($A1321="","※没填日期，这一笔不会进任何月份的报表",IF(AND($G1321&lt;&gt;"",$H1321&lt;&gt;""),"※收入和支出不能同时填",IF(AND(N($G1321)=0,N($H1321)=0),"※收入和支出都没填",IF($E1321="","※没填收支类别，分类报表会漏掉这一笔",IF(ISNA(MATCH($E1321,类别表,0)),"※收支类别不在【参数设置】的清单里",IF($J1321="","△"&amp;$D1321&amp;" 还没填汇率，去【月度汇率】补上就自动算了",IF(YEAR($A1321)&lt;&gt;管理年度,"△不是管理年度的单据，年报里看不到",IF(AND($F1321="内部转账",$Q1321=""),"△内部转账建议在「往来单位」写上对方账户",IF($M1321&lt;0,"△这一笔之后该账户余额成负数了，核一下","")))))))))))</f>
        <v/>
      </c>
    </row>
    <row r="1322" ht="16.5" spans="1:19">
      <c r="A1322" s="45"/>
      <c r="B1322" s="46"/>
      <c r="C1322" s="12" t="str">
        <f>IF($B1322="","",IFERROR(INDEX(账户银行,MATCH($B1322,账户名,0)),""))</f>
        <v/>
      </c>
      <c r="D1322" s="12" t="str">
        <f>IF($B1322="","",IFERROR(INDEX(账户币种,MATCH($B1322,账户名,0)),""))</f>
        <v/>
      </c>
      <c r="E1322" s="47"/>
      <c r="F1322" s="12" t="str">
        <f>IF($E1322="","",IFERROR(INDEX(类别属性,MATCH($E1322,类别表,0)),""))</f>
        <v/>
      </c>
      <c r="G1322" s="48"/>
      <c r="H1322" s="48"/>
      <c r="I1322" s="49"/>
      <c r="J1322" s="24" t="str">
        <f>IF(OR($A1322="",$B1322=""),"",IF($I1322&lt;&gt;"",$I1322,IF($D1322=本位币,1,IFERROR(LOOKUP(2,1/((汇率月份&lt;=$A1322)*(INDEX(记账汇率区,0,MATCH($D1322,汇率币种头,0))&lt;&gt;"")),INDEX(记账汇率区,0,MATCH($D1322,汇率币种头,0))),""))))</f>
        <v/>
      </c>
      <c r="K1322" s="23" t="str">
        <f t="shared" si="40"/>
        <v/>
      </c>
      <c r="L1322" s="23" t="str">
        <f t="shared" si="41"/>
        <v/>
      </c>
      <c r="M1322" s="23" t="str">
        <f>IF($B1322="","",ROUND(SUMIF(账户名,$B1322,账户期初)+SUMIFS($K$6:K1322,$B$6:B1322,$B1322),2))</f>
        <v/>
      </c>
      <c r="N1322" s="23" t="str">
        <f>IF($B1322="","",IFERROR(ROUND(INDEX(账户期初本位,MATCH($B1322,账户名,0))+SUMIFS($L$6:L1322,$B$6:B1322,$B1322),2),""))</f>
        <v/>
      </c>
      <c r="O1322" s="46"/>
      <c r="P1322" s="47"/>
      <c r="Q1322" s="46"/>
      <c r="R1322" s="46"/>
      <c r="S1322" s="6" t="str">
        <f>IF($B1322="","",IF(ISNA(MATCH($B1322,账户名,0)),"※这个账户不在【参数设置】的账户档案里",IF($A1322="","※没填日期，这一笔不会进任何月份的报表",IF(AND($G1322&lt;&gt;"",$H1322&lt;&gt;""),"※收入和支出不能同时填",IF(AND(N($G1322)=0,N($H1322)=0),"※收入和支出都没填",IF($E1322="","※没填收支类别，分类报表会漏掉这一笔",IF(ISNA(MATCH($E1322,类别表,0)),"※收支类别不在【参数设置】的清单里",IF($J1322="","△"&amp;$D1322&amp;" 还没填汇率，去【月度汇率】补上就自动算了",IF(YEAR($A1322)&lt;&gt;管理年度,"△不是管理年度的单据，年报里看不到",IF(AND($F1322="内部转账",$Q1322=""),"△内部转账建议在「往来单位」写上对方账户",IF($M1322&lt;0,"△这一笔之后该账户余额成负数了，核一下","")))))))))))</f>
        <v/>
      </c>
    </row>
    <row r="1323" ht="16.5" spans="1:19">
      <c r="A1323" s="45"/>
      <c r="B1323" s="46"/>
      <c r="C1323" s="12" t="str">
        <f>IF($B1323="","",IFERROR(INDEX(账户银行,MATCH($B1323,账户名,0)),""))</f>
        <v/>
      </c>
      <c r="D1323" s="12" t="str">
        <f>IF($B1323="","",IFERROR(INDEX(账户币种,MATCH($B1323,账户名,0)),""))</f>
        <v/>
      </c>
      <c r="E1323" s="47"/>
      <c r="F1323" s="12" t="str">
        <f>IF($E1323="","",IFERROR(INDEX(类别属性,MATCH($E1323,类别表,0)),""))</f>
        <v/>
      </c>
      <c r="G1323" s="48"/>
      <c r="H1323" s="48"/>
      <c r="I1323" s="49"/>
      <c r="J1323" s="24" t="str">
        <f>IF(OR($A1323="",$B1323=""),"",IF($I1323&lt;&gt;"",$I1323,IF($D1323=本位币,1,IFERROR(LOOKUP(2,1/((汇率月份&lt;=$A1323)*(INDEX(记账汇率区,0,MATCH($D1323,汇率币种头,0))&lt;&gt;"")),INDEX(记账汇率区,0,MATCH($D1323,汇率币种头,0))),""))))</f>
        <v/>
      </c>
      <c r="K1323" s="23" t="str">
        <f t="shared" si="40"/>
        <v/>
      </c>
      <c r="L1323" s="23" t="str">
        <f t="shared" si="41"/>
        <v/>
      </c>
      <c r="M1323" s="23" t="str">
        <f>IF($B1323="","",ROUND(SUMIF(账户名,$B1323,账户期初)+SUMIFS($K$6:K1323,$B$6:B1323,$B1323),2))</f>
        <v/>
      </c>
      <c r="N1323" s="23" t="str">
        <f>IF($B1323="","",IFERROR(ROUND(INDEX(账户期初本位,MATCH($B1323,账户名,0))+SUMIFS($L$6:L1323,$B$6:B1323,$B1323),2),""))</f>
        <v/>
      </c>
      <c r="O1323" s="46"/>
      <c r="P1323" s="47"/>
      <c r="Q1323" s="46"/>
      <c r="R1323" s="46"/>
      <c r="S1323" s="6" t="str">
        <f>IF($B1323="","",IF(ISNA(MATCH($B1323,账户名,0)),"※这个账户不在【参数设置】的账户档案里",IF($A1323="","※没填日期，这一笔不会进任何月份的报表",IF(AND($G1323&lt;&gt;"",$H1323&lt;&gt;""),"※收入和支出不能同时填",IF(AND(N($G1323)=0,N($H1323)=0),"※收入和支出都没填",IF($E1323="","※没填收支类别，分类报表会漏掉这一笔",IF(ISNA(MATCH($E1323,类别表,0)),"※收支类别不在【参数设置】的清单里",IF($J1323="","△"&amp;$D1323&amp;" 还没填汇率，去【月度汇率】补上就自动算了",IF(YEAR($A1323)&lt;&gt;管理年度,"△不是管理年度的单据，年报里看不到",IF(AND($F1323="内部转账",$Q1323=""),"△内部转账建议在「往来单位」写上对方账户",IF($M1323&lt;0,"△这一笔之后该账户余额成负数了，核一下","")))))))))))</f>
        <v/>
      </c>
    </row>
    <row r="1324" ht="16.5" spans="1:19">
      <c r="A1324" s="45"/>
      <c r="B1324" s="46"/>
      <c r="C1324" s="12" t="str">
        <f>IF($B1324="","",IFERROR(INDEX(账户银行,MATCH($B1324,账户名,0)),""))</f>
        <v/>
      </c>
      <c r="D1324" s="12" t="str">
        <f>IF($B1324="","",IFERROR(INDEX(账户币种,MATCH($B1324,账户名,0)),""))</f>
        <v/>
      </c>
      <c r="E1324" s="47"/>
      <c r="F1324" s="12" t="str">
        <f>IF($E1324="","",IFERROR(INDEX(类别属性,MATCH($E1324,类别表,0)),""))</f>
        <v/>
      </c>
      <c r="G1324" s="48"/>
      <c r="H1324" s="48"/>
      <c r="I1324" s="49"/>
      <c r="J1324" s="24" t="str">
        <f>IF(OR($A1324="",$B1324=""),"",IF($I1324&lt;&gt;"",$I1324,IF($D1324=本位币,1,IFERROR(LOOKUP(2,1/((汇率月份&lt;=$A1324)*(INDEX(记账汇率区,0,MATCH($D1324,汇率币种头,0))&lt;&gt;"")),INDEX(记账汇率区,0,MATCH($D1324,汇率币种头,0))),""))))</f>
        <v/>
      </c>
      <c r="K1324" s="23" t="str">
        <f t="shared" si="40"/>
        <v/>
      </c>
      <c r="L1324" s="23" t="str">
        <f t="shared" si="41"/>
        <v/>
      </c>
      <c r="M1324" s="23" t="str">
        <f>IF($B1324="","",ROUND(SUMIF(账户名,$B1324,账户期初)+SUMIFS($K$6:K1324,$B$6:B1324,$B1324),2))</f>
        <v/>
      </c>
      <c r="N1324" s="23" t="str">
        <f>IF($B1324="","",IFERROR(ROUND(INDEX(账户期初本位,MATCH($B1324,账户名,0))+SUMIFS($L$6:L1324,$B$6:B1324,$B1324),2),""))</f>
        <v/>
      </c>
      <c r="O1324" s="46"/>
      <c r="P1324" s="47"/>
      <c r="Q1324" s="46"/>
      <c r="R1324" s="46"/>
      <c r="S1324" s="6" t="str">
        <f>IF($B1324="","",IF(ISNA(MATCH($B1324,账户名,0)),"※这个账户不在【参数设置】的账户档案里",IF($A1324="","※没填日期，这一笔不会进任何月份的报表",IF(AND($G1324&lt;&gt;"",$H1324&lt;&gt;""),"※收入和支出不能同时填",IF(AND(N($G1324)=0,N($H1324)=0),"※收入和支出都没填",IF($E1324="","※没填收支类别，分类报表会漏掉这一笔",IF(ISNA(MATCH($E1324,类别表,0)),"※收支类别不在【参数设置】的清单里",IF($J1324="","△"&amp;$D1324&amp;" 还没填汇率，去【月度汇率】补上就自动算了",IF(YEAR($A1324)&lt;&gt;管理年度,"△不是管理年度的单据，年报里看不到",IF(AND($F1324="内部转账",$Q1324=""),"△内部转账建议在「往来单位」写上对方账户",IF($M1324&lt;0,"△这一笔之后该账户余额成负数了，核一下","")))))))))))</f>
        <v/>
      </c>
    </row>
    <row r="1325" ht="16.5" spans="1:19">
      <c r="A1325" s="45"/>
      <c r="B1325" s="46"/>
      <c r="C1325" s="12" t="str">
        <f>IF($B1325="","",IFERROR(INDEX(账户银行,MATCH($B1325,账户名,0)),""))</f>
        <v/>
      </c>
      <c r="D1325" s="12" t="str">
        <f>IF($B1325="","",IFERROR(INDEX(账户币种,MATCH($B1325,账户名,0)),""))</f>
        <v/>
      </c>
      <c r="E1325" s="47"/>
      <c r="F1325" s="12" t="str">
        <f>IF($E1325="","",IFERROR(INDEX(类别属性,MATCH($E1325,类别表,0)),""))</f>
        <v/>
      </c>
      <c r="G1325" s="48"/>
      <c r="H1325" s="48"/>
      <c r="I1325" s="49"/>
      <c r="J1325" s="24" t="str">
        <f>IF(OR($A1325="",$B1325=""),"",IF($I1325&lt;&gt;"",$I1325,IF($D1325=本位币,1,IFERROR(LOOKUP(2,1/((汇率月份&lt;=$A1325)*(INDEX(记账汇率区,0,MATCH($D1325,汇率币种头,0))&lt;&gt;"")),INDEX(记账汇率区,0,MATCH($D1325,汇率币种头,0))),""))))</f>
        <v/>
      </c>
      <c r="K1325" s="23" t="str">
        <f t="shared" si="40"/>
        <v/>
      </c>
      <c r="L1325" s="23" t="str">
        <f t="shared" si="41"/>
        <v/>
      </c>
      <c r="M1325" s="23" t="str">
        <f>IF($B1325="","",ROUND(SUMIF(账户名,$B1325,账户期初)+SUMIFS($K$6:K1325,$B$6:B1325,$B1325),2))</f>
        <v/>
      </c>
      <c r="N1325" s="23" t="str">
        <f>IF($B1325="","",IFERROR(ROUND(INDEX(账户期初本位,MATCH($B1325,账户名,0))+SUMIFS($L$6:L1325,$B$6:B1325,$B1325),2),""))</f>
        <v/>
      </c>
      <c r="O1325" s="46"/>
      <c r="P1325" s="47"/>
      <c r="Q1325" s="46"/>
      <c r="R1325" s="46"/>
      <c r="S1325" s="6" t="str">
        <f>IF($B1325="","",IF(ISNA(MATCH($B1325,账户名,0)),"※这个账户不在【参数设置】的账户档案里",IF($A1325="","※没填日期，这一笔不会进任何月份的报表",IF(AND($G1325&lt;&gt;"",$H1325&lt;&gt;""),"※收入和支出不能同时填",IF(AND(N($G1325)=0,N($H1325)=0),"※收入和支出都没填",IF($E1325="","※没填收支类别，分类报表会漏掉这一笔",IF(ISNA(MATCH($E1325,类别表,0)),"※收支类别不在【参数设置】的清单里",IF($J1325="","△"&amp;$D1325&amp;" 还没填汇率，去【月度汇率】补上就自动算了",IF(YEAR($A1325)&lt;&gt;管理年度,"△不是管理年度的单据，年报里看不到",IF(AND($F1325="内部转账",$Q1325=""),"△内部转账建议在「往来单位」写上对方账户",IF($M1325&lt;0,"△这一笔之后该账户余额成负数了，核一下","")))))))))))</f>
        <v/>
      </c>
    </row>
    <row r="1326" ht="16.5" spans="1:19">
      <c r="A1326" s="45"/>
      <c r="B1326" s="46"/>
      <c r="C1326" s="12" t="str">
        <f>IF($B1326="","",IFERROR(INDEX(账户银行,MATCH($B1326,账户名,0)),""))</f>
        <v/>
      </c>
      <c r="D1326" s="12" t="str">
        <f>IF($B1326="","",IFERROR(INDEX(账户币种,MATCH($B1326,账户名,0)),""))</f>
        <v/>
      </c>
      <c r="E1326" s="47"/>
      <c r="F1326" s="12" t="str">
        <f>IF($E1326="","",IFERROR(INDEX(类别属性,MATCH($E1326,类别表,0)),""))</f>
        <v/>
      </c>
      <c r="G1326" s="48"/>
      <c r="H1326" s="48"/>
      <c r="I1326" s="49"/>
      <c r="J1326" s="24" t="str">
        <f>IF(OR($A1326="",$B1326=""),"",IF($I1326&lt;&gt;"",$I1326,IF($D1326=本位币,1,IFERROR(LOOKUP(2,1/((汇率月份&lt;=$A1326)*(INDEX(记账汇率区,0,MATCH($D1326,汇率币种头,0))&lt;&gt;"")),INDEX(记账汇率区,0,MATCH($D1326,汇率币种头,0))),""))))</f>
        <v/>
      </c>
      <c r="K1326" s="23" t="str">
        <f t="shared" si="40"/>
        <v/>
      </c>
      <c r="L1326" s="23" t="str">
        <f t="shared" si="41"/>
        <v/>
      </c>
      <c r="M1326" s="23" t="str">
        <f>IF($B1326="","",ROUND(SUMIF(账户名,$B1326,账户期初)+SUMIFS($K$6:K1326,$B$6:B1326,$B1326),2))</f>
        <v/>
      </c>
      <c r="N1326" s="23" t="str">
        <f>IF($B1326="","",IFERROR(ROUND(INDEX(账户期初本位,MATCH($B1326,账户名,0))+SUMIFS($L$6:L1326,$B$6:B1326,$B1326),2),""))</f>
        <v/>
      </c>
      <c r="O1326" s="46"/>
      <c r="P1326" s="47"/>
      <c r="Q1326" s="46"/>
      <c r="R1326" s="46"/>
      <c r="S1326" s="6" t="str">
        <f>IF($B1326="","",IF(ISNA(MATCH($B1326,账户名,0)),"※这个账户不在【参数设置】的账户档案里",IF($A1326="","※没填日期，这一笔不会进任何月份的报表",IF(AND($G1326&lt;&gt;"",$H1326&lt;&gt;""),"※收入和支出不能同时填",IF(AND(N($G1326)=0,N($H1326)=0),"※收入和支出都没填",IF($E1326="","※没填收支类别，分类报表会漏掉这一笔",IF(ISNA(MATCH($E1326,类别表,0)),"※收支类别不在【参数设置】的清单里",IF($J1326="","△"&amp;$D1326&amp;" 还没填汇率，去【月度汇率】补上就自动算了",IF(YEAR($A1326)&lt;&gt;管理年度,"△不是管理年度的单据，年报里看不到",IF(AND($F1326="内部转账",$Q1326=""),"△内部转账建议在「往来单位」写上对方账户",IF($M1326&lt;0,"△这一笔之后该账户余额成负数了，核一下","")))))))))))</f>
        <v/>
      </c>
    </row>
    <row r="1327" ht="16.5" spans="1:19">
      <c r="A1327" s="45"/>
      <c r="B1327" s="46"/>
      <c r="C1327" s="12" t="str">
        <f>IF($B1327="","",IFERROR(INDEX(账户银行,MATCH($B1327,账户名,0)),""))</f>
        <v/>
      </c>
      <c r="D1327" s="12" t="str">
        <f>IF($B1327="","",IFERROR(INDEX(账户币种,MATCH($B1327,账户名,0)),""))</f>
        <v/>
      </c>
      <c r="E1327" s="47"/>
      <c r="F1327" s="12" t="str">
        <f>IF($E1327="","",IFERROR(INDEX(类别属性,MATCH($E1327,类别表,0)),""))</f>
        <v/>
      </c>
      <c r="G1327" s="48"/>
      <c r="H1327" s="48"/>
      <c r="I1327" s="49"/>
      <c r="J1327" s="24" t="str">
        <f>IF(OR($A1327="",$B1327=""),"",IF($I1327&lt;&gt;"",$I1327,IF($D1327=本位币,1,IFERROR(LOOKUP(2,1/((汇率月份&lt;=$A1327)*(INDEX(记账汇率区,0,MATCH($D1327,汇率币种头,0))&lt;&gt;"")),INDEX(记账汇率区,0,MATCH($D1327,汇率币种头,0))),""))))</f>
        <v/>
      </c>
      <c r="K1327" s="23" t="str">
        <f t="shared" si="40"/>
        <v/>
      </c>
      <c r="L1327" s="23" t="str">
        <f t="shared" si="41"/>
        <v/>
      </c>
      <c r="M1327" s="23" t="str">
        <f>IF($B1327="","",ROUND(SUMIF(账户名,$B1327,账户期初)+SUMIFS($K$6:K1327,$B$6:B1327,$B1327),2))</f>
        <v/>
      </c>
      <c r="N1327" s="23" t="str">
        <f>IF($B1327="","",IFERROR(ROUND(INDEX(账户期初本位,MATCH($B1327,账户名,0))+SUMIFS($L$6:L1327,$B$6:B1327,$B1327),2),""))</f>
        <v/>
      </c>
      <c r="O1327" s="46"/>
      <c r="P1327" s="47"/>
      <c r="Q1327" s="46"/>
      <c r="R1327" s="46"/>
      <c r="S1327" s="6" t="str">
        <f>IF($B1327="","",IF(ISNA(MATCH($B1327,账户名,0)),"※这个账户不在【参数设置】的账户档案里",IF($A1327="","※没填日期，这一笔不会进任何月份的报表",IF(AND($G1327&lt;&gt;"",$H1327&lt;&gt;""),"※收入和支出不能同时填",IF(AND(N($G1327)=0,N($H1327)=0),"※收入和支出都没填",IF($E1327="","※没填收支类别，分类报表会漏掉这一笔",IF(ISNA(MATCH($E1327,类别表,0)),"※收支类别不在【参数设置】的清单里",IF($J1327="","△"&amp;$D1327&amp;" 还没填汇率，去【月度汇率】补上就自动算了",IF(YEAR($A1327)&lt;&gt;管理年度,"△不是管理年度的单据，年报里看不到",IF(AND($F1327="内部转账",$Q1327=""),"△内部转账建议在「往来单位」写上对方账户",IF($M1327&lt;0,"△这一笔之后该账户余额成负数了，核一下","")))))))))))</f>
        <v/>
      </c>
    </row>
    <row r="1328" ht="16.5" spans="1:19">
      <c r="A1328" s="45"/>
      <c r="B1328" s="46"/>
      <c r="C1328" s="12" t="str">
        <f>IF($B1328="","",IFERROR(INDEX(账户银行,MATCH($B1328,账户名,0)),""))</f>
        <v/>
      </c>
      <c r="D1328" s="12" t="str">
        <f>IF($B1328="","",IFERROR(INDEX(账户币种,MATCH($B1328,账户名,0)),""))</f>
        <v/>
      </c>
      <c r="E1328" s="47"/>
      <c r="F1328" s="12" t="str">
        <f>IF($E1328="","",IFERROR(INDEX(类别属性,MATCH($E1328,类别表,0)),""))</f>
        <v/>
      </c>
      <c r="G1328" s="48"/>
      <c r="H1328" s="48"/>
      <c r="I1328" s="49"/>
      <c r="J1328" s="24" t="str">
        <f>IF(OR($A1328="",$B1328=""),"",IF($I1328&lt;&gt;"",$I1328,IF($D1328=本位币,1,IFERROR(LOOKUP(2,1/((汇率月份&lt;=$A1328)*(INDEX(记账汇率区,0,MATCH($D1328,汇率币种头,0))&lt;&gt;"")),INDEX(记账汇率区,0,MATCH($D1328,汇率币种头,0))),""))))</f>
        <v/>
      </c>
      <c r="K1328" s="23" t="str">
        <f t="shared" si="40"/>
        <v/>
      </c>
      <c r="L1328" s="23" t="str">
        <f t="shared" si="41"/>
        <v/>
      </c>
      <c r="M1328" s="23" t="str">
        <f>IF($B1328="","",ROUND(SUMIF(账户名,$B1328,账户期初)+SUMIFS($K$6:K1328,$B$6:B1328,$B1328),2))</f>
        <v/>
      </c>
      <c r="N1328" s="23" t="str">
        <f>IF($B1328="","",IFERROR(ROUND(INDEX(账户期初本位,MATCH($B1328,账户名,0))+SUMIFS($L$6:L1328,$B$6:B1328,$B1328),2),""))</f>
        <v/>
      </c>
      <c r="O1328" s="46"/>
      <c r="P1328" s="47"/>
      <c r="Q1328" s="46"/>
      <c r="R1328" s="46"/>
      <c r="S1328" s="6" t="str">
        <f>IF($B1328="","",IF(ISNA(MATCH($B1328,账户名,0)),"※这个账户不在【参数设置】的账户档案里",IF($A1328="","※没填日期，这一笔不会进任何月份的报表",IF(AND($G1328&lt;&gt;"",$H1328&lt;&gt;""),"※收入和支出不能同时填",IF(AND(N($G1328)=0,N($H1328)=0),"※收入和支出都没填",IF($E1328="","※没填收支类别，分类报表会漏掉这一笔",IF(ISNA(MATCH($E1328,类别表,0)),"※收支类别不在【参数设置】的清单里",IF($J1328="","△"&amp;$D1328&amp;" 还没填汇率，去【月度汇率】补上就自动算了",IF(YEAR($A1328)&lt;&gt;管理年度,"△不是管理年度的单据，年报里看不到",IF(AND($F1328="内部转账",$Q1328=""),"△内部转账建议在「往来单位」写上对方账户",IF($M1328&lt;0,"△这一笔之后该账户余额成负数了，核一下","")))))))))))</f>
        <v/>
      </c>
    </row>
    <row r="1329" ht="16.5" spans="1:19">
      <c r="A1329" s="45"/>
      <c r="B1329" s="46"/>
      <c r="C1329" s="12" t="str">
        <f>IF($B1329="","",IFERROR(INDEX(账户银行,MATCH($B1329,账户名,0)),""))</f>
        <v/>
      </c>
      <c r="D1329" s="12" t="str">
        <f>IF($B1329="","",IFERROR(INDEX(账户币种,MATCH($B1329,账户名,0)),""))</f>
        <v/>
      </c>
      <c r="E1329" s="47"/>
      <c r="F1329" s="12" t="str">
        <f>IF($E1329="","",IFERROR(INDEX(类别属性,MATCH($E1329,类别表,0)),""))</f>
        <v/>
      </c>
      <c r="G1329" s="48"/>
      <c r="H1329" s="48"/>
      <c r="I1329" s="49"/>
      <c r="J1329" s="24" t="str">
        <f>IF(OR($A1329="",$B1329=""),"",IF($I1329&lt;&gt;"",$I1329,IF($D1329=本位币,1,IFERROR(LOOKUP(2,1/((汇率月份&lt;=$A1329)*(INDEX(记账汇率区,0,MATCH($D1329,汇率币种头,0))&lt;&gt;"")),INDEX(记账汇率区,0,MATCH($D1329,汇率币种头,0))),""))))</f>
        <v/>
      </c>
      <c r="K1329" s="23" t="str">
        <f t="shared" si="40"/>
        <v/>
      </c>
      <c r="L1329" s="23" t="str">
        <f t="shared" si="41"/>
        <v/>
      </c>
      <c r="M1329" s="23" t="str">
        <f>IF($B1329="","",ROUND(SUMIF(账户名,$B1329,账户期初)+SUMIFS($K$6:K1329,$B$6:B1329,$B1329),2))</f>
        <v/>
      </c>
      <c r="N1329" s="23" t="str">
        <f>IF($B1329="","",IFERROR(ROUND(INDEX(账户期初本位,MATCH($B1329,账户名,0))+SUMIFS($L$6:L1329,$B$6:B1329,$B1329),2),""))</f>
        <v/>
      </c>
      <c r="O1329" s="46"/>
      <c r="P1329" s="47"/>
      <c r="Q1329" s="46"/>
      <c r="R1329" s="46"/>
      <c r="S1329" s="6" t="str">
        <f>IF($B1329="","",IF(ISNA(MATCH($B1329,账户名,0)),"※这个账户不在【参数设置】的账户档案里",IF($A1329="","※没填日期，这一笔不会进任何月份的报表",IF(AND($G1329&lt;&gt;"",$H1329&lt;&gt;""),"※收入和支出不能同时填",IF(AND(N($G1329)=0,N($H1329)=0),"※收入和支出都没填",IF($E1329="","※没填收支类别，分类报表会漏掉这一笔",IF(ISNA(MATCH($E1329,类别表,0)),"※收支类别不在【参数设置】的清单里",IF($J1329="","△"&amp;$D1329&amp;" 还没填汇率，去【月度汇率】补上就自动算了",IF(YEAR($A1329)&lt;&gt;管理年度,"△不是管理年度的单据，年报里看不到",IF(AND($F1329="内部转账",$Q1329=""),"△内部转账建议在「往来单位」写上对方账户",IF($M1329&lt;0,"△这一笔之后该账户余额成负数了，核一下","")))))))))))</f>
        <v/>
      </c>
    </row>
    <row r="1330" ht="16.5" spans="1:19">
      <c r="A1330" s="45"/>
      <c r="B1330" s="46"/>
      <c r="C1330" s="12" t="str">
        <f>IF($B1330="","",IFERROR(INDEX(账户银行,MATCH($B1330,账户名,0)),""))</f>
        <v/>
      </c>
      <c r="D1330" s="12" t="str">
        <f>IF($B1330="","",IFERROR(INDEX(账户币种,MATCH($B1330,账户名,0)),""))</f>
        <v/>
      </c>
      <c r="E1330" s="47"/>
      <c r="F1330" s="12" t="str">
        <f>IF($E1330="","",IFERROR(INDEX(类别属性,MATCH($E1330,类别表,0)),""))</f>
        <v/>
      </c>
      <c r="G1330" s="48"/>
      <c r="H1330" s="48"/>
      <c r="I1330" s="49"/>
      <c r="J1330" s="24" t="str">
        <f>IF(OR($A1330="",$B1330=""),"",IF($I1330&lt;&gt;"",$I1330,IF($D1330=本位币,1,IFERROR(LOOKUP(2,1/((汇率月份&lt;=$A1330)*(INDEX(记账汇率区,0,MATCH($D1330,汇率币种头,0))&lt;&gt;"")),INDEX(记账汇率区,0,MATCH($D1330,汇率币种头,0))),""))))</f>
        <v/>
      </c>
      <c r="K1330" s="23" t="str">
        <f t="shared" si="40"/>
        <v/>
      </c>
      <c r="L1330" s="23" t="str">
        <f t="shared" si="41"/>
        <v/>
      </c>
      <c r="M1330" s="23" t="str">
        <f>IF($B1330="","",ROUND(SUMIF(账户名,$B1330,账户期初)+SUMIFS($K$6:K1330,$B$6:B1330,$B1330),2))</f>
        <v/>
      </c>
      <c r="N1330" s="23" t="str">
        <f>IF($B1330="","",IFERROR(ROUND(INDEX(账户期初本位,MATCH($B1330,账户名,0))+SUMIFS($L$6:L1330,$B$6:B1330,$B1330),2),""))</f>
        <v/>
      </c>
      <c r="O1330" s="46"/>
      <c r="P1330" s="47"/>
      <c r="Q1330" s="46"/>
      <c r="R1330" s="46"/>
      <c r="S1330" s="6" t="str">
        <f>IF($B1330="","",IF(ISNA(MATCH($B1330,账户名,0)),"※这个账户不在【参数设置】的账户档案里",IF($A1330="","※没填日期，这一笔不会进任何月份的报表",IF(AND($G1330&lt;&gt;"",$H1330&lt;&gt;""),"※收入和支出不能同时填",IF(AND(N($G1330)=0,N($H1330)=0),"※收入和支出都没填",IF($E1330="","※没填收支类别，分类报表会漏掉这一笔",IF(ISNA(MATCH($E1330,类别表,0)),"※收支类别不在【参数设置】的清单里",IF($J1330="","△"&amp;$D1330&amp;" 还没填汇率，去【月度汇率】补上就自动算了",IF(YEAR($A1330)&lt;&gt;管理年度,"△不是管理年度的单据，年报里看不到",IF(AND($F1330="内部转账",$Q1330=""),"△内部转账建议在「往来单位」写上对方账户",IF($M1330&lt;0,"△这一笔之后该账户余额成负数了，核一下","")))))))))))</f>
        <v/>
      </c>
    </row>
    <row r="1331" ht="16.5" spans="1:19">
      <c r="A1331" s="45"/>
      <c r="B1331" s="46"/>
      <c r="C1331" s="12" t="str">
        <f>IF($B1331="","",IFERROR(INDEX(账户银行,MATCH($B1331,账户名,0)),""))</f>
        <v/>
      </c>
      <c r="D1331" s="12" t="str">
        <f>IF($B1331="","",IFERROR(INDEX(账户币种,MATCH($B1331,账户名,0)),""))</f>
        <v/>
      </c>
      <c r="E1331" s="47"/>
      <c r="F1331" s="12" t="str">
        <f>IF($E1331="","",IFERROR(INDEX(类别属性,MATCH($E1331,类别表,0)),""))</f>
        <v/>
      </c>
      <c r="G1331" s="48"/>
      <c r="H1331" s="48"/>
      <c r="I1331" s="49"/>
      <c r="J1331" s="24" t="str">
        <f>IF(OR($A1331="",$B1331=""),"",IF($I1331&lt;&gt;"",$I1331,IF($D1331=本位币,1,IFERROR(LOOKUP(2,1/((汇率月份&lt;=$A1331)*(INDEX(记账汇率区,0,MATCH($D1331,汇率币种头,0))&lt;&gt;"")),INDEX(记账汇率区,0,MATCH($D1331,汇率币种头,0))),""))))</f>
        <v/>
      </c>
      <c r="K1331" s="23" t="str">
        <f t="shared" si="40"/>
        <v/>
      </c>
      <c r="L1331" s="23" t="str">
        <f t="shared" si="41"/>
        <v/>
      </c>
      <c r="M1331" s="23" t="str">
        <f>IF($B1331="","",ROUND(SUMIF(账户名,$B1331,账户期初)+SUMIFS($K$6:K1331,$B$6:B1331,$B1331),2))</f>
        <v/>
      </c>
      <c r="N1331" s="23" t="str">
        <f>IF($B1331="","",IFERROR(ROUND(INDEX(账户期初本位,MATCH($B1331,账户名,0))+SUMIFS($L$6:L1331,$B$6:B1331,$B1331),2),""))</f>
        <v/>
      </c>
      <c r="O1331" s="46"/>
      <c r="P1331" s="47"/>
      <c r="Q1331" s="46"/>
      <c r="R1331" s="46"/>
      <c r="S1331" s="6" t="str">
        <f>IF($B1331="","",IF(ISNA(MATCH($B1331,账户名,0)),"※这个账户不在【参数设置】的账户档案里",IF($A1331="","※没填日期，这一笔不会进任何月份的报表",IF(AND($G1331&lt;&gt;"",$H1331&lt;&gt;""),"※收入和支出不能同时填",IF(AND(N($G1331)=0,N($H1331)=0),"※收入和支出都没填",IF($E1331="","※没填收支类别，分类报表会漏掉这一笔",IF(ISNA(MATCH($E1331,类别表,0)),"※收支类别不在【参数设置】的清单里",IF($J1331="","△"&amp;$D1331&amp;" 还没填汇率，去【月度汇率】补上就自动算了",IF(YEAR($A1331)&lt;&gt;管理年度,"△不是管理年度的单据，年报里看不到",IF(AND($F1331="内部转账",$Q1331=""),"△内部转账建议在「往来单位」写上对方账户",IF($M1331&lt;0,"△这一笔之后该账户余额成负数了，核一下","")))))))))))</f>
        <v/>
      </c>
    </row>
    <row r="1332" ht="16.5" spans="1:19">
      <c r="A1332" s="45"/>
      <c r="B1332" s="46"/>
      <c r="C1332" s="12" t="str">
        <f>IF($B1332="","",IFERROR(INDEX(账户银行,MATCH($B1332,账户名,0)),""))</f>
        <v/>
      </c>
      <c r="D1332" s="12" t="str">
        <f>IF($B1332="","",IFERROR(INDEX(账户币种,MATCH($B1332,账户名,0)),""))</f>
        <v/>
      </c>
      <c r="E1332" s="47"/>
      <c r="F1332" s="12" t="str">
        <f>IF($E1332="","",IFERROR(INDEX(类别属性,MATCH($E1332,类别表,0)),""))</f>
        <v/>
      </c>
      <c r="G1332" s="48"/>
      <c r="H1332" s="48"/>
      <c r="I1332" s="49"/>
      <c r="J1332" s="24" t="str">
        <f>IF(OR($A1332="",$B1332=""),"",IF($I1332&lt;&gt;"",$I1332,IF($D1332=本位币,1,IFERROR(LOOKUP(2,1/((汇率月份&lt;=$A1332)*(INDEX(记账汇率区,0,MATCH($D1332,汇率币种头,0))&lt;&gt;"")),INDEX(记账汇率区,0,MATCH($D1332,汇率币种头,0))),""))))</f>
        <v/>
      </c>
      <c r="K1332" s="23" t="str">
        <f t="shared" si="40"/>
        <v/>
      </c>
      <c r="L1332" s="23" t="str">
        <f t="shared" si="41"/>
        <v/>
      </c>
      <c r="M1332" s="23" t="str">
        <f>IF($B1332="","",ROUND(SUMIF(账户名,$B1332,账户期初)+SUMIFS($K$6:K1332,$B$6:B1332,$B1332),2))</f>
        <v/>
      </c>
      <c r="N1332" s="23" t="str">
        <f>IF($B1332="","",IFERROR(ROUND(INDEX(账户期初本位,MATCH($B1332,账户名,0))+SUMIFS($L$6:L1332,$B$6:B1332,$B1332),2),""))</f>
        <v/>
      </c>
      <c r="O1332" s="46"/>
      <c r="P1332" s="47"/>
      <c r="Q1332" s="46"/>
      <c r="R1332" s="46"/>
      <c r="S1332" s="6" t="str">
        <f>IF($B1332="","",IF(ISNA(MATCH($B1332,账户名,0)),"※这个账户不在【参数设置】的账户档案里",IF($A1332="","※没填日期，这一笔不会进任何月份的报表",IF(AND($G1332&lt;&gt;"",$H1332&lt;&gt;""),"※收入和支出不能同时填",IF(AND(N($G1332)=0,N($H1332)=0),"※收入和支出都没填",IF($E1332="","※没填收支类别，分类报表会漏掉这一笔",IF(ISNA(MATCH($E1332,类别表,0)),"※收支类别不在【参数设置】的清单里",IF($J1332="","△"&amp;$D1332&amp;" 还没填汇率，去【月度汇率】补上就自动算了",IF(YEAR($A1332)&lt;&gt;管理年度,"△不是管理年度的单据，年报里看不到",IF(AND($F1332="内部转账",$Q1332=""),"△内部转账建议在「往来单位」写上对方账户",IF($M1332&lt;0,"△这一笔之后该账户余额成负数了，核一下","")))))))))))</f>
        <v/>
      </c>
    </row>
    <row r="1333" ht="16.5" spans="1:19">
      <c r="A1333" s="45"/>
      <c r="B1333" s="46"/>
      <c r="C1333" s="12" t="str">
        <f>IF($B1333="","",IFERROR(INDEX(账户银行,MATCH($B1333,账户名,0)),""))</f>
        <v/>
      </c>
      <c r="D1333" s="12" t="str">
        <f>IF($B1333="","",IFERROR(INDEX(账户币种,MATCH($B1333,账户名,0)),""))</f>
        <v/>
      </c>
      <c r="E1333" s="47"/>
      <c r="F1333" s="12" t="str">
        <f>IF($E1333="","",IFERROR(INDEX(类别属性,MATCH($E1333,类别表,0)),""))</f>
        <v/>
      </c>
      <c r="G1333" s="48"/>
      <c r="H1333" s="48"/>
      <c r="I1333" s="49"/>
      <c r="J1333" s="24" t="str">
        <f>IF(OR($A1333="",$B1333=""),"",IF($I1333&lt;&gt;"",$I1333,IF($D1333=本位币,1,IFERROR(LOOKUP(2,1/((汇率月份&lt;=$A1333)*(INDEX(记账汇率区,0,MATCH($D1333,汇率币种头,0))&lt;&gt;"")),INDEX(记账汇率区,0,MATCH($D1333,汇率币种头,0))),""))))</f>
        <v/>
      </c>
      <c r="K1333" s="23" t="str">
        <f t="shared" si="40"/>
        <v/>
      </c>
      <c r="L1333" s="23" t="str">
        <f t="shared" si="41"/>
        <v/>
      </c>
      <c r="M1333" s="23" t="str">
        <f>IF($B1333="","",ROUND(SUMIF(账户名,$B1333,账户期初)+SUMIFS($K$6:K1333,$B$6:B1333,$B1333),2))</f>
        <v/>
      </c>
      <c r="N1333" s="23" t="str">
        <f>IF($B1333="","",IFERROR(ROUND(INDEX(账户期初本位,MATCH($B1333,账户名,0))+SUMIFS($L$6:L1333,$B$6:B1333,$B1333),2),""))</f>
        <v/>
      </c>
      <c r="O1333" s="46"/>
      <c r="P1333" s="47"/>
      <c r="Q1333" s="46"/>
      <c r="R1333" s="46"/>
      <c r="S1333" s="6" t="str">
        <f>IF($B1333="","",IF(ISNA(MATCH($B1333,账户名,0)),"※这个账户不在【参数设置】的账户档案里",IF($A1333="","※没填日期，这一笔不会进任何月份的报表",IF(AND($G1333&lt;&gt;"",$H1333&lt;&gt;""),"※收入和支出不能同时填",IF(AND(N($G1333)=0,N($H1333)=0),"※收入和支出都没填",IF($E1333="","※没填收支类别，分类报表会漏掉这一笔",IF(ISNA(MATCH($E1333,类别表,0)),"※收支类别不在【参数设置】的清单里",IF($J1333="","△"&amp;$D1333&amp;" 还没填汇率，去【月度汇率】补上就自动算了",IF(YEAR($A1333)&lt;&gt;管理年度,"△不是管理年度的单据，年报里看不到",IF(AND($F1333="内部转账",$Q1333=""),"△内部转账建议在「往来单位」写上对方账户",IF($M1333&lt;0,"△这一笔之后该账户余额成负数了，核一下","")))))))))))</f>
        <v/>
      </c>
    </row>
    <row r="1334" ht="16.5" spans="1:19">
      <c r="A1334" s="45"/>
      <c r="B1334" s="46"/>
      <c r="C1334" s="12" t="str">
        <f>IF($B1334="","",IFERROR(INDEX(账户银行,MATCH($B1334,账户名,0)),""))</f>
        <v/>
      </c>
      <c r="D1334" s="12" t="str">
        <f>IF($B1334="","",IFERROR(INDEX(账户币种,MATCH($B1334,账户名,0)),""))</f>
        <v/>
      </c>
      <c r="E1334" s="47"/>
      <c r="F1334" s="12" t="str">
        <f>IF($E1334="","",IFERROR(INDEX(类别属性,MATCH($E1334,类别表,0)),""))</f>
        <v/>
      </c>
      <c r="G1334" s="48"/>
      <c r="H1334" s="48"/>
      <c r="I1334" s="49"/>
      <c r="J1334" s="24" t="str">
        <f>IF(OR($A1334="",$B1334=""),"",IF($I1334&lt;&gt;"",$I1334,IF($D1334=本位币,1,IFERROR(LOOKUP(2,1/((汇率月份&lt;=$A1334)*(INDEX(记账汇率区,0,MATCH($D1334,汇率币种头,0))&lt;&gt;"")),INDEX(记账汇率区,0,MATCH($D1334,汇率币种头,0))),""))))</f>
        <v/>
      </c>
      <c r="K1334" s="23" t="str">
        <f t="shared" si="40"/>
        <v/>
      </c>
      <c r="L1334" s="23" t="str">
        <f t="shared" si="41"/>
        <v/>
      </c>
      <c r="M1334" s="23" t="str">
        <f>IF($B1334="","",ROUND(SUMIF(账户名,$B1334,账户期初)+SUMIFS($K$6:K1334,$B$6:B1334,$B1334),2))</f>
        <v/>
      </c>
      <c r="N1334" s="23" t="str">
        <f>IF($B1334="","",IFERROR(ROUND(INDEX(账户期初本位,MATCH($B1334,账户名,0))+SUMIFS($L$6:L1334,$B$6:B1334,$B1334),2),""))</f>
        <v/>
      </c>
      <c r="O1334" s="46"/>
      <c r="P1334" s="47"/>
      <c r="Q1334" s="46"/>
      <c r="R1334" s="46"/>
      <c r="S1334" s="6" t="str">
        <f>IF($B1334="","",IF(ISNA(MATCH($B1334,账户名,0)),"※这个账户不在【参数设置】的账户档案里",IF($A1334="","※没填日期，这一笔不会进任何月份的报表",IF(AND($G1334&lt;&gt;"",$H1334&lt;&gt;""),"※收入和支出不能同时填",IF(AND(N($G1334)=0,N($H1334)=0),"※收入和支出都没填",IF($E1334="","※没填收支类别，分类报表会漏掉这一笔",IF(ISNA(MATCH($E1334,类别表,0)),"※收支类别不在【参数设置】的清单里",IF($J1334="","△"&amp;$D1334&amp;" 还没填汇率，去【月度汇率】补上就自动算了",IF(YEAR($A1334)&lt;&gt;管理年度,"△不是管理年度的单据，年报里看不到",IF(AND($F1334="内部转账",$Q1334=""),"△内部转账建议在「往来单位」写上对方账户",IF($M1334&lt;0,"△这一笔之后该账户余额成负数了，核一下","")))))))))))</f>
        <v/>
      </c>
    </row>
    <row r="1335" ht="16.5" spans="1:19">
      <c r="A1335" s="45"/>
      <c r="B1335" s="46"/>
      <c r="C1335" s="12" t="str">
        <f>IF($B1335="","",IFERROR(INDEX(账户银行,MATCH($B1335,账户名,0)),""))</f>
        <v/>
      </c>
      <c r="D1335" s="12" t="str">
        <f>IF($B1335="","",IFERROR(INDEX(账户币种,MATCH($B1335,账户名,0)),""))</f>
        <v/>
      </c>
      <c r="E1335" s="47"/>
      <c r="F1335" s="12" t="str">
        <f>IF($E1335="","",IFERROR(INDEX(类别属性,MATCH($E1335,类别表,0)),""))</f>
        <v/>
      </c>
      <c r="G1335" s="48"/>
      <c r="H1335" s="48"/>
      <c r="I1335" s="49"/>
      <c r="J1335" s="24" t="str">
        <f>IF(OR($A1335="",$B1335=""),"",IF($I1335&lt;&gt;"",$I1335,IF($D1335=本位币,1,IFERROR(LOOKUP(2,1/((汇率月份&lt;=$A1335)*(INDEX(记账汇率区,0,MATCH($D1335,汇率币种头,0))&lt;&gt;"")),INDEX(记账汇率区,0,MATCH($D1335,汇率币种头,0))),""))))</f>
        <v/>
      </c>
      <c r="K1335" s="23" t="str">
        <f t="shared" si="40"/>
        <v/>
      </c>
      <c r="L1335" s="23" t="str">
        <f t="shared" si="41"/>
        <v/>
      </c>
      <c r="M1335" s="23" t="str">
        <f>IF($B1335="","",ROUND(SUMIF(账户名,$B1335,账户期初)+SUMIFS($K$6:K1335,$B$6:B1335,$B1335),2))</f>
        <v/>
      </c>
      <c r="N1335" s="23" t="str">
        <f>IF($B1335="","",IFERROR(ROUND(INDEX(账户期初本位,MATCH($B1335,账户名,0))+SUMIFS($L$6:L1335,$B$6:B1335,$B1335),2),""))</f>
        <v/>
      </c>
      <c r="O1335" s="46"/>
      <c r="P1335" s="47"/>
      <c r="Q1335" s="46"/>
      <c r="R1335" s="46"/>
      <c r="S1335" s="6" t="str">
        <f>IF($B1335="","",IF(ISNA(MATCH($B1335,账户名,0)),"※这个账户不在【参数设置】的账户档案里",IF($A1335="","※没填日期，这一笔不会进任何月份的报表",IF(AND($G1335&lt;&gt;"",$H1335&lt;&gt;""),"※收入和支出不能同时填",IF(AND(N($G1335)=0,N($H1335)=0),"※收入和支出都没填",IF($E1335="","※没填收支类别，分类报表会漏掉这一笔",IF(ISNA(MATCH($E1335,类别表,0)),"※收支类别不在【参数设置】的清单里",IF($J1335="","△"&amp;$D1335&amp;" 还没填汇率，去【月度汇率】补上就自动算了",IF(YEAR($A1335)&lt;&gt;管理年度,"△不是管理年度的单据，年报里看不到",IF(AND($F1335="内部转账",$Q1335=""),"△内部转账建议在「往来单位」写上对方账户",IF($M1335&lt;0,"△这一笔之后该账户余额成负数了，核一下","")))))))))))</f>
        <v/>
      </c>
    </row>
    <row r="1336" ht="16.5" spans="1:19">
      <c r="A1336" s="45"/>
      <c r="B1336" s="46"/>
      <c r="C1336" s="12" t="str">
        <f>IF($B1336="","",IFERROR(INDEX(账户银行,MATCH($B1336,账户名,0)),""))</f>
        <v/>
      </c>
      <c r="D1336" s="12" t="str">
        <f>IF($B1336="","",IFERROR(INDEX(账户币种,MATCH($B1336,账户名,0)),""))</f>
        <v/>
      </c>
      <c r="E1336" s="47"/>
      <c r="F1336" s="12" t="str">
        <f>IF($E1336="","",IFERROR(INDEX(类别属性,MATCH($E1336,类别表,0)),""))</f>
        <v/>
      </c>
      <c r="G1336" s="48"/>
      <c r="H1336" s="48"/>
      <c r="I1336" s="49"/>
      <c r="J1336" s="24" t="str">
        <f>IF(OR($A1336="",$B1336=""),"",IF($I1336&lt;&gt;"",$I1336,IF($D1336=本位币,1,IFERROR(LOOKUP(2,1/((汇率月份&lt;=$A1336)*(INDEX(记账汇率区,0,MATCH($D1336,汇率币种头,0))&lt;&gt;"")),INDEX(记账汇率区,0,MATCH($D1336,汇率币种头,0))),""))))</f>
        <v/>
      </c>
      <c r="K1336" s="23" t="str">
        <f t="shared" si="40"/>
        <v/>
      </c>
      <c r="L1336" s="23" t="str">
        <f t="shared" si="41"/>
        <v/>
      </c>
      <c r="M1336" s="23" t="str">
        <f>IF($B1336="","",ROUND(SUMIF(账户名,$B1336,账户期初)+SUMIFS($K$6:K1336,$B$6:B1336,$B1336),2))</f>
        <v/>
      </c>
      <c r="N1336" s="23" t="str">
        <f>IF($B1336="","",IFERROR(ROUND(INDEX(账户期初本位,MATCH($B1336,账户名,0))+SUMIFS($L$6:L1336,$B$6:B1336,$B1336),2),""))</f>
        <v/>
      </c>
      <c r="O1336" s="46"/>
      <c r="P1336" s="47"/>
      <c r="Q1336" s="46"/>
      <c r="R1336" s="46"/>
      <c r="S1336" s="6" t="str">
        <f>IF($B1336="","",IF(ISNA(MATCH($B1336,账户名,0)),"※这个账户不在【参数设置】的账户档案里",IF($A1336="","※没填日期，这一笔不会进任何月份的报表",IF(AND($G1336&lt;&gt;"",$H1336&lt;&gt;""),"※收入和支出不能同时填",IF(AND(N($G1336)=0,N($H1336)=0),"※收入和支出都没填",IF($E1336="","※没填收支类别，分类报表会漏掉这一笔",IF(ISNA(MATCH($E1336,类别表,0)),"※收支类别不在【参数设置】的清单里",IF($J1336="","△"&amp;$D1336&amp;" 还没填汇率，去【月度汇率】补上就自动算了",IF(YEAR($A1336)&lt;&gt;管理年度,"△不是管理年度的单据，年报里看不到",IF(AND($F1336="内部转账",$Q1336=""),"△内部转账建议在「往来单位」写上对方账户",IF($M1336&lt;0,"△这一笔之后该账户余额成负数了，核一下","")))))))))))</f>
        <v/>
      </c>
    </row>
    <row r="1337" ht="16.5" spans="1:19">
      <c r="A1337" s="45"/>
      <c r="B1337" s="46"/>
      <c r="C1337" s="12" t="str">
        <f>IF($B1337="","",IFERROR(INDEX(账户银行,MATCH($B1337,账户名,0)),""))</f>
        <v/>
      </c>
      <c r="D1337" s="12" t="str">
        <f>IF($B1337="","",IFERROR(INDEX(账户币种,MATCH($B1337,账户名,0)),""))</f>
        <v/>
      </c>
      <c r="E1337" s="47"/>
      <c r="F1337" s="12" t="str">
        <f>IF($E1337="","",IFERROR(INDEX(类别属性,MATCH($E1337,类别表,0)),""))</f>
        <v/>
      </c>
      <c r="G1337" s="48"/>
      <c r="H1337" s="48"/>
      <c r="I1337" s="49"/>
      <c r="J1337" s="24" t="str">
        <f>IF(OR($A1337="",$B1337=""),"",IF($I1337&lt;&gt;"",$I1337,IF($D1337=本位币,1,IFERROR(LOOKUP(2,1/((汇率月份&lt;=$A1337)*(INDEX(记账汇率区,0,MATCH($D1337,汇率币种头,0))&lt;&gt;"")),INDEX(记账汇率区,0,MATCH($D1337,汇率币种头,0))),""))))</f>
        <v/>
      </c>
      <c r="K1337" s="23" t="str">
        <f t="shared" si="40"/>
        <v/>
      </c>
      <c r="L1337" s="23" t="str">
        <f t="shared" si="41"/>
        <v/>
      </c>
      <c r="M1337" s="23" t="str">
        <f>IF($B1337="","",ROUND(SUMIF(账户名,$B1337,账户期初)+SUMIFS($K$6:K1337,$B$6:B1337,$B1337),2))</f>
        <v/>
      </c>
      <c r="N1337" s="23" t="str">
        <f>IF($B1337="","",IFERROR(ROUND(INDEX(账户期初本位,MATCH($B1337,账户名,0))+SUMIFS($L$6:L1337,$B$6:B1337,$B1337),2),""))</f>
        <v/>
      </c>
      <c r="O1337" s="46"/>
      <c r="P1337" s="47"/>
      <c r="Q1337" s="46"/>
      <c r="R1337" s="46"/>
      <c r="S1337" s="6" t="str">
        <f>IF($B1337="","",IF(ISNA(MATCH($B1337,账户名,0)),"※这个账户不在【参数设置】的账户档案里",IF($A1337="","※没填日期，这一笔不会进任何月份的报表",IF(AND($G1337&lt;&gt;"",$H1337&lt;&gt;""),"※收入和支出不能同时填",IF(AND(N($G1337)=0,N($H1337)=0),"※收入和支出都没填",IF($E1337="","※没填收支类别，分类报表会漏掉这一笔",IF(ISNA(MATCH($E1337,类别表,0)),"※收支类别不在【参数设置】的清单里",IF($J1337="","△"&amp;$D1337&amp;" 还没填汇率，去【月度汇率】补上就自动算了",IF(YEAR($A1337)&lt;&gt;管理年度,"△不是管理年度的单据，年报里看不到",IF(AND($F1337="内部转账",$Q1337=""),"△内部转账建议在「往来单位」写上对方账户",IF($M1337&lt;0,"△这一笔之后该账户余额成负数了，核一下","")))))))))))</f>
        <v/>
      </c>
    </row>
    <row r="1338" ht="16.5" spans="1:19">
      <c r="A1338" s="45"/>
      <c r="B1338" s="46"/>
      <c r="C1338" s="12" t="str">
        <f>IF($B1338="","",IFERROR(INDEX(账户银行,MATCH($B1338,账户名,0)),""))</f>
        <v/>
      </c>
      <c r="D1338" s="12" t="str">
        <f>IF($B1338="","",IFERROR(INDEX(账户币种,MATCH($B1338,账户名,0)),""))</f>
        <v/>
      </c>
      <c r="E1338" s="47"/>
      <c r="F1338" s="12" t="str">
        <f>IF($E1338="","",IFERROR(INDEX(类别属性,MATCH($E1338,类别表,0)),""))</f>
        <v/>
      </c>
      <c r="G1338" s="48"/>
      <c r="H1338" s="48"/>
      <c r="I1338" s="49"/>
      <c r="J1338" s="24" t="str">
        <f>IF(OR($A1338="",$B1338=""),"",IF($I1338&lt;&gt;"",$I1338,IF($D1338=本位币,1,IFERROR(LOOKUP(2,1/((汇率月份&lt;=$A1338)*(INDEX(记账汇率区,0,MATCH($D1338,汇率币种头,0))&lt;&gt;"")),INDEX(记账汇率区,0,MATCH($D1338,汇率币种头,0))),""))))</f>
        <v/>
      </c>
      <c r="K1338" s="23" t="str">
        <f t="shared" si="40"/>
        <v/>
      </c>
      <c r="L1338" s="23" t="str">
        <f t="shared" si="41"/>
        <v/>
      </c>
      <c r="M1338" s="23" t="str">
        <f>IF($B1338="","",ROUND(SUMIF(账户名,$B1338,账户期初)+SUMIFS($K$6:K1338,$B$6:B1338,$B1338),2))</f>
        <v/>
      </c>
      <c r="N1338" s="23" t="str">
        <f>IF($B1338="","",IFERROR(ROUND(INDEX(账户期初本位,MATCH($B1338,账户名,0))+SUMIFS($L$6:L1338,$B$6:B1338,$B1338),2),""))</f>
        <v/>
      </c>
      <c r="O1338" s="46"/>
      <c r="P1338" s="47"/>
      <c r="Q1338" s="46"/>
      <c r="R1338" s="46"/>
      <c r="S1338" s="6" t="str">
        <f>IF($B1338="","",IF(ISNA(MATCH($B1338,账户名,0)),"※这个账户不在【参数设置】的账户档案里",IF($A1338="","※没填日期，这一笔不会进任何月份的报表",IF(AND($G1338&lt;&gt;"",$H1338&lt;&gt;""),"※收入和支出不能同时填",IF(AND(N($G1338)=0,N($H1338)=0),"※收入和支出都没填",IF($E1338="","※没填收支类别，分类报表会漏掉这一笔",IF(ISNA(MATCH($E1338,类别表,0)),"※收支类别不在【参数设置】的清单里",IF($J1338="","△"&amp;$D1338&amp;" 还没填汇率，去【月度汇率】补上就自动算了",IF(YEAR($A1338)&lt;&gt;管理年度,"△不是管理年度的单据，年报里看不到",IF(AND($F1338="内部转账",$Q1338=""),"△内部转账建议在「往来单位」写上对方账户",IF($M1338&lt;0,"△这一笔之后该账户余额成负数了，核一下","")))))))))))</f>
        <v/>
      </c>
    </row>
    <row r="1339" ht="16.5" spans="1:19">
      <c r="A1339" s="45"/>
      <c r="B1339" s="46"/>
      <c r="C1339" s="12" t="str">
        <f>IF($B1339="","",IFERROR(INDEX(账户银行,MATCH($B1339,账户名,0)),""))</f>
        <v/>
      </c>
      <c r="D1339" s="12" t="str">
        <f>IF($B1339="","",IFERROR(INDEX(账户币种,MATCH($B1339,账户名,0)),""))</f>
        <v/>
      </c>
      <c r="E1339" s="47"/>
      <c r="F1339" s="12" t="str">
        <f>IF($E1339="","",IFERROR(INDEX(类别属性,MATCH($E1339,类别表,0)),""))</f>
        <v/>
      </c>
      <c r="G1339" s="48"/>
      <c r="H1339" s="48"/>
      <c r="I1339" s="49"/>
      <c r="J1339" s="24" t="str">
        <f>IF(OR($A1339="",$B1339=""),"",IF($I1339&lt;&gt;"",$I1339,IF($D1339=本位币,1,IFERROR(LOOKUP(2,1/((汇率月份&lt;=$A1339)*(INDEX(记账汇率区,0,MATCH($D1339,汇率币种头,0))&lt;&gt;"")),INDEX(记账汇率区,0,MATCH($D1339,汇率币种头,0))),""))))</f>
        <v/>
      </c>
      <c r="K1339" s="23" t="str">
        <f t="shared" si="40"/>
        <v/>
      </c>
      <c r="L1339" s="23" t="str">
        <f t="shared" si="41"/>
        <v/>
      </c>
      <c r="M1339" s="23" t="str">
        <f>IF($B1339="","",ROUND(SUMIF(账户名,$B1339,账户期初)+SUMIFS($K$6:K1339,$B$6:B1339,$B1339),2))</f>
        <v/>
      </c>
      <c r="N1339" s="23" t="str">
        <f>IF($B1339="","",IFERROR(ROUND(INDEX(账户期初本位,MATCH($B1339,账户名,0))+SUMIFS($L$6:L1339,$B$6:B1339,$B1339),2),""))</f>
        <v/>
      </c>
      <c r="O1339" s="46"/>
      <c r="P1339" s="47"/>
      <c r="Q1339" s="46"/>
      <c r="R1339" s="46"/>
      <c r="S1339" s="6" t="str">
        <f>IF($B1339="","",IF(ISNA(MATCH($B1339,账户名,0)),"※这个账户不在【参数设置】的账户档案里",IF($A1339="","※没填日期，这一笔不会进任何月份的报表",IF(AND($G1339&lt;&gt;"",$H1339&lt;&gt;""),"※收入和支出不能同时填",IF(AND(N($G1339)=0,N($H1339)=0),"※收入和支出都没填",IF($E1339="","※没填收支类别，分类报表会漏掉这一笔",IF(ISNA(MATCH($E1339,类别表,0)),"※收支类别不在【参数设置】的清单里",IF($J1339="","△"&amp;$D1339&amp;" 还没填汇率，去【月度汇率】补上就自动算了",IF(YEAR($A1339)&lt;&gt;管理年度,"△不是管理年度的单据，年报里看不到",IF(AND($F1339="内部转账",$Q1339=""),"△内部转账建议在「往来单位」写上对方账户",IF($M1339&lt;0,"△这一笔之后该账户余额成负数了，核一下","")))))))))))</f>
        <v/>
      </c>
    </row>
    <row r="1340" ht="16.5" spans="1:19">
      <c r="A1340" s="45"/>
      <c r="B1340" s="46"/>
      <c r="C1340" s="12" t="str">
        <f>IF($B1340="","",IFERROR(INDEX(账户银行,MATCH($B1340,账户名,0)),""))</f>
        <v/>
      </c>
      <c r="D1340" s="12" t="str">
        <f>IF($B1340="","",IFERROR(INDEX(账户币种,MATCH($B1340,账户名,0)),""))</f>
        <v/>
      </c>
      <c r="E1340" s="47"/>
      <c r="F1340" s="12" t="str">
        <f>IF($E1340="","",IFERROR(INDEX(类别属性,MATCH($E1340,类别表,0)),""))</f>
        <v/>
      </c>
      <c r="G1340" s="48"/>
      <c r="H1340" s="48"/>
      <c r="I1340" s="49"/>
      <c r="J1340" s="24" t="str">
        <f>IF(OR($A1340="",$B1340=""),"",IF($I1340&lt;&gt;"",$I1340,IF($D1340=本位币,1,IFERROR(LOOKUP(2,1/((汇率月份&lt;=$A1340)*(INDEX(记账汇率区,0,MATCH($D1340,汇率币种头,0))&lt;&gt;"")),INDEX(记账汇率区,0,MATCH($D1340,汇率币种头,0))),""))))</f>
        <v/>
      </c>
      <c r="K1340" s="23" t="str">
        <f t="shared" si="40"/>
        <v/>
      </c>
      <c r="L1340" s="23" t="str">
        <f t="shared" si="41"/>
        <v/>
      </c>
      <c r="M1340" s="23" t="str">
        <f>IF($B1340="","",ROUND(SUMIF(账户名,$B1340,账户期初)+SUMIFS($K$6:K1340,$B$6:B1340,$B1340),2))</f>
        <v/>
      </c>
      <c r="N1340" s="23" t="str">
        <f>IF($B1340="","",IFERROR(ROUND(INDEX(账户期初本位,MATCH($B1340,账户名,0))+SUMIFS($L$6:L1340,$B$6:B1340,$B1340),2),""))</f>
        <v/>
      </c>
      <c r="O1340" s="46"/>
      <c r="P1340" s="47"/>
      <c r="Q1340" s="46"/>
      <c r="R1340" s="46"/>
      <c r="S1340" s="6" t="str">
        <f>IF($B1340="","",IF(ISNA(MATCH($B1340,账户名,0)),"※这个账户不在【参数设置】的账户档案里",IF($A1340="","※没填日期，这一笔不会进任何月份的报表",IF(AND($G1340&lt;&gt;"",$H1340&lt;&gt;""),"※收入和支出不能同时填",IF(AND(N($G1340)=0,N($H1340)=0),"※收入和支出都没填",IF($E1340="","※没填收支类别，分类报表会漏掉这一笔",IF(ISNA(MATCH($E1340,类别表,0)),"※收支类别不在【参数设置】的清单里",IF($J1340="","△"&amp;$D1340&amp;" 还没填汇率，去【月度汇率】补上就自动算了",IF(YEAR($A1340)&lt;&gt;管理年度,"△不是管理年度的单据，年报里看不到",IF(AND($F1340="内部转账",$Q1340=""),"△内部转账建议在「往来单位」写上对方账户",IF($M1340&lt;0,"△这一笔之后该账户余额成负数了，核一下","")))))))))))</f>
        <v/>
      </c>
    </row>
    <row r="1341" ht="16.5" spans="1:19">
      <c r="A1341" s="45"/>
      <c r="B1341" s="46"/>
      <c r="C1341" s="12" t="str">
        <f>IF($B1341="","",IFERROR(INDEX(账户银行,MATCH($B1341,账户名,0)),""))</f>
        <v/>
      </c>
      <c r="D1341" s="12" t="str">
        <f>IF($B1341="","",IFERROR(INDEX(账户币种,MATCH($B1341,账户名,0)),""))</f>
        <v/>
      </c>
      <c r="E1341" s="47"/>
      <c r="F1341" s="12" t="str">
        <f>IF($E1341="","",IFERROR(INDEX(类别属性,MATCH($E1341,类别表,0)),""))</f>
        <v/>
      </c>
      <c r="G1341" s="48"/>
      <c r="H1341" s="48"/>
      <c r="I1341" s="49"/>
      <c r="J1341" s="24" t="str">
        <f>IF(OR($A1341="",$B1341=""),"",IF($I1341&lt;&gt;"",$I1341,IF($D1341=本位币,1,IFERROR(LOOKUP(2,1/((汇率月份&lt;=$A1341)*(INDEX(记账汇率区,0,MATCH($D1341,汇率币种头,0))&lt;&gt;"")),INDEX(记账汇率区,0,MATCH($D1341,汇率币种头,0))),""))))</f>
        <v/>
      </c>
      <c r="K1341" s="23" t="str">
        <f t="shared" si="40"/>
        <v/>
      </c>
      <c r="L1341" s="23" t="str">
        <f t="shared" si="41"/>
        <v/>
      </c>
      <c r="M1341" s="23" t="str">
        <f>IF($B1341="","",ROUND(SUMIF(账户名,$B1341,账户期初)+SUMIFS($K$6:K1341,$B$6:B1341,$B1341),2))</f>
        <v/>
      </c>
      <c r="N1341" s="23" t="str">
        <f>IF($B1341="","",IFERROR(ROUND(INDEX(账户期初本位,MATCH($B1341,账户名,0))+SUMIFS($L$6:L1341,$B$6:B1341,$B1341),2),""))</f>
        <v/>
      </c>
      <c r="O1341" s="46"/>
      <c r="P1341" s="47"/>
      <c r="Q1341" s="46"/>
      <c r="R1341" s="46"/>
      <c r="S1341" s="6" t="str">
        <f>IF($B1341="","",IF(ISNA(MATCH($B1341,账户名,0)),"※这个账户不在【参数设置】的账户档案里",IF($A1341="","※没填日期，这一笔不会进任何月份的报表",IF(AND($G1341&lt;&gt;"",$H1341&lt;&gt;""),"※收入和支出不能同时填",IF(AND(N($G1341)=0,N($H1341)=0),"※收入和支出都没填",IF($E1341="","※没填收支类别，分类报表会漏掉这一笔",IF(ISNA(MATCH($E1341,类别表,0)),"※收支类别不在【参数设置】的清单里",IF($J1341="","△"&amp;$D1341&amp;" 还没填汇率，去【月度汇率】补上就自动算了",IF(YEAR($A1341)&lt;&gt;管理年度,"△不是管理年度的单据，年报里看不到",IF(AND($F1341="内部转账",$Q1341=""),"△内部转账建议在「往来单位」写上对方账户",IF($M1341&lt;0,"△这一笔之后该账户余额成负数了，核一下","")))))))))))</f>
        <v/>
      </c>
    </row>
    <row r="1342" ht="16.5" spans="1:19">
      <c r="A1342" s="45"/>
      <c r="B1342" s="46"/>
      <c r="C1342" s="12" t="str">
        <f>IF($B1342="","",IFERROR(INDEX(账户银行,MATCH($B1342,账户名,0)),""))</f>
        <v/>
      </c>
      <c r="D1342" s="12" t="str">
        <f>IF($B1342="","",IFERROR(INDEX(账户币种,MATCH($B1342,账户名,0)),""))</f>
        <v/>
      </c>
      <c r="E1342" s="47"/>
      <c r="F1342" s="12" t="str">
        <f>IF($E1342="","",IFERROR(INDEX(类别属性,MATCH($E1342,类别表,0)),""))</f>
        <v/>
      </c>
      <c r="G1342" s="48"/>
      <c r="H1342" s="48"/>
      <c r="I1342" s="49"/>
      <c r="J1342" s="24" t="str">
        <f>IF(OR($A1342="",$B1342=""),"",IF($I1342&lt;&gt;"",$I1342,IF($D1342=本位币,1,IFERROR(LOOKUP(2,1/((汇率月份&lt;=$A1342)*(INDEX(记账汇率区,0,MATCH($D1342,汇率币种头,0))&lt;&gt;"")),INDEX(记账汇率区,0,MATCH($D1342,汇率币种头,0))),""))))</f>
        <v/>
      </c>
      <c r="K1342" s="23" t="str">
        <f t="shared" si="40"/>
        <v/>
      </c>
      <c r="L1342" s="23" t="str">
        <f t="shared" si="41"/>
        <v/>
      </c>
      <c r="M1342" s="23" t="str">
        <f>IF($B1342="","",ROUND(SUMIF(账户名,$B1342,账户期初)+SUMIFS($K$6:K1342,$B$6:B1342,$B1342),2))</f>
        <v/>
      </c>
      <c r="N1342" s="23" t="str">
        <f>IF($B1342="","",IFERROR(ROUND(INDEX(账户期初本位,MATCH($B1342,账户名,0))+SUMIFS($L$6:L1342,$B$6:B1342,$B1342),2),""))</f>
        <v/>
      </c>
      <c r="O1342" s="46"/>
      <c r="P1342" s="47"/>
      <c r="Q1342" s="46"/>
      <c r="R1342" s="46"/>
      <c r="S1342" s="6" t="str">
        <f>IF($B1342="","",IF(ISNA(MATCH($B1342,账户名,0)),"※这个账户不在【参数设置】的账户档案里",IF($A1342="","※没填日期，这一笔不会进任何月份的报表",IF(AND($G1342&lt;&gt;"",$H1342&lt;&gt;""),"※收入和支出不能同时填",IF(AND(N($G1342)=0,N($H1342)=0),"※收入和支出都没填",IF($E1342="","※没填收支类别，分类报表会漏掉这一笔",IF(ISNA(MATCH($E1342,类别表,0)),"※收支类别不在【参数设置】的清单里",IF($J1342="","△"&amp;$D1342&amp;" 还没填汇率，去【月度汇率】补上就自动算了",IF(YEAR($A1342)&lt;&gt;管理年度,"△不是管理年度的单据，年报里看不到",IF(AND($F1342="内部转账",$Q1342=""),"△内部转账建议在「往来单位」写上对方账户",IF($M1342&lt;0,"△这一笔之后该账户余额成负数了，核一下","")))))))))))</f>
        <v/>
      </c>
    </row>
    <row r="1343" ht="16.5" spans="1:19">
      <c r="A1343" s="45"/>
      <c r="B1343" s="46"/>
      <c r="C1343" s="12" t="str">
        <f>IF($B1343="","",IFERROR(INDEX(账户银行,MATCH($B1343,账户名,0)),""))</f>
        <v/>
      </c>
      <c r="D1343" s="12" t="str">
        <f>IF($B1343="","",IFERROR(INDEX(账户币种,MATCH($B1343,账户名,0)),""))</f>
        <v/>
      </c>
      <c r="E1343" s="47"/>
      <c r="F1343" s="12" t="str">
        <f>IF($E1343="","",IFERROR(INDEX(类别属性,MATCH($E1343,类别表,0)),""))</f>
        <v/>
      </c>
      <c r="G1343" s="48"/>
      <c r="H1343" s="48"/>
      <c r="I1343" s="49"/>
      <c r="J1343" s="24" t="str">
        <f>IF(OR($A1343="",$B1343=""),"",IF($I1343&lt;&gt;"",$I1343,IF($D1343=本位币,1,IFERROR(LOOKUP(2,1/((汇率月份&lt;=$A1343)*(INDEX(记账汇率区,0,MATCH($D1343,汇率币种头,0))&lt;&gt;"")),INDEX(记账汇率区,0,MATCH($D1343,汇率币种头,0))),""))))</f>
        <v/>
      </c>
      <c r="K1343" s="23" t="str">
        <f t="shared" si="40"/>
        <v/>
      </c>
      <c r="L1343" s="23" t="str">
        <f t="shared" si="41"/>
        <v/>
      </c>
      <c r="M1343" s="23" t="str">
        <f>IF($B1343="","",ROUND(SUMIF(账户名,$B1343,账户期初)+SUMIFS($K$6:K1343,$B$6:B1343,$B1343),2))</f>
        <v/>
      </c>
      <c r="N1343" s="23" t="str">
        <f>IF($B1343="","",IFERROR(ROUND(INDEX(账户期初本位,MATCH($B1343,账户名,0))+SUMIFS($L$6:L1343,$B$6:B1343,$B1343),2),""))</f>
        <v/>
      </c>
      <c r="O1343" s="46"/>
      <c r="P1343" s="47"/>
      <c r="Q1343" s="46"/>
      <c r="R1343" s="46"/>
      <c r="S1343" s="6" t="str">
        <f>IF($B1343="","",IF(ISNA(MATCH($B1343,账户名,0)),"※这个账户不在【参数设置】的账户档案里",IF($A1343="","※没填日期，这一笔不会进任何月份的报表",IF(AND($G1343&lt;&gt;"",$H1343&lt;&gt;""),"※收入和支出不能同时填",IF(AND(N($G1343)=0,N($H1343)=0),"※收入和支出都没填",IF($E1343="","※没填收支类别，分类报表会漏掉这一笔",IF(ISNA(MATCH($E1343,类别表,0)),"※收支类别不在【参数设置】的清单里",IF($J1343="","△"&amp;$D1343&amp;" 还没填汇率，去【月度汇率】补上就自动算了",IF(YEAR($A1343)&lt;&gt;管理年度,"△不是管理年度的单据，年报里看不到",IF(AND($F1343="内部转账",$Q1343=""),"△内部转账建议在「往来单位」写上对方账户",IF($M1343&lt;0,"△这一笔之后该账户余额成负数了，核一下","")))))))))))</f>
        <v/>
      </c>
    </row>
    <row r="1344" ht="16.5" spans="1:19">
      <c r="A1344" s="45"/>
      <c r="B1344" s="46"/>
      <c r="C1344" s="12" t="str">
        <f>IF($B1344="","",IFERROR(INDEX(账户银行,MATCH($B1344,账户名,0)),""))</f>
        <v/>
      </c>
      <c r="D1344" s="12" t="str">
        <f>IF($B1344="","",IFERROR(INDEX(账户币种,MATCH($B1344,账户名,0)),""))</f>
        <v/>
      </c>
      <c r="E1344" s="47"/>
      <c r="F1344" s="12" t="str">
        <f>IF($E1344="","",IFERROR(INDEX(类别属性,MATCH($E1344,类别表,0)),""))</f>
        <v/>
      </c>
      <c r="G1344" s="48"/>
      <c r="H1344" s="48"/>
      <c r="I1344" s="49"/>
      <c r="J1344" s="24" t="str">
        <f>IF(OR($A1344="",$B1344=""),"",IF($I1344&lt;&gt;"",$I1344,IF($D1344=本位币,1,IFERROR(LOOKUP(2,1/((汇率月份&lt;=$A1344)*(INDEX(记账汇率区,0,MATCH($D1344,汇率币种头,0))&lt;&gt;"")),INDEX(记账汇率区,0,MATCH($D1344,汇率币种头,0))),""))))</f>
        <v/>
      </c>
      <c r="K1344" s="23" t="str">
        <f t="shared" si="40"/>
        <v/>
      </c>
      <c r="L1344" s="23" t="str">
        <f t="shared" si="41"/>
        <v/>
      </c>
      <c r="M1344" s="23" t="str">
        <f>IF($B1344="","",ROUND(SUMIF(账户名,$B1344,账户期初)+SUMIFS($K$6:K1344,$B$6:B1344,$B1344),2))</f>
        <v/>
      </c>
      <c r="N1344" s="23" t="str">
        <f>IF($B1344="","",IFERROR(ROUND(INDEX(账户期初本位,MATCH($B1344,账户名,0))+SUMIFS($L$6:L1344,$B$6:B1344,$B1344),2),""))</f>
        <v/>
      </c>
      <c r="O1344" s="46"/>
      <c r="P1344" s="47"/>
      <c r="Q1344" s="46"/>
      <c r="R1344" s="46"/>
      <c r="S1344" s="6" t="str">
        <f>IF($B1344="","",IF(ISNA(MATCH($B1344,账户名,0)),"※这个账户不在【参数设置】的账户档案里",IF($A1344="","※没填日期，这一笔不会进任何月份的报表",IF(AND($G1344&lt;&gt;"",$H1344&lt;&gt;""),"※收入和支出不能同时填",IF(AND(N($G1344)=0,N($H1344)=0),"※收入和支出都没填",IF($E1344="","※没填收支类别，分类报表会漏掉这一笔",IF(ISNA(MATCH($E1344,类别表,0)),"※收支类别不在【参数设置】的清单里",IF($J1344="","△"&amp;$D1344&amp;" 还没填汇率，去【月度汇率】补上就自动算了",IF(YEAR($A1344)&lt;&gt;管理年度,"△不是管理年度的单据，年报里看不到",IF(AND($F1344="内部转账",$Q1344=""),"△内部转账建议在「往来单位」写上对方账户",IF($M1344&lt;0,"△这一笔之后该账户余额成负数了，核一下","")))))))))))</f>
        <v/>
      </c>
    </row>
    <row r="1345" ht="16.5" spans="1:19">
      <c r="A1345" s="45"/>
      <c r="B1345" s="46"/>
      <c r="C1345" s="12" t="str">
        <f>IF($B1345="","",IFERROR(INDEX(账户银行,MATCH($B1345,账户名,0)),""))</f>
        <v/>
      </c>
      <c r="D1345" s="12" t="str">
        <f>IF($B1345="","",IFERROR(INDEX(账户币种,MATCH($B1345,账户名,0)),""))</f>
        <v/>
      </c>
      <c r="E1345" s="47"/>
      <c r="F1345" s="12" t="str">
        <f>IF($E1345="","",IFERROR(INDEX(类别属性,MATCH($E1345,类别表,0)),""))</f>
        <v/>
      </c>
      <c r="G1345" s="48"/>
      <c r="H1345" s="48"/>
      <c r="I1345" s="49"/>
      <c r="J1345" s="24" t="str">
        <f>IF(OR($A1345="",$B1345=""),"",IF($I1345&lt;&gt;"",$I1345,IF($D1345=本位币,1,IFERROR(LOOKUP(2,1/((汇率月份&lt;=$A1345)*(INDEX(记账汇率区,0,MATCH($D1345,汇率币种头,0))&lt;&gt;"")),INDEX(记账汇率区,0,MATCH($D1345,汇率币种头,0))),""))))</f>
        <v/>
      </c>
      <c r="K1345" s="23" t="str">
        <f t="shared" si="40"/>
        <v/>
      </c>
      <c r="L1345" s="23" t="str">
        <f t="shared" si="41"/>
        <v/>
      </c>
      <c r="M1345" s="23" t="str">
        <f>IF($B1345="","",ROUND(SUMIF(账户名,$B1345,账户期初)+SUMIFS($K$6:K1345,$B$6:B1345,$B1345),2))</f>
        <v/>
      </c>
      <c r="N1345" s="23" t="str">
        <f>IF($B1345="","",IFERROR(ROUND(INDEX(账户期初本位,MATCH($B1345,账户名,0))+SUMIFS($L$6:L1345,$B$6:B1345,$B1345),2),""))</f>
        <v/>
      </c>
      <c r="O1345" s="46"/>
      <c r="P1345" s="47"/>
      <c r="Q1345" s="46"/>
      <c r="R1345" s="46"/>
      <c r="S1345" s="6" t="str">
        <f>IF($B1345="","",IF(ISNA(MATCH($B1345,账户名,0)),"※这个账户不在【参数设置】的账户档案里",IF($A1345="","※没填日期，这一笔不会进任何月份的报表",IF(AND($G1345&lt;&gt;"",$H1345&lt;&gt;""),"※收入和支出不能同时填",IF(AND(N($G1345)=0,N($H1345)=0),"※收入和支出都没填",IF($E1345="","※没填收支类别，分类报表会漏掉这一笔",IF(ISNA(MATCH($E1345,类别表,0)),"※收支类别不在【参数设置】的清单里",IF($J1345="","△"&amp;$D1345&amp;" 还没填汇率，去【月度汇率】补上就自动算了",IF(YEAR($A1345)&lt;&gt;管理年度,"△不是管理年度的单据，年报里看不到",IF(AND($F1345="内部转账",$Q1345=""),"△内部转账建议在「往来单位」写上对方账户",IF($M1345&lt;0,"△这一笔之后该账户余额成负数了，核一下","")))))))))))</f>
        <v/>
      </c>
    </row>
    <row r="1346" ht="16.5" spans="1:19">
      <c r="A1346" s="45"/>
      <c r="B1346" s="46"/>
      <c r="C1346" s="12" t="str">
        <f>IF($B1346="","",IFERROR(INDEX(账户银行,MATCH($B1346,账户名,0)),""))</f>
        <v/>
      </c>
      <c r="D1346" s="12" t="str">
        <f>IF($B1346="","",IFERROR(INDEX(账户币种,MATCH($B1346,账户名,0)),""))</f>
        <v/>
      </c>
      <c r="E1346" s="47"/>
      <c r="F1346" s="12" t="str">
        <f>IF($E1346="","",IFERROR(INDEX(类别属性,MATCH($E1346,类别表,0)),""))</f>
        <v/>
      </c>
      <c r="G1346" s="48"/>
      <c r="H1346" s="48"/>
      <c r="I1346" s="49"/>
      <c r="J1346" s="24" t="str">
        <f>IF(OR($A1346="",$B1346=""),"",IF($I1346&lt;&gt;"",$I1346,IF($D1346=本位币,1,IFERROR(LOOKUP(2,1/((汇率月份&lt;=$A1346)*(INDEX(记账汇率区,0,MATCH($D1346,汇率币种头,0))&lt;&gt;"")),INDEX(记账汇率区,0,MATCH($D1346,汇率币种头,0))),""))))</f>
        <v/>
      </c>
      <c r="K1346" s="23" t="str">
        <f t="shared" si="40"/>
        <v/>
      </c>
      <c r="L1346" s="23" t="str">
        <f t="shared" si="41"/>
        <v/>
      </c>
      <c r="M1346" s="23" t="str">
        <f>IF($B1346="","",ROUND(SUMIF(账户名,$B1346,账户期初)+SUMIFS($K$6:K1346,$B$6:B1346,$B1346),2))</f>
        <v/>
      </c>
      <c r="N1346" s="23" t="str">
        <f>IF($B1346="","",IFERROR(ROUND(INDEX(账户期初本位,MATCH($B1346,账户名,0))+SUMIFS($L$6:L1346,$B$6:B1346,$B1346),2),""))</f>
        <v/>
      </c>
      <c r="O1346" s="46"/>
      <c r="P1346" s="47"/>
      <c r="Q1346" s="46"/>
      <c r="R1346" s="46"/>
      <c r="S1346" s="6" t="str">
        <f>IF($B1346="","",IF(ISNA(MATCH($B1346,账户名,0)),"※这个账户不在【参数设置】的账户档案里",IF($A1346="","※没填日期，这一笔不会进任何月份的报表",IF(AND($G1346&lt;&gt;"",$H1346&lt;&gt;""),"※收入和支出不能同时填",IF(AND(N($G1346)=0,N($H1346)=0),"※收入和支出都没填",IF($E1346="","※没填收支类别，分类报表会漏掉这一笔",IF(ISNA(MATCH($E1346,类别表,0)),"※收支类别不在【参数设置】的清单里",IF($J1346="","△"&amp;$D1346&amp;" 还没填汇率，去【月度汇率】补上就自动算了",IF(YEAR($A1346)&lt;&gt;管理年度,"△不是管理年度的单据，年报里看不到",IF(AND($F1346="内部转账",$Q1346=""),"△内部转账建议在「往来单位」写上对方账户",IF($M1346&lt;0,"△这一笔之后该账户余额成负数了，核一下","")))))))))))</f>
        <v/>
      </c>
    </row>
    <row r="1347" ht="16.5" spans="1:19">
      <c r="A1347" s="45"/>
      <c r="B1347" s="46"/>
      <c r="C1347" s="12" t="str">
        <f>IF($B1347="","",IFERROR(INDEX(账户银行,MATCH($B1347,账户名,0)),""))</f>
        <v/>
      </c>
      <c r="D1347" s="12" t="str">
        <f>IF($B1347="","",IFERROR(INDEX(账户币种,MATCH($B1347,账户名,0)),""))</f>
        <v/>
      </c>
      <c r="E1347" s="47"/>
      <c r="F1347" s="12" t="str">
        <f>IF($E1347="","",IFERROR(INDEX(类别属性,MATCH($E1347,类别表,0)),""))</f>
        <v/>
      </c>
      <c r="G1347" s="48"/>
      <c r="H1347" s="48"/>
      <c r="I1347" s="49"/>
      <c r="J1347" s="24" t="str">
        <f>IF(OR($A1347="",$B1347=""),"",IF($I1347&lt;&gt;"",$I1347,IF($D1347=本位币,1,IFERROR(LOOKUP(2,1/((汇率月份&lt;=$A1347)*(INDEX(记账汇率区,0,MATCH($D1347,汇率币种头,0))&lt;&gt;"")),INDEX(记账汇率区,0,MATCH($D1347,汇率币种头,0))),""))))</f>
        <v/>
      </c>
      <c r="K1347" s="23" t="str">
        <f t="shared" si="40"/>
        <v/>
      </c>
      <c r="L1347" s="23" t="str">
        <f t="shared" si="41"/>
        <v/>
      </c>
      <c r="M1347" s="23" t="str">
        <f>IF($B1347="","",ROUND(SUMIF(账户名,$B1347,账户期初)+SUMIFS($K$6:K1347,$B$6:B1347,$B1347),2))</f>
        <v/>
      </c>
      <c r="N1347" s="23" t="str">
        <f>IF($B1347="","",IFERROR(ROUND(INDEX(账户期初本位,MATCH($B1347,账户名,0))+SUMIFS($L$6:L1347,$B$6:B1347,$B1347),2),""))</f>
        <v/>
      </c>
      <c r="O1347" s="46"/>
      <c r="P1347" s="47"/>
      <c r="Q1347" s="46"/>
      <c r="R1347" s="46"/>
      <c r="S1347" s="6" t="str">
        <f>IF($B1347="","",IF(ISNA(MATCH($B1347,账户名,0)),"※这个账户不在【参数设置】的账户档案里",IF($A1347="","※没填日期，这一笔不会进任何月份的报表",IF(AND($G1347&lt;&gt;"",$H1347&lt;&gt;""),"※收入和支出不能同时填",IF(AND(N($G1347)=0,N($H1347)=0),"※收入和支出都没填",IF($E1347="","※没填收支类别，分类报表会漏掉这一笔",IF(ISNA(MATCH($E1347,类别表,0)),"※收支类别不在【参数设置】的清单里",IF($J1347="","△"&amp;$D1347&amp;" 还没填汇率，去【月度汇率】补上就自动算了",IF(YEAR($A1347)&lt;&gt;管理年度,"△不是管理年度的单据，年报里看不到",IF(AND($F1347="内部转账",$Q1347=""),"△内部转账建议在「往来单位」写上对方账户",IF($M1347&lt;0,"△这一笔之后该账户余额成负数了，核一下","")))))))))))</f>
        <v/>
      </c>
    </row>
    <row r="1348" ht="16.5" spans="1:19">
      <c r="A1348" s="45"/>
      <c r="B1348" s="46"/>
      <c r="C1348" s="12" t="str">
        <f>IF($B1348="","",IFERROR(INDEX(账户银行,MATCH($B1348,账户名,0)),""))</f>
        <v/>
      </c>
      <c r="D1348" s="12" t="str">
        <f>IF($B1348="","",IFERROR(INDEX(账户币种,MATCH($B1348,账户名,0)),""))</f>
        <v/>
      </c>
      <c r="E1348" s="47"/>
      <c r="F1348" s="12" t="str">
        <f>IF($E1348="","",IFERROR(INDEX(类别属性,MATCH($E1348,类别表,0)),""))</f>
        <v/>
      </c>
      <c r="G1348" s="48"/>
      <c r="H1348" s="48"/>
      <c r="I1348" s="49"/>
      <c r="J1348" s="24" t="str">
        <f>IF(OR($A1348="",$B1348=""),"",IF($I1348&lt;&gt;"",$I1348,IF($D1348=本位币,1,IFERROR(LOOKUP(2,1/((汇率月份&lt;=$A1348)*(INDEX(记账汇率区,0,MATCH($D1348,汇率币种头,0))&lt;&gt;"")),INDEX(记账汇率区,0,MATCH($D1348,汇率币种头,0))),""))))</f>
        <v/>
      </c>
      <c r="K1348" s="23" t="str">
        <f t="shared" si="40"/>
        <v/>
      </c>
      <c r="L1348" s="23" t="str">
        <f t="shared" si="41"/>
        <v/>
      </c>
      <c r="M1348" s="23" t="str">
        <f>IF($B1348="","",ROUND(SUMIF(账户名,$B1348,账户期初)+SUMIFS($K$6:K1348,$B$6:B1348,$B1348),2))</f>
        <v/>
      </c>
      <c r="N1348" s="23" t="str">
        <f>IF($B1348="","",IFERROR(ROUND(INDEX(账户期初本位,MATCH($B1348,账户名,0))+SUMIFS($L$6:L1348,$B$6:B1348,$B1348),2),""))</f>
        <v/>
      </c>
      <c r="O1348" s="46"/>
      <c r="P1348" s="47"/>
      <c r="Q1348" s="46"/>
      <c r="R1348" s="46"/>
      <c r="S1348" s="6" t="str">
        <f>IF($B1348="","",IF(ISNA(MATCH($B1348,账户名,0)),"※这个账户不在【参数设置】的账户档案里",IF($A1348="","※没填日期，这一笔不会进任何月份的报表",IF(AND($G1348&lt;&gt;"",$H1348&lt;&gt;""),"※收入和支出不能同时填",IF(AND(N($G1348)=0,N($H1348)=0),"※收入和支出都没填",IF($E1348="","※没填收支类别，分类报表会漏掉这一笔",IF(ISNA(MATCH($E1348,类别表,0)),"※收支类别不在【参数设置】的清单里",IF($J1348="","△"&amp;$D1348&amp;" 还没填汇率，去【月度汇率】补上就自动算了",IF(YEAR($A1348)&lt;&gt;管理年度,"△不是管理年度的单据，年报里看不到",IF(AND($F1348="内部转账",$Q1348=""),"△内部转账建议在「往来单位」写上对方账户",IF($M1348&lt;0,"△这一笔之后该账户余额成负数了，核一下","")))))))))))</f>
        <v/>
      </c>
    </row>
    <row r="1349" ht="16.5" spans="1:19">
      <c r="A1349" s="45"/>
      <c r="B1349" s="46"/>
      <c r="C1349" s="12" t="str">
        <f>IF($B1349="","",IFERROR(INDEX(账户银行,MATCH($B1349,账户名,0)),""))</f>
        <v/>
      </c>
      <c r="D1349" s="12" t="str">
        <f>IF($B1349="","",IFERROR(INDEX(账户币种,MATCH($B1349,账户名,0)),""))</f>
        <v/>
      </c>
      <c r="E1349" s="47"/>
      <c r="F1349" s="12" t="str">
        <f>IF($E1349="","",IFERROR(INDEX(类别属性,MATCH($E1349,类别表,0)),""))</f>
        <v/>
      </c>
      <c r="G1349" s="48"/>
      <c r="H1349" s="48"/>
      <c r="I1349" s="49"/>
      <c r="J1349" s="24" t="str">
        <f>IF(OR($A1349="",$B1349=""),"",IF($I1349&lt;&gt;"",$I1349,IF($D1349=本位币,1,IFERROR(LOOKUP(2,1/((汇率月份&lt;=$A1349)*(INDEX(记账汇率区,0,MATCH($D1349,汇率币种头,0))&lt;&gt;"")),INDEX(记账汇率区,0,MATCH($D1349,汇率币种头,0))),""))))</f>
        <v/>
      </c>
      <c r="K1349" s="23" t="str">
        <f t="shared" si="40"/>
        <v/>
      </c>
      <c r="L1349" s="23" t="str">
        <f t="shared" si="41"/>
        <v/>
      </c>
      <c r="M1349" s="23" t="str">
        <f>IF($B1349="","",ROUND(SUMIF(账户名,$B1349,账户期初)+SUMIFS($K$6:K1349,$B$6:B1349,$B1349),2))</f>
        <v/>
      </c>
      <c r="N1349" s="23" t="str">
        <f>IF($B1349="","",IFERROR(ROUND(INDEX(账户期初本位,MATCH($B1349,账户名,0))+SUMIFS($L$6:L1349,$B$6:B1349,$B1349),2),""))</f>
        <v/>
      </c>
      <c r="O1349" s="46"/>
      <c r="P1349" s="47"/>
      <c r="Q1349" s="46"/>
      <c r="R1349" s="46"/>
      <c r="S1349" s="6" t="str">
        <f>IF($B1349="","",IF(ISNA(MATCH($B1349,账户名,0)),"※这个账户不在【参数设置】的账户档案里",IF($A1349="","※没填日期，这一笔不会进任何月份的报表",IF(AND($G1349&lt;&gt;"",$H1349&lt;&gt;""),"※收入和支出不能同时填",IF(AND(N($G1349)=0,N($H1349)=0),"※收入和支出都没填",IF($E1349="","※没填收支类别，分类报表会漏掉这一笔",IF(ISNA(MATCH($E1349,类别表,0)),"※收支类别不在【参数设置】的清单里",IF($J1349="","△"&amp;$D1349&amp;" 还没填汇率，去【月度汇率】补上就自动算了",IF(YEAR($A1349)&lt;&gt;管理年度,"△不是管理年度的单据，年报里看不到",IF(AND($F1349="内部转账",$Q1349=""),"△内部转账建议在「往来单位」写上对方账户",IF($M1349&lt;0,"△这一笔之后该账户余额成负数了，核一下","")))))))))))</f>
        <v/>
      </c>
    </row>
    <row r="1350" ht="16.5" spans="1:19">
      <c r="A1350" s="45"/>
      <c r="B1350" s="46"/>
      <c r="C1350" s="12" t="str">
        <f>IF($B1350="","",IFERROR(INDEX(账户银行,MATCH($B1350,账户名,0)),""))</f>
        <v/>
      </c>
      <c r="D1350" s="12" t="str">
        <f>IF($B1350="","",IFERROR(INDEX(账户币种,MATCH($B1350,账户名,0)),""))</f>
        <v/>
      </c>
      <c r="E1350" s="47"/>
      <c r="F1350" s="12" t="str">
        <f>IF($E1350="","",IFERROR(INDEX(类别属性,MATCH($E1350,类别表,0)),""))</f>
        <v/>
      </c>
      <c r="G1350" s="48"/>
      <c r="H1350" s="48"/>
      <c r="I1350" s="49"/>
      <c r="J1350" s="24" t="str">
        <f>IF(OR($A1350="",$B1350=""),"",IF($I1350&lt;&gt;"",$I1350,IF($D1350=本位币,1,IFERROR(LOOKUP(2,1/((汇率月份&lt;=$A1350)*(INDEX(记账汇率区,0,MATCH($D1350,汇率币种头,0))&lt;&gt;"")),INDEX(记账汇率区,0,MATCH($D1350,汇率币种头,0))),""))))</f>
        <v/>
      </c>
      <c r="K1350" s="23" t="str">
        <f t="shared" ref="K1350:K1413" si="42">IF(AND($G1350="",$H1350=""),"",ROUND(N($G1350)-N($H1350),2))</f>
        <v/>
      </c>
      <c r="L1350" s="23" t="str">
        <f t="shared" ref="L1350:L1413" si="43">IF(OR($K1350="",$J1350=""),"",ROUND($K1350*$J1350,2))</f>
        <v/>
      </c>
      <c r="M1350" s="23" t="str">
        <f>IF($B1350="","",ROUND(SUMIF(账户名,$B1350,账户期初)+SUMIFS($K$6:K1350,$B$6:B1350,$B1350),2))</f>
        <v/>
      </c>
      <c r="N1350" s="23" t="str">
        <f>IF($B1350="","",IFERROR(ROUND(INDEX(账户期初本位,MATCH($B1350,账户名,0))+SUMIFS($L$6:L1350,$B$6:B1350,$B1350),2),""))</f>
        <v/>
      </c>
      <c r="O1350" s="46"/>
      <c r="P1350" s="47"/>
      <c r="Q1350" s="46"/>
      <c r="R1350" s="46"/>
      <c r="S1350" s="6" t="str">
        <f>IF($B1350="","",IF(ISNA(MATCH($B1350,账户名,0)),"※这个账户不在【参数设置】的账户档案里",IF($A1350="","※没填日期，这一笔不会进任何月份的报表",IF(AND($G1350&lt;&gt;"",$H1350&lt;&gt;""),"※收入和支出不能同时填",IF(AND(N($G1350)=0,N($H1350)=0),"※收入和支出都没填",IF($E1350="","※没填收支类别，分类报表会漏掉这一笔",IF(ISNA(MATCH($E1350,类别表,0)),"※收支类别不在【参数设置】的清单里",IF($J1350="","△"&amp;$D1350&amp;" 还没填汇率，去【月度汇率】补上就自动算了",IF(YEAR($A1350)&lt;&gt;管理年度,"△不是管理年度的单据，年报里看不到",IF(AND($F1350="内部转账",$Q1350=""),"△内部转账建议在「往来单位」写上对方账户",IF($M1350&lt;0,"△这一笔之后该账户余额成负数了，核一下","")))))))))))</f>
        <v/>
      </c>
    </row>
    <row r="1351" ht="16.5" spans="1:19">
      <c r="A1351" s="45"/>
      <c r="B1351" s="46"/>
      <c r="C1351" s="12" t="str">
        <f>IF($B1351="","",IFERROR(INDEX(账户银行,MATCH($B1351,账户名,0)),""))</f>
        <v/>
      </c>
      <c r="D1351" s="12" t="str">
        <f>IF($B1351="","",IFERROR(INDEX(账户币种,MATCH($B1351,账户名,0)),""))</f>
        <v/>
      </c>
      <c r="E1351" s="47"/>
      <c r="F1351" s="12" t="str">
        <f>IF($E1351="","",IFERROR(INDEX(类别属性,MATCH($E1351,类别表,0)),""))</f>
        <v/>
      </c>
      <c r="G1351" s="48"/>
      <c r="H1351" s="48"/>
      <c r="I1351" s="49"/>
      <c r="J1351" s="24" t="str">
        <f>IF(OR($A1351="",$B1351=""),"",IF($I1351&lt;&gt;"",$I1351,IF($D1351=本位币,1,IFERROR(LOOKUP(2,1/((汇率月份&lt;=$A1351)*(INDEX(记账汇率区,0,MATCH($D1351,汇率币种头,0))&lt;&gt;"")),INDEX(记账汇率区,0,MATCH($D1351,汇率币种头,0))),""))))</f>
        <v/>
      </c>
      <c r="K1351" s="23" t="str">
        <f t="shared" si="42"/>
        <v/>
      </c>
      <c r="L1351" s="23" t="str">
        <f t="shared" si="43"/>
        <v/>
      </c>
      <c r="M1351" s="23" t="str">
        <f>IF($B1351="","",ROUND(SUMIF(账户名,$B1351,账户期初)+SUMIFS($K$6:K1351,$B$6:B1351,$B1351),2))</f>
        <v/>
      </c>
      <c r="N1351" s="23" t="str">
        <f>IF($B1351="","",IFERROR(ROUND(INDEX(账户期初本位,MATCH($B1351,账户名,0))+SUMIFS($L$6:L1351,$B$6:B1351,$B1351),2),""))</f>
        <v/>
      </c>
      <c r="O1351" s="46"/>
      <c r="P1351" s="47"/>
      <c r="Q1351" s="46"/>
      <c r="R1351" s="46"/>
      <c r="S1351" s="6" t="str">
        <f>IF($B1351="","",IF(ISNA(MATCH($B1351,账户名,0)),"※这个账户不在【参数设置】的账户档案里",IF($A1351="","※没填日期，这一笔不会进任何月份的报表",IF(AND($G1351&lt;&gt;"",$H1351&lt;&gt;""),"※收入和支出不能同时填",IF(AND(N($G1351)=0,N($H1351)=0),"※收入和支出都没填",IF($E1351="","※没填收支类别，分类报表会漏掉这一笔",IF(ISNA(MATCH($E1351,类别表,0)),"※收支类别不在【参数设置】的清单里",IF($J1351="","△"&amp;$D1351&amp;" 还没填汇率，去【月度汇率】补上就自动算了",IF(YEAR($A1351)&lt;&gt;管理年度,"△不是管理年度的单据，年报里看不到",IF(AND($F1351="内部转账",$Q1351=""),"△内部转账建议在「往来单位」写上对方账户",IF($M1351&lt;0,"△这一笔之后该账户余额成负数了，核一下","")))))))))))</f>
        <v/>
      </c>
    </row>
    <row r="1352" ht="16.5" spans="1:19">
      <c r="A1352" s="45"/>
      <c r="B1352" s="46"/>
      <c r="C1352" s="12" t="str">
        <f>IF($B1352="","",IFERROR(INDEX(账户银行,MATCH($B1352,账户名,0)),""))</f>
        <v/>
      </c>
      <c r="D1352" s="12" t="str">
        <f>IF($B1352="","",IFERROR(INDEX(账户币种,MATCH($B1352,账户名,0)),""))</f>
        <v/>
      </c>
      <c r="E1352" s="47"/>
      <c r="F1352" s="12" t="str">
        <f>IF($E1352="","",IFERROR(INDEX(类别属性,MATCH($E1352,类别表,0)),""))</f>
        <v/>
      </c>
      <c r="G1352" s="48"/>
      <c r="H1352" s="48"/>
      <c r="I1352" s="49"/>
      <c r="J1352" s="24" t="str">
        <f>IF(OR($A1352="",$B1352=""),"",IF($I1352&lt;&gt;"",$I1352,IF($D1352=本位币,1,IFERROR(LOOKUP(2,1/((汇率月份&lt;=$A1352)*(INDEX(记账汇率区,0,MATCH($D1352,汇率币种头,0))&lt;&gt;"")),INDEX(记账汇率区,0,MATCH($D1352,汇率币种头,0))),""))))</f>
        <v/>
      </c>
      <c r="K1352" s="23" t="str">
        <f t="shared" si="42"/>
        <v/>
      </c>
      <c r="L1352" s="23" t="str">
        <f t="shared" si="43"/>
        <v/>
      </c>
      <c r="M1352" s="23" t="str">
        <f>IF($B1352="","",ROUND(SUMIF(账户名,$B1352,账户期初)+SUMIFS($K$6:K1352,$B$6:B1352,$B1352),2))</f>
        <v/>
      </c>
      <c r="N1352" s="23" t="str">
        <f>IF($B1352="","",IFERROR(ROUND(INDEX(账户期初本位,MATCH($B1352,账户名,0))+SUMIFS($L$6:L1352,$B$6:B1352,$B1352),2),""))</f>
        <v/>
      </c>
      <c r="O1352" s="46"/>
      <c r="P1352" s="47"/>
      <c r="Q1352" s="46"/>
      <c r="R1352" s="46"/>
      <c r="S1352" s="6" t="str">
        <f>IF($B1352="","",IF(ISNA(MATCH($B1352,账户名,0)),"※这个账户不在【参数设置】的账户档案里",IF($A1352="","※没填日期，这一笔不会进任何月份的报表",IF(AND($G1352&lt;&gt;"",$H1352&lt;&gt;""),"※收入和支出不能同时填",IF(AND(N($G1352)=0,N($H1352)=0),"※收入和支出都没填",IF($E1352="","※没填收支类别，分类报表会漏掉这一笔",IF(ISNA(MATCH($E1352,类别表,0)),"※收支类别不在【参数设置】的清单里",IF($J1352="","△"&amp;$D1352&amp;" 还没填汇率，去【月度汇率】补上就自动算了",IF(YEAR($A1352)&lt;&gt;管理年度,"△不是管理年度的单据，年报里看不到",IF(AND($F1352="内部转账",$Q1352=""),"△内部转账建议在「往来单位」写上对方账户",IF($M1352&lt;0,"△这一笔之后该账户余额成负数了，核一下","")))))))))))</f>
        <v/>
      </c>
    </row>
    <row r="1353" ht="16.5" spans="1:19">
      <c r="A1353" s="45"/>
      <c r="B1353" s="46"/>
      <c r="C1353" s="12" t="str">
        <f>IF($B1353="","",IFERROR(INDEX(账户银行,MATCH($B1353,账户名,0)),""))</f>
        <v/>
      </c>
      <c r="D1353" s="12" t="str">
        <f>IF($B1353="","",IFERROR(INDEX(账户币种,MATCH($B1353,账户名,0)),""))</f>
        <v/>
      </c>
      <c r="E1353" s="47"/>
      <c r="F1353" s="12" t="str">
        <f>IF($E1353="","",IFERROR(INDEX(类别属性,MATCH($E1353,类别表,0)),""))</f>
        <v/>
      </c>
      <c r="G1353" s="48"/>
      <c r="H1353" s="48"/>
      <c r="I1353" s="49"/>
      <c r="J1353" s="24" t="str">
        <f>IF(OR($A1353="",$B1353=""),"",IF($I1353&lt;&gt;"",$I1353,IF($D1353=本位币,1,IFERROR(LOOKUP(2,1/((汇率月份&lt;=$A1353)*(INDEX(记账汇率区,0,MATCH($D1353,汇率币种头,0))&lt;&gt;"")),INDEX(记账汇率区,0,MATCH($D1353,汇率币种头,0))),""))))</f>
        <v/>
      </c>
      <c r="K1353" s="23" t="str">
        <f t="shared" si="42"/>
        <v/>
      </c>
      <c r="L1353" s="23" t="str">
        <f t="shared" si="43"/>
        <v/>
      </c>
      <c r="M1353" s="23" t="str">
        <f>IF($B1353="","",ROUND(SUMIF(账户名,$B1353,账户期初)+SUMIFS($K$6:K1353,$B$6:B1353,$B1353),2))</f>
        <v/>
      </c>
      <c r="N1353" s="23" t="str">
        <f>IF($B1353="","",IFERROR(ROUND(INDEX(账户期初本位,MATCH($B1353,账户名,0))+SUMIFS($L$6:L1353,$B$6:B1353,$B1353),2),""))</f>
        <v/>
      </c>
      <c r="O1353" s="46"/>
      <c r="P1353" s="47"/>
      <c r="Q1353" s="46"/>
      <c r="R1353" s="46"/>
      <c r="S1353" s="6" t="str">
        <f>IF($B1353="","",IF(ISNA(MATCH($B1353,账户名,0)),"※这个账户不在【参数设置】的账户档案里",IF($A1353="","※没填日期，这一笔不会进任何月份的报表",IF(AND($G1353&lt;&gt;"",$H1353&lt;&gt;""),"※收入和支出不能同时填",IF(AND(N($G1353)=0,N($H1353)=0),"※收入和支出都没填",IF($E1353="","※没填收支类别，分类报表会漏掉这一笔",IF(ISNA(MATCH($E1353,类别表,0)),"※收支类别不在【参数设置】的清单里",IF($J1353="","△"&amp;$D1353&amp;" 还没填汇率，去【月度汇率】补上就自动算了",IF(YEAR($A1353)&lt;&gt;管理年度,"△不是管理年度的单据，年报里看不到",IF(AND($F1353="内部转账",$Q1353=""),"△内部转账建议在「往来单位」写上对方账户",IF($M1353&lt;0,"△这一笔之后该账户余额成负数了，核一下","")))))))))))</f>
        <v/>
      </c>
    </row>
    <row r="1354" ht="16.5" spans="1:19">
      <c r="A1354" s="45"/>
      <c r="B1354" s="46"/>
      <c r="C1354" s="12" t="str">
        <f>IF($B1354="","",IFERROR(INDEX(账户银行,MATCH($B1354,账户名,0)),""))</f>
        <v/>
      </c>
      <c r="D1354" s="12" t="str">
        <f>IF($B1354="","",IFERROR(INDEX(账户币种,MATCH($B1354,账户名,0)),""))</f>
        <v/>
      </c>
      <c r="E1354" s="47"/>
      <c r="F1354" s="12" t="str">
        <f>IF($E1354="","",IFERROR(INDEX(类别属性,MATCH($E1354,类别表,0)),""))</f>
        <v/>
      </c>
      <c r="G1354" s="48"/>
      <c r="H1354" s="48"/>
      <c r="I1354" s="49"/>
      <c r="J1354" s="24" t="str">
        <f>IF(OR($A1354="",$B1354=""),"",IF($I1354&lt;&gt;"",$I1354,IF($D1354=本位币,1,IFERROR(LOOKUP(2,1/((汇率月份&lt;=$A1354)*(INDEX(记账汇率区,0,MATCH($D1354,汇率币种头,0))&lt;&gt;"")),INDEX(记账汇率区,0,MATCH($D1354,汇率币种头,0))),""))))</f>
        <v/>
      </c>
      <c r="K1354" s="23" t="str">
        <f t="shared" si="42"/>
        <v/>
      </c>
      <c r="L1354" s="23" t="str">
        <f t="shared" si="43"/>
        <v/>
      </c>
      <c r="M1354" s="23" t="str">
        <f>IF($B1354="","",ROUND(SUMIF(账户名,$B1354,账户期初)+SUMIFS($K$6:K1354,$B$6:B1354,$B1354),2))</f>
        <v/>
      </c>
      <c r="N1354" s="23" t="str">
        <f>IF($B1354="","",IFERROR(ROUND(INDEX(账户期初本位,MATCH($B1354,账户名,0))+SUMIFS($L$6:L1354,$B$6:B1354,$B1354),2),""))</f>
        <v/>
      </c>
      <c r="O1354" s="46"/>
      <c r="P1354" s="47"/>
      <c r="Q1354" s="46"/>
      <c r="R1354" s="46"/>
      <c r="S1354" s="6" t="str">
        <f>IF($B1354="","",IF(ISNA(MATCH($B1354,账户名,0)),"※这个账户不在【参数设置】的账户档案里",IF($A1354="","※没填日期，这一笔不会进任何月份的报表",IF(AND($G1354&lt;&gt;"",$H1354&lt;&gt;""),"※收入和支出不能同时填",IF(AND(N($G1354)=0,N($H1354)=0),"※收入和支出都没填",IF($E1354="","※没填收支类别，分类报表会漏掉这一笔",IF(ISNA(MATCH($E1354,类别表,0)),"※收支类别不在【参数设置】的清单里",IF($J1354="","△"&amp;$D1354&amp;" 还没填汇率，去【月度汇率】补上就自动算了",IF(YEAR($A1354)&lt;&gt;管理年度,"△不是管理年度的单据，年报里看不到",IF(AND($F1354="内部转账",$Q1354=""),"△内部转账建议在「往来单位」写上对方账户",IF($M1354&lt;0,"△这一笔之后该账户余额成负数了，核一下","")))))))))))</f>
        <v/>
      </c>
    </row>
    <row r="1355" ht="16.5" spans="1:19">
      <c r="A1355" s="45"/>
      <c r="B1355" s="46"/>
      <c r="C1355" s="12" t="str">
        <f>IF($B1355="","",IFERROR(INDEX(账户银行,MATCH($B1355,账户名,0)),""))</f>
        <v/>
      </c>
      <c r="D1355" s="12" t="str">
        <f>IF($B1355="","",IFERROR(INDEX(账户币种,MATCH($B1355,账户名,0)),""))</f>
        <v/>
      </c>
      <c r="E1355" s="47"/>
      <c r="F1355" s="12" t="str">
        <f>IF($E1355="","",IFERROR(INDEX(类别属性,MATCH($E1355,类别表,0)),""))</f>
        <v/>
      </c>
      <c r="G1355" s="48"/>
      <c r="H1355" s="48"/>
      <c r="I1355" s="49"/>
      <c r="J1355" s="24" t="str">
        <f>IF(OR($A1355="",$B1355=""),"",IF($I1355&lt;&gt;"",$I1355,IF($D1355=本位币,1,IFERROR(LOOKUP(2,1/((汇率月份&lt;=$A1355)*(INDEX(记账汇率区,0,MATCH($D1355,汇率币种头,0))&lt;&gt;"")),INDEX(记账汇率区,0,MATCH($D1355,汇率币种头,0))),""))))</f>
        <v/>
      </c>
      <c r="K1355" s="23" t="str">
        <f t="shared" si="42"/>
        <v/>
      </c>
      <c r="L1355" s="23" t="str">
        <f t="shared" si="43"/>
        <v/>
      </c>
      <c r="M1355" s="23" t="str">
        <f>IF($B1355="","",ROUND(SUMIF(账户名,$B1355,账户期初)+SUMIFS($K$6:K1355,$B$6:B1355,$B1355),2))</f>
        <v/>
      </c>
      <c r="N1355" s="23" t="str">
        <f>IF($B1355="","",IFERROR(ROUND(INDEX(账户期初本位,MATCH($B1355,账户名,0))+SUMIFS($L$6:L1355,$B$6:B1355,$B1355),2),""))</f>
        <v/>
      </c>
      <c r="O1355" s="46"/>
      <c r="P1355" s="47"/>
      <c r="Q1355" s="46"/>
      <c r="R1355" s="46"/>
      <c r="S1355" s="6" t="str">
        <f>IF($B1355="","",IF(ISNA(MATCH($B1355,账户名,0)),"※这个账户不在【参数设置】的账户档案里",IF($A1355="","※没填日期，这一笔不会进任何月份的报表",IF(AND($G1355&lt;&gt;"",$H1355&lt;&gt;""),"※收入和支出不能同时填",IF(AND(N($G1355)=0,N($H1355)=0),"※收入和支出都没填",IF($E1355="","※没填收支类别，分类报表会漏掉这一笔",IF(ISNA(MATCH($E1355,类别表,0)),"※收支类别不在【参数设置】的清单里",IF($J1355="","△"&amp;$D1355&amp;" 还没填汇率，去【月度汇率】补上就自动算了",IF(YEAR($A1355)&lt;&gt;管理年度,"△不是管理年度的单据，年报里看不到",IF(AND($F1355="内部转账",$Q1355=""),"△内部转账建议在「往来单位」写上对方账户",IF($M1355&lt;0,"△这一笔之后该账户余额成负数了，核一下","")))))))))))</f>
        <v/>
      </c>
    </row>
    <row r="1356" ht="16.5" spans="1:19">
      <c r="A1356" s="45"/>
      <c r="B1356" s="46"/>
      <c r="C1356" s="12" t="str">
        <f>IF($B1356="","",IFERROR(INDEX(账户银行,MATCH($B1356,账户名,0)),""))</f>
        <v/>
      </c>
      <c r="D1356" s="12" t="str">
        <f>IF($B1356="","",IFERROR(INDEX(账户币种,MATCH($B1356,账户名,0)),""))</f>
        <v/>
      </c>
      <c r="E1356" s="47"/>
      <c r="F1356" s="12" t="str">
        <f>IF($E1356="","",IFERROR(INDEX(类别属性,MATCH($E1356,类别表,0)),""))</f>
        <v/>
      </c>
      <c r="G1356" s="48"/>
      <c r="H1356" s="48"/>
      <c r="I1356" s="49"/>
      <c r="J1356" s="24" t="str">
        <f>IF(OR($A1356="",$B1356=""),"",IF($I1356&lt;&gt;"",$I1356,IF($D1356=本位币,1,IFERROR(LOOKUP(2,1/((汇率月份&lt;=$A1356)*(INDEX(记账汇率区,0,MATCH($D1356,汇率币种头,0))&lt;&gt;"")),INDEX(记账汇率区,0,MATCH($D1356,汇率币种头,0))),""))))</f>
        <v/>
      </c>
      <c r="K1356" s="23" t="str">
        <f t="shared" si="42"/>
        <v/>
      </c>
      <c r="L1356" s="23" t="str">
        <f t="shared" si="43"/>
        <v/>
      </c>
      <c r="M1356" s="23" t="str">
        <f>IF($B1356="","",ROUND(SUMIF(账户名,$B1356,账户期初)+SUMIFS($K$6:K1356,$B$6:B1356,$B1356),2))</f>
        <v/>
      </c>
      <c r="N1356" s="23" t="str">
        <f>IF($B1356="","",IFERROR(ROUND(INDEX(账户期初本位,MATCH($B1356,账户名,0))+SUMIFS($L$6:L1356,$B$6:B1356,$B1356),2),""))</f>
        <v/>
      </c>
      <c r="O1356" s="46"/>
      <c r="P1356" s="47"/>
      <c r="Q1356" s="46"/>
      <c r="R1356" s="46"/>
      <c r="S1356" s="6" t="str">
        <f>IF($B1356="","",IF(ISNA(MATCH($B1356,账户名,0)),"※这个账户不在【参数设置】的账户档案里",IF($A1356="","※没填日期，这一笔不会进任何月份的报表",IF(AND($G1356&lt;&gt;"",$H1356&lt;&gt;""),"※收入和支出不能同时填",IF(AND(N($G1356)=0,N($H1356)=0),"※收入和支出都没填",IF($E1356="","※没填收支类别，分类报表会漏掉这一笔",IF(ISNA(MATCH($E1356,类别表,0)),"※收支类别不在【参数设置】的清单里",IF($J1356="","△"&amp;$D1356&amp;" 还没填汇率，去【月度汇率】补上就自动算了",IF(YEAR($A1356)&lt;&gt;管理年度,"△不是管理年度的单据，年报里看不到",IF(AND($F1356="内部转账",$Q1356=""),"△内部转账建议在「往来单位」写上对方账户",IF($M1356&lt;0,"△这一笔之后该账户余额成负数了，核一下","")))))))))))</f>
        <v/>
      </c>
    </row>
    <row r="1357" ht="16.5" spans="1:19">
      <c r="A1357" s="45"/>
      <c r="B1357" s="46"/>
      <c r="C1357" s="12" t="str">
        <f>IF($B1357="","",IFERROR(INDEX(账户银行,MATCH($B1357,账户名,0)),""))</f>
        <v/>
      </c>
      <c r="D1357" s="12" t="str">
        <f>IF($B1357="","",IFERROR(INDEX(账户币种,MATCH($B1357,账户名,0)),""))</f>
        <v/>
      </c>
      <c r="E1357" s="47"/>
      <c r="F1357" s="12" t="str">
        <f>IF($E1357="","",IFERROR(INDEX(类别属性,MATCH($E1357,类别表,0)),""))</f>
        <v/>
      </c>
      <c r="G1357" s="48"/>
      <c r="H1357" s="48"/>
      <c r="I1357" s="49"/>
      <c r="J1357" s="24" t="str">
        <f>IF(OR($A1357="",$B1357=""),"",IF($I1357&lt;&gt;"",$I1357,IF($D1357=本位币,1,IFERROR(LOOKUP(2,1/((汇率月份&lt;=$A1357)*(INDEX(记账汇率区,0,MATCH($D1357,汇率币种头,0))&lt;&gt;"")),INDEX(记账汇率区,0,MATCH($D1357,汇率币种头,0))),""))))</f>
        <v/>
      </c>
      <c r="K1357" s="23" t="str">
        <f t="shared" si="42"/>
        <v/>
      </c>
      <c r="L1357" s="23" t="str">
        <f t="shared" si="43"/>
        <v/>
      </c>
      <c r="M1357" s="23" t="str">
        <f>IF($B1357="","",ROUND(SUMIF(账户名,$B1357,账户期初)+SUMIFS($K$6:K1357,$B$6:B1357,$B1357),2))</f>
        <v/>
      </c>
      <c r="N1357" s="23" t="str">
        <f>IF($B1357="","",IFERROR(ROUND(INDEX(账户期初本位,MATCH($B1357,账户名,0))+SUMIFS($L$6:L1357,$B$6:B1357,$B1357),2),""))</f>
        <v/>
      </c>
      <c r="O1357" s="46"/>
      <c r="P1357" s="47"/>
      <c r="Q1357" s="46"/>
      <c r="R1357" s="46"/>
      <c r="S1357" s="6" t="str">
        <f>IF($B1357="","",IF(ISNA(MATCH($B1357,账户名,0)),"※这个账户不在【参数设置】的账户档案里",IF($A1357="","※没填日期，这一笔不会进任何月份的报表",IF(AND($G1357&lt;&gt;"",$H1357&lt;&gt;""),"※收入和支出不能同时填",IF(AND(N($G1357)=0,N($H1357)=0),"※收入和支出都没填",IF($E1357="","※没填收支类别，分类报表会漏掉这一笔",IF(ISNA(MATCH($E1357,类别表,0)),"※收支类别不在【参数设置】的清单里",IF($J1357="","△"&amp;$D1357&amp;" 还没填汇率，去【月度汇率】补上就自动算了",IF(YEAR($A1357)&lt;&gt;管理年度,"△不是管理年度的单据，年报里看不到",IF(AND($F1357="内部转账",$Q1357=""),"△内部转账建议在「往来单位」写上对方账户",IF($M1357&lt;0,"△这一笔之后该账户余额成负数了，核一下","")))))))))))</f>
        <v/>
      </c>
    </row>
    <row r="1358" ht="16.5" spans="1:19">
      <c r="A1358" s="45"/>
      <c r="B1358" s="46"/>
      <c r="C1358" s="12" t="str">
        <f>IF($B1358="","",IFERROR(INDEX(账户银行,MATCH($B1358,账户名,0)),""))</f>
        <v/>
      </c>
      <c r="D1358" s="12" t="str">
        <f>IF($B1358="","",IFERROR(INDEX(账户币种,MATCH($B1358,账户名,0)),""))</f>
        <v/>
      </c>
      <c r="E1358" s="47"/>
      <c r="F1358" s="12" t="str">
        <f>IF($E1358="","",IFERROR(INDEX(类别属性,MATCH($E1358,类别表,0)),""))</f>
        <v/>
      </c>
      <c r="G1358" s="48"/>
      <c r="H1358" s="48"/>
      <c r="I1358" s="49"/>
      <c r="J1358" s="24" t="str">
        <f>IF(OR($A1358="",$B1358=""),"",IF($I1358&lt;&gt;"",$I1358,IF($D1358=本位币,1,IFERROR(LOOKUP(2,1/((汇率月份&lt;=$A1358)*(INDEX(记账汇率区,0,MATCH($D1358,汇率币种头,0))&lt;&gt;"")),INDEX(记账汇率区,0,MATCH($D1358,汇率币种头,0))),""))))</f>
        <v/>
      </c>
      <c r="K1358" s="23" t="str">
        <f t="shared" si="42"/>
        <v/>
      </c>
      <c r="L1358" s="23" t="str">
        <f t="shared" si="43"/>
        <v/>
      </c>
      <c r="M1358" s="23" t="str">
        <f>IF($B1358="","",ROUND(SUMIF(账户名,$B1358,账户期初)+SUMIFS($K$6:K1358,$B$6:B1358,$B1358),2))</f>
        <v/>
      </c>
      <c r="N1358" s="23" t="str">
        <f>IF($B1358="","",IFERROR(ROUND(INDEX(账户期初本位,MATCH($B1358,账户名,0))+SUMIFS($L$6:L1358,$B$6:B1358,$B1358),2),""))</f>
        <v/>
      </c>
      <c r="O1358" s="46"/>
      <c r="P1358" s="47"/>
      <c r="Q1358" s="46"/>
      <c r="R1358" s="46"/>
      <c r="S1358" s="6" t="str">
        <f>IF($B1358="","",IF(ISNA(MATCH($B1358,账户名,0)),"※这个账户不在【参数设置】的账户档案里",IF($A1358="","※没填日期，这一笔不会进任何月份的报表",IF(AND($G1358&lt;&gt;"",$H1358&lt;&gt;""),"※收入和支出不能同时填",IF(AND(N($G1358)=0,N($H1358)=0),"※收入和支出都没填",IF($E1358="","※没填收支类别，分类报表会漏掉这一笔",IF(ISNA(MATCH($E1358,类别表,0)),"※收支类别不在【参数设置】的清单里",IF($J1358="","△"&amp;$D1358&amp;" 还没填汇率，去【月度汇率】补上就自动算了",IF(YEAR($A1358)&lt;&gt;管理年度,"△不是管理年度的单据，年报里看不到",IF(AND($F1358="内部转账",$Q1358=""),"△内部转账建议在「往来单位」写上对方账户",IF($M1358&lt;0,"△这一笔之后该账户余额成负数了，核一下","")))))))))))</f>
        <v/>
      </c>
    </row>
    <row r="1359" ht="16.5" spans="1:19">
      <c r="A1359" s="45"/>
      <c r="B1359" s="46"/>
      <c r="C1359" s="12" t="str">
        <f>IF($B1359="","",IFERROR(INDEX(账户银行,MATCH($B1359,账户名,0)),""))</f>
        <v/>
      </c>
      <c r="D1359" s="12" t="str">
        <f>IF($B1359="","",IFERROR(INDEX(账户币种,MATCH($B1359,账户名,0)),""))</f>
        <v/>
      </c>
      <c r="E1359" s="47"/>
      <c r="F1359" s="12" t="str">
        <f>IF($E1359="","",IFERROR(INDEX(类别属性,MATCH($E1359,类别表,0)),""))</f>
        <v/>
      </c>
      <c r="G1359" s="48"/>
      <c r="H1359" s="48"/>
      <c r="I1359" s="49"/>
      <c r="J1359" s="24" t="str">
        <f>IF(OR($A1359="",$B1359=""),"",IF($I1359&lt;&gt;"",$I1359,IF($D1359=本位币,1,IFERROR(LOOKUP(2,1/((汇率月份&lt;=$A1359)*(INDEX(记账汇率区,0,MATCH($D1359,汇率币种头,0))&lt;&gt;"")),INDEX(记账汇率区,0,MATCH($D1359,汇率币种头,0))),""))))</f>
        <v/>
      </c>
      <c r="K1359" s="23" t="str">
        <f t="shared" si="42"/>
        <v/>
      </c>
      <c r="L1359" s="23" t="str">
        <f t="shared" si="43"/>
        <v/>
      </c>
      <c r="M1359" s="23" t="str">
        <f>IF($B1359="","",ROUND(SUMIF(账户名,$B1359,账户期初)+SUMIFS($K$6:K1359,$B$6:B1359,$B1359),2))</f>
        <v/>
      </c>
      <c r="N1359" s="23" t="str">
        <f>IF($B1359="","",IFERROR(ROUND(INDEX(账户期初本位,MATCH($B1359,账户名,0))+SUMIFS($L$6:L1359,$B$6:B1359,$B1359),2),""))</f>
        <v/>
      </c>
      <c r="O1359" s="46"/>
      <c r="P1359" s="47"/>
      <c r="Q1359" s="46"/>
      <c r="R1359" s="46"/>
      <c r="S1359" s="6" t="str">
        <f>IF($B1359="","",IF(ISNA(MATCH($B1359,账户名,0)),"※这个账户不在【参数设置】的账户档案里",IF($A1359="","※没填日期，这一笔不会进任何月份的报表",IF(AND($G1359&lt;&gt;"",$H1359&lt;&gt;""),"※收入和支出不能同时填",IF(AND(N($G1359)=0,N($H1359)=0),"※收入和支出都没填",IF($E1359="","※没填收支类别，分类报表会漏掉这一笔",IF(ISNA(MATCH($E1359,类别表,0)),"※收支类别不在【参数设置】的清单里",IF($J1359="","△"&amp;$D1359&amp;" 还没填汇率，去【月度汇率】补上就自动算了",IF(YEAR($A1359)&lt;&gt;管理年度,"△不是管理年度的单据，年报里看不到",IF(AND($F1359="内部转账",$Q1359=""),"△内部转账建议在「往来单位」写上对方账户",IF($M1359&lt;0,"△这一笔之后该账户余额成负数了，核一下","")))))))))))</f>
        <v/>
      </c>
    </row>
    <row r="1360" ht="16.5" spans="1:19">
      <c r="A1360" s="45"/>
      <c r="B1360" s="46"/>
      <c r="C1360" s="12" t="str">
        <f>IF($B1360="","",IFERROR(INDEX(账户银行,MATCH($B1360,账户名,0)),""))</f>
        <v/>
      </c>
      <c r="D1360" s="12" t="str">
        <f>IF($B1360="","",IFERROR(INDEX(账户币种,MATCH($B1360,账户名,0)),""))</f>
        <v/>
      </c>
      <c r="E1360" s="47"/>
      <c r="F1360" s="12" t="str">
        <f>IF($E1360="","",IFERROR(INDEX(类别属性,MATCH($E1360,类别表,0)),""))</f>
        <v/>
      </c>
      <c r="G1360" s="48"/>
      <c r="H1360" s="48"/>
      <c r="I1360" s="49"/>
      <c r="J1360" s="24" t="str">
        <f>IF(OR($A1360="",$B1360=""),"",IF($I1360&lt;&gt;"",$I1360,IF($D1360=本位币,1,IFERROR(LOOKUP(2,1/((汇率月份&lt;=$A1360)*(INDEX(记账汇率区,0,MATCH($D1360,汇率币种头,0))&lt;&gt;"")),INDEX(记账汇率区,0,MATCH($D1360,汇率币种头,0))),""))))</f>
        <v/>
      </c>
      <c r="K1360" s="23" t="str">
        <f t="shared" si="42"/>
        <v/>
      </c>
      <c r="L1360" s="23" t="str">
        <f t="shared" si="43"/>
        <v/>
      </c>
      <c r="M1360" s="23" t="str">
        <f>IF($B1360="","",ROUND(SUMIF(账户名,$B1360,账户期初)+SUMIFS($K$6:K1360,$B$6:B1360,$B1360),2))</f>
        <v/>
      </c>
      <c r="N1360" s="23" t="str">
        <f>IF($B1360="","",IFERROR(ROUND(INDEX(账户期初本位,MATCH($B1360,账户名,0))+SUMIFS($L$6:L1360,$B$6:B1360,$B1360),2),""))</f>
        <v/>
      </c>
      <c r="O1360" s="46"/>
      <c r="P1360" s="47"/>
      <c r="Q1360" s="46"/>
      <c r="R1360" s="46"/>
      <c r="S1360" s="6" t="str">
        <f>IF($B1360="","",IF(ISNA(MATCH($B1360,账户名,0)),"※这个账户不在【参数设置】的账户档案里",IF($A1360="","※没填日期，这一笔不会进任何月份的报表",IF(AND($G1360&lt;&gt;"",$H1360&lt;&gt;""),"※收入和支出不能同时填",IF(AND(N($G1360)=0,N($H1360)=0),"※收入和支出都没填",IF($E1360="","※没填收支类别，分类报表会漏掉这一笔",IF(ISNA(MATCH($E1360,类别表,0)),"※收支类别不在【参数设置】的清单里",IF($J1360="","△"&amp;$D1360&amp;" 还没填汇率，去【月度汇率】补上就自动算了",IF(YEAR($A1360)&lt;&gt;管理年度,"△不是管理年度的单据，年报里看不到",IF(AND($F1360="内部转账",$Q1360=""),"△内部转账建议在「往来单位」写上对方账户",IF($M1360&lt;0,"△这一笔之后该账户余额成负数了，核一下","")))))))))))</f>
        <v/>
      </c>
    </row>
    <row r="1361" ht="16.5" spans="1:19">
      <c r="A1361" s="45"/>
      <c r="B1361" s="46"/>
      <c r="C1361" s="12" t="str">
        <f>IF($B1361="","",IFERROR(INDEX(账户银行,MATCH($B1361,账户名,0)),""))</f>
        <v/>
      </c>
      <c r="D1361" s="12" t="str">
        <f>IF($B1361="","",IFERROR(INDEX(账户币种,MATCH($B1361,账户名,0)),""))</f>
        <v/>
      </c>
      <c r="E1361" s="47"/>
      <c r="F1361" s="12" t="str">
        <f>IF($E1361="","",IFERROR(INDEX(类别属性,MATCH($E1361,类别表,0)),""))</f>
        <v/>
      </c>
      <c r="G1361" s="48"/>
      <c r="H1361" s="48"/>
      <c r="I1361" s="49"/>
      <c r="J1361" s="24" t="str">
        <f>IF(OR($A1361="",$B1361=""),"",IF($I1361&lt;&gt;"",$I1361,IF($D1361=本位币,1,IFERROR(LOOKUP(2,1/((汇率月份&lt;=$A1361)*(INDEX(记账汇率区,0,MATCH($D1361,汇率币种头,0))&lt;&gt;"")),INDEX(记账汇率区,0,MATCH($D1361,汇率币种头,0))),""))))</f>
        <v/>
      </c>
      <c r="K1361" s="23" t="str">
        <f t="shared" si="42"/>
        <v/>
      </c>
      <c r="L1361" s="23" t="str">
        <f t="shared" si="43"/>
        <v/>
      </c>
      <c r="M1361" s="23" t="str">
        <f>IF($B1361="","",ROUND(SUMIF(账户名,$B1361,账户期初)+SUMIFS($K$6:K1361,$B$6:B1361,$B1361),2))</f>
        <v/>
      </c>
      <c r="N1361" s="23" t="str">
        <f>IF($B1361="","",IFERROR(ROUND(INDEX(账户期初本位,MATCH($B1361,账户名,0))+SUMIFS($L$6:L1361,$B$6:B1361,$B1361),2),""))</f>
        <v/>
      </c>
      <c r="O1361" s="46"/>
      <c r="P1361" s="47"/>
      <c r="Q1361" s="46"/>
      <c r="R1361" s="46"/>
      <c r="S1361" s="6" t="str">
        <f>IF($B1361="","",IF(ISNA(MATCH($B1361,账户名,0)),"※这个账户不在【参数设置】的账户档案里",IF($A1361="","※没填日期，这一笔不会进任何月份的报表",IF(AND($G1361&lt;&gt;"",$H1361&lt;&gt;""),"※收入和支出不能同时填",IF(AND(N($G1361)=0,N($H1361)=0),"※收入和支出都没填",IF($E1361="","※没填收支类别，分类报表会漏掉这一笔",IF(ISNA(MATCH($E1361,类别表,0)),"※收支类别不在【参数设置】的清单里",IF($J1361="","△"&amp;$D1361&amp;" 还没填汇率，去【月度汇率】补上就自动算了",IF(YEAR($A1361)&lt;&gt;管理年度,"△不是管理年度的单据，年报里看不到",IF(AND($F1361="内部转账",$Q1361=""),"△内部转账建议在「往来单位」写上对方账户",IF($M1361&lt;0,"△这一笔之后该账户余额成负数了，核一下","")))))))))))</f>
        <v/>
      </c>
    </row>
    <row r="1362" ht="16.5" spans="1:19">
      <c r="A1362" s="45"/>
      <c r="B1362" s="46"/>
      <c r="C1362" s="12" t="str">
        <f>IF($B1362="","",IFERROR(INDEX(账户银行,MATCH($B1362,账户名,0)),""))</f>
        <v/>
      </c>
      <c r="D1362" s="12" t="str">
        <f>IF($B1362="","",IFERROR(INDEX(账户币种,MATCH($B1362,账户名,0)),""))</f>
        <v/>
      </c>
      <c r="E1362" s="47"/>
      <c r="F1362" s="12" t="str">
        <f>IF($E1362="","",IFERROR(INDEX(类别属性,MATCH($E1362,类别表,0)),""))</f>
        <v/>
      </c>
      <c r="G1362" s="48"/>
      <c r="H1362" s="48"/>
      <c r="I1362" s="49"/>
      <c r="J1362" s="24" t="str">
        <f>IF(OR($A1362="",$B1362=""),"",IF($I1362&lt;&gt;"",$I1362,IF($D1362=本位币,1,IFERROR(LOOKUP(2,1/((汇率月份&lt;=$A1362)*(INDEX(记账汇率区,0,MATCH($D1362,汇率币种头,0))&lt;&gt;"")),INDEX(记账汇率区,0,MATCH($D1362,汇率币种头,0))),""))))</f>
        <v/>
      </c>
      <c r="K1362" s="23" t="str">
        <f t="shared" si="42"/>
        <v/>
      </c>
      <c r="L1362" s="23" t="str">
        <f t="shared" si="43"/>
        <v/>
      </c>
      <c r="M1362" s="23" t="str">
        <f>IF($B1362="","",ROUND(SUMIF(账户名,$B1362,账户期初)+SUMIFS($K$6:K1362,$B$6:B1362,$B1362),2))</f>
        <v/>
      </c>
      <c r="N1362" s="23" t="str">
        <f>IF($B1362="","",IFERROR(ROUND(INDEX(账户期初本位,MATCH($B1362,账户名,0))+SUMIFS($L$6:L1362,$B$6:B1362,$B1362),2),""))</f>
        <v/>
      </c>
      <c r="O1362" s="46"/>
      <c r="P1362" s="47"/>
      <c r="Q1362" s="46"/>
      <c r="R1362" s="46"/>
      <c r="S1362" s="6" t="str">
        <f>IF($B1362="","",IF(ISNA(MATCH($B1362,账户名,0)),"※这个账户不在【参数设置】的账户档案里",IF($A1362="","※没填日期，这一笔不会进任何月份的报表",IF(AND($G1362&lt;&gt;"",$H1362&lt;&gt;""),"※收入和支出不能同时填",IF(AND(N($G1362)=0,N($H1362)=0),"※收入和支出都没填",IF($E1362="","※没填收支类别，分类报表会漏掉这一笔",IF(ISNA(MATCH($E1362,类别表,0)),"※收支类别不在【参数设置】的清单里",IF($J1362="","△"&amp;$D1362&amp;" 还没填汇率，去【月度汇率】补上就自动算了",IF(YEAR($A1362)&lt;&gt;管理年度,"△不是管理年度的单据，年报里看不到",IF(AND($F1362="内部转账",$Q1362=""),"△内部转账建议在「往来单位」写上对方账户",IF($M1362&lt;0,"△这一笔之后该账户余额成负数了，核一下","")))))))))))</f>
        <v/>
      </c>
    </row>
    <row r="1363" ht="16.5" spans="1:19">
      <c r="A1363" s="45"/>
      <c r="B1363" s="46"/>
      <c r="C1363" s="12" t="str">
        <f>IF($B1363="","",IFERROR(INDEX(账户银行,MATCH($B1363,账户名,0)),""))</f>
        <v/>
      </c>
      <c r="D1363" s="12" t="str">
        <f>IF($B1363="","",IFERROR(INDEX(账户币种,MATCH($B1363,账户名,0)),""))</f>
        <v/>
      </c>
      <c r="E1363" s="47"/>
      <c r="F1363" s="12" t="str">
        <f>IF($E1363="","",IFERROR(INDEX(类别属性,MATCH($E1363,类别表,0)),""))</f>
        <v/>
      </c>
      <c r="G1363" s="48"/>
      <c r="H1363" s="48"/>
      <c r="I1363" s="49"/>
      <c r="J1363" s="24" t="str">
        <f>IF(OR($A1363="",$B1363=""),"",IF($I1363&lt;&gt;"",$I1363,IF($D1363=本位币,1,IFERROR(LOOKUP(2,1/((汇率月份&lt;=$A1363)*(INDEX(记账汇率区,0,MATCH($D1363,汇率币种头,0))&lt;&gt;"")),INDEX(记账汇率区,0,MATCH($D1363,汇率币种头,0))),""))))</f>
        <v/>
      </c>
      <c r="K1363" s="23" t="str">
        <f t="shared" si="42"/>
        <v/>
      </c>
      <c r="L1363" s="23" t="str">
        <f t="shared" si="43"/>
        <v/>
      </c>
      <c r="M1363" s="23" t="str">
        <f>IF($B1363="","",ROUND(SUMIF(账户名,$B1363,账户期初)+SUMIFS($K$6:K1363,$B$6:B1363,$B1363),2))</f>
        <v/>
      </c>
      <c r="N1363" s="23" t="str">
        <f>IF($B1363="","",IFERROR(ROUND(INDEX(账户期初本位,MATCH($B1363,账户名,0))+SUMIFS($L$6:L1363,$B$6:B1363,$B1363),2),""))</f>
        <v/>
      </c>
      <c r="O1363" s="46"/>
      <c r="P1363" s="47"/>
      <c r="Q1363" s="46"/>
      <c r="R1363" s="46"/>
      <c r="S1363" s="6" t="str">
        <f>IF($B1363="","",IF(ISNA(MATCH($B1363,账户名,0)),"※这个账户不在【参数设置】的账户档案里",IF($A1363="","※没填日期，这一笔不会进任何月份的报表",IF(AND($G1363&lt;&gt;"",$H1363&lt;&gt;""),"※收入和支出不能同时填",IF(AND(N($G1363)=0,N($H1363)=0),"※收入和支出都没填",IF($E1363="","※没填收支类别，分类报表会漏掉这一笔",IF(ISNA(MATCH($E1363,类别表,0)),"※收支类别不在【参数设置】的清单里",IF($J1363="","△"&amp;$D1363&amp;" 还没填汇率，去【月度汇率】补上就自动算了",IF(YEAR($A1363)&lt;&gt;管理年度,"△不是管理年度的单据，年报里看不到",IF(AND($F1363="内部转账",$Q1363=""),"△内部转账建议在「往来单位」写上对方账户",IF($M1363&lt;0,"△这一笔之后该账户余额成负数了，核一下","")))))))))))</f>
        <v/>
      </c>
    </row>
    <row r="1364" ht="16.5" spans="1:19">
      <c r="A1364" s="45"/>
      <c r="B1364" s="46"/>
      <c r="C1364" s="12" t="str">
        <f>IF($B1364="","",IFERROR(INDEX(账户银行,MATCH($B1364,账户名,0)),""))</f>
        <v/>
      </c>
      <c r="D1364" s="12" t="str">
        <f>IF($B1364="","",IFERROR(INDEX(账户币种,MATCH($B1364,账户名,0)),""))</f>
        <v/>
      </c>
      <c r="E1364" s="47"/>
      <c r="F1364" s="12" t="str">
        <f>IF($E1364="","",IFERROR(INDEX(类别属性,MATCH($E1364,类别表,0)),""))</f>
        <v/>
      </c>
      <c r="G1364" s="48"/>
      <c r="H1364" s="48"/>
      <c r="I1364" s="49"/>
      <c r="J1364" s="24" t="str">
        <f>IF(OR($A1364="",$B1364=""),"",IF($I1364&lt;&gt;"",$I1364,IF($D1364=本位币,1,IFERROR(LOOKUP(2,1/((汇率月份&lt;=$A1364)*(INDEX(记账汇率区,0,MATCH($D1364,汇率币种头,0))&lt;&gt;"")),INDEX(记账汇率区,0,MATCH($D1364,汇率币种头,0))),""))))</f>
        <v/>
      </c>
      <c r="K1364" s="23" t="str">
        <f t="shared" si="42"/>
        <v/>
      </c>
      <c r="L1364" s="23" t="str">
        <f t="shared" si="43"/>
        <v/>
      </c>
      <c r="M1364" s="23" t="str">
        <f>IF($B1364="","",ROUND(SUMIF(账户名,$B1364,账户期初)+SUMIFS($K$6:K1364,$B$6:B1364,$B1364),2))</f>
        <v/>
      </c>
      <c r="N1364" s="23" t="str">
        <f>IF($B1364="","",IFERROR(ROUND(INDEX(账户期初本位,MATCH($B1364,账户名,0))+SUMIFS($L$6:L1364,$B$6:B1364,$B1364),2),""))</f>
        <v/>
      </c>
      <c r="O1364" s="46"/>
      <c r="P1364" s="47"/>
      <c r="Q1364" s="46"/>
      <c r="R1364" s="46"/>
      <c r="S1364" s="6" t="str">
        <f>IF($B1364="","",IF(ISNA(MATCH($B1364,账户名,0)),"※这个账户不在【参数设置】的账户档案里",IF($A1364="","※没填日期，这一笔不会进任何月份的报表",IF(AND($G1364&lt;&gt;"",$H1364&lt;&gt;""),"※收入和支出不能同时填",IF(AND(N($G1364)=0,N($H1364)=0),"※收入和支出都没填",IF($E1364="","※没填收支类别，分类报表会漏掉这一笔",IF(ISNA(MATCH($E1364,类别表,0)),"※收支类别不在【参数设置】的清单里",IF($J1364="","△"&amp;$D1364&amp;" 还没填汇率，去【月度汇率】补上就自动算了",IF(YEAR($A1364)&lt;&gt;管理年度,"△不是管理年度的单据，年报里看不到",IF(AND($F1364="内部转账",$Q1364=""),"△内部转账建议在「往来单位」写上对方账户",IF($M1364&lt;0,"△这一笔之后该账户余额成负数了，核一下","")))))))))))</f>
        <v/>
      </c>
    </row>
    <row r="1365" ht="16.5" spans="1:19">
      <c r="A1365" s="45"/>
      <c r="B1365" s="46"/>
      <c r="C1365" s="12" t="str">
        <f>IF($B1365="","",IFERROR(INDEX(账户银行,MATCH($B1365,账户名,0)),""))</f>
        <v/>
      </c>
      <c r="D1365" s="12" t="str">
        <f>IF($B1365="","",IFERROR(INDEX(账户币种,MATCH($B1365,账户名,0)),""))</f>
        <v/>
      </c>
      <c r="E1365" s="47"/>
      <c r="F1365" s="12" t="str">
        <f>IF($E1365="","",IFERROR(INDEX(类别属性,MATCH($E1365,类别表,0)),""))</f>
        <v/>
      </c>
      <c r="G1365" s="48"/>
      <c r="H1365" s="48"/>
      <c r="I1365" s="49"/>
      <c r="J1365" s="24" t="str">
        <f>IF(OR($A1365="",$B1365=""),"",IF($I1365&lt;&gt;"",$I1365,IF($D1365=本位币,1,IFERROR(LOOKUP(2,1/((汇率月份&lt;=$A1365)*(INDEX(记账汇率区,0,MATCH($D1365,汇率币种头,0))&lt;&gt;"")),INDEX(记账汇率区,0,MATCH($D1365,汇率币种头,0))),""))))</f>
        <v/>
      </c>
      <c r="K1365" s="23" t="str">
        <f t="shared" si="42"/>
        <v/>
      </c>
      <c r="L1365" s="23" t="str">
        <f t="shared" si="43"/>
        <v/>
      </c>
      <c r="M1365" s="23" t="str">
        <f>IF($B1365="","",ROUND(SUMIF(账户名,$B1365,账户期初)+SUMIFS($K$6:K1365,$B$6:B1365,$B1365),2))</f>
        <v/>
      </c>
      <c r="N1365" s="23" t="str">
        <f>IF($B1365="","",IFERROR(ROUND(INDEX(账户期初本位,MATCH($B1365,账户名,0))+SUMIFS($L$6:L1365,$B$6:B1365,$B1365),2),""))</f>
        <v/>
      </c>
      <c r="O1365" s="46"/>
      <c r="P1365" s="47"/>
      <c r="Q1365" s="46"/>
      <c r="R1365" s="46"/>
      <c r="S1365" s="6" t="str">
        <f>IF($B1365="","",IF(ISNA(MATCH($B1365,账户名,0)),"※这个账户不在【参数设置】的账户档案里",IF($A1365="","※没填日期，这一笔不会进任何月份的报表",IF(AND($G1365&lt;&gt;"",$H1365&lt;&gt;""),"※收入和支出不能同时填",IF(AND(N($G1365)=0,N($H1365)=0),"※收入和支出都没填",IF($E1365="","※没填收支类别，分类报表会漏掉这一笔",IF(ISNA(MATCH($E1365,类别表,0)),"※收支类别不在【参数设置】的清单里",IF($J1365="","△"&amp;$D1365&amp;" 还没填汇率，去【月度汇率】补上就自动算了",IF(YEAR($A1365)&lt;&gt;管理年度,"△不是管理年度的单据，年报里看不到",IF(AND($F1365="内部转账",$Q1365=""),"△内部转账建议在「往来单位」写上对方账户",IF($M1365&lt;0,"△这一笔之后该账户余额成负数了，核一下","")))))))))))</f>
        <v/>
      </c>
    </row>
    <row r="1366" ht="16.5" spans="1:19">
      <c r="A1366" s="45"/>
      <c r="B1366" s="46"/>
      <c r="C1366" s="12" t="str">
        <f>IF($B1366="","",IFERROR(INDEX(账户银行,MATCH($B1366,账户名,0)),""))</f>
        <v/>
      </c>
      <c r="D1366" s="12" t="str">
        <f>IF($B1366="","",IFERROR(INDEX(账户币种,MATCH($B1366,账户名,0)),""))</f>
        <v/>
      </c>
      <c r="E1366" s="47"/>
      <c r="F1366" s="12" t="str">
        <f>IF($E1366="","",IFERROR(INDEX(类别属性,MATCH($E1366,类别表,0)),""))</f>
        <v/>
      </c>
      <c r="G1366" s="48"/>
      <c r="H1366" s="48"/>
      <c r="I1366" s="49"/>
      <c r="J1366" s="24" t="str">
        <f>IF(OR($A1366="",$B1366=""),"",IF($I1366&lt;&gt;"",$I1366,IF($D1366=本位币,1,IFERROR(LOOKUP(2,1/((汇率月份&lt;=$A1366)*(INDEX(记账汇率区,0,MATCH($D1366,汇率币种头,0))&lt;&gt;"")),INDEX(记账汇率区,0,MATCH($D1366,汇率币种头,0))),""))))</f>
        <v/>
      </c>
      <c r="K1366" s="23" t="str">
        <f t="shared" si="42"/>
        <v/>
      </c>
      <c r="L1366" s="23" t="str">
        <f t="shared" si="43"/>
        <v/>
      </c>
      <c r="M1366" s="23" t="str">
        <f>IF($B1366="","",ROUND(SUMIF(账户名,$B1366,账户期初)+SUMIFS($K$6:K1366,$B$6:B1366,$B1366),2))</f>
        <v/>
      </c>
      <c r="N1366" s="23" t="str">
        <f>IF($B1366="","",IFERROR(ROUND(INDEX(账户期初本位,MATCH($B1366,账户名,0))+SUMIFS($L$6:L1366,$B$6:B1366,$B1366),2),""))</f>
        <v/>
      </c>
      <c r="O1366" s="46"/>
      <c r="P1366" s="47"/>
      <c r="Q1366" s="46"/>
      <c r="R1366" s="46"/>
      <c r="S1366" s="6" t="str">
        <f>IF($B1366="","",IF(ISNA(MATCH($B1366,账户名,0)),"※这个账户不在【参数设置】的账户档案里",IF($A1366="","※没填日期，这一笔不会进任何月份的报表",IF(AND($G1366&lt;&gt;"",$H1366&lt;&gt;""),"※收入和支出不能同时填",IF(AND(N($G1366)=0,N($H1366)=0),"※收入和支出都没填",IF($E1366="","※没填收支类别，分类报表会漏掉这一笔",IF(ISNA(MATCH($E1366,类别表,0)),"※收支类别不在【参数设置】的清单里",IF($J1366="","△"&amp;$D1366&amp;" 还没填汇率，去【月度汇率】补上就自动算了",IF(YEAR($A1366)&lt;&gt;管理年度,"△不是管理年度的单据，年报里看不到",IF(AND($F1366="内部转账",$Q1366=""),"△内部转账建议在「往来单位」写上对方账户",IF($M1366&lt;0,"△这一笔之后该账户余额成负数了，核一下","")))))))))))</f>
        <v/>
      </c>
    </row>
    <row r="1367" ht="16.5" spans="1:19">
      <c r="A1367" s="45"/>
      <c r="B1367" s="46"/>
      <c r="C1367" s="12" t="str">
        <f>IF($B1367="","",IFERROR(INDEX(账户银行,MATCH($B1367,账户名,0)),""))</f>
        <v/>
      </c>
      <c r="D1367" s="12" t="str">
        <f>IF($B1367="","",IFERROR(INDEX(账户币种,MATCH($B1367,账户名,0)),""))</f>
        <v/>
      </c>
      <c r="E1367" s="47"/>
      <c r="F1367" s="12" t="str">
        <f>IF($E1367="","",IFERROR(INDEX(类别属性,MATCH($E1367,类别表,0)),""))</f>
        <v/>
      </c>
      <c r="G1367" s="48"/>
      <c r="H1367" s="48"/>
      <c r="I1367" s="49"/>
      <c r="J1367" s="24" t="str">
        <f>IF(OR($A1367="",$B1367=""),"",IF($I1367&lt;&gt;"",$I1367,IF($D1367=本位币,1,IFERROR(LOOKUP(2,1/((汇率月份&lt;=$A1367)*(INDEX(记账汇率区,0,MATCH($D1367,汇率币种头,0))&lt;&gt;"")),INDEX(记账汇率区,0,MATCH($D1367,汇率币种头,0))),""))))</f>
        <v/>
      </c>
      <c r="K1367" s="23" t="str">
        <f t="shared" si="42"/>
        <v/>
      </c>
      <c r="L1367" s="23" t="str">
        <f t="shared" si="43"/>
        <v/>
      </c>
      <c r="M1367" s="23" t="str">
        <f>IF($B1367="","",ROUND(SUMIF(账户名,$B1367,账户期初)+SUMIFS($K$6:K1367,$B$6:B1367,$B1367),2))</f>
        <v/>
      </c>
      <c r="N1367" s="23" t="str">
        <f>IF($B1367="","",IFERROR(ROUND(INDEX(账户期初本位,MATCH($B1367,账户名,0))+SUMIFS($L$6:L1367,$B$6:B1367,$B1367),2),""))</f>
        <v/>
      </c>
      <c r="O1367" s="46"/>
      <c r="P1367" s="47"/>
      <c r="Q1367" s="46"/>
      <c r="R1367" s="46"/>
      <c r="S1367" s="6" t="str">
        <f>IF($B1367="","",IF(ISNA(MATCH($B1367,账户名,0)),"※这个账户不在【参数设置】的账户档案里",IF($A1367="","※没填日期，这一笔不会进任何月份的报表",IF(AND($G1367&lt;&gt;"",$H1367&lt;&gt;""),"※收入和支出不能同时填",IF(AND(N($G1367)=0,N($H1367)=0),"※收入和支出都没填",IF($E1367="","※没填收支类别，分类报表会漏掉这一笔",IF(ISNA(MATCH($E1367,类别表,0)),"※收支类别不在【参数设置】的清单里",IF($J1367="","△"&amp;$D1367&amp;" 还没填汇率，去【月度汇率】补上就自动算了",IF(YEAR($A1367)&lt;&gt;管理年度,"△不是管理年度的单据，年报里看不到",IF(AND($F1367="内部转账",$Q1367=""),"△内部转账建议在「往来单位」写上对方账户",IF($M1367&lt;0,"△这一笔之后该账户余额成负数了，核一下","")))))))))))</f>
        <v/>
      </c>
    </row>
    <row r="1368" ht="16.5" spans="1:19">
      <c r="A1368" s="45"/>
      <c r="B1368" s="46"/>
      <c r="C1368" s="12" t="str">
        <f>IF($B1368="","",IFERROR(INDEX(账户银行,MATCH($B1368,账户名,0)),""))</f>
        <v/>
      </c>
      <c r="D1368" s="12" t="str">
        <f>IF($B1368="","",IFERROR(INDEX(账户币种,MATCH($B1368,账户名,0)),""))</f>
        <v/>
      </c>
      <c r="E1368" s="47"/>
      <c r="F1368" s="12" t="str">
        <f>IF($E1368="","",IFERROR(INDEX(类别属性,MATCH($E1368,类别表,0)),""))</f>
        <v/>
      </c>
      <c r="G1368" s="48"/>
      <c r="H1368" s="48"/>
      <c r="I1368" s="49"/>
      <c r="J1368" s="24" t="str">
        <f>IF(OR($A1368="",$B1368=""),"",IF($I1368&lt;&gt;"",$I1368,IF($D1368=本位币,1,IFERROR(LOOKUP(2,1/((汇率月份&lt;=$A1368)*(INDEX(记账汇率区,0,MATCH($D1368,汇率币种头,0))&lt;&gt;"")),INDEX(记账汇率区,0,MATCH($D1368,汇率币种头,0))),""))))</f>
        <v/>
      </c>
      <c r="K1368" s="23" t="str">
        <f t="shared" si="42"/>
        <v/>
      </c>
      <c r="L1368" s="23" t="str">
        <f t="shared" si="43"/>
        <v/>
      </c>
      <c r="M1368" s="23" t="str">
        <f>IF($B1368="","",ROUND(SUMIF(账户名,$B1368,账户期初)+SUMIFS($K$6:K1368,$B$6:B1368,$B1368),2))</f>
        <v/>
      </c>
      <c r="N1368" s="23" t="str">
        <f>IF($B1368="","",IFERROR(ROUND(INDEX(账户期初本位,MATCH($B1368,账户名,0))+SUMIFS($L$6:L1368,$B$6:B1368,$B1368),2),""))</f>
        <v/>
      </c>
      <c r="O1368" s="46"/>
      <c r="P1368" s="47"/>
      <c r="Q1368" s="46"/>
      <c r="R1368" s="46"/>
      <c r="S1368" s="6" t="str">
        <f>IF($B1368="","",IF(ISNA(MATCH($B1368,账户名,0)),"※这个账户不在【参数设置】的账户档案里",IF($A1368="","※没填日期，这一笔不会进任何月份的报表",IF(AND($G1368&lt;&gt;"",$H1368&lt;&gt;""),"※收入和支出不能同时填",IF(AND(N($G1368)=0,N($H1368)=0),"※收入和支出都没填",IF($E1368="","※没填收支类别，分类报表会漏掉这一笔",IF(ISNA(MATCH($E1368,类别表,0)),"※收支类别不在【参数设置】的清单里",IF($J1368="","△"&amp;$D1368&amp;" 还没填汇率，去【月度汇率】补上就自动算了",IF(YEAR($A1368)&lt;&gt;管理年度,"△不是管理年度的单据，年报里看不到",IF(AND($F1368="内部转账",$Q1368=""),"△内部转账建议在「往来单位」写上对方账户",IF($M1368&lt;0,"△这一笔之后该账户余额成负数了，核一下","")))))))))))</f>
        <v/>
      </c>
    </row>
    <row r="1369" ht="16.5" spans="1:19">
      <c r="A1369" s="45"/>
      <c r="B1369" s="46"/>
      <c r="C1369" s="12" t="str">
        <f>IF($B1369="","",IFERROR(INDEX(账户银行,MATCH($B1369,账户名,0)),""))</f>
        <v/>
      </c>
      <c r="D1369" s="12" t="str">
        <f>IF($B1369="","",IFERROR(INDEX(账户币种,MATCH($B1369,账户名,0)),""))</f>
        <v/>
      </c>
      <c r="E1369" s="47"/>
      <c r="F1369" s="12" t="str">
        <f>IF($E1369="","",IFERROR(INDEX(类别属性,MATCH($E1369,类别表,0)),""))</f>
        <v/>
      </c>
      <c r="G1369" s="48"/>
      <c r="H1369" s="48"/>
      <c r="I1369" s="49"/>
      <c r="J1369" s="24" t="str">
        <f>IF(OR($A1369="",$B1369=""),"",IF($I1369&lt;&gt;"",$I1369,IF($D1369=本位币,1,IFERROR(LOOKUP(2,1/((汇率月份&lt;=$A1369)*(INDEX(记账汇率区,0,MATCH($D1369,汇率币种头,0))&lt;&gt;"")),INDEX(记账汇率区,0,MATCH($D1369,汇率币种头,0))),""))))</f>
        <v/>
      </c>
      <c r="K1369" s="23" t="str">
        <f t="shared" si="42"/>
        <v/>
      </c>
      <c r="L1369" s="23" t="str">
        <f t="shared" si="43"/>
        <v/>
      </c>
      <c r="M1369" s="23" t="str">
        <f>IF($B1369="","",ROUND(SUMIF(账户名,$B1369,账户期初)+SUMIFS($K$6:K1369,$B$6:B1369,$B1369),2))</f>
        <v/>
      </c>
      <c r="N1369" s="23" t="str">
        <f>IF($B1369="","",IFERROR(ROUND(INDEX(账户期初本位,MATCH($B1369,账户名,0))+SUMIFS($L$6:L1369,$B$6:B1369,$B1369),2),""))</f>
        <v/>
      </c>
      <c r="O1369" s="46"/>
      <c r="P1369" s="47"/>
      <c r="Q1369" s="46"/>
      <c r="R1369" s="46"/>
      <c r="S1369" s="6" t="str">
        <f>IF($B1369="","",IF(ISNA(MATCH($B1369,账户名,0)),"※这个账户不在【参数设置】的账户档案里",IF($A1369="","※没填日期，这一笔不会进任何月份的报表",IF(AND($G1369&lt;&gt;"",$H1369&lt;&gt;""),"※收入和支出不能同时填",IF(AND(N($G1369)=0,N($H1369)=0),"※收入和支出都没填",IF($E1369="","※没填收支类别，分类报表会漏掉这一笔",IF(ISNA(MATCH($E1369,类别表,0)),"※收支类别不在【参数设置】的清单里",IF($J1369="","△"&amp;$D1369&amp;" 还没填汇率，去【月度汇率】补上就自动算了",IF(YEAR($A1369)&lt;&gt;管理年度,"△不是管理年度的单据，年报里看不到",IF(AND($F1369="内部转账",$Q1369=""),"△内部转账建议在「往来单位」写上对方账户",IF($M1369&lt;0,"△这一笔之后该账户余额成负数了，核一下","")))))))))))</f>
        <v/>
      </c>
    </row>
    <row r="1370" ht="16.5" spans="1:19">
      <c r="A1370" s="45"/>
      <c r="B1370" s="46"/>
      <c r="C1370" s="12" t="str">
        <f>IF($B1370="","",IFERROR(INDEX(账户银行,MATCH($B1370,账户名,0)),""))</f>
        <v/>
      </c>
      <c r="D1370" s="12" t="str">
        <f>IF($B1370="","",IFERROR(INDEX(账户币种,MATCH($B1370,账户名,0)),""))</f>
        <v/>
      </c>
      <c r="E1370" s="47"/>
      <c r="F1370" s="12" t="str">
        <f>IF($E1370="","",IFERROR(INDEX(类别属性,MATCH($E1370,类别表,0)),""))</f>
        <v/>
      </c>
      <c r="G1370" s="48"/>
      <c r="H1370" s="48"/>
      <c r="I1370" s="49"/>
      <c r="J1370" s="24" t="str">
        <f>IF(OR($A1370="",$B1370=""),"",IF($I1370&lt;&gt;"",$I1370,IF($D1370=本位币,1,IFERROR(LOOKUP(2,1/((汇率月份&lt;=$A1370)*(INDEX(记账汇率区,0,MATCH($D1370,汇率币种头,0))&lt;&gt;"")),INDEX(记账汇率区,0,MATCH($D1370,汇率币种头,0))),""))))</f>
        <v/>
      </c>
      <c r="K1370" s="23" t="str">
        <f t="shared" si="42"/>
        <v/>
      </c>
      <c r="L1370" s="23" t="str">
        <f t="shared" si="43"/>
        <v/>
      </c>
      <c r="M1370" s="23" t="str">
        <f>IF($B1370="","",ROUND(SUMIF(账户名,$B1370,账户期初)+SUMIFS($K$6:K1370,$B$6:B1370,$B1370),2))</f>
        <v/>
      </c>
      <c r="N1370" s="23" t="str">
        <f>IF($B1370="","",IFERROR(ROUND(INDEX(账户期初本位,MATCH($B1370,账户名,0))+SUMIFS($L$6:L1370,$B$6:B1370,$B1370),2),""))</f>
        <v/>
      </c>
      <c r="O1370" s="46"/>
      <c r="P1370" s="47"/>
      <c r="Q1370" s="46"/>
      <c r="R1370" s="46"/>
      <c r="S1370" s="6" t="str">
        <f>IF($B1370="","",IF(ISNA(MATCH($B1370,账户名,0)),"※这个账户不在【参数设置】的账户档案里",IF($A1370="","※没填日期，这一笔不会进任何月份的报表",IF(AND($G1370&lt;&gt;"",$H1370&lt;&gt;""),"※收入和支出不能同时填",IF(AND(N($G1370)=0,N($H1370)=0),"※收入和支出都没填",IF($E1370="","※没填收支类别，分类报表会漏掉这一笔",IF(ISNA(MATCH($E1370,类别表,0)),"※收支类别不在【参数设置】的清单里",IF($J1370="","△"&amp;$D1370&amp;" 还没填汇率，去【月度汇率】补上就自动算了",IF(YEAR($A1370)&lt;&gt;管理年度,"△不是管理年度的单据，年报里看不到",IF(AND($F1370="内部转账",$Q1370=""),"△内部转账建议在「往来单位」写上对方账户",IF($M1370&lt;0,"△这一笔之后该账户余额成负数了，核一下","")))))))))))</f>
        <v/>
      </c>
    </row>
    <row r="1371" ht="16.5" spans="1:19">
      <c r="A1371" s="45"/>
      <c r="B1371" s="46"/>
      <c r="C1371" s="12" t="str">
        <f>IF($B1371="","",IFERROR(INDEX(账户银行,MATCH($B1371,账户名,0)),""))</f>
        <v/>
      </c>
      <c r="D1371" s="12" t="str">
        <f>IF($B1371="","",IFERROR(INDEX(账户币种,MATCH($B1371,账户名,0)),""))</f>
        <v/>
      </c>
      <c r="E1371" s="47"/>
      <c r="F1371" s="12" t="str">
        <f>IF($E1371="","",IFERROR(INDEX(类别属性,MATCH($E1371,类别表,0)),""))</f>
        <v/>
      </c>
      <c r="G1371" s="48"/>
      <c r="H1371" s="48"/>
      <c r="I1371" s="49"/>
      <c r="J1371" s="24" t="str">
        <f>IF(OR($A1371="",$B1371=""),"",IF($I1371&lt;&gt;"",$I1371,IF($D1371=本位币,1,IFERROR(LOOKUP(2,1/((汇率月份&lt;=$A1371)*(INDEX(记账汇率区,0,MATCH($D1371,汇率币种头,0))&lt;&gt;"")),INDEX(记账汇率区,0,MATCH($D1371,汇率币种头,0))),""))))</f>
        <v/>
      </c>
      <c r="K1371" s="23" t="str">
        <f t="shared" si="42"/>
        <v/>
      </c>
      <c r="L1371" s="23" t="str">
        <f t="shared" si="43"/>
        <v/>
      </c>
      <c r="M1371" s="23" t="str">
        <f>IF($B1371="","",ROUND(SUMIF(账户名,$B1371,账户期初)+SUMIFS($K$6:K1371,$B$6:B1371,$B1371),2))</f>
        <v/>
      </c>
      <c r="N1371" s="23" t="str">
        <f>IF($B1371="","",IFERROR(ROUND(INDEX(账户期初本位,MATCH($B1371,账户名,0))+SUMIFS($L$6:L1371,$B$6:B1371,$B1371),2),""))</f>
        <v/>
      </c>
      <c r="O1371" s="46"/>
      <c r="P1371" s="47"/>
      <c r="Q1371" s="46"/>
      <c r="R1371" s="46"/>
      <c r="S1371" s="6" t="str">
        <f>IF($B1371="","",IF(ISNA(MATCH($B1371,账户名,0)),"※这个账户不在【参数设置】的账户档案里",IF($A1371="","※没填日期，这一笔不会进任何月份的报表",IF(AND($G1371&lt;&gt;"",$H1371&lt;&gt;""),"※收入和支出不能同时填",IF(AND(N($G1371)=0,N($H1371)=0),"※收入和支出都没填",IF($E1371="","※没填收支类别，分类报表会漏掉这一笔",IF(ISNA(MATCH($E1371,类别表,0)),"※收支类别不在【参数设置】的清单里",IF($J1371="","△"&amp;$D1371&amp;" 还没填汇率，去【月度汇率】补上就自动算了",IF(YEAR($A1371)&lt;&gt;管理年度,"△不是管理年度的单据，年报里看不到",IF(AND($F1371="内部转账",$Q1371=""),"△内部转账建议在「往来单位」写上对方账户",IF($M1371&lt;0,"△这一笔之后该账户余额成负数了，核一下","")))))))))))</f>
        <v/>
      </c>
    </row>
    <row r="1372" ht="16.5" spans="1:19">
      <c r="A1372" s="45"/>
      <c r="B1372" s="46"/>
      <c r="C1372" s="12" t="str">
        <f>IF($B1372="","",IFERROR(INDEX(账户银行,MATCH($B1372,账户名,0)),""))</f>
        <v/>
      </c>
      <c r="D1372" s="12" t="str">
        <f>IF($B1372="","",IFERROR(INDEX(账户币种,MATCH($B1372,账户名,0)),""))</f>
        <v/>
      </c>
      <c r="E1372" s="47"/>
      <c r="F1372" s="12" t="str">
        <f>IF($E1372="","",IFERROR(INDEX(类别属性,MATCH($E1372,类别表,0)),""))</f>
        <v/>
      </c>
      <c r="G1372" s="48"/>
      <c r="H1372" s="48"/>
      <c r="I1372" s="49"/>
      <c r="J1372" s="24" t="str">
        <f>IF(OR($A1372="",$B1372=""),"",IF($I1372&lt;&gt;"",$I1372,IF($D1372=本位币,1,IFERROR(LOOKUP(2,1/((汇率月份&lt;=$A1372)*(INDEX(记账汇率区,0,MATCH($D1372,汇率币种头,0))&lt;&gt;"")),INDEX(记账汇率区,0,MATCH($D1372,汇率币种头,0))),""))))</f>
        <v/>
      </c>
      <c r="K1372" s="23" t="str">
        <f t="shared" si="42"/>
        <v/>
      </c>
      <c r="L1372" s="23" t="str">
        <f t="shared" si="43"/>
        <v/>
      </c>
      <c r="M1372" s="23" t="str">
        <f>IF($B1372="","",ROUND(SUMIF(账户名,$B1372,账户期初)+SUMIFS($K$6:K1372,$B$6:B1372,$B1372),2))</f>
        <v/>
      </c>
      <c r="N1372" s="23" t="str">
        <f>IF($B1372="","",IFERROR(ROUND(INDEX(账户期初本位,MATCH($B1372,账户名,0))+SUMIFS($L$6:L1372,$B$6:B1372,$B1372),2),""))</f>
        <v/>
      </c>
      <c r="O1372" s="46"/>
      <c r="P1372" s="47"/>
      <c r="Q1372" s="46"/>
      <c r="R1372" s="46"/>
      <c r="S1372" s="6" t="str">
        <f>IF($B1372="","",IF(ISNA(MATCH($B1372,账户名,0)),"※这个账户不在【参数设置】的账户档案里",IF($A1372="","※没填日期，这一笔不会进任何月份的报表",IF(AND($G1372&lt;&gt;"",$H1372&lt;&gt;""),"※收入和支出不能同时填",IF(AND(N($G1372)=0,N($H1372)=0),"※收入和支出都没填",IF($E1372="","※没填收支类别，分类报表会漏掉这一笔",IF(ISNA(MATCH($E1372,类别表,0)),"※收支类别不在【参数设置】的清单里",IF($J1372="","△"&amp;$D1372&amp;" 还没填汇率，去【月度汇率】补上就自动算了",IF(YEAR($A1372)&lt;&gt;管理年度,"△不是管理年度的单据，年报里看不到",IF(AND($F1372="内部转账",$Q1372=""),"△内部转账建议在「往来单位」写上对方账户",IF($M1372&lt;0,"△这一笔之后该账户余额成负数了，核一下","")))))))))))</f>
        <v/>
      </c>
    </row>
    <row r="1373" ht="16.5" spans="1:19">
      <c r="A1373" s="45"/>
      <c r="B1373" s="46"/>
      <c r="C1373" s="12" t="str">
        <f>IF($B1373="","",IFERROR(INDEX(账户银行,MATCH($B1373,账户名,0)),""))</f>
        <v/>
      </c>
      <c r="D1373" s="12" t="str">
        <f>IF($B1373="","",IFERROR(INDEX(账户币种,MATCH($B1373,账户名,0)),""))</f>
        <v/>
      </c>
      <c r="E1373" s="47"/>
      <c r="F1373" s="12" t="str">
        <f>IF($E1373="","",IFERROR(INDEX(类别属性,MATCH($E1373,类别表,0)),""))</f>
        <v/>
      </c>
      <c r="G1373" s="48"/>
      <c r="H1373" s="48"/>
      <c r="I1373" s="49"/>
      <c r="J1373" s="24" t="str">
        <f>IF(OR($A1373="",$B1373=""),"",IF($I1373&lt;&gt;"",$I1373,IF($D1373=本位币,1,IFERROR(LOOKUP(2,1/((汇率月份&lt;=$A1373)*(INDEX(记账汇率区,0,MATCH($D1373,汇率币种头,0))&lt;&gt;"")),INDEX(记账汇率区,0,MATCH($D1373,汇率币种头,0))),""))))</f>
        <v/>
      </c>
      <c r="K1373" s="23" t="str">
        <f t="shared" si="42"/>
        <v/>
      </c>
      <c r="L1373" s="23" t="str">
        <f t="shared" si="43"/>
        <v/>
      </c>
      <c r="M1373" s="23" t="str">
        <f>IF($B1373="","",ROUND(SUMIF(账户名,$B1373,账户期初)+SUMIFS($K$6:K1373,$B$6:B1373,$B1373),2))</f>
        <v/>
      </c>
      <c r="N1373" s="23" t="str">
        <f>IF($B1373="","",IFERROR(ROUND(INDEX(账户期初本位,MATCH($B1373,账户名,0))+SUMIFS($L$6:L1373,$B$6:B1373,$B1373),2),""))</f>
        <v/>
      </c>
      <c r="O1373" s="46"/>
      <c r="P1373" s="47"/>
      <c r="Q1373" s="46"/>
      <c r="R1373" s="46"/>
      <c r="S1373" s="6" t="str">
        <f>IF($B1373="","",IF(ISNA(MATCH($B1373,账户名,0)),"※这个账户不在【参数设置】的账户档案里",IF($A1373="","※没填日期，这一笔不会进任何月份的报表",IF(AND($G1373&lt;&gt;"",$H1373&lt;&gt;""),"※收入和支出不能同时填",IF(AND(N($G1373)=0,N($H1373)=0),"※收入和支出都没填",IF($E1373="","※没填收支类别，分类报表会漏掉这一笔",IF(ISNA(MATCH($E1373,类别表,0)),"※收支类别不在【参数设置】的清单里",IF($J1373="","△"&amp;$D1373&amp;" 还没填汇率，去【月度汇率】补上就自动算了",IF(YEAR($A1373)&lt;&gt;管理年度,"△不是管理年度的单据，年报里看不到",IF(AND($F1373="内部转账",$Q1373=""),"△内部转账建议在「往来单位」写上对方账户",IF($M1373&lt;0,"△这一笔之后该账户余额成负数了，核一下","")))))))))))</f>
        <v/>
      </c>
    </row>
    <row r="1374" ht="16.5" spans="1:19">
      <c r="A1374" s="45"/>
      <c r="B1374" s="46"/>
      <c r="C1374" s="12" t="str">
        <f>IF($B1374="","",IFERROR(INDEX(账户银行,MATCH($B1374,账户名,0)),""))</f>
        <v/>
      </c>
      <c r="D1374" s="12" t="str">
        <f>IF($B1374="","",IFERROR(INDEX(账户币种,MATCH($B1374,账户名,0)),""))</f>
        <v/>
      </c>
      <c r="E1374" s="47"/>
      <c r="F1374" s="12" t="str">
        <f>IF($E1374="","",IFERROR(INDEX(类别属性,MATCH($E1374,类别表,0)),""))</f>
        <v/>
      </c>
      <c r="G1374" s="48"/>
      <c r="H1374" s="48"/>
      <c r="I1374" s="49"/>
      <c r="J1374" s="24" t="str">
        <f>IF(OR($A1374="",$B1374=""),"",IF($I1374&lt;&gt;"",$I1374,IF($D1374=本位币,1,IFERROR(LOOKUP(2,1/((汇率月份&lt;=$A1374)*(INDEX(记账汇率区,0,MATCH($D1374,汇率币种头,0))&lt;&gt;"")),INDEX(记账汇率区,0,MATCH($D1374,汇率币种头,0))),""))))</f>
        <v/>
      </c>
      <c r="K1374" s="23" t="str">
        <f t="shared" si="42"/>
        <v/>
      </c>
      <c r="L1374" s="23" t="str">
        <f t="shared" si="43"/>
        <v/>
      </c>
      <c r="M1374" s="23" t="str">
        <f>IF($B1374="","",ROUND(SUMIF(账户名,$B1374,账户期初)+SUMIFS($K$6:K1374,$B$6:B1374,$B1374),2))</f>
        <v/>
      </c>
      <c r="N1374" s="23" t="str">
        <f>IF($B1374="","",IFERROR(ROUND(INDEX(账户期初本位,MATCH($B1374,账户名,0))+SUMIFS($L$6:L1374,$B$6:B1374,$B1374),2),""))</f>
        <v/>
      </c>
      <c r="O1374" s="46"/>
      <c r="P1374" s="47"/>
      <c r="Q1374" s="46"/>
      <c r="R1374" s="46"/>
      <c r="S1374" s="6" t="str">
        <f>IF($B1374="","",IF(ISNA(MATCH($B1374,账户名,0)),"※这个账户不在【参数设置】的账户档案里",IF($A1374="","※没填日期，这一笔不会进任何月份的报表",IF(AND($G1374&lt;&gt;"",$H1374&lt;&gt;""),"※收入和支出不能同时填",IF(AND(N($G1374)=0,N($H1374)=0),"※收入和支出都没填",IF($E1374="","※没填收支类别，分类报表会漏掉这一笔",IF(ISNA(MATCH($E1374,类别表,0)),"※收支类别不在【参数设置】的清单里",IF($J1374="","△"&amp;$D1374&amp;" 还没填汇率，去【月度汇率】补上就自动算了",IF(YEAR($A1374)&lt;&gt;管理年度,"△不是管理年度的单据，年报里看不到",IF(AND($F1374="内部转账",$Q1374=""),"△内部转账建议在「往来单位」写上对方账户",IF($M1374&lt;0,"△这一笔之后该账户余额成负数了，核一下","")))))))))))</f>
        <v/>
      </c>
    </row>
    <row r="1375" ht="16.5" spans="1:19">
      <c r="A1375" s="45"/>
      <c r="B1375" s="46"/>
      <c r="C1375" s="12" t="str">
        <f>IF($B1375="","",IFERROR(INDEX(账户银行,MATCH($B1375,账户名,0)),""))</f>
        <v/>
      </c>
      <c r="D1375" s="12" t="str">
        <f>IF($B1375="","",IFERROR(INDEX(账户币种,MATCH($B1375,账户名,0)),""))</f>
        <v/>
      </c>
      <c r="E1375" s="47"/>
      <c r="F1375" s="12" t="str">
        <f>IF($E1375="","",IFERROR(INDEX(类别属性,MATCH($E1375,类别表,0)),""))</f>
        <v/>
      </c>
      <c r="G1375" s="48"/>
      <c r="H1375" s="48"/>
      <c r="I1375" s="49"/>
      <c r="J1375" s="24" t="str">
        <f>IF(OR($A1375="",$B1375=""),"",IF($I1375&lt;&gt;"",$I1375,IF($D1375=本位币,1,IFERROR(LOOKUP(2,1/((汇率月份&lt;=$A1375)*(INDEX(记账汇率区,0,MATCH($D1375,汇率币种头,0))&lt;&gt;"")),INDEX(记账汇率区,0,MATCH($D1375,汇率币种头,0))),""))))</f>
        <v/>
      </c>
      <c r="K1375" s="23" t="str">
        <f t="shared" si="42"/>
        <v/>
      </c>
      <c r="L1375" s="23" t="str">
        <f t="shared" si="43"/>
        <v/>
      </c>
      <c r="M1375" s="23" t="str">
        <f>IF($B1375="","",ROUND(SUMIF(账户名,$B1375,账户期初)+SUMIFS($K$6:K1375,$B$6:B1375,$B1375),2))</f>
        <v/>
      </c>
      <c r="N1375" s="23" t="str">
        <f>IF($B1375="","",IFERROR(ROUND(INDEX(账户期初本位,MATCH($B1375,账户名,0))+SUMIFS($L$6:L1375,$B$6:B1375,$B1375),2),""))</f>
        <v/>
      </c>
      <c r="O1375" s="46"/>
      <c r="P1375" s="47"/>
      <c r="Q1375" s="46"/>
      <c r="R1375" s="46"/>
      <c r="S1375" s="6" t="str">
        <f>IF($B1375="","",IF(ISNA(MATCH($B1375,账户名,0)),"※这个账户不在【参数设置】的账户档案里",IF($A1375="","※没填日期，这一笔不会进任何月份的报表",IF(AND($G1375&lt;&gt;"",$H1375&lt;&gt;""),"※收入和支出不能同时填",IF(AND(N($G1375)=0,N($H1375)=0),"※收入和支出都没填",IF($E1375="","※没填收支类别，分类报表会漏掉这一笔",IF(ISNA(MATCH($E1375,类别表,0)),"※收支类别不在【参数设置】的清单里",IF($J1375="","△"&amp;$D1375&amp;" 还没填汇率，去【月度汇率】补上就自动算了",IF(YEAR($A1375)&lt;&gt;管理年度,"△不是管理年度的单据，年报里看不到",IF(AND($F1375="内部转账",$Q1375=""),"△内部转账建议在「往来单位」写上对方账户",IF($M1375&lt;0,"△这一笔之后该账户余额成负数了，核一下","")))))))))))</f>
        <v/>
      </c>
    </row>
    <row r="1376" ht="16.5" spans="1:19">
      <c r="A1376" s="45"/>
      <c r="B1376" s="46"/>
      <c r="C1376" s="12" t="str">
        <f>IF($B1376="","",IFERROR(INDEX(账户银行,MATCH($B1376,账户名,0)),""))</f>
        <v/>
      </c>
      <c r="D1376" s="12" t="str">
        <f>IF($B1376="","",IFERROR(INDEX(账户币种,MATCH($B1376,账户名,0)),""))</f>
        <v/>
      </c>
      <c r="E1376" s="47"/>
      <c r="F1376" s="12" t="str">
        <f>IF($E1376="","",IFERROR(INDEX(类别属性,MATCH($E1376,类别表,0)),""))</f>
        <v/>
      </c>
      <c r="G1376" s="48"/>
      <c r="H1376" s="48"/>
      <c r="I1376" s="49"/>
      <c r="J1376" s="24" t="str">
        <f>IF(OR($A1376="",$B1376=""),"",IF($I1376&lt;&gt;"",$I1376,IF($D1376=本位币,1,IFERROR(LOOKUP(2,1/((汇率月份&lt;=$A1376)*(INDEX(记账汇率区,0,MATCH($D1376,汇率币种头,0))&lt;&gt;"")),INDEX(记账汇率区,0,MATCH($D1376,汇率币种头,0))),""))))</f>
        <v/>
      </c>
      <c r="K1376" s="23" t="str">
        <f t="shared" si="42"/>
        <v/>
      </c>
      <c r="L1376" s="23" t="str">
        <f t="shared" si="43"/>
        <v/>
      </c>
      <c r="M1376" s="23" t="str">
        <f>IF($B1376="","",ROUND(SUMIF(账户名,$B1376,账户期初)+SUMIFS($K$6:K1376,$B$6:B1376,$B1376),2))</f>
        <v/>
      </c>
      <c r="N1376" s="23" t="str">
        <f>IF($B1376="","",IFERROR(ROUND(INDEX(账户期初本位,MATCH($B1376,账户名,0))+SUMIFS($L$6:L1376,$B$6:B1376,$B1376),2),""))</f>
        <v/>
      </c>
      <c r="O1376" s="46"/>
      <c r="P1376" s="47"/>
      <c r="Q1376" s="46"/>
      <c r="R1376" s="46"/>
      <c r="S1376" s="6" t="str">
        <f>IF($B1376="","",IF(ISNA(MATCH($B1376,账户名,0)),"※这个账户不在【参数设置】的账户档案里",IF($A1376="","※没填日期，这一笔不会进任何月份的报表",IF(AND($G1376&lt;&gt;"",$H1376&lt;&gt;""),"※收入和支出不能同时填",IF(AND(N($G1376)=0,N($H1376)=0),"※收入和支出都没填",IF($E1376="","※没填收支类别，分类报表会漏掉这一笔",IF(ISNA(MATCH($E1376,类别表,0)),"※收支类别不在【参数设置】的清单里",IF($J1376="","△"&amp;$D1376&amp;" 还没填汇率，去【月度汇率】补上就自动算了",IF(YEAR($A1376)&lt;&gt;管理年度,"△不是管理年度的单据，年报里看不到",IF(AND($F1376="内部转账",$Q1376=""),"△内部转账建议在「往来单位」写上对方账户",IF($M1376&lt;0,"△这一笔之后该账户余额成负数了，核一下","")))))))))))</f>
        <v/>
      </c>
    </row>
    <row r="1377" ht="16.5" spans="1:19">
      <c r="A1377" s="45"/>
      <c r="B1377" s="46"/>
      <c r="C1377" s="12" t="str">
        <f>IF($B1377="","",IFERROR(INDEX(账户银行,MATCH($B1377,账户名,0)),""))</f>
        <v/>
      </c>
      <c r="D1377" s="12" t="str">
        <f>IF($B1377="","",IFERROR(INDEX(账户币种,MATCH($B1377,账户名,0)),""))</f>
        <v/>
      </c>
      <c r="E1377" s="47"/>
      <c r="F1377" s="12" t="str">
        <f>IF($E1377="","",IFERROR(INDEX(类别属性,MATCH($E1377,类别表,0)),""))</f>
        <v/>
      </c>
      <c r="G1377" s="48"/>
      <c r="H1377" s="48"/>
      <c r="I1377" s="49"/>
      <c r="J1377" s="24" t="str">
        <f>IF(OR($A1377="",$B1377=""),"",IF($I1377&lt;&gt;"",$I1377,IF($D1377=本位币,1,IFERROR(LOOKUP(2,1/((汇率月份&lt;=$A1377)*(INDEX(记账汇率区,0,MATCH($D1377,汇率币种头,0))&lt;&gt;"")),INDEX(记账汇率区,0,MATCH($D1377,汇率币种头,0))),""))))</f>
        <v/>
      </c>
      <c r="K1377" s="23" t="str">
        <f t="shared" si="42"/>
        <v/>
      </c>
      <c r="L1377" s="23" t="str">
        <f t="shared" si="43"/>
        <v/>
      </c>
      <c r="M1377" s="23" t="str">
        <f>IF($B1377="","",ROUND(SUMIF(账户名,$B1377,账户期初)+SUMIFS($K$6:K1377,$B$6:B1377,$B1377),2))</f>
        <v/>
      </c>
      <c r="N1377" s="23" t="str">
        <f>IF($B1377="","",IFERROR(ROUND(INDEX(账户期初本位,MATCH($B1377,账户名,0))+SUMIFS($L$6:L1377,$B$6:B1377,$B1377),2),""))</f>
        <v/>
      </c>
      <c r="O1377" s="46"/>
      <c r="P1377" s="47"/>
      <c r="Q1377" s="46"/>
      <c r="R1377" s="46"/>
      <c r="S1377" s="6" t="str">
        <f>IF($B1377="","",IF(ISNA(MATCH($B1377,账户名,0)),"※这个账户不在【参数设置】的账户档案里",IF($A1377="","※没填日期，这一笔不会进任何月份的报表",IF(AND($G1377&lt;&gt;"",$H1377&lt;&gt;""),"※收入和支出不能同时填",IF(AND(N($G1377)=0,N($H1377)=0),"※收入和支出都没填",IF($E1377="","※没填收支类别，分类报表会漏掉这一笔",IF(ISNA(MATCH($E1377,类别表,0)),"※收支类别不在【参数设置】的清单里",IF($J1377="","△"&amp;$D1377&amp;" 还没填汇率，去【月度汇率】补上就自动算了",IF(YEAR($A1377)&lt;&gt;管理年度,"△不是管理年度的单据，年报里看不到",IF(AND($F1377="内部转账",$Q1377=""),"△内部转账建议在「往来单位」写上对方账户",IF($M1377&lt;0,"△这一笔之后该账户余额成负数了，核一下","")))))))))))</f>
        <v/>
      </c>
    </row>
    <row r="1378" ht="16.5" spans="1:19">
      <c r="A1378" s="45"/>
      <c r="B1378" s="46"/>
      <c r="C1378" s="12" t="str">
        <f>IF($B1378="","",IFERROR(INDEX(账户银行,MATCH($B1378,账户名,0)),""))</f>
        <v/>
      </c>
      <c r="D1378" s="12" t="str">
        <f>IF($B1378="","",IFERROR(INDEX(账户币种,MATCH($B1378,账户名,0)),""))</f>
        <v/>
      </c>
      <c r="E1378" s="47"/>
      <c r="F1378" s="12" t="str">
        <f>IF($E1378="","",IFERROR(INDEX(类别属性,MATCH($E1378,类别表,0)),""))</f>
        <v/>
      </c>
      <c r="G1378" s="48"/>
      <c r="H1378" s="48"/>
      <c r="I1378" s="49"/>
      <c r="J1378" s="24" t="str">
        <f>IF(OR($A1378="",$B1378=""),"",IF($I1378&lt;&gt;"",$I1378,IF($D1378=本位币,1,IFERROR(LOOKUP(2,1/((汇率月份&lt;=$A1378)*(INDEX(记账汇率区,0,MATCH($D1378,汇率币种头,0))&lt;&gt;"")),INDEX(记账汇率区,0,MATCH($D1378,汇率币种头,0))),""))))</f>
        <v/>
      </c>
      <c r="K1378" s="23" t="str">
        <f t="shared" si="42"/>
        <v/>
      </c>
      <c r="L1378" s="23" t="str">
        <f t="shared" si="43"/>
        <v/>
      </c>
      <c r="M1378" s="23" t="str">
        <f>IF($B1378="","",ROUND(SUMIF(账户名,$B1378,账户期初)+SUMIFS($K$6:K1378,$B$6:B1378,$B1378),2))</f>
        <v/>
      </c>
      <c r="N1378" s="23" t="str">
        <f>IF($B1378="","",IFERROR(ROUND(INDEX(账户期初本位,MATCH($B1378,账户名,0))+SUMIFS($L$6:L1378,$B$6:B1378,$B1378),2),""))</f>
        <v/>
      </c>
      <c r="O1378" s="46"/>
      <c r="P1378" s="47"/>
      <c r="Q1378" s="46"/>
      <c r="R1378" s="46"/>
      <c r="S1378" s="6" t="str">
        <f>IF($B1378="","",IF(ISNA(MATCH($B1378,账户名,0)),"※这个账户不在【参数设置】的账户档案里",IF($A1378="","※没填日期，这一笔不会进任何月份的报表",IF(AND($G1378&lt;&gt;"",$H1378&lt;&gt;""),"※收入和支出不能同时填",IF(AND(N($G1378)=0,N($H1378)=0),"※收入和支出都没填",IF($E1378="","※没填收支类别，分类报表会漏掉这一笔",IF(ISNA(MATCH($E1378,类别表,0)),"※收支类别不在【参数设置】的清单里",IF($J1378="","△"&amp;$D1378&amp;" 还没填汇率，去【月度汇率】补上就自动算了",IF(YEAR($A1378)&lt;&gt;管理年度,"△不是管理年度的单据，年报里看不到",IF(AND($F1378="内部转账",$Q1378=""),"△内部转账建议在「往来单位」写上对方账户",IF($M1378&lt;0,"△这一笔之后该账户余额成负数了，核一下","")))))))))))</f>
        <v/>
      </c>
    </row>
    <row r="1379" ht="16.5" spans="1:19">
      <c r="A1379" s="45"/>
      <c r="B1379" s="46"/>
      <c r="C1379" s="12" t="str">
        <f>IF($B1379="","",IFERROR(INDEX(账户银行,MATCH($B1379,账户名,0)),""))</f>
        <v/>
      </c>
      <c r="D1379" s="12" t="str">
        <f>IF($B1379="","",IFERROR(INDEX(账户币种,MATCH($B1379,账户名,0)),""))</f>
        <v/>
      </c>
      <c r="E1379" s="47"/>
      <c r="F1379" s="12" t="str">
        <f>IF($E1379="","",IFERROR(INDEX(类别属性,MATCH($E1379,类别表,0)),""))</f>
        <v/>
      </c>
      <c r="G1379" s="48"/>
      <c r="H1379" s="48"/>
      <c r="I1379" s="49"/>
      <c r="J1379" s="24" t="str">
        <f>IF(OR($A1379="",$B1379=""),"",IF($I1379&lt;&gt;"",$I1379,IF($D1379=本位币,1,IFERROR(LOOKUP(2,1/((汇率月份&lt;=$A1379)*(INDEX(记账汇率区,0,MATCH($D1379,汇率币种头,0))&lt;&gt;"")),INDEX(记账汇率区,0,MATCH($D1379,汇率币种头,0))),""))))</f>
        <v/>
      </c>
      <c r="K1379" s="23" t="str">
        <f t="shared" si="42"/>
        <v/>
      </c>
      <c r="L1379" s="23" t="str">
        <f t="shared" si="43"/>
        <v/>
      </c>
      <c r="M1379" s="23" t="str">
        <f>IF($B1379="","",ROUND(SUMIF(账户名,$B1379,账户期初)+SUMIFS($K$6:K1379,$B$6:B1379,$B1379),2))</f>
        <v/>
      </c>
      <c r="N1379" s="23" t="str">
        <f>IF($B1379="","",IFERROR(ROUND(INDEX(账户期初本位,MATCH($B1379,账户名,0))+SUMIFS($L$6:L1379,$B$6:B1379,$B1379),2),""))</f>
        <v/>
      </c>
      <c r="O1379" s="46"/>
      <c r="P1379" s="47"/>
      <c r="Q1379" s="46"/>
      <c r="R1379" s="46"/>
      <c r="S1379" s="6" t="str">
        <f>IF($B1379="","",IF(ISNA(MATCH($B1379,账户名,0)),"※这个账户不在【参数设置】的账户档案里",IF($A1379="","※没填日期，这一笔不会进任何月份的报表",IF(AND($G1379&lt;&gt;"",$H1379&lt;&gt;""),"※收入和支出不能同时填",IF(AND(N($G1379)=0,N($H1379)=0),"※收入和支出都没填",IF($E1379="","※没填收支类别，分类报表会漏掉这一笔",IF(ISNA(MATCH($E1379,类别表,0)),"※收支类别不在【参数设置】的清单里",IF($J1379="","△"&amp;$D1379&amp;" 还没填汇率，去【月度汇率】补上就自动算了",IF(YEAR($A1379)&lt;&gt;管理年度,"△不是管理年度的单据，年报里看不到",IF(AND($F1379="内部转账",$Q1379=""),"△内部转账建议在「往来单位」写上对方账户",IF($M1379&lt;0,"△这一笔之后该账户余额成负数了，核一下","")))))))))))</f>
        <v/>
      </c>
    </row>
    <row r="1380" ht="16.5" spans="1:19">
      <c r="A1380" s="45"/>
      <c r="B1380" s="46"/>
      <c r="C1380" s="12" t="str">
        <f>IF($B1380="","",IFERROR(INDEX(账户银行,MATCH($B1380,账户名,0)),""))</f>
        <v/>
      </c>
      <c r="D1380" s="12" t="str">
        <f>IF($B1380="","",IFERROR(INDEX(账户币种,MATCH($B1380,账户名,0)),""))</f>
        <v/>
      </c>
      <c r="E1380" s="47"/>
      <c r="F1380" s="12" t="str">
        <f>IF($E1380="","",IFERROR(INDEX(类别属性,MATCH($E1380,类别表,0)),""))</f>
        <v/>
      </c>
      <c r="G1380" s="48"/>
      <c r="H1380" s="48"/>
      <c r="I1380" s="49"/>
      <c r="J1380" s="24" t="str">
        <f>IF(OR($A1380="",$B1380=""),"",IF($I1380&lt;&gt;"",$I1380,IF($D1380=本位币,1,IFERROR(LOOKUP(2,1/((汇率月份&lt;=$A1380)*(INDEX(记账汇率区,0,MATCH($D1380,汇率币种头,0))&lt;&gt;"")),INDEX(记账汇率区,0,MATCH($D1380,汇率币种头,0))),""))))</f>
        <v/>
      </c>
      <c r="K1380" s="23" t="str">
        <f t="shared" si="42"/>
        <v/>
      </c>
      <c r="L1380" s="23" t="str">
        <f t="shared" si="43"/>
        <v/>
      </c>
      <c r="M1380" s="23" t="str">
        <f>IF($B1380="","",ROUND(SUMIF(账户名,$B1380,账户期初)+SUMIFS($K$6:K1380,$B$6:B1380,$B1380),2))</f>
        <v/>
      </c>
      <c r="N1380" s="23" t="str">
        <f>IF($B1380="","",IFERROR(ROUND(INDEX(账户期初本位,MATCH($B1380,账户名,0))+SUMIFS($L$6:L1380,$B$6:B1380,$B1380),2),""))</f>
        <v/>
      </c>
      <c r="O1380" s="46"/>
      <c r="P1380" s="47"/>
      <c r="Q1380" s="46"/>
      <c r="R1380" s="46"/>
      <c r="S1380" s="6" t="str">
        <f>IF($B1380="","",IF(ISNA(MATCH($B1380,账户名,0)),"※这个账户不在【参数设置】的账户档案里",IF($A1380="","※没填日期，这一笔不会进任何月份的报表",IF(AND($G1380&lt;&gt;"",$H1380&lt;&gt;""),"※收入和支出不能同时填",IF(AND(N($G1380)=0,N($H1380)=0),"※收入和支出都没填",IF($E1380="","※没填收支类别，分类报表会漏掉这一笔",IF(ISNA(MATCH($E1380,类别表,0)),"※收支类别不在【参数设置】的清单里",IF($J1380="","△"&amp;$D1380&amp;" 还没填汇率，去【月度汇率】补上就自动算了",IF(YEAR($A1380)&lt;&gt;管理年度,"△不是管理年度的单据，年报里看不到",IF(AND($F1380="内部转账",$Q1380=""),"△内部转账建议在「往来单位」写上对方账户",IF($M1380&lt;0,"△这一笔之后该账户余额成负数了，核一下","")))))))))))</f>
        <v/>
      </c>
    </row>
    <row r="1381" ht="16.5" spans="1:19">
      <c r="A1381" s="45"/>
      <c r="B1381" s="46"/>
      <c r="C1381" s="12" t="str">
        <f>IF($B1381="","",IFERROR(INDEX(账户银行,MATCH($B1381,账户名,0)),""))</f>
        <v/>
      </c>
      <c r="D1381" s="12" t="str">
        <f>IF($B1381="","",IFERROR(INDEX(账户币种,MATCH($B1381,账户名,0)),""))</f>
        <v/>
      </c>
      <c r="E1381" s="47"/>
      <c r="F1381" s="12" t="str">
        <f>IF($E1381="","",IFERROR(INDEX(类别属性,MATCH($E1381,类别表,0)),""))</f>
        <v/>
      </c>
      <c r="G1381" s="48"/>
      <c r="H1381" s="48"/>
      <c r="I1381" s="49"/>
      <c r="J1381" s="24" t="str">
        <f>IF(OR($A1381="",$B1381=""),"",IF($I1381&lt;&gt;"",$I1381,IF($D1381=本位币,1,IFERROR(LOOKUP(2,1/((汇率月份&lt;=$A1381)*(INDEX(记账汇率区,0,MATCH($D1381,汇率币种头,0))&lt;&gt;"")),INDEX(记账汇率区,0,MATCH($D1381,汇率币种头,0))),""))))</f>
        <v/>
      </c>
      <c r="K1381" s="23" t="str">
        <f t="shared" si="42"/>
        <v/>
      </c>
      <c r="L1381" s="23" t="str">
        <f t="shared" si="43"/>
        <v/>
      </c>
      <c r="M1381" s="23" t="str">
        <f>IF($B1381="","",ROUND(SUMIF(账户名,$B1381,账户期初)+SUMIFS($K$6:K1381,$B$6:B1381,$B1381),2))</f>
        <v/>
      </c>
      <c r="N1381" s="23" t="str">
        <f>IF($B1381="","",IFERROR(ROUND(INDEX(账户期初本位,MATCH($B1381,账户名,0))+SUMIFS($L$6:L1381,$B$6:B1381,$B1381),2),""))</f>
        <v/>
      </c>
      <c r="O1381" s="46"/>
      <c r="P1381" s="47"/>
      <c r="Q1381" s="46"/>
      <c r="R1381" s="46"/>
      <c r="S1381" s="6" t="str">
        <f>IF($B1381="","",IF(ISNA(MATCH($B1381,账户名,0)),"※这个账户不在【参数设置】的账户档案里",IF($A1381="","※没填日期，这一笔不会进任何月份的报表",IF(AND($G1381&lt;&gt;"",$H1381&lt;&gt;""),"※收入和支出不能同时填",IF(AND(N($G1381)=0,N($H1381)=0),"※收入和支出都没填",IF($E1381="","※没填收支类别，分类报表会漏掉这一笔",IF(ISNA(MATCH($E1381,类别表,0)),"※收支类别不在【参数设置】的清单里",IF($J1381="","△"&amp;$D1381&amp;" 还没填汇率，去【月度汇率】补上就自动算了",IF(YEAR($A1381)&lt;&gt;管理年度,"△不是管理年度的单据，年报里看不到",IF(AND($F1381="内部转账",$Q1381=""),"△内部转账建议在「往来单位」写上对方账户",IF($M1381&lt;0,"△这一笔之后该账户余额成负数了，核一下","")))))))))))</f>
        <v/>
      </c>
    </row>
    <row r="1382" ht="16.5" spans="1:19">
      <c r="A1382" s="45"/>
      <c r="B1382" s="46"/>
      <c r="C1382" s="12" t="str">
        <f>IF($B1382="","",IFERROR(INDEX(账户银行,MATCH($B1382,账户名,0)),""))</f>
        <v/>
      </c>
      <c r="D1382" s="12" t="str">
        <f>IF($B1382="","",IFERROR(INDEX(账户币种,MATCH($B1382,账户名,0)),""))</f>
        <v/>
      </c>
      <c r="E1382" s="47"/>
      <c r="F1382" s="12" t="str">
        <f>IF($E1382="","",IFERROR(INDEX(类别属性,MATCH($E1382,类别表,0)),""))</f>
        <v/>
      </c>
      <c r="G1382" s="48"/>
      <c r="H1382" s="48"/>
      <c r="I1382" s="49"/>
      <c r="J1382" s="24" t="str">
        <f>IF(OR($A1382="",$B1382=""),"",IF($I1382&lt;&gt;"",$I1382,IF($D1382=本位币,1,IFERROR(LOOKUP(2,1/((汇率月份&lt;=$A1382)*(INDEX(记账汇率区,0,MATCH($D1382,汇率币种头,0))&lt;&gt;"")),INDEX(记账汇率区,0,MATCH($D1382,汇率币种头,0))),""))))</f>
        <v/>
      </c>
      <c r="K1382" s="23" t="str">
        <f t="shared" si="42"/>
        <v/>
      </c>
      <c r="L1382" s="23" t="str">
        <f t="shared" si="43"/>
        <v/>
      </c>
      <c r="M1382" s="23" t="str">
        <f>IF($B1382="","",ROUND(SUMIF(账户名,$B1382,账户期初)+SUMIFS($K$6:K1382,$B$6:B1382,$B1382),2))</f>
        <v/>
      </c>
      <c r="N1382" s="23" t="str">
        <f>IF($B1382="","",IFERROR(ROUND(INDEX(账户期初本位,MATCH($B1382,账户名,0))+SUMIFS($L$6:L1382,$B$6:B1382,$B1382),2),""))</f>
        <v/>
      </c>
      <c r="O1382" s="46"/>
      <c r="P1382" s="47"/>
      <c r="Q1382" s="46"/>
      <c r="R1382" s="46"/>
      <c r="S1382" s="6" t="str">
        <f>IF($B1382="","",IF(ISNA(MATCH($B1382,账户名,0)),"※这个账户不在【参数设置】的账户档案里",IF($A1382="","※没填日期，这一笔不会进任何月份的报表",IF(AND($G1382&lt;&gt;"",$H1382&lt;&gt;""),"※收入和支出不能同时填",IF(AND(N($G1382)=0,N($H1382)=0),"※收入和支出都没填",IF($E1382="","※没填收支类别，分类报表会漏掉这一笔",IF(ISNA(MATCH($E1382,类别表,0)),"※收支类别不在【参数设置】的清单里",IF($J1382="","△"&amp;$D1382&amp;" 还没填汇率，去【月度汇率】补上就自动算了",IF(YEAR($A1382)&lt;&gt;管理年度,"△不是管理年度的单据，年报里看不到",IF(AND($F1382="内部转账",$Q1382=""),"△内部转账建议在「往来单位」写上对方账户",IF($M1382&lt;0,"△这一笔之后该账户余额成负数了，核一下","")))))))))))</f>
        <v/>
      </c>
    </row>
    <row r="1383" ht="16.5" spans="1:19">
      <c r="A1383" s="45"/>
      <c r="B1383" s="46"/>
      <c r="C1383" s="12" t="str">
        <f>IF($B1383="","",IFERROR(INDEX(账户银行,MATCH($B1383,账户名,0)),""))</f>
        <v/>
      </c>
      <c r="D1383" s="12" t="str">
        <f>IF($B1383="","",IFERROR(INDEX(账户币种,MATCH($B1383,账户名,0)),""))</f>
        <v/>
      </c>
      <c r="E1383" s="47"/>
      <c r="F1383" s="12" t="str">
        <f>IF($E1383="","",IFERROR(INDEX(类别属性,MATCH($E1383,类别表,0)),""))</f>
        <v/>
      </c>
      <c r="G1383" s="48"/>
      <c r="H1383" s="48"/>
      <c r="I1383" s="49"/>
      <c r="J1383" s="24" t="str">
        <f>IF(OR($A1383="",$B1383=""),"",IF($I1383&lt;&gt;"",$I1383,IF($D1383=本位币,1,IFERROR(LOOKUP(2,1/((汇率月份&lt;=$A1383)*(INDEX(记账汇率区,0,MATCH($D1383,汇率币种头,0))&lt;&gt;"")),INDEX(记账汇率区,0,MATCH($D1383,汇率币种头,0))),""))))</f>
        <v/>
      </c>
      <c r="K1383" s="23" t="str">
        <f t="shared" si="42"/>
        <v/>
      </c>
      <c r="L1383" s="23" t="str">
        <f t="shared" si="43"/>
        <v/>
      </c>
      <c r="M1383" s="23" t="str">
        <f>IF($B1383="","",ROUND(SUMIF(账户名,$B1383,账户期初)+SUMIFS($K$6:K1383,$B$6:B1383,$B1383),2))</f>
        <v/>
      </c>
      <c r="N1383" s="23" t="str">
        <f>IF($B1383="","",IFERROR(ROUND(INDEX(账户期初本位,MATCH($B1383,账户名,0))+SUMIFS($L$6:L1383,$B$6:B1383,$B1383),2),""))</f>
        <v/>
      </c>
      <c r="O1383" s="46"/>
      <c r="P1383" s="47"/>
      <c r="Q1383" s="46"/>
      <c r="R1383" s="46"/>
      <c r="S1383" s="6" t="str">
        <f>IF($B1383="","",IF(ISNA(MATCH($B1383,账户名,0)),"※这个账户不在【参数设置】的账户档案里",IF($A1383="","※没填日期，这一笔不会进任何月份的报表",IF(AND($G1383&lt;&gt;"",$H1383&lt;&gt;""),"※收入和支出不能同时填",IF(AND(N($G1383)=0,N($H1383)=0),"※收入和支出都没填",IF($E1383="","※没填收支类别，分类报表会漏掉这一笔",IF(ISNA(MATCH($E1383,类别表,0)),"※收支类别不在【参数设置】的清单里",IF($J1383="","△"&amp;$D1383&amp;" 还没填汇率，去【月度汇率】补上就自动算了",IF(YEAR($A1383)&lt;&gt;管理年度,"△不是管理年度的单据，年报里看不到",IF(AND($F1383="内部转账",$Q1383=""),"△内部转账建议在「往来单位」写上对方账户",IF($M1383&lt;0,"△这一笔之后该账户余额成负数了，核一下","")))))))))))</f>
        <v/>
      </c>
    </row>
    <row r="1384" ht="16.5" spans="1:19">
      <c r="A1384" s="45"/>
      <c r="B1384" s="46"/>
      <c r="C1384" s="12" t="str">
        <f>IF($B1384="","",IFERROR(INDEX(账户银行,MATCH($B1384,账户名,0)),""))</f>
        <v/>
      </c>
      <c r="D1384" s="12" t="str">
        <f>IF($B1384="","",IFERROR(INDEX(账户币种,MATCH($B1384,账户名,0)),""))</f>
        <v/>
      </c>
      <c r="E1384" s="47"/>
      <c r="F1384" s="12" t="str">
        <f>IF($E1384="","",IFERROR(INDEX(类别属性,MATCH($E1384,类别表,0)),""))</f>
        <v/>
      </c>
      <c r="G1384" s="48"/>
      <c r="H1384" s="48"/>
      <c r="I1384" s="49"/>
      <c r="J1384" s="24" t="str">
        <f>IF(OR($A1384="",$B1384=""),"",IF($I1384&lt;&gt;"",$I1384,IF($D1384=本位币,1,IFERROR(LOOKUP(2,1/((汇率月份&lt;=$A1384)*(INDEX(记账汇率区,0,MATCH($D1384,汇率币种头,0))&lt;&gt;"")),INDEX(记账汇率区,0,MATCH($D1384,汇率币种头,0))),""))))</f>
        <v/>
      </c>
      <c r="K1384" s="23" t="str">
        <f t="shared" si="42"/>
        <v/>
      </c>
      <c r="L1384" s="23" t="str">
        <f t="shared" si="43"/>
        <v/>
      </c>
      <c r="M1384" s="23" t="str">
        <f>IF($B1384="","",ROUND(SUMIF(账户名,$B1384,账户期初)+SUMIFS($K$6:K1384,$B$6:B1384,$B1384),2))</f>
        <v/>
      </c>
      <c r="N1384" s="23" t="str">
        <f>IF($B1384="","",IFERROR(ROUND(INDEX(账户期初本位,MATCH($B1384,账户名,0))+SUMIFS($L$6:L1384,$B$6:B1384,$B1384),2),""))</f>
        <v/>
      </c>
      <c r="O1384" s="46"/>
      <c r="P1384" s="47"/>
      <c r="Q1384" s="46"/>
      <c r="R1384" s="46"/>
      <c r="S1384" s="6" t="str">
        <f>IF($B1384="","",IF(ISNA(MATCH($B1384,账户名,0)),"※这个账户不在【参数设置】的账户档案里",IF($A1384="","※没填日期，这一笔不会进任何月份的报表",IF(AND($G1384&lt;&gt;"",$H1384&lt;&gt;""),"※收入和支出不能同时填",IF(AND(N($G1384)=0,N($H1384)=0),"※收入和支出都没填",IF($E1384="","※没填收支类别，分类报表会漏掉这一笔",IF(ISNA(MATCH($E1384,类别表,0)),"※收支类别不在【参数设置】的清单里",IF($J1384="","△"&amp;$D1384&amp;" 还没填汇率，去【月度汇率】补上就自动算了",IF(YEAR($A1384)&lt;&gt;管理年度,"△不是管理年度的单据，年报里看不到",IF(AND($F1384="内部转账",$Q1384=""),"△内部转账建议在「往来单位」写上对方账户",IF($M1384&lt;0,"△这一笔之后该账户余额成负数了，核一下","")))))))))))</f>
        <v/>
      </c>
    </row>
    <row r="1385" ht="16.5" spans="1:19">
      <c r="A1385" s="45"/>
      <c r="B1385" s="46"/>
      <c r="C1385" s="12" t="str">
        <f>IF($B1385="","",IFERROR(INDEX(账户银行,MATCH($B1385,账户名,0)),""))</f>
        <v/>
      </c>
      <c r="D1385" s="12" t="str">
        <f>IF($B1385="","",IFERROR(INDEX(账户币种,MATCH($B1385,账户名,0)),""))</f>
        <v/>
      </c>
      <c r="E1385" s="47"/>
      <c r="F1385" s="12" t="str">
        <f>IF($E1385="","",IFERROR(INDEX(类别属性,MATCH($E1385,类别表,0)),""))</f>
        <v/>
      </c>
      <c r="G1385" s="48"/>
      <c r="H1385" s="48"/>
      <c r="I1385" s="49"/>
      <c r="J1385" s="24" t="str">
        <f>IF(OR($A1385="",$B1385=""),"",IF($I1385&lt;&gt;"",$I1385,IF($D1385=本位币,1,IFERROR(LOOKUP(2,1/((汇率月份&lt;=$A1385)*(INDEX(记账汇率区,0,MATCH($D1385,汇率币种头,0))&lt;&gt;"")),INDEX(记账汇率区,0,MATCH($D1385,汇率币种头,0))),""))))</f>
        <v/>
      </c>
      <c r="K1385" s="23" t="str">
        <f t="shared" si="42"/>
        <v/>
      </c>
      <c r="L1385" s="23" t="str">
        <f t="shared" si="43"/>
        <v/>
      </c>
      <c r="M1385" s="23" t="str">
        <f>IF($B1385="","",ROUND(SUMIF(账户名,$B1385,账户期初)+SUMIFS($K$6:K1385,$B$6:B1385,$B1385),2))</f>
        <v/>
      </c>
      <c r="N1385" s="23" t="str">
        <f>IF($B1385="","",IFERROR(ROUND(INDEX(账户期初本位,MATCH($B1385,账户名,0))+SUMIFS($L$6:L1385,$B$6:B1385,$B1385),2),""))</f>
        <v/>
      </c>
      <c r="O1385" s="46"/>
      <c r="P1385" s="47"/>
      <c r="Q1385" s="46"/>
      <c r="R1385" s="46"/>
      <c r="S1385" s="6" t="str">
        <f>IF($B1385="","",IF(ISNA(MATCH($B1385,账户名,0)),"※这个账户不在【参数设置】的账户档案里",IF($A1385="","※没填日期，这一笔不会进任何月份的报表",IF(AND($G1385&lt;&gt;"",$H1385&lt;&gt;""),"※收入和支出不能同时填",IF(AND(N($G1385)=0,N($H1385)=0),"※收入和支出都没填",IF($E1385="","※没填收支类别，分类报表会漏掉这一笔",IF(ISNA(MATCH($E1385,类别表,0)),"※收支类别不在【参数设置】的清单里",IF($J1385="","△"&amp;$D1385&amp;" 还没填汇率，去【月度汇率】补上就自动算了",IF(YEAR($A1385)&lt;&gt;管理年度,"△不是管理年度的单据，年报里看不到",IF(AND($F1385="内部转账",$Q1385=""),"△内部转账建议在「往来单位」写上对方账户",IF($M1385&lt;0,"△这一笔之后该账户余额成负数了，核一下","")))))))))))</f>
        <v/>
      </c>
    </row>
    <row r="1386" ht="16.5" spans="1:19">
      <c r="A1386" s="45"/>
      <c r="B1386" s="46"/>
      <c r="C1386" s="12" t="str">
        <f>IF($B1386="","",IFERROR(INDEX(账户银行,MATCH($B1386,账户名,0)),""))</f>
        <v/>
      </c>
      <c r="D1386" s="12" t="str">
        <f>IF($B1386="","",IFERROR(INDEX(账户币种,MATCH($B1386,账户名,0)),""))</f>
        <v/>
      </c>
      <c r="E1386" s="47"/>
      <c r="F1386" s="12" t="str">
        <f>IF($E1386="","",IFERROR(INDEX(类别属性,MATCH($E1386,类别表,0)),""))</f>
        <v/>
      </c>
      <c r="G1386" s="48"/>
      <c r="H1386" s="48"/>
      <c r="I1386" s="49"/>
      <c r="J1386" s="24" t="str">
        <f>IF(OR($A1386="",$B1386=""),"",IF($I1386&lt;&gt;"",$I1386,IF($D1386=本位币,1,IFERROR(LOOKUP(2,1/((汇率月份&lt;=$A1386)*(INDEX(记账汇率区,0,MATCH($D1386,汇率币种头,0))&lt;&gt;"")),INDEX(记账汇率区,0,MATCH($D1386,汇率币种头,0))),""))))</f>
        <v/>
      </c>
      <c r="K1386" s="23" t="str">
        <f t="shared" si="42"/>
        <v/>
      </c>
      <c r="L1386" s="23" t="str">
        <f t="shared" si="43"/>
        <v/>
      </c>
      <c r="M1386" s="23" t="str">
        <f>IF($B1386="","",ROUND(SUMIF(账户名,$B1386,账户期初)+SUMIFS($K$6:K1386,$B$6:B1386,$B1386),2))</f>
        <v/>
      </c>
      <c r="N1386" s="23" t="str">
        <f>IF($B1386="","",IFERROR(ROUND(INDEX(账户期初本位,MATCH($B1386,账户名,0))+SUMIFS($L$6:L1386,$B$6:B1386,$B1386),2),""))</f>
        <v/>
      </c>
      <c r="O1386" s="46"/>
      <c r="P1386" s="47"/>
      <c r="Q1386" s="46"/>
      <c r="R1386" s="46"/>
      <c r="S1386" s="6" t="str">
        <f>IF($B1386="","",IF(ISNA(MATCH($B1386,账户名,0)),"※这个账户不在【参数设置】的账户档案里",IF($A1386="","※没填日期，这一笔不会进任何月份的报表",IF(AND($G1386&lt;&gt;"",$H1386&lt;&gt;""),"※收入和支出不能同时填",IF(AND(N($G1386)=0,N($H1386)=0),"※收入和支出都没填",IF($E1386="","※没填收支类别，分类报表会漏掉这一笔",IF(ISNA(MATCH($E1386,类别表,0)),"※收支类别不在【参数设置】的清单里",IF($J1386="","△"&amp;$D1386&amp;" 还没填汇率，去【月度汇率】补上就自动算了",IF(YEAR($A1386)&lt;&gt;管理年度,"△不是管理年度的单据，年报里看不到",IF(AND($F1386="内部转账",$Q1386=""),"△内部转账建议在「往来单位」写上对方账户",IF($M1386&lt;0,"△这一笔之后该账户余额成负数了，核一下","")))))))))))</f>
        <v/>
      </c>
    </row>
    <row r="1387" ht="16.5" spans="1:19">
      <c r="A1387" s="45"/>
      <c r="B1387" s="46"/>
      <c r="C1387" s="12" t="str">
        <f>IF($B1387="","",IFERROR(INDEX(账户银行,MATCH($B1387,账户名,0)),""))</f>
        <v/>
      </c>
      <c r="D1387" s="12" t="str">
        <f>IF($B1387="","",IFERROR(INDEX(账户币种,MATCH($B1387,账户名,0)),""))</f>
        <v/>
      </c>
      <c r="E1387" s="47"/>
      <c r="F1387" s="12" t="str">
        <f>IF($E1387="","",IFERROR(INDEX(类别属性,MATCH($E1387,类别表,0)),""))</f>
        <v/>
      </c>
      <c r="G1387" s="48"/>
      <c r="H1387" s="48"/>
      <c r="I1387" s="49"/>
      <c r="J1387" s="24" t="str">
        <f>IF(OR($A1387="",$B1387=""),"",IF($I1387&lt;&gt;"",$I1387,IF($D1387=本位币,1,IFERROR(LOOKUP(2,1/((汇率月份&lt;=$A1387)*(INDEX(记账汇率区,0,MATCH($D1387,汇率币种头,0))&lt;&gt;"")),INDEX(记账汇率区,0,MATCH($D1387,汇率币种头,0))),""))))</f>
        <v/>
      </c>
      <c r="K1387" s="23" t="str">
        <f t="shared" si="42"/>
        <v/>
      </c>
      <c r="L1387" s="23" t="str">
        <f t="shared" si="43"/>
        <v/>
      </c>
      <c r="M1387" s="23" t="str">
        <f>IF($B1387="","",ROUND(SUMIF(账户名,$B1387,账户期初)+SUMIFS($K$6:K1387,$B$6:B1387,$B1387),2))</f>
        <v/>
      </c>
      <c r="N1387" s="23" t="str">
        <f>IF($B1387="","",IFERROR(ROUND(INDEX(账户期初本位,MATCH($B1387,账户名,0))+SUMIFS($L$6:L1387,$B$6:B1387,$B1387),2),""))</f>
        <v/>
      </c>
      <c r="O1387" s="46"/>
      <c r="P1387" s="47"/>
      <c r="Q1387" s="46"/>
      <c r="R1387" s="46"/>
      <c r="S1387" s="6" t="str">
        <f>IF($B1387="","",IF(ISNA(MATCH($B1387,账户名,0)),"※这个账户不在【参数设置】的账户档案里",IF($A1387="","※没填日期，这一笔不会进任何月份的报表",IF(AND($G1387&lt;&gt;"",$H1387&lt;&gt;""),"※收入和支出不能同时填",IF(AND(N($G1387)=0,N($H1387)=0),"※收入和支出都没填",IF($E1387="","※没填收支类别，分类报表会漏掉这一笔",IF(ISNA(MATCH($E1387,类别表,0)),"※收支类别不在【参数设置】的清单里",IF($J1387="","△"&amp;$D1387&amp;" 还没填汇率，去【月度汇率】补上就自动算了",IF(YEAR($A1387)&lt;&gt;管理年度,"△不是管理年度的单据，年报里看不到",IF(AND($F1387="内部转账",$Q1387=""),"△内部转账建议在「往来单位」写上对方账户",IF($M1387&lt;0,"△这一笔之后该账户余额成负数了，核一下","")))))))))))</f>
        <v/>
      </c>
    </row>
    <row r="1388" ht="16.5" spans="1:19">
      <c r="A1388" s="45"/>
      <c r="B1388" s="46"/>
      <c r="C1388" s="12" t="str">
        <f>IF($B1388="","",IFERROR(INDEX(账户银行,MATCH($B1388,账户名,0)),""))</f>
        <v/>
      </c>
      <c r="D1388" s="12" t="str">
        <f>IF($B1388="","",IFERROR(INDEX(账户币种,MATCH($B1388,账户名,0)),""))</f>
        <v/>
      </c>
      <c r="E1388" s="47"/>
      <c r="F1388" s="12" t="str">
        <f>IF($E1388="","",IFERROR(INDEX(类别属性,MATCH($E1388,类别表,0)),""))</f>
        <v/>
      </c>
      <c r="G1388" s="48"/>
      <c r="H1388" s="48"/>
      <c r="I1388" s="49"/>
      <c r="J1388" s="24" t="str">
        <f>IF(OR($A1388="",$B1388=""),"",IF($I1388&lt;&gt;"",$I1388,IF($D1388=本位币,1,IFERROR(LOOKUP(2,1/((汇率月份&lt;=$A1388)*(INDEX(记账汇率区,0,MATCH($D1388,汇率币种头,0))&lt;&gt;"")),INDEX(记账汇率区,0,MATCH($D1388,汇率币种头,0))),""))))</f>
        <v/>
      </c>
      <c r="K1388" s="23" t="str">
        <f t="shared" si="42"/>
        <v/>
      </c>
      <c r="L1388" s="23" t="str">
        <f t="shared" si="43"/>
        <v/>
      </c>
      <c r="M1388" s="23" t="str">
        <f>IF($B1388="","",ROUND(SUMIF(账户名,$B1388,账户期初)+SUMIFS($K$6:K1388,$B$6:B1388,$B1388),2))</f>
        <v/>
      </c>
      <c r="N1388" s="23" t="str">
        <f>IF($B1388="","",IFERROR(ROUND(INDEX(账户期初本位,MATCH($B1388,账户名,0))+SUMIFS($L$6:L1388,$B$6:B1388,$B1388),2),""))</f>
        <v/>
      </c>
      <c r="O1388" s="46"/>
      <c r="P1388" s="47"/>
      <c r="Q1388" s="46"/>
      <c r="R1388" s="46"/>
      <c r="S1388" s="6" t="str">
        <f>IF($B1388="","",IF(ISNA(MATCH($B1388,账户名,0)),"※这个账户不在【参数设置】的账户档案里",IF($A1388="","※没填日期，这一笔不会进任何月份的报表",IF(AND($G1388&lt;&gt;"",$H1388&lt;&gt;""),"※收入和支出不能同时填",IF(AND(N($G1388)=0,N($H1388)=0),"※收入和支出都没填",IF($E1388="","※没填收支类别，分类报表会漏掉这一笔",IF(ISNA(MATCH($E1388,类别表,0)),"※收支类别不在【参数设置】的清单里",IF($J1388="","△"&amp;$D1388&amp;" 还没填汇率，去【月度汇率】补上就自动算了",IF(YEAR($A1388)&lt;&gt;管理年度,"△不是管理年度的单据，年报里看不到",IF(AND($F1388="内部转账",$Q1388=""),"△内部转账建议在「往来单位」写上对方账户",IF($M1388&lt;0,"△这一笔之后该账户余额成负数了，核一下","")))))))))))</f>
        <v/>
      </c>
    </row>
    <row r="1389" ht="16.5" spans="1:19">
      <c r="A1389" s="45"/>
      <c r="B1389" s="46"/>
      <c r="C1389" s="12" t="str">
        <f>IF($B1389="","",IFERROR(INDEX(账户银行,MATCH($B1389,账户名,0)),""))</f>
        <v/>
      </c>
      <c r="D1389" s="12" t="str">
        <f>IF($B1389="","",IFERROR(INDEX(账户币种,MATCH($B1389,账户名,0)),""))</f>
        <v/>
      </c>
      <c r="E1389" s="47"/>
      <c r="F1389" s="12" t="str">
        <f>IF($E1389="","",IFERROR(INDEX(类别属性,MATCH($E1389,类别表,0)),""))</f>
        <v/>
      </c>
      <c r="G1389" s="48"/>
      <c r="H1389" s="48"/>
      <c r="I1389" s="49"/>
      <c r="J1389" s="24" t="str">
        <f>IF(OR($A1389="",$B1389=""),"",IF($I1389&lt;&gt;"",$I1389,IF($D1389=本位币,1,IFERROR(LOOKUP(2,1/((汇率月份&lt;=$A1389)*(INDEX(记账汇率区,0,MATCH($D1389,汇率币种头,0))&lt;&gt;"")),INDEX(记账汇率区,0,MATCH($D1389,汇率币种头,0))),""))))</f>
        <v/>
      </c>
      <c r="K1389" s="23" t="str">
        <f t="shared" si="42"/>
        <v/>
      </c>
      <c r="L1389" s="23" t="str">
        <f t="shared" si="43"/>
        <v/>
      </c>
      <c r="M1389" s="23" t="str">
        <f>IF($B1389="","",ROUND(SUMIF(账户名,$B1389,账户期初)+SUMIFS($K$6:K1389,$B$6:B1389,$B1389),2))</f>
        <v/>
      </c>
      <c r="N1389" s="23" t="str">
        <f>IF($B1389="","",IFERROR(ROUND(INDEX(账户期初本位,MATCH($B1389,账户名,0))+SUMIFS($L$6:L1389,$B$6:B1389,$B1389),2),""))</f>
        <v/>
      </c>
      <c r="O1389" s="46"/>
      <c r="P1389" s="47"/>
      <c r="Q1389" s="46"/>
      <c r="R1389" s="46"/>
      <c r="S1389" s="6" t="str">
        <f>IF($B1389="","",IF(ISNA(MATCH($B1389,账户名,0)),"※这个账户不在【参数设置】的账户档案里",IF($A1389="","※没填日期，这一笔不会进任何月份的报表",IF(AND($G1389&lt;&gt;"",$H1389&lt;&gt;""),"※收入和支出不能同时填",IF(AND(N($G1389)=0,N($H1389)=0),"※收入和支出都没填",IF($E1389="","※没填收支类别，分类报表会漏掉这一笔",IF(ISNA(MATCH($E1389,类别表,0)),"※收支类别不在【参数设置】的清单里",IF($J1389="","△"&amp;$D1389&amp;" 还没填汇率，去【月度汇率】补上就自动算了",IF(YEAR($A1389)&lt;&gt;管理年度,"△不是管理年度的单据，年报里看不到",IF(AND($F1389="内部转账",$Q1389=""),"△内部转账建议在「往来单位」写上对方账户",IF($M1389&lt;0,"△这一笔之后该账户余额成负数了，核一下","")))))))))))</f>
        <v/>
      </c>
    </row>
    <row r="1390" ht="16.5" spans="1:19">
      <c r="A1390" s="45"/>
      <c r="B1390" s="46"/>
      <c r="C1390" s="12" t="str">
        <f>IF($B1390="","",IFERROR(INDEX(账户银行,MATCH($B1390,账户名,0)),""))</f>
        <v/>
      </c>
      <c r="D1390" s="12" t="str">
        <f>IF($B1390="","",IFERROR(INDEX(账户币种,MATCH($B1390,账户名,0)),""))</f>
        <v/>
      </c>
      <c r="E1390" s="47"/>
      <c r="F1390" s="12" t="str">
        <f>IF($E1390="","",IFERROR(INDEX(类别属性,MATCH($E1390,类别表,0)),""))</f>
        <v/>
      </c>
      <c r="G1390" s="48"/>
      <c r="H1390" s="48"/>
      <c r="I1390" s="49"/>
      <c r="J1390" s="24" t="str">
        <f>IF(OR($A1390="",$B1390=""),"",IF($I1390&lt;&gt;"",$I1390,IF($D1390=本位币,1,IFERROR(LOOKUP(2,1/((汇率月份&lt;=$A1390)*(INDEX(记账汇率区,0,MATCH($D1390,汇率币种头,0))&lt;&gt;"")),INDEX(记账汇率区,0,MATCH($D1390,汇率币种头,0))),""))))</f>
        <v/>
      </c>
      <c r="K1390" s="23" t="str">
        <f t="shared" si="42"/>
        <v/>
      </c>
      <c r="L1390" s="23" t="str">
        <f t="shared" si="43"/>
        <v/>
      </c>
      <c r="M1390" s="23" t="str">
        <f>IF($B1390="","",ROUND(SUMIF(账户名,$B1390,账户期初)+SUMIFS($K$6:K1390,$B$6:B1390,$B1390),2))</f>
        <v/>
      </c>
      <c r="N1390" s="23" t="str">
        <f>IF($B1390="","",IFERROR(ROUND(INDEX(账户期初本位,MATCH($B1390,账户名,0))+SUMIFS($L$6:L1390,$B$6:B1390,$B1390),2),""))</f>
        <v/>
      </c>
      <c r="O1390" s="46"/>
      <c r="P1390" s="47"/>
      <c r="Q1390" s="46"/>
      <c r="R1390" s="46"/>
      <c r="S1390" s="6" t="str">
        <f>IF($B1390="","",IF(ISNA(MATCH($B1390,账户名,0)),"※这个账户不在【参数设置】的账户档案里",IF($A1390="","※没填日期，这一笔不会进任何月份的报表",IF(AND($G1390&lt;&gt;"",$H1390&lt;&gt;""),"※收入和支出不能同时填",IF(AND(N($G1390)=0,N($H1390)=0),"※收入和支出都没填",IF($E1390="","※没填收支类别，分类报表会漏掉这一笔",IF(ISNA(MATCH($E1390,类别表,0)),"※收支类别不在【参数设置】的清单里",IF($J1390="","△"&amp;$D1390&amp;" 还没填汇率，去【月度汇率】补上就自动算了",IF(YEAR($A1390)&lt;&gt;管理年度,"△不是管理年度的单据，年报里看不到",IF(AND($F1390="内部转账",$Q1390=""),"△内部转账建议在「往来单位」写上对方账户",IF($M1390&lt;0,"△这一笔之后该账户余额成负数了，核一下","")))))))))))</f>
        <v/>
      </c>
    </row>
    <row r="1391" ht="16.5" spans="1:19">
      <c r="A1391" s="45"/>
      <c r="B1391" s="46"/>
      <c r="C1391" s="12" t="str">
        <f>IF($B1391="","",IFERROR(INDEX(账户银行,MATCH($B1391,账户名,0)),""))</f>
        <v/>
      </c>
      <c r="D1391" s="12" t="str">
        <f>IF($B1391="","",IFERROR(INDEX(账户币种,MATCH($B1391,账户名,0)),""))</f>
        <v/>
      </c>
      <c r="E1391" s="47"/>
      <c r="F1391" s="12" t="str">
        <f>IF($E1391="","",IFERROR(INDEX(类别属性,MATCH($E1391,类别表,0)),""))</f>
        <v/>
      </c>
      <c r="G1391" s="48"/>
      <c r="H1391" s="48"/>
      <c r="I1391" s="49"/>
      <c r="J1391" s="24" t="str">
        <f>IF(OR($A1391="",$B1391=""),"",IF($I1391&lt;&gt;"",$I1391,IF($D1391=本位币,1,IFERROR(LOOKUP(2,1/((汇率月份&lt;=$A1391)*(INDEX(记账汇率区,0,MATCH($D1391,汇率币种头,0))&lt;&gt;"")),INDEX(记账汇率区,0,MATCH($D1391,汇率币种头,0))),""))))</f>
        <v/>
      </c>
      <c r="K1391" s="23" t="str">
        <f t="shared" si="42"/>
        <v/>
      </c>
      <c r="L1391" s="23" t="str">
        <f t="shared" si="43"/>
        <v/>
      </c>
      <c r="M1391" s="23" t="str">
        <f>IF($B1391="","",ROUND(SUMIF(账户名,$B1391,账户期初)+SUMIFS($K$6:K1391,$B$6:B1391,$B1391),2))</f>
        <v/>
      </c>
      <c r="N1391" s="23" t="str">
        <f>IF($B1391="","",IFERROR(ROUND(INDEX(账户期初本位,MATCH($B1391,账户名,0))+SUMIFS($L$6:L1391,$B$6:B1391,$B1391),2),""))</f>
        <v/>
      </c>
      <c r="O1391" s="46"/>
      <c r="P1391" s="47"/>
      <c r="Q1391" s="46"/>
      <c r="R1391" s="46"/>
      <c r="S1391" s="6" t="str">
        <f>IF($B1391="","",IF(ISNA(MATCH($B1391,账户名,0)),"※这个账户不在【参数设置】的账户档案里",IF($A1391="","※没填日期，这一笔不会进任何月份的报表",IF(AND($G1391&lt;&gt;"",$H1391&lt;&gt;""),"※收入和支出不能同时填",IF(AND(N($G1391)=0,N($H1391)=0),"※收入和支出都没填",IF($E1391="","※没填收支类别，分类报表会漏掉这一笔",IF(ISNA(MATCH($E1391,类别表,0)),"※收支类别不在【参数设置】的清单里",IF($J1391="","△"&amp;$D1391&amp;" 还没填汇率，去【月度汇率】补上就自动算了",IF(YEAR($A1391)&lt;&gt;管理年度,"△不是管理年度的单据，年报里看不到",IF(AND($F1391="内部转账",$Q1391=""),"△内部转账建议在「往来单位」写上对方账户",IF($M1391&lt;0,"△这一笔之后该账户余额成负数了，核一下","")))))))))))</f>
        <v/>
      </c>
    </row>
    <row r="1392" ht="16.5" spans="1:19">
      <c r="A1392" s="45"/>
      <c r="B1392" s="46"/>
      <c r="C1392" s="12" t="str">
        <f>IF($B1392="","",IFERROR(INDEX(账户银行,MATCH($B1392,账户名,0)),""))</f>
        <v/>
      </c>
      <c r="D1392" s="12" t="str">
        <f>IF($B1392="","",IFERROR(INDEX(账户币种,MATCH($B1392,账户名,0)),""))</f>
        <v/>
      </c>
      <c r="E1392" s="47"/>
      <c r="F1392" s="12" t="str">
        <f>IF($E1392="","",IFERROR(INDEX(类别属性,MATCH($E1392,类别表,0)),""))</f>
        <v/>
      </c>
      <c r="G1392" s="48"/>
      <c r="H1392" s="48"/>
      <c r="I1392" s="49"/>
      <c r="J1392" s="24" t="str">
        <f>IF(OR($A1392="",$B1392=""),"",IF($I1392&lt;&gt;"",$I1392,IF($D1392=本位币,1,IFERROR(LOOKUP(2,1/((汇率月份&lt;=$A1392)*(INDEX(记账汇率区,0,MATCH($D1392,汇率币种头,0))&lt;&gt;"")),INDEX(记账汇率区,0,MATCH($D1392,汇率币种头,0))),""))))</f>
        <v/>
      </c>
      <c r="K1392" s="23" t="str">
        <f t="shared" si="42"/>
        <v/>
      </c>
      <c r="L1392" s="23" t="str">
        <f t="shared" si="43"/>
        <v/>
      </c>
      <c r="M1392" s="23" t="str">
        <f>IF($B1392="","",ROUND(SUMIF(账户名,$B1392,账户期初)+SUMIFS($K$6:K1392,$B$6:B1392,$B1392),2))</f>
        <v/>
      </c>
      <c r="N1392" s="23" t="str">
        <f>IF($B1392="","",IFERROR(ROUND(INDEX(账户期初本位,MATCH($B1392,账户名,0))+SUMIFS($L$6:L1392,$B$6:B1392,$B1392),2),""))</f>
        <v/>
      </c>
      <c r="O1392" s="46"/>
      <c r="P1392" s="47"/>
      <c r="Q1392" s="46"/>
      <c r="R1392" s="46"/>
      <c r="S1392" s="6" t="str">
        <f>IF($B1392="","",IF(ISNA(MATCH($B1392,账户名,0)),"※这个账户不在【参数设置】的账户档案里",IF($A1392="","※没填日期，这一笔不会进任何月份的报表",IF(AND($G1392&lt;&gt;"",$H1392&lt;&gt;""),"※收入和支出不能同时填",IF(AND(N($G1392)=0,N($H1392)=0),"※收入和支出都没填",IF($E1392="","※没填收支类别，分类报表会漏掉这一笔",IF(ISNA(MATCH($E1392,类别表,0)),"※收支类别不在【参数设置】的清单里",IF($J1392="","△"&amp;$D1392&amp;" 还没填汇率，去【月度汇率】补上就自动算了",IF(YEAR($A1392)&lt;&gt;管理年度,"△不是管理年度的单据，年报里看不到",IF(AND($F1392="内部转账",$Q1392=""),"△内部转账建议在「往来单位」写上对方账户",IF($M1392&lt;0,"△这一笔之后该账户余额成负数了，核一下","")))))))))))</f>
        <v/>
      </c>
    </row>
    <row r="1393" ht="16.5" spans="1:19">
      <c r="A1393" s="45"/>
      <c r="B1393" s="46"/>
      <c r="C1393" s="12" t="str">
        <f>IF($B1393="","",IFERROR(INDEX(账户银行,MATCH($B1393,账户名,0)),""))</f>
        <v/>
      </c>
      <c r="D1393" s="12" t="str">
        <f>IF($B1393="","",IFERROR(INDEX(账户币种,MATCH($B1393,账户名,0)),""))</f>
        <v/>
      </c>
      <c r="E1393" s="47"/>
      <c r="F1393" s="12" t="str">
        <f>IF($E1393="","",IFERROR(INDEX(类别属性,MATCH($E1393,类别表,0)),""))</f>
        <v/>
      </c>
      <c r="G1393" s="48"/>
      <c r="H1393" s="48"/>
      <c r="I1393" s="49"/>
      <c r="J1393" s="24" t="str">
        <f>IF(OR($A1393="",$B1393=""),"",IF($I1393&lt;&gt;"",$I1393,IF($D1393=本位币,1,IFERROR(LOOKUP(2,1/((汇率月份&lt;=$A1393)*(INDEX(记账汇率区,0,MATCH($D1393,汇率币种头,0))&lt;&gt;"")),INDEX(记账汇率区,0,MATCH($D1393,汇率币种头,0))),""))))</f>
        <v/>
      </c>
      <c r="K1393" s="23" t="str">
        <f t="shared" si="42"/>
        <v/>
      </c>
      <c r="L1393" s="23" t="str">
        <f t="shared" si="43"/>
        <v/>
      </c>
      <c r="M1393" s="23" t="str">
        <f>IF($B1393="","",ROUND(SUMIF(账户名,$B1393,账户期初)+SUMIFS($K$6:K1393,$B$6:B1393,$B1393),2))</f>
        <v/>
      </c>
      <c r="N1393" s="23" t="str">
        <f>IF($B1393="","",IFERROR(ROUND(INDEX(账户期初本位,MATCH($B1393,账户名,0))+SUMIFS($L$6:L1393,$B$6:B1393,$B1393),2),""))</f>
        <v/>
      </c>
      <c r="O1393" s="46"/>
      <c r="P1393" s="47"/>
      <c r="Q1393" s="46"/>
      <c r="R1393" s="46"/>
      <c r="S1393" s="6" t="str">
        <f>IF($B1393="","",IF(ISNA(MATCH($B1393,账户名,0)),"※这个账户不在【参数设置】的账户档案里",IF($A1393="","※没填日期，这一笔不会进任何月份的报表",IF(AND($G1393&lt;&gt;"",$H1393&lt;&gt;""),"※收入和支出不能同时填",IF(AND(N($G1393)=0,N($H1393)=0),"※收入和支出都没填",IF($E1393="","※没填收支类别，分类报表会漏掉这一笔",IF(ISNA(MATCH($E1393,类别表,0)),"※收支类别不在【参数设置】的清单里",IF($J1393="","△"&amp;$D1393&amp;" 还没填汇率，去【月度汇率】补上就自动算了",IF(YEAR($A1393)&lt;&gt;管理年度,"△不是管理年度的单据，年报里看不到",IF(AND($F1393="内部转账",$Q1393=""),"△内部转账建议在「往来单位」写上对方账户",IF($M1393&lt;0,"△这一笔之后该账户余额成负数了，核一下","")))))))))))</f>
        <v/>
      </c>
    </row>
    <row r="1394" ht="16.5" spans="1:19">
      <c r="A1394" s="45"/>
      <c r="B1394" s="46"/>
      <c r="C1394" s="12" t="str">
        <f>IF($B1394="","",IFERROR(INDEX(账户银行,MATCH($B1394,账户名,0)),""))</f>
        <v/>
      </c>
      <c r="D1394" s="12" t="str">
        <f>IF($B1394="","",IFERROR(INDEX(账户币种,MATCH($B1394,账户名,0)),""))</f>
        <v/>
      </c>
      <c r="E1394" s="47"/>
      <c r="F1394" s="12" t="str">
        <f>IF($E1394="","",IFERROR(INDEX(类别属性,MATCH($E1394,类别表,0)),""))</f>
        <v/>
      </c>
      <c r="G1394" s="48"/>
      <c r="H1394" s="48"/>
      <c r="I1394" s="49"/>
      <c r="J1394" s="24" t="str">
        <f>IF(OR($A1394="",$B1394=""),"",IF($I1394&lt;&gt;"",$I1394,IF($D1394=本位币,1,IFERROR(LOOKUP(2,1/((汇率月份&lt;=$A1394)*(INDEX(记账汇率区,0,MATCH($D1394,汇率币种头,0))&lt;&gt;"")),INDEX(记账汇率区,0,MATCH($D1394,汇率币种头,0))),""))))</f>
        <v/>
      </c>
      <c r="K1394" s="23" t="str">
        <f t="shared" si="42"/>
        <v/>
      </c>
      <c r="L1394" s="23" t="str">
        <f t="shared" si="43"/>
        <v/>
      </c>
      <c r="M1394" s="23" t="str">
        <f>IF($B1394="","",ROUND(SUMIF(账户名,$B1394,账户期初)+SUMIFS($K$6:K1394,$B$6:B1394,$B1394),2))</f>
        <v/>
      </c>
      <c r="N1394" s="23" t="str">
        <f>IF($B1394="","",IFERROR(ROUND(INDEX(账户期初本位,MATCH($B1394,账户名,0))+SUMIFS($L$6:L1394,$B$6:B1394,$B1394),2),""))</f>
        <v/>
      </c>
      <c r="O1394" s="46"/>
      <c r="P1394" s="47"/>
      <c r="Q1394" s="46"/>
      <c r="R1394" s="46"/>
      <c r="S1394" s="6" t="str">
        <f>IF($B1394="","",IF(ISNA(MATCH($B1394,账户名,0)),"※这个账户不在【参数设置】的账户档案里",IF($A1394="","※没填日期，这一笔不会进任何月份的报表",IF(AND($G1394&lt;&gt;"",$H1394&lt;&gt;""),"※收入和支出不能同时填",IF(AND(N($G1394)=0,N($H1394)=0),"※收入和支出都没填",IF($E1394="","※没填收支类别，分类报表会漏掉这一笔",IF(ISNA(MATCH($E1394,类别表,0)),"※收支类别不在【参数设置】的清单里",IF($J1394="","△"&amp;$D1394&amp;" 还没填汇率，去【月度汇率】补上就自动算了",IF(YEAR($A1394)&lt;&gt;管理年度,"△不是管理年度的单据，年报里看不到",IF(AND($F1394="内部转账",$Q1394=""),"△内部转账建议在「往来单位」写上对方账户",IF($M1394&lt;0,"△这一笔之后该账户余额成负数了，核一下","")))))))))))</f>
        <v/>
      </c>
    </row>
    <row r="1395" ht="16.5" spans="1:19">
      <c r="A1395" s="45"/>
      <c r="B1395" s="46"/>
      <c r="C1395" s="12" t="str">
        <f>IF($B1395="","",IFERROR(INDEX(账户银行,MATCH($B1395,账户名,0)),""))</f>
        <v/>
      </c>
      <c r="D1395" s="12" t="str">
        <f>IF($B1395="","",IFERROR(INDEX(账户币种,MATCH($B1395,账户名,0)),""))</f>
        <v/>
      </c>
      <c r="E1395" s="47"/>
      <c r="F1395" s="12" t="str">
        <f>IF($E1395="","",IFERROR(INDEX(类别属性,MATCH($E1395,类别表,0)),""))</f>
        <v/>
      </c>
      <c r="G1395" s="48"/>
      <c r="H1395" s="48"/>
      <c r="I1395" s="49"/>
      <c r="J1395" s="24" t="str">
        <f>IF(OR($A1395="",$B1395=""),"",IF($I1395&lt;&gt;"",$I1395,IF($D1395=本位币,1,IFERROR(LOOKUP(2,1/((汇率月份&lt;=$A1395)*(INDEX(记账汇率区,0,MATCH($D1395,汇率币种头,0))&lt;&gt;"")),INDEX(记账汇率区,0,MATCH($D1395,汇率币种头,0))),""))))</f>
        <v/>
      </c>
      <c r="K1395" s="23" t="str">
        <f t="shared" si="42"/>
        <v/>
      </c>
      <c r="L1395" s="23" t="str">
        <f t="shared" si="43"/>
        <v/>
      </c>
      <c r="M1395" s="23" t="str">
        <f>IF($B1395="","",ROUND(SUMIF(账户名,$B1395,账户期初)+SUMIFS($K$6:K1395,$B$6:B1395,$B1395),2))</f>
        <v/>
      </c>
      <c r="N1395" s="23" t="str">
        <f>IF($B1395="","",IFERROR(ROUND(INDEX(账户期初本位,MATCH($B1395,账户名,0))+SUMIFS($L$6:L1395,$B$6:B1395,$B1395),2),""))</f>
        <v/>
      </c>
      <c r="O1395" s="46"/>
      <c r="P1395" s="47"/>
      <c r="Q1395" s="46"/>
      <c r="R1395" s="46"/>
      <c r="S1395" s="6" t="str">
        <f>IF($B1395="","",IF(ISNA(MATCH($B1395,账户名,0)),"※这个账户不在【参数设置】的账户档案里",IF($A1395="","※没填日期，这一笔不会进任何月份的报表",IF(AND($G1395&lt;&gt;"",$H1395&lt;&gt;""),"※收入和支出不能同时填",IF(AND(N($G1395)=0,N($H1395)=0),"※收入和支出都没填",IF($E1395="","※没填收支类别，分类报表会漏掉这一笔",IF(ISNA(MATCH($E1395,类别表,0)),"※收支类别不在【参数设置】的清单里",IF($J1395="","△"&amp;$D1395&amp;" 还没填汇率，去【月度汇率】补上就自动算了",IF(YEAR($A1395)&lt;&gt;管理年度,"△不是管理年度的单据，年报里看不到",IF(AND($F1395="内部转账",$Q1395=""),"△内部转账建议在「往来单位」写上对方账户",IF($M1395&lt;0,"△这一笔之后该账户余额成负数了，核一下","")))))))))))</f>
        <v/>
      </c>
    </row>
    <row r="1396" ht="16.5" spans="1:19">
      <c r="A1396" s="45"/>
      <c r="B1396" s="46"/>
      <c r="C1396" s="12" t="str">
        <f>IF($B1396="","",IFERROR(INDEX(账户银行,MATCH($B1396,账户名,0)),""))</f>
        <v/>
      </c>
      <c r="D1396" s="12" t="str">
        <f>IF($B1396="","",IFERROR(INDEX(账户币种,MATCH($B1396,账户名,0)),""))</f>
        <v/>
      </c>
      <c r="E1396" s="47"/>
      <c r="F1396" s="12" t="str">
        <f>IF($E1396="","",IFERROR(INDEX(类别属性,MATCH($E1396,类别表,0)),""))</f>
        <v/>
      </c>
      <c r="G1396" s="48"/>
      <c r="H1396" s="48"/>
      <c r="I1396" s="49"/>
      <c r="J1396" s="24" t="str">
        <f>IF(OR($A1396="",$B1396=""),"",IF($I1396&lt;&gt;"",$I1396,IF($D1396=本位币,1,IFERROR(LOOKUP(2,1/((汇率月份&lt;=$A1396)*(INDEX(记账汇率区,0,MATCH($D1396,汇率币种头,0))&lt;&gt;"")),INDEX(记账汇率区,0,MATCH($D1396,汇率币种头,0))),""))))</f>
        <v/>
      </c>
      <c r="K1396" s="23" t="str">
        <f t="shared" si="42"/>
        <v/>
      </c>
      <c r="L1396" s="23" t="str">
        <f t="shared" si="43"/>
        <v/>
      </c>
      <c r="M1396" s="23" t="str">
        <f>IF($B1396="","",ROUND(SUMIF(账户名,$B1396,账户期初)+SUMIFS($K$6:K1396,$B$6:B1396,$B1396),2))</f>
        <v/>
      </c>
      <c r="N1396" s="23" t="str">
        <f>IF($B1396="","",IFERROR(ROUND(INDEX(账户期初本位,MATCH($B1396,账户名,0))+SUMIFS($L$6:L1396,$B$6:B1396,$B1396),2),""))</f>
        <v/>
      </c>
      <c r="O1396" s="46"/>
      <c r="P1396" s="47"/>
      <c r="Q1396" s="46"/>
      <c r="R1396" s="46"/>
      <c r="S1396" s="6" t="str">
        <f>IF($B1396="","",IF(ISNA(MATCH($B1396,账户名,0)),"※这个账户不在【参数设置】的账户档案里",IF($A1396="","※没填日期，这一笔不会进任何月份的报表",IF(AND($G1396&lt;&gt;"",$H1396&lt;&gt;""),"※收入和支出不能同时填",IF(AND(N($G1396)=0,N($H1396)=0),"※收入和支出都没填",IF($E1396="","※没填收支类别，分类报表会漏掉这一笔",IF(ISNA(MATCH($E1396,类别表,0)),"※收支类别不在【参数设置】的清单里",IF($J1396="","△"&amp;$D1396&amp;" 还没填汇率，去【月度汇率】补上就自动算了",IF(YEAR($A1396)&lt;&gt;管理年度,"△不是管理年度的单据，年报里看不到",IF(AND($F1396="内部转账",$Q1396=""),"△内部转账建议在「往来单位」写上对方账户",IF($M1396&lt;0,"△这一笔之后该账户余额成负数了，核一下","")))))))))))</f>
        <v/>
      </c>
    </row>
    <row r="1397" ht="16.5" spans="1:19">
      <c r="A1397" s="45"/>
      <c r="B1397" s="46"/>
      <c r="C1397" s="12" t="str">
        <f>IF($B1397="","",IFERROR(INDEX(账户银行,MATCH($B1397,账户名,0)),""))</f>
        <v/>
      </c>
      <c r="D1397" s="12" t="str">
        <f>IF($B1397="","",IFERROR(INDEX(账户币种,MATCH($B1397,账户名,0)),""))</f>
        <v/>
      </c>
      <c r="E1397" s="47"/>
      <c r="F1397" s="12" t="str">
        <f>IF($E1397="","",IFERROR(INDEX(类别属性,MATCH($E1397,类别表,0)),""))</f>
        <v/>
      </c>
      <c r="G1397" s="48"/>
      <c r="H1397" s="48"/>
      <c r="I1397" s="49"/>
      <c r="J1397" s="24" t="str">
        <f>IF(OR($A1397="",$B1397=""),"",IF($I1397&lt;&gt;"",$I1397,IF($D1397=本位币,1,IFERROR(LOOKUP(2,1/((汇率月份&lt;=$A1397)*(INDEX(记账汇率区,0,MATCH($D1397,汇率币种头,0))&lt;&gt;"")),INDEX(记账汇率区,0,MATCH($D1397,汇率币种头,0))),""))))</f>
        <v/>
      </c>
      <c r="K1397" s="23" t="str">
        <f t="shared" si="42"/>
        <v/>
      </c>
      <c r="L1397" s="23" t="str">
        <f t="shared" si="43"/>
        <v/>
      </c>
      <c r="M1397" s="23" t="str">
        <f>IF($B1397="","",ROUND(SUMIF(账户名,$B1397,账户期初)+SUMIFS($K$6:K1397,$B$6:B1397,$B1397),2))</f>
        <v/>
      </c>
      <c r="N1397" s="23" t="str">
        <f>IF($B1397="","",IFERROR(ROUND(INDEX(账户期初本位,MATCH($B1397,账户名,0))+SUMIFS($L$6:L1397,$B$6:B1397,$B1397),2),""))</f>
        <v/>
      </c>
      <c r="O1397" s="46"/>
      <c r="P1397" s="47"/>
      <c r="Q1397" s="46"/>
      <c r="R1397" s="46"/>
      <c r="S1397" s="6" t="str">
        <f>IF($B1397="","",IF(ISNA(MATCH($B1397,账户名,0)),"※这个账户不在【参数设置】的账户档案里",IF($A1397="","※没填日期，这一笔不会进任何月份的报表",IF(AND($G1397&lt;&gt;"",$H1397&lt;&gt;""),"※收入和支出不能同时填",IF(AND(N($G1397)=0,N($H1397)=0),"※收入和支出都没填",IF($E1397="","※没填收支类别，分类报表会漏掉这一笔",IF(ISNA(MATCH($E1397,类别表,0)),"※收支类别不在【参数设置】的清单里",IF($J1397="","△"&amp;$D1397&amp;" 还没填汇率，去【月度汇率】补上就自动算了",IF(YEAR($A1397)&lt;&gt;管理年度,"△不是管理年度的单据，年报里看不到",IF(AND($F1397="内部转账",$Q1397=""),"△内部转账建议在「往来单位」写上对方账户",IF($M1397&lt;0,"△这一笔之后该账户余额成负数了，核一下","")))))))))))</f>
        <v/>
      </c>
    </row>
    <row r="1398" ht="16.5" spans="1:19">
      <c r="A1398" s="45"/>
      <c r="B1398" s="46"/>
      <c r="C1398" s="12" t="str">
        <f>IF($B1398="","",IFERROR(INDEX(账户银行,MATCH($B1398,账户名,0)),""))</f>
        <v/>
      </c>
      <c r="D1398" s="12" t="str">
        <f>IF($B1398="","",IFERROR(INDEX(账户币种,MATCH($B1398,账户名,0)),""))</f>
        <v/>
      </c>
      <c r="E1398" s="47"/>
      <c r="F1398" s="12" t="str">
        <f>IF($E1398="","",IFERROR(INDEX(类别属性,MATCH($E1398,类别表,0)),""))</f>
        <v/>
      </c>
      <c r="G1398" s="48"/>
      <c r="H1398" s="48"/>
      <c r="I1398" s="49"/>
      <c r="J1398" s="24" t="str">
        <f>IF(OR($A1398="",$B1398=""),"",IF($I1398&lt;&gt;"",$I1398,IF($D1398=本位币,1,IFERROR(LOOKUP(2,1/((汇率月份&lt;=$A1398)*(INDEX(记账汇率区,0,MATCH($D1398,汇率币种头,0))&lt;&gt;"")),INDEX(记账汇率区,0,MATCH($D1398,汇率币种头,0))),""))))</f>
        <v/>
      </c>
      <c r="K1398" s="23" t="str">
        <f t="shared" si="42"/>
        <v/>
      </c>
      <c r="L1398" s="23" t="str">
        <f t="shared" si="43"/>
        <v/>
      </c>
      <c r="M1398" s="23" t="str">
        <f>IF($B1398="","",ROUND(SUMIF(账户名,$B1398,账户期初)+SUMIFS($K$6:K1398,$B$6:B1398,$B1398),2))</f>
        <v/>
      </c>
      <c r="N1398" s="23" t="str">
        <f>IF($B1398="","",IFERROR(ROUND(INDEX(账户期初本位,MATCH($B1398,账户名,0))+SUMIFS($L$6:L1398,$B$6:B1398,$B1398),2),""))</f>
        <v/>
      </c>
      <c r="O1398" s="46"/>
      <c r="P1398" s="47"/>
      <c r="Q1398" s="46"/>
      <c r="R1398" s="46"/>
      <c r="S1398" s="6" t="str">
        <f>IF($B1398="","",IF(ISNA(MATCH($B1398,账户名,0)),"※这个账户不在【参数设置】的账户档案里",IF($A1398="","※没填日期，这一笔不会进任何月份的报表",IF(AND($G1398&lt;&gt;"",$H1398&lt;&gt;""),"※收入和支出不能同时填",IF(AND(N($G1398)=0,N($H1398)=0),"※收入和支出都没填",IF($E1398="","※没填收支类别，分类报表会漏掉这一笔",IF(ISNA(MATCH($E1398,类别表,0)),"※收支类别不在【参数设置】的清单里",IF($J1398="","△"&amp;$D1398&amp;" 还没填汇率，去【月度汇率】补上就自动算了",IF(YEAR($A1398)&lt;&gt;管理年度,"△不是管理年度的单据，年报里看不到",IF(AND($F1398="内部转账",$Q1398=""),"△内部转账建议在「往来单位」写上对方账户",IF($M1398&lt;0,"△这一笔之后该账户余额成负数了，核一下","")))))))))))</f>
        <v/>
      </c>
    </row>
    <row r="1399" ht="16.5" spans="1:19">
      <c r="A1399" s="45"/>
      <c r="B1399" s="46"/>
      <c r="C1399" s="12" t="str">
        <f>IF($B1399="","",IFERROR(INDEX(账户银行,MATCH($B1399,账户名,0)),""))</f>
        <v/>
      </c>
      <c r="D1399" s="12" t="str">
        <f>IF($B1399="","",IFERROR(INDEX(账户币种,MATCH($B1399,账户名,0)),""))</f>
        <v/>
      </c>
      <c r="E1399" s="47"/>
      <c r="F1399" s="12" t="str">
        <f>IF($E1399="","",IFERROR(INDEX(类别属性,MATCH($E1399,类别表,0)),""))</f>
        <v/>
      </c>
      <c r="G1399" s="48"/>
      <c r="H1399" s="48"/>
      <c r="I1399" s="49"/>
      <c r="J1399" s="24" t="str">
        <f>IF(OR($A1399="",$B1399=""),"",IF($I1399&lt;&gt;"",$I1399,IF($D1399=本位币,1,IFERROR(LOOKUP(2,1/((汇率月份&lt;=$A1399)*(INDEX(记账汇率区,0,MATCH($D1399,汇率币种头,0))&lt;&gt;"")),INDEX(记账汇率区,0,MATCH($D1399,汇率币种头,0))),""))))</f>
        <v/>
      </c>
      <c r="K1399" s="23" t="str">
        <f t="shared" si="42"/>
        <v/>
      </c>
      <c r="L1399" s="23" t="str">
        <f t="shared" si="43"/>
        <v/>
      </c>
      <c r="M1399" s="23" t="str">
        <f>IF($B1399="","",ROUND(SUMIF(账户名,$B1399,账户期初)+SUMIFS($K$6:K1399,$B$6:B1399,$B1399),2))</f>
        <v/>
      </c>
      <c r="N1399" s="23" t="str">
        <f>IF($B1399="","",IFERROR(ROUND(INDEX(账户期初本位,MATCH($B1399,账户名,0))+SUMIFS($L$6:L1399,$B$6:B1399,$B1399),2),""))</f>
        <v/>
      </c>
      <c r="O1399" s="46"/>
      <c r="P1399" s="47"/>
      <c r="Q1399" s="46"/>
      <c r="R1399" s="46"/>
      <c r="S1399" s="6" t="str">
        <f>IF($B1399="","",IF(ISNA(MATCH($B1399,账户名,0)),"※这个账户不在【参数设置】的账户档案里",IF($A1399="","※没填日期，这一笔不会进任何月份的报表",IF(AND($G1399&lt;&gt;"",$H1399&lt;&gt;""),"※收入和支出不能同时填",IF(AND(N($G1399)=0,N($H1399)=0),"※收入和支出都没填",IF($E1399="","※没填收支类别，分类报表会漏掉这一笔",IF(ISNA(MATCH($E1399,类别表,0)),"※收支类别不在【参数设置】的清单里",IF($J1399="","△"&amp;$D1399&amp;" 还没填汇率，去【月度汇率】补上就自动算了",IF(YEAR($A1399)&lt;&gt;管理年度,"△不是管理年度的单据，年报里看不到",IF(AND($F1399="内部转账",$Q1399=""),"△内部转账建议在「往来单位」写上对方账户",IF($M1399&lt;0,"△这一笔之后该账户余额成负数了，核一下","")))))))))))</f>
        <v/>
      </c>
    </row>
    <row r="1400" ht="16.5" spans="1:19">
      <c r="A1400" s="45"/>
      <c r="B1400" s="46"/>
      <c r="C1400" s="12" t="str">
        <f>IF($B1400="","",IFERROR(INDEX(账户银行,MATCH($B1400,账户名,0)),""))</f>
        <v/>
      </c>
      <c r="D1400" s="12" t="str">
        <f>IF($B1400="","",IFERROR(INDEX(账户币种,MATCH($B1400,账户名,0)),""))</f>
        <v/>
      </c>
      <c r="E1400" s="47"/>
      <c r="F1400" s="12" t="str">
        <f>IF($E1400="","",IFERROR(INDEX(类别属性,MATCH($E1400,类别表,0)),""))</f>
        <v/>
      </c>
      <c r="G1400" s="48"/>
      <c r="H1400" s="48"/>
      <c r="I1400" s="49"/>
      <c r="J1400" s="24" t="str">
        <f>IF(OR($A1400="",$B1400=""),"",IF($I1400&lt;&gt;"",$I1400,IF($D1400=本位币,1,IFERROR(LOOKUP(2,1/((汇率月份&lt;=$A1400)*(INDEX(记账汇率区,0,MATCH($D1400,汇率币种头,0))&lt;&gt;"")),INDEX(记账汇率区,0,MATCH($D1400,汇率币种头,0))),""))))</f>
        <v/>
      </c>
      <c r="K1400" s="23" t="str">
        <f t="shared" si="42"/>
        <v/>
      </c>
      <c r="L1400" s="23" t="str">
        <f t="shared" si="43"/>
        <v/>
      </c>
      <c r="M1400" s="23" t="str">
        <f>IF($B1400="","",ROUND(SUMIF(账户名,$B1400,账户期初)+SUMIFS($K$6:K1400,$B$6:B1400,$B1400),2))</f>
        <v/>
      </c>
      <c r="N1400" s="23" t="str">
        <f>IF($B1400="","",IFERROR(ROUND(INDEX(账户期初本位,MATCH($B1400,账户名,0))+SUMIFS($L$6:L1400,$B$6:B1400,$B1400),2),""))</f>
        <v/>
      </c>
      <c r="O1400" s="46"/>
      <c r="P1400" s="47"/>
      <c r="Q1400" s="46"/>
      <c r="R1400" s="46"/>
      <c r="S1400" s="6" t="str">
        <f>IF($B1400="","",IF(ISNA(MATCH($B1400,账户名,0)),"※这个账户不在【参数设置】的账户档案里",IF($A1400="","※没填日期，这一笔不会进任何月份的报表",IF(AND($G1400&lt;&gt;"",$H1400&lt;&gt;""),"※收入和支出不能同时填",IF(AND(N($G1400)=0,N($H1400)=0),"※收入和支出都没填",IF($E1400="","※没填收支类别，分类报表会漏掉这一笔",IF(ISNA(MATCH($E1400,类别表,0)),"※收支类别不在【参数设置】的清单里",IF($J1400="","△"&amp;$D1400&amp;" 还没填汇率，去【月度汇率】补上就自动算了",IF(YEAR($A1400)&lt;&gt;管理年度,"△不是管理年度的单据，年报里看不到",IF(AND($F1400="内部转账",$Q1400=""),"△内部转账建议在「往来单位」写上对方账户",IF($M1400&lt;0,"△这一笔之后该账户余额成负数了，核一下","")))))))))))</f>
        <v/>
      </c>
    </row>
    <row r="1401" ht="16.5" spans="1:19">
      <c r="A1401" s="45"/>
      <c r="B1401" s="46"/>
      <c r="C1401" s="12" t="str">
        <f>IF($B1401="","",IFERROR(INDEX(账户银行,MATCH($B1401,账户名,0)),""))</f>
        <v/>
      </c>
      <c r="D1401" s="12" t="str">
        <f>IF($B1401="","",IFERROR(INDEX(账户币种,MATCH($B1401,账户名,0)),""))</f>
        <v/>
      </c>
      <c r="E1401" s="47"/>
      <c r="F1401" s="12" t="str">
        <f>IF($E1401="","",IFERROR(INDEX(类别属性,MATCH($E1401,类别表,0)),""))</f>
        <v/>
      </c>
      <c r="G1401" s="48"/>
      <c r="H1401" s="48"/>
      <c r="I1401" s="49"/>
      <c r="J1401" s="24" t="str">
        <f>IF(OR($A1401="",$B1401=""),"",IF($I1401&lt;&gt;"",$I1401,IF($D1401=本位币,1,IFERROR(LOOKUP(2,1/((汇率月份&lt;=$A1401)*(INDEX(记账汇率区,0,MATCH($D1401,汇率币种头,0))&lt;&gt;"")),INDEX(记账汇率区,0,MATCH($D1401,汇率币种头,0))),""))))</f>
        <v/>
      </c>
      <c r="K1401" s="23" t="str">
        <f t="shared" si="42"/>
        <v/>
      </c>
      <c r="L1401" s="23" t="str">
        <f t="shared" si="43"/>
        <v/>
      </c>
      <c r="M1401" s="23" t="str">
        <f>IF($B1401="","",ROUND(SUMIF(账户名,$B1401,账户期初)+SUMIFS($K$6:K1401,$B$6:B1401,$B1401),2))</f>
        <v/>
      </c>
      <c r="N1401" s="23" t="str">
        <f>IF($B1401="","",IFERROR(ROUND(INDEX(账户期初本位,MATCH($B1401,账户名,0))+SUMIFS($L$6:L1401,$B$6:B1401,$B1401),2),""))</f>
        <v/>
      </c>
      <c r="O1401" s="46"/>
      <c r="P1401" s="47"/>
      <c r="Q1401" s="46"/>
      <c r="R1401" s="46"/>
      <c r="S1401" s="6" t="str">
        <f>IF($B1401="","",IF(ISNA(MATCH($B1401,账户名,0)),"※这个账户不在【参数设置】的账户档案里",IF($A1401="","※没填日期，这一笔不会进任何月份的报表",IF(AND($G1401&lt;&gt;"",$H1401&lt;&gt;""),"※收入和支出不能同时填",IF(AND(N($G1401)=0,N($H1401)=0),"※收入和支出都没填",IF($E1401="","※没填收支类别，分类报表会漏掉这一笔",IF(ISNA(MATCH($E1401,类别表,0)),"※收支类别不在【参数设置】的清单里",IF($J1401="","△"&amp;$D1401&amp;" 还没填汇率，去【月度汇率】补上就自动算了",IF(YEAR($A1401)&lt;&gt;管理年度,"△不是管理年度的单据，年报里看不到",IF(AND($F1401="内部转账",$Q1401=""),"△内部转账建议在「往来单位」写上对方账户",IF($M1401&lt;0,"△这一笔之后该账户余额成负数了，核一下","")))))))))))</f>
        <v/>
      </c>
    </row>
    <row r="1402" ht="16.5" spans="1:19">
      <c r="A1402" s="45"/>
      <c r="B1402" s="46"/>
      <c r="C1402" s="12" t="str">
        <f>IF($B1402="","",IFERROR(INDEX(账户银行,MATCH($B1402,账户名,0)),""))</f>
        <v/>
      </c>
      <c r="D1402" s="12" t="str">
        <f>IF($B1402="","",IFERROR(INDEX(账户币种,MATCH($B1402,账户名,0)),""))</f>
        <v/>
      </c>
      <c r="E1402" s="47"/>
      <c r="F1402" s="12" t="str">
        <f>IF($E1402="","",IFERROR(INDEX(类别属性,MATCH($E1402,类别表,0)),""))</f>
        <v/>
      </c>
      <c r="G1402" s="48"/>
      <c r="H1402" s="48"/>
      <c r="I1402" s="49"/>
      <c r="J1402" s="24" t="str">
        <f>IF(OR($A1402="",$B1402=""),"",IF($I1402&lt;&gt;"",$I1402,IF($D1402=本位币,1,IFERROR(LOOKUP(2,1/((汇率月份&lt;=$A1402)*(INDEX(记账汇率区,0,MATCH($D1402,汇率币种头,0))&lt;&gt;"")),INDEX(记账汇率区,0,MATCH($D1402,汇率币种头,0))),""))))</f>
        <v/>
      </c>
      <c r="K1402" s="23" t="str">
        <f t="shared" si="42"/>
        <v/>
      </c>
      <c r="L1402" s="23" t="str">
        <f t="shared" si="43"/>
        <v/>
      </c>
      <c r="M1402" s="23" t="str">
        <f>IF($B1402="","",ROUND(SUMIF(账户名,$B1402,账户期初)+SUMIFS($K$6:K1402,$B$6:B1402,$B1402),2))</f>
        <v/>
      </c>
      <c r="N1402" s="23" t="str">
        <f>IF($B1402="","",IFERROR(ROUND(INDEX(账户期初本位,MATCH($B1402,账户名,0))+SUMIFS($L$6:L1402,$B$6:B1402,$B1402),2),""))</f>
        <v/>
      </c>
      <c r="O1402" s="46"/>
      <c r="P1402" s="47"/>
      <c r="Q1402" s="46"/>
      <c r="R1402" s="46"/>
      <c r="S1402" s="6" t="str">
        <f>IF($B1402="","",IF(ISNA(MATCH($B1402,账户名,0)),"※这个账户不在【参数设置】的账户档案里",IF($A1402="","※没填日期，这一笔不会进任何月份的报表",IF(AND($G1402&lt;&gt;"",$H1402&lt;&gt;""),"※收入和支出不能同时填",IF(AND(N($G1402)=0,N($H1402)=0),"※收入和支出都没填",IF($E1402="","※没填收支类别，分类报表会漏掉这一笔",IF(ISNA(MATCH($E1402,类别表,0)),"※收支类别不在【参数设置】的清单里",IF($J1402="","△"&amp;$D1402&amp;" 还没填汇率，去【月度汇率】补上就自动算了",IF(YEAR($A1402)&lt;&gt;管理年度,"△不是管理年度的单据，年报里看不到",IF(AND($F1402="内部转账",$Q1402=""),"△内部转账建议在「往来单位」写上对方账户",IF($M1402&lt;0,"△这一笔之后该账户余额成负数了，核一下","")))))))))))</f>
        <v/>
      </c>
    </row>
    <row r="1403" ht="16.5" spans="1:19">
      <c r="A1403" s="45"/>
      <c r="B1403" s="46"/>
      <c r="C1403" s="12" t="str">
        <f>IF($B1403="","",IFERROR(INDEX(账户银行,MATCH($B1403,账户名,0)),""))</f>
        <v/>
      </c>
      <c r="D1403" s="12" t="str">
        <f>IF($B1403="","",IFERROR(INDEX(账户币种,MATCH($B1403,账户名,0)),""))</f>
        <v/>
      </c>
      <c r="E1403" s="47"/>
      <c r="F1403" s="12" t="str">
        <f>IF($E1403="","",IFERROR(INDEX(类别属性,MATCH($E1403,类别表,0)),""))</f>
        <v/>
      </c>
      <c r="G1403" s="48"/>
      <c r="H1403" s="48"/>
      <c r="I1403" s="49"/>
      <c r="J1403" s="24" t="str">
        <f>IF(OR($A1403="",$B1403=""),"",IF($I1403&lt;&gt;"",$I1403,IF($D1403=本位币,1,IFERROR(LOOKUP(2,1/((汇率月份&lt;=$A1403)*(INDEX(记账汇率区,0,MATCH($D1403,汇率币种头,0))&lt;&gt;"")),INDEX(记账汇率区,0,MATCH($D1403,汇率币种头,0))),""))))</f>
        <v/>
      </c>
      <c r="K1403" s="23" t="str">
        <f t="shared" si="42"/>
        <v/>
      </c>
      <c r="L1403" s="23" t="str">
        <f t="shared" si="43"/>
        <v/>
      </c>
      <c r="M1403" s="23" t="str">
        <f>IF($B1403="","",ROUND(SUMIF(账户名,$B1403,账户期初)+SUMIFS($K$6:K1403,$B$6:B1403,$B1403),2))</f>
        <v/>
      </c>
      <c r="N1403" s="23" t="str">
        <f>IF($B1403="","",IFERROR(ROUND(INDEX(账户期初本位,MATCH($B1403,账户名,0))+SUMIFS($L$6:L1403,$B$6:B1403,$B1403),2),""))</f>
        <v/>
      </c>
      <c r="O1403" s="46"/>
      <c r="P1403" s="47"/>
      <c r="Q1403" s="46"/>
      <c r="R1403" s="46"/>
      <c r="S1403" s="6" t="str">
        <f>IF($B1403="","",IF(ISNA(MATCH($B1403,账户名,0)),"※这个账户不在【参数设置】的账户档案里",IF($A1403="","※没填日期，这一笔不会进任何月份的报表",IF(AND($G1403&lt;&gt;"",$H1403&lt;&gt;""),"※收入和支出不能同时填",IF(AND(N($G1403)=0,N($H1403)=0),"※收入和支出都没填",IF($E1403="","※没填收支类别，分类报表会漏掉这一笔",IF(ISNA(MATCH($E1403,类别表,0)),"※收支类别不在【参数设置】的清单里",IF($J1403="","△"&amp;$D1403&amp;" 还没填汇率，去【月度汇率】补上就自动算了",IF(YEAR($A1403)&lt;&gt;管理年度,"△不是管理年度的单据，年报里看不到",IF(AND($F1403="内部转账",$Q1403=""),"△内部转账建议在「往来单位」写上对方账户",IF($M1403&lt;0,"△这一笔之后该账户余额成负数了，核一下","")))))))))))</f>
        <v/>
      </c>
    </row>
    <row r="1404" ht="16.5" spans="1:19">
      <c r="A1404" s="45"/>
      <c r="B1404" s="46"/>
      <c r="C1404" s="12" t="str">
        <f>IF($B1404="","",IFERROR(INDEX(账户银行,MATCH($B1404,账户名,0)),""))</f>
        <v/>
      </c>
      <c r="D1404" s="12" t="str">
        <f>IF($B1404="","",IFERROR(INDEX(账户币种,MATCH($B1404,账户名,0)),""))</f>
        <v/>
      </c>
      <c r="E1404" s="47"/>
      <c r="F1404" s="12" t="str">
        <f>IF($E1404="","",IFERROR(INDEX(类别属性,MATCH($E1404,类别表,0)),""))</f>
        <v/>
      </c>
      <c r="G1404" s="48"/>
      <c r="H1404" s="48"/>
      <c r="I1404" s="49"/>
      <c r="J1404" s="24" t="str">
        <f>IF(OR($A1404="",$B1404=""),"",IF($I1404&lt;&gt;"",$I1404,IF($D1404=本位币,1,IFERROR(LOOKUP(2,1/((汇率月份&lt;=$A1404)*(INDEX(记账汇率区,0,MATCH($D1404,汇率币种头,0))&lt;&gt;"")),INDEX(记账汇率区,0,MATCH($D1404,汇率币种头,0))),""))))</f>
        <v/>
      </c>
      <c r="K1404" s="23" t="str">
        <f t="shared" si="42"/>
        <v/>
      </c>
      <c r="L1404" s="23" t="str">
        <f t="shared" si="43"/>
        <v/>
      </c>
      <c r="M1404" s="23" t="str">
        <f>IF($B1404="","",ROUND(SUMIF(账户名,$B1404,账户期初)+SUMIFS($K$6:K1404,$B$6:B1404,$B1404),2))</f>
        <v/>
      </c>
      <c r="N1404" s="23" t="str">
        <f>IF($B1404="","",IFERROR(ROUND(INDEX(账户期初本位,MATCH($B1404,账户名,0))+SUMIFS($L$6:L1404,$B$6:B1404,$B1404),2),""))</f>
        <v/>
      </c>
      <c r="O1404" s="46"/>
      <c r="P1404" s="47"/>
      <c r="Q1404" s="46"/>
      <c r="R1404" s="46"/>
      <c r="S1404" s="6" t="str">
        <f>IF($B1404="","",IF(ISNA(MATCH($B1404,账户名,0)),"※这个账户不在【参数设置】的账户档案里",IF($A1404="","※没填日期，这一笔不会进任何月份的报表",IF(AND($G1404&lt;&gt;"",$H1404&lt;&gt;""),"※收入和支出不能同时填",IF(AND(N($G1404)=0,N($H1404)=0),"※收入和支出都没填",IF($E1404="","※没填收支类别，分类报表会漏掉这一笔",IF(ISNA(MATCH($E1404,类别表,0)),"※收支类别不在【参数设置】的清单里",IF($J1404="","△"&amp;$D1404&amp;" 还没填汇率，去【月度汇率】补上就自动算了",IF(YEAR($A1404)&lt;&gt;管理年度,"△不是管理年度的单据，年报里看不到",IF(AND($F1404="内部转账",$Q1404=""),"△内部转账建议在「往来单位」写上对方账户",IF($M1404&lt;0,"△这一笔之后该账户余额成负数了，核一下","")))))))))))</f>
        <v/>
      </c>
    </row>
    <row r="1405" ht="16.5" spans="1:19">
      <c r="A1405" s="45"/>
      <c r="B1405" s="46"/>
      <c r="C1405" s="12" t="str">
        <f>IF($B1405="","",IFERROR(INDEX(账户银行,MATCH($B1405,账户名,0)),""))</f>
        <v/>
      </c>
      <c r="D1405" s="12" t="str">
        <f>IF($B1405="","",IFERROR(INDEX(账户币种,MATCH($B1405,账户名,0)),""))</f>
        <v/>
      </c>
      <c r="E1405" s="47"/>
      <c r="F1405" s="12" t="str">
        <f>IF($E1405="","",IFERROR(INDEX(类别属性,MATCH($E1405,类别表,0)),""))</f>
        <v/>
      </c>
      <c r="G1405" s="48"/>
      <c r="H1405" s="48"/>
      <c r="I1405" s="49"/>
      <c r="J1405" s="24" t="str">
        <f>IF(OR($A1405="",$B1405=""),"",IF($I1405&lt;&gt;"",$I1405,IF($D1405=本位币,1,IFERROR(LOOKUP(2,1/((汇率月份&lt;=$A1405)*(INDEX(记账汇率区,0,MATCH($D1405,汇率币种头,0))&lt;&gt;"")),INDEX(记账汇率区,0,MATCH($D1405,汇率币种头,0))),""))))</f>
        <v/>
      </c>
      <c r="K1405" s="23" t="str">
        <f t="shared" si="42"/>
        <v/>
      </c>
      <c r="L1405" s="23" t="str">
        <f t="shared" si="43"/>
        <v/>
      </c>
      <c r="M1405" s="23" t="str">
        <f>IF($B1405="","",ROUND(SUMIF(账户名,$B1405,账户期初)+SUMIFS($K$6:K1405,$B$6:B1405,$B1405),2))</f>
        <v/>
      </c>
      <c r="N1405" s="23" t="str">
        <f>IF($B1405="","",IFERROR(ROUND(INDEX(账户期初本位,MATCH($B1405,账户名,0))+SUMIFS($L$6:L1405,$B$6:B1405,$B1405),2),""))</f>
        <v/>
      </c>
      <c r="O1405" s="46"/>
      <c r="P1405" s="47"/>
      <c r="Q1405" s="46"/>
      <c r="R1405" s="46"/>
      <c r="S1405" s="6" t="str">
        <f>IF($B1405="","",IF(ISNA(MATCH($B1405,账户名,0)),"※这个账户不在【参数设置】的账户档案里",IF($A1405="","※没填日期，这一笔不会进任何月份的报表",IF(AND($G1405&lt;&gt;"",$H1405&lt;&gt;""),"※收入和支出不能同时填",IF(AND(N($G1405)=0,N($H1405)=0),"※收入和支出都没填",IF($E1405="","※没填收支类别，分类报表会漏掉这一笔",IF(ISNA(MATCH($E1405,类别表,0)),"※收支类别不在【参数设置】的清单里",IF($J1405="","△"&amp;$D1405&amp;" 还没填汇率，去【月度汇率】补上就自动算了",IF(YEAR($A1405)&lt;&gt;管理年度,"△不是管理年度的单据，年报里看不到",IF(AND($F1405="内部转账",$Q1405=""),"△内部转账建议在「往来单位」写上对方账户",IF($M1405&lt;0,"△这一笔之后该账户余额成负数了，核一下","")))))))))))</f>
        <v/>
      </c>
    </row>
    <row r="1406" ht="16.5" spans="1:19">
      <c r="A1406" s="45"/>
      <c r="B1406" s="46"/>
      <c r="C1406" s="12" t="str">
        <f>IF($B1406="","",IFERROR(INDEX(账户银行,MATCH($B1406,账户名,0)),""))</f>
        <v/>
      </c>
      <c r="D1406" s="12" t="str">
        <f>IF($B1406="","",IFERROR(INDEX(账户币种,MATCH($B1406,账户名,0)),""))</f>
        <v/>
      </c>
      <c r="E1406" s="47"/>
      <c r="F1406" s="12" t="str">
        <f>IF($E1406="","",IFERROR(INDEX(类别属性,MATCH($E1406,类别表,0)),""))</f>
        <v/>
      </c>
      <c r="G1406" s="48"/>
      <c r="H1406" s="48"/>
      <c r="I1406" s="49"/>
      <c r="J1406" s="24" t="str">
        <f>IF(OR($A1406="",$B1406=""),"",IF($I1406&lt;&gt;"",$I1406,IF($D1406=本位币,1,IFERROR(LOOKUP(2,1/((汇率月份&lt;=$A1406)*(INDEX(记账汇率区,0,MATCH($D1406,汇率币种头,0))&lt;&gt;"")),INDEX(记账汇率区,0,MATCH($D1406,汇率币种头,0))),""))))</f>
        <v/>
      </c>
      <c r="K1406" s="23" t="str">
        <f t="shared" si="42"/>
        <v/>
      </c>
      <c r="L1406" s="23" t="str">
        <f t="shared" si="43"/>
        <v/>
      </c>
      <c r="M1406" s="23" t="str">
        <f>IF($B1406="","",ROUND(SUMIF(账户名,$B1406,账户期初)+SUMIFS($K$6:K1406,$B$6:B1406,$B1406),2))</f>
        <v/>
      </c>
      <c r="N1406" s="23" t="str">
        <f>IF($B1406="","",IFERROR(ROUND(INDEX(账户期初本位,MATCH($B1406,账户名,0))+SUMIFS($L$6:L1406,$B$6:B1406,$B1406),2),""))</f>
        <v/>
      </c>
      <c r="O1406" s="46"/>
      <c r="P1406" s="47"/>
      <c r="Q1406" s="46"/>
      <c r="R1406" s="46"/>
      <c r="S1406" s="6" t="str">
        <f>IF($B1406="","",IF(ISNA(MATCH($B1406,账户名,0)),"※这个账户不在【参数设置】的账户档案里",IF($A1406="","※没填日期，这一笔不会进任何月份的报表",IF(AND($G1406&lt;&gt;"",$H1406&lt;&gt;""),"※收入和支出不能同时填",IF(AND(N($G1406)=0,N($H1406)=0),"※收入和支出都没填",IF($E1406="","※没填收支类别，分类报表会漏掉这一笔",IF(ISNA(MATCH($E1406,类别表,0)),"※收支类别不在【参数设置】的清单里",IF($J1406="","△"&amp;$D1406&amp;" 还没填汇率，去【月度汇率】补上就自动算了",IF(YEAR($A1406)&lt;&gt;管理年度,"△不是管理年度的单据，年报里看不到",IF(AND($F1406="内部转账",$Q1406=""),"△内部转账建议在「往来单位」写上对方账户",IF($M1406&lt;0,"△这一笔之后该账户余额成负数了，核一下","")))))))))))</f>
        <v/>
      </c>
    </row>
    <row r="1407" ht="16.5" spans="1:19">
      <c r="A1407" s="45"/>
      <c r="B1407" s="46"/>
      <c r="C1407" s="12" t="str">
        <f>IF($B1407="","",IFERROR(INDEX(账户银行,MATCH($B1407,账户名,0)),""))</f>
        <v/>
      </c>
      <c r="D1407" s="12" t="str">
        <f>IF($B1407="","",IFERROR(INDEX(账户币种,MATCH($B1407,账户名,0)),""))</f>
        <v/>
      </c>
      <c r="E1407" s="47"/>
      <c r="F1407" s="12" t="str">
        <f>IF($E1407="","",IFERROR(INDEX(类别属性,MATCH($E1407,类别表,0)),""))</f>
        <v/>
      </c>
      <c r="G1407" s="48"/>
      <c r="H1407" s="48"/>
      <c r="I1407" s="49"/>
      <c r="J1407" s="24" t="str">
        <f>IF(OR($A1407="",$B1407=""),"",IF($I1407&lt;&gt;"",$I1407,IF($D1407=本位币,1,IFERROR(LOOKUP(2,1/((汇率月份&lt;=$A1407)*(INDEX(记账汇率区,0,MATCH($D1407,汇率币种头,0))&lt;&gt;"")),INDEX(记账汇率区,0,MATCH($D1407,汇率币种头,0))),""))))</f>
        <v/>
      </c>
      <c r="K1407" s="23" t="str">
        <f t="shared" si="42"/>
        <v/>
      </c>
      <c r="L1407" s="23" t="str">
        <f t="shared" si="43"/>
        <v/>
      </c>
      <c r="M1407" s="23" t="str">
        <f>IF($B1407="","",ROUND(SUMIF(账户名,$B1407,账户期初)+SUMIFS($K$6:K1407,$B$6:B1407,$B1407),2))</f>
        <v/>
      </c>
      <c r="N1407" s="23" t="str">
        <f>IF($B1407="","",IFERROR(ROUND(INDEX(账户期初本位,MATCH($B1407,账户名,0))+SUMIFS($L$6:L1407,$B$6:B1407,$B1407),2),""))</f>
        <v/>
      </c>
      <c r="O1407" s="46"/>
      <c r="P1407" s="47"/>
      <c r="Q1407" s="46"/>
      <c r="R1407" s="46"/>
      <c r="S1407" s="6" t="str">
        <f>IF($B1407="","",IF(ISNA(MATCH($B1407,账户名,0)),"※这个账户不在【参数设置】的账户档案里",IF($A1407="","※没填日期，这一笔不会进任何月份的报表",IF(AND($G1407&lt;&gt;"",$H1407&lt;&gt;""),"※收入和支出不能同时填",IF(AND(N($G1407)=0,N($H1407)=0),"※收入和支出都没填",IF($E1407="","※没填收支类别，分类报表会漏掉这一笔",IF(ISNA(MATCH($E1407,类别表,0)),"※收支类别不在【参数设置】的清单里",IF($J1407="","△"&amp;$D1407&amp;" 还没填汇率，去【月度汇率】补上就自动算了",IF(YEAR($A1407)&lt;&gt;管理年度,"△不是管理年度的单据，年报里看不到",IF(AND($F1407="内部转账",$Q1407=""),"△内部转账建议在「往来单位」写上对方账户",IF($M1407&lt;0,"△这一笔之后该账户余额成负数了，核一下","")))))))))))</f>
        <v/>
      </c>
    </row>
    <row r="1408" ht="16.5" spans="1:19">
      <c r="A1408" s="45"/>
      <c r="B1408" s="46"/>
      <c r="C1408" s="12" t="str">
        <f>IF($B1408="","",IFERROR(INDEX(账户银行,MATCH($B1408,账户名,0)),""))</f>
        <v/>
      </c>
      <c r="D1408" s="12" t="str">
        <f>IF($B1408="","",IFERROR(INDEX(账户币种,MATCH($B1408,账户名,0)),""))</f>
        <v/>
      </c>
      <c r="E1408" s="47"/>
      <c r="F1408" s="12" t="str">
        <f>IF($E1408="","",IFERROR(INDEX(类别属性,MATCH($E1408,类别表,0)),""))</f>
        <v/>
      </c>
      <c r="G1408" s="48"/>
      <c r="H1408" s="48"/>
      <c r="I1408" s="49"/>
      <c r="J1408" s="24" t="str">
        <f>IF(OR($A1408="",$B1408=""),"",IF($I1408&lt;&gt;"",$I1408,IF($D1408=本位币,1,IFERROR(LOOKUP(2,1/((汇率月份&lt;=$A1408)*(INDEX(记账汇率区,0,MATCH($D1408,汇率币种头,0))&lt;&gt;"")),INDEX(记账汇率区,0,MATCH($D1408,汇率币种头,0))),""))))</f>
        <v/>
      </c>
      <c r="K1408" s="23" t="str">
        <f t="shared" si="42"/>
        <v/>
      </c>
      <c r="L1408" s="23" t="str">
        <f t="shared" si="43"/>
        <v/>
      </c>
      <c r="M1408" s="23" t="str">
        <f>IF($B1408="","",ROUND(SUMIF(账户名,$B1408,账户期初)+SUMIFS($K$6:K1408,$B$6:B1408,$B1408),2))</f>
        <v/>
      </c>
      <c r="N1408" s="23" t="str">
        <f>IF($B1408="","",IFERROR(ROUND(INDEX(账户期初本位,MATCH($B1408,账户名,0))+SUMIFS($L$6:L1408,$B$6:B1408,$B1408),2),""))</f>
        <v/>
      </c>
      <c r="O1408" s="46"/>
      <c r="P1408" s="47"/>
      <c r="Q1408" s="46"/>
      <c r="R1408" s="46"/>
      <c r="S1408" s="6" t="str">
        <f>IF($B1408="","",IF(ISNA(MATCH($B1408,账户名,0)),"※这个账户不在【参数设置】的账户档案里",IF($A1408="","※没填日期，这一笔不会进任何月份的报表",IF(AND($G1408&lt;&gt;"",$H1408&lt;&gt;""),"※收入和支出不能同时填",IF(AND(N($G1408)=0,N($H1408)=0),"※收入和支出都没填",IF($E1408="","※没填收支类别，分类报表会漏掉这一笔",IF(ISNA(MATCH($E1408,类别表,0)),"※收支类别不在【参数设置】的清单里",IF($J1408="","△"&amp;$D1408&amp;" 还没填汇率，去【月度汇率】补上就自动算了",IF(YEAR($A1408)&lt;&gt;管理年度,"△不是管理年度的单据，年报里看不到",IF(AND($F1408="内部转账",$Q1408=""),"△内部转账建议在「往来单位」写上对方账户",IF($M1408&lt;0,"△这一笔之后该账户余额成负数了，核一下","")))))))))))</f>
        <v/>
      </c>
    </row>
    <row r="1409" ht="16.5" spans="1:19">
      <c r="A1409" s="45"/>
      <c r="B1409" s="46"/>
      <c r="C1409" s="12" t="str">
        <f>IF($B1409="","",IFERROR(INDEX(账户银行,MATCH($B1409,账户名,0)),""))</f>
        <v/>
      </c>
      <c r="D1409" s="12" t="str">
        <f>IF($B1409="","",IFERROR(INDEX(账户币种,MATCH($B1409,账户名,0)),""))</f>
        <v/>
      </c>
      <c r="E1409" s="47"/>
      <c r="F1409" s="12" t="str">
        <f>IF($E1409="","",IFERROR(INDEX(类别属性,MATCH($E1409,类别表,0)),""))</f>
        <v/>
      </c>
      <c r="G1409" s="48"/>
      <c r="H1409" s="48"/>
      <c r="I1409" s="49"/>
      <c r="J1409" s="24" t="str">
        <f>IF(OR($A1409="",$B1409=""),"",IF($I1409&lt;&gt;"",$I1409,IF($D1409=本位币,1,IFERROR(LOOKUP(2,1/((汇率月份&lt;=$A1409)*(INDEX(记账汇率区,0,MATCH($D1409,汇率币种头,0))&lt;&gt;"")),INDEX(记账汇率区,0,MATCH($D1409,汇率币种头,0))),""))))</f>
        <v/>
      </c>
      <c r="K1409" s="23" t="str">
        <f t="shared" si="42"/>
        <v/>
      </c>
      <c r="L1409" s="23" t="str">
        <f t="shared" si="43"/>
        <v/>
      </c>
      <c r="M1409" s="23" t="str">
        <f>IF($B1409="","",ROUND(SUMIF(账户名,$B1409,账户期初)+SUMIFS($K$6:K1409,$B$6:B1409,$B1409),2))</f>
        <v/>
      </c>
      <c r="N1409" s="23" t="str">
        <f>IF($B1409="","",IFERROR(ROUND(INDEX(账户期初本位,MATCH($B1409,账户名,0))+SUMIFS($L$6:L1409,$B$6:B1409,$B1409),2),""))</f>
        <v/>
      </c>
      <c r="O1409" s="46"/>
      <c r="P1409" s="47"/>
      <c r="Q1409" s="46"/>
      <c r="R1409" s="46"/>
      <c r="S1409" s="6" t="str">
        <f>IF($B1409="","",IF(ISNA(MATCH($B1409,账户名,0)),"※这个账户不在【参数设置】的账户档案里",IF($A1409="","※没填日期，这一笔不会进任何月份的报表",IF(AND($G1409&lt;&gt;"",$H1409&lt;&gt;""),"※收入和支出不能同时填",IF(AND(N($G1409)=0,N($H1409)=0),"※收入和支出都没填",IF($E1409="","※没填收支类别，分类报表会漏掉这一笔",IF(ISNA(MATCH($E1409,类别表,0)),"※收支类别不在【参数设置】的清单里",IF($J1409="","△"&amp;$D1409&amp;" 还没填汇率，去【月度汇率】补上就自动算了",IF(YEAR($A1409)&lt;&gt;管理年度,"△不是管理年度的单据，年报里看不到",IF(AND($F1409="内部转账",$Q1409=""),"△内部转账建议在「往来单位」写上对方账户",IF($M1409&lt;0,"△这一笔之后该账户余额成负数了，核一下","")))))))))))</f>
        <v/>
      </c>
    </row>
    <row r="1410" ht="16.5" spans="1:19">
      <c r="A1410" s="45"/>
      <c r="B1410" s="46"/>
      <c r="C1410" s="12" t="str">
        <f>IF($B1410="","",IFERROR(INDEX(账户银行,MATCH($B1410,账户名,0)),""))</f>
        <v/>
      </c>
      <c r="D1410" s="12" t="str">
        <f>IF($B1410="","",IFERROR(INDEX(账户币种,MATCH($B1410,账户名,0)),""))</f>
        <v/>
      </c>
      <c r="E1410" s="47"/>
      <c r="F1410" s="12" t="str">
        <f>IF($E1410="","",IFERROR(INDEX(类别属性,MATCH($E1410,类别表,0)),""))</f>
        <v/>
      </c>
      <c r="G1410" s="48"/>
      <c r="H1410" s="48"/>
      <c r="I1410" s="49"/>
      <c r="J1410" s="24" t="str">
        <f>IF(OR($A1410="",$B1410=""),"",IF($I1410&lt;&gt;"",$I1410,IF($D1410=本位币,1,IFERROR(LOOKUP(2,1/((汇率月份&lt;=$A1410)*(INDEX(记账汇率区,0,MATCH($D1410,汇率币种头,0))&lt;&gt;"")),INDEX(记账汇率区,0,MATCH($D1410,汇率币种头,0))),""))))</f>
        <v/>
      </c>
      <c r="K1410" s="23" t="str">
        <f t="shared" si="42"/>
        <v/>
      </c>
      <c r="L1410" s="23" t="str">
        <f t="shared" si="43"/>
        <v/>
      </c>
      <c r="M1410" s="23" t="str">
        <f>IF($B1410="","",ROUND(SUMIF(账户名,$B1410,账户期初)+SUMIFS($K$6:K1410,$B$6:B1410,$B1410),2))</f>
        <v/>
      </c>
      <c r="N1410" s="23" t="str">
        <f>IF($B1410="","",IFERROR(ROUND(INDEX(账户期初本位,MATCH($B1410,账户名,0))+SUMIFS($L$6:L1410,$B$6:B1410,$B1410),2),""))</f>
        <v/>
      </c>
      <c r="O1410" s="46"/>
      <c r="P1410" s="47"/>
      <c r="Q1410" s="46"/>
      <c r="R1410" s="46"/>
      <c r="S1410" s="6" t="str">
        <f>IF($B1410="","",IF(ISNA(MATCH($B1410,账户名,0)),"※这个账户不在【参数设置】的账户档案里",IF($A1410="","※没填日期，这一笔不会进任何月份的报表",IF(AND($G1410&lt;&gt;"",$H1410&lt;&gt;""),"※收入和支出不能同时填",IF(AND(N($G1410)=0,N($H1410)=0),"※收入和支出都没填",IF($E1410="","※没填收支类别，分类报表会漏掉这一笔",IF(ISNA(MATCH($E1410,类别表,0)),"※收支类别不在【参数设置】的清单里",IF($J1410="","△"&amp;$D1410&amp;" 还没填汇率，去【月度汇率】补上就自动算了",IF(YEAR($A1410)&lt;&gt;管理年度,"△不是管理年度的单据，年报里看不到",IF(AND($F1410="内部转账",$Q1410=""),"△内部转账建议在「往来单位」写上对方账户",IF($M1410&lt;0,"△这一笔之后该账户余额成负数了，核一下","")))))))))))</f>
        <v/>
      </c>
    </row>
    <row r="1411" ht="16.5" spans="1:19">
      <c r="A1411" s="45"/>
      <c r="B1411" s="46"/>
      <c r="C1411" s="12" t="str">
        <f>IF($B1411="","",IFERROR(INDEX(账户银行,MATCH($B1411,账户名,0)),""))</f>
        <v/>
      </c>
      <c r="D1411" s="12" t="str">
        <f>IF($B1411="","",IFERROR(INDEX(账户币种,MATCH($B1411,账户名,0)),""))</f>
        <v/>
      </c>
      <c r="E1411" s="47"/>
      <c r="F1411" s="12" t="str">
        <f>IF($E1411="","",IFERROR(INDEX(类别属性,MATCH($E1411,类别表,0)),""))</f>
        <v/>
      </c>
      <c r="G1411" s="48"/>
      <c r="H1411" s="48"/>
      <c r="I1411" s="49"/>
      <c r="J1411" s="24" t="str">
        <f>IF(OR($A1411="",$B1411=""),"",IF($I1411&lt;&gt;"",$I1411,IF($D1411=本位币,1,IFERROR(LOOKUP(2,1/((汇率月份&lt;=$A1411)*(INDEX(记账汇率区,0,MATCH($D1411,汇率币种头,0))&lt;&gt;"")),INDEX(记账汇率区,0,MATCH($D1411,汇率币种头,0))),""))))</f>
        <v/>
      </c>
      <c r="K1411" s="23" t="str">
        <f t="shared" si="42"/>
        <v/>
      </c>
      <c r="L1411" s="23" t="str">
        <f t="shared" si="43"/>
        <v/>
      </c>
      <c r="M1411" s="23" t="str">
        <f>IF($B1411="","",ROUND(SUMIF(账户名,$B1411,账户期初)+SUMIFS($K$6:K1411,$B$6:B1411,$B1411),2))</f>
        <v/>
      </c>
      <c r="N1411" s="23" t="str">
        <f>IF($B1411="","",IFERROR(ROUND(INDEX(账户期初本位,MATCH($B1411,账户名,0))+SUMIFS($L$6:L1411,$B$6:B1411,$B1411),2),""))</f>
        <v/>
      </c>
      <c r="O1411" s="46"/>
      <c r="P1411" s="47"/>
      <c r="Q1411" s="46"/>
      <c r="R1411" s="46"/>
      <c r="S1411" s="6" t="str">
        <f>IF($B1411="","",IF(ISNA(MATCH($B1411,账户名,0)),"※这个账户不在【参数设置】的账户档案里",IF($A1411="","※没填日期，这一笔不会进任何月份的报表",IF(AND($G1411&lt;&gt;"",$H1411&lt;&gt;""),"※收入和支出不能同时填",IF(AND(N($G1411)=0,N($H1411)=0),"※收入和支出都没填",IF($E1411="","※没填收支类别，分类报表会漏掉这一笔",IF(ISNA(MATCH($E1411,类别表,0)),"※收支类别不在【参数设置】的清单里",IF($J1411="","△"&amp;$D1411&amp;" 还没填汇率，去【月度汇率】补上就自动算了",IF(YEAR($A1411)&lt;&gt;管理年度,"△不是管理年度的单据，年报里看不到",IF(AND($F1411="内部转账",$Q1411=""),"△内部转账建议在「往来单位」写上对方账户",IF($M1411&lt;0,"△这一笔之后该账户余额成负数了，核一下","")))))))))))</f>
        <v/>
      </c>
    </row>
    <row r="1412" ht="16.5" spans="1:19">
      <c r="A1412" s="45"/>
      <c r="B1412" s="46"/>
      <c r="C1412" s="12" t="str">
        <f>IF($B1412="","",IFERROR(INDEX(账户银行,MATCH($B1412,账户名,0)),""))</f>
        <v/>
      </c>
      <c r="D1412" s="12" t="str">
        <f>IF($B1412="","",IFERROR(INDEX(账户币种,MATCH($B1412,账户名,0)),""))</f>
        <v/>
      </c>
      <c r="E1412" s="47"/>
      <c r="F1412" s="12" t="str">
        <f>IF($E1412="","",IFERROR(INDEX(类别属性,MATCH($E1412,类别表,0)),""))</f>
        <v/>
      </c>
      <c r="G1412" s="48"/>
      <c r="H1412" s="48"/>
      <c r="I1412" s="49"/>
      <c r="J1412" s="24" t="str">
        <f>IF(OR($A1412="",$B1412=""),"",IF($I1412&lt;&gt;"",$I1412,IF($D1412=本位币,1,IFERROR(LOOKUP(2,1/((汇率月份&lt;=$A1412)*(INDEX(记账汇率区,0,MATCH($D1412,汇率币种头,0))&lt;&gt;"")),INDEX(记账汇率区,0,MATCH($D1412,汇率币种头,0))),""))))</f>
        <v/>
      </c>
      <c r="K1412" s="23" t="str">
        <f t="shared" si="42"/>
        <v/>
      </c>
      <c r="L1412" s="23" t="str">
        <f t="shared" si="43"/>
        <v/>
      </c>
      <c r="M1412" s="23" t="str">
        <f>IF($B1412="","",ROUND(SUMIF(账户名,$B1412,账户期初)+SUMIFS($K$6:K1412,$B$6:B1412,$B1412),2))</f>
        <v/>
      </c>
      <c r="N1412" s="23" t="str">
        <f>IF($B1412="","",IFERROR(ROUND(INDEX(账户期初本位,MATCH($B1412,账户名,0))+SUMIFS($L$6:L1412,$B$6:B1412,$B1412),2),""))</f>
        <v/>
      </c>
      <c r="O1412" s="46"/>
      <c r="P1412" s="47"/>
      <c r="Q1412" s="46"/>
      <c r="R1412" s="46"/>
      <c r="S1412" s="6" t="str">
        <f>IF($B1412="","",IF(ISNA(MATCH($B1412,账户名,0)),"※这个账户不在【参数设置】的账户档案里",IF($A1412="","※没填日期，这一笔不会进任何月份的报表",IF(AND($G1412&lt;&gt;"",$H1412&lt;&gt;""),"※收入和支出不能同时填",IF(AND(N($G1412)=0,N($H1412)=0),"※收入和支出都没填",IF($E1412="","※没填收支类别，分类报表会漏掉这一笔",IF(ISNA(MATCH($E1412,类别表,0)),"※收支类别不在【参数设置】的清单里",IF($J1412="","△"&amp;$D1412&amp;" 还没填汇率，去【月度汇率】补上就自动算了",IF(YEAR($A1412)&lt;&gt;管理年度,"△不是管理年度的单据，年报里看不到",IF(AND($F1412="内部转账",$Q1412=""),"△内部转账建议在「往来单位」写上对方账户",IF($M1412&lt;0,"△这一笔之后该账户余额成负数了，核一下","")))))))))))</f>
        <v/>
      </c>
    </row>
    <row r="1413" ht="16.5" spans="1:19">
      <c r="A1413" s="45"/>
      <c r="B1413" s="46"/>
      <c r="C1413" s="12" t="str">
        <f>IF($B1413="","",IFERROR(INDEX(账户银行,MATCH($B1413,账户名,0)),""))</f>
        <v/>
      </c>
      <c r="D1413" s="12" t="str">
        <f>IF($B1413="","",IFERROR(INDEX(账户币种,MATCH($B1413,账户名,0)),""))</f>
        <v/>
      </c>
      <c r="E1413" s="47"/>
      <c r="F1413" s="12" t="str">
        <f>IF($E1413="","",IFERROR(INDEX(类别属性,MATCH($E1413,类别表,0)),""))</f>
        <v/>
      </c>
      <c r="G1413" s="48"/>
      <c r="H1413" s="48"/>
      <c r="I1413" s="49"/>
      <c r="J1413" s="24" t="str">
        <f>IF(OR($A1413="",$B1413=""),"",IF($I1413&lt;&gt;"",$I1413,IF($D1413=本位币,1,IFERROR(LOOKUP(2,1/((汇率月份&lt;=$A1413)*(INDEX(记账汇率区,0,MATCH($D1413,汇率币种头,0))&lt;&gt;"")),INDEX(记账汇率区,0,MATCH($D1413,汇率币种头,0))),""))))</f>
        <v/>
      </c>
      <c r="K1413" s="23" t="str">
        <f t="shared" si="42"/>
        <v/>
      </c>
      <c r="L1413" s="23" t="str">
        <f t="shared" si="43"/>
        <v/>
      </c>
      <c r="M1413" s="23" t="str">
        <f>IF($B1413="","",ROUND(SUMIF(账户名,$B1413,账户期初)+SUMIFS($K$6:K1413,$B$6:B1413,$B1413),2))</f>
        <v/>
      </c>
      <c r="N1413" s="23" t="str">
        <f>IF($B1413="","",IFERROR(ROUND(INDEX(账户期初本位,MATCH($B1413,账户名,0))+SUMIFS($L$6:L1413,$B$6:B1413,$B1413),2),""))</f>
        <v/>
      </c>
      <c r="O1413" s="46"/>
      <c r="P1413" s="47"/>
      <c r="Q1413" s="46"/>
      <c r="R1413" s="46"/>
      <c r="S1413" s="6" t="str">
        <f>IF($B1413="","",IF(ISNA(MATCH($B1413,账户名,0)),"※这个账户不在【参数设置】的账户档案里",IF($A1413="","※没填日期，这一笔不会进任何月份的报表",IF(AND($G1413&lt;&gt;"",$H1413&lt;&gt;""),"※收入和支出不能同时填",IF(AND(N($G1413)=0,N($H1413)=0),"※收入和支出都没填",IF($E1413="","※没填收支类别，分类报表会漏掉这一笔",IF(ISNA(MATCH($E1413,类别表,0)),"※收支类别不在【参数设置】的清单里",IF($J1413="","△"&amp;$D1413&amp;" 还没填汇率，去【月度汇率】补上就自动算了",IF(YEAR($A1413)&lt;&gt;管理年度,"△不是管理年度的单据，年报里看不到",IF(AND($F1413="内部转账",$Q1413=""),"△内部转账建议在「往来单位」写上对方账户",IF($M1413&lt;0,"△这一笔之后该账户余额成负数了，核一下","")))))))))))</f>
        <v/>
      </c>
    </row>
    <row r="1414" ht="16.5" spans="1:19">
      <c r="A1414" s="45"/>
      <c r="B1414" s="46"/>
      <c r="C1414" s="12" t="str">
        <f>IF($B1414="","",IFERROR(INDEX(账户银行,MATCH($B1414,账户名,0)),""))</f>
        <v/>
      </c>
      <c r="D1414" s="12" t="str">
        <f>IF($B1414="","",IFERROR(INDEX(账户币种,MATCH($B1414,账户名,0)),""))</f>
        <v/>
      </c>
      <c r="E1414" s="47"/>
      <c r="F1414" s="12" t="str">
        <f>IF($E1414="","",IFERROR(INDEX(类别属性,MATCH($E1414,类别表,0)),""))</f>
        <v/>
      </c>
      <c r="G1414" s="48"/>
      <c r="H1414" s="48"/>
      <c r="I1414" s="49"/>
      <c r="J1414" s="24" t="str">
        <f>IF(OR($A1414="",$B1414=""),"",IF($I1414&lt;&gt;"",$I1414,IF($D1414=本位币,1,IFERROR(LOOKUP(2,1/((汇率月份&lt;=$A1414)*(INDEX(记账汇率区,0,MATCH($D1414,汇率币种头,0))&lt;&gt;"")),INDEX(记账汇率区,0,MATCH($D1414,汇率币种头,0))),""))))</f>
        <v/>
      </c>
      <c r="K1414" s="23" t="str">
        <f t="shared" ref="K1414:K1477" si="44">IF(AND($G1414="",$H1414=""),"",ROUND(N($G1414)-N($H1414),2))</f>
        <v/>
      </c>
      <c r="L1414" s="23" t="str">
        <f t="shared" ref="L1414:L1477" si="45">IF(OR($K1414="",$J1414=""),"",ROUND($K1414*$J1414,2))</f>
        <v/>
      </c>
      <c r="M1414" s="23" t="str">
        <f>IF($B1414="","",ROUND(SUMIF(账户名,$B1414,账户期初)+SUMIFS($K$6:K1414,$B$6:B1414,$B1414),2))</f>
        <v/>
      </c>
      <c r="N1414" s="23" t="str">
        <f>IF($B1414="","",IFERROR(ROUND(INDEX(账户期初本位,MATCH($B1414,账户名,0))+SUMIFS($L$6:L1414,$B$6:B1414,$B1414),2),""))</f>
        <v/>
      </c>
      <c r="O1414" s="46"/>
      <c r="P1414" s="47"/>
      <c r="Q1414" s="46"/>
      <c r="R1414" s="46"/>
      <c r="S1414" s="6" t="str">
        <f>IF($B1414="","",IF(ISNA(MATCH($B1414,账户名,0)),"※这个账户不在【参数设置】的账户档案里",IF($A1414="","※没填日期，这一笔不会进任何月份的报表",IF(AND($G1414&lt;&gt;"",$H1414&lt;&gt;""),"※收入和支出不能同时填",IF(AND(N($G1414)=0,N($H1414)=0),"※收入和支出都没填",IF($E1414="","※没填收支类别，分类报表会漏掉这一笔",IF(ISNA(MATCH($E1414,类别表,0)),"※收支类别不在【参数设置】的清单里",IF($J1414="","△"&amp;$D1414&amp;" 还没填汇率，去【月度汇率】补上就自动算了",IF(YEAR($A1414)&lt;&gt;管理年度,"△不是管理年度的单据，年报里看不到",IF(AND($F1414="内部转账",$Q1414=""),"△内部转账建议在「往来单位」写上对方账户",IF($M1414&lt;0,"△这一笔之后该账户余额成负数了，核一下","")))))))))))</f>
        <v/>
      </c>
    </row>
    <row r="1415" ht="16.5" spans="1:19">
      <c r="A1415" s="45"/>
      <c r="B1415" s="46"/>
      <c r="C1415" s="12" t="str">
        <f>IF($B1415="","",IFERROR(INDEX(账户银行,MATCH($B1415,账户名,0)),""))</f>
        <v/>
      </c>
      <c r="D1415" s="12" t="str">
        <f>IF($B1415="","",IFERROR(INDEX(账户币种,MATCH($B1415,账户名,0)),""))</f>
        <v/>
      </c>
      <c r="E1415" s="47"/>
      <c r="F1415" s="12" t="str">
        <f>IF($E1415="","",IFERROR(INDEX(类别属性,MATCH($E1415,类别表,0)),""))</f>
        <v/>
      </c>
      <c r="G1415" s="48"/>
      <c r="H1415" s="48"/>
      <c r="I1415" s="49"/>
      <c r="J1415" s="24" t="str">
        <f>IF(OR($A1415="",$B1415=""),"",IF($I1415&lt;&gt;"",$I1415,IF($D1415=本位币,1,IFERROR(LOOKUP(2,1/((汇率月份&lt;=$A1415)*(INDEX(记账汇率区,0,MATCH($D1415,汇率币种头,0))&lt;&gt;"")),INDEX(记账汇率区,0,MATCH($D1415,汇率币种头,0))),""))))</f>
        <v/>
      </c>
      <c r="K1415" s="23" t="str">
        <f t="shared" si="44"/>
        <v/>
      </c>
      <c r="L1415" s="23" t="str">
        <f t="shared" si="45"/>
        <v/>
      </c>
      <c r="M1415" s="23" t="str">
        <f>IF($B1415="","",ROUND(SUMIF(账户名,$B1415,账户期初)+SUMIFS($K$6:K1415,$B$6:B1415,$B1415),2))</f>
        <v/>
      </c>
      <c r="N1415" s="23" t="str">
        <f>IF($B1415="","",IFERROR(ROUND(INDEX(账户期初本位,MATCH($B1415,账户名,0))+SUMIFS($L$6:L1415,$B$6:B1415,$B1415),2),""))</f>
        <v/>
      </c>
      <c r="O1415" s="46"/>
      <c r="P1415" s="47"/>
      <c r="Q1415" s="46"/>
      <c r="R1415" s="46"/>
      <c r="S1415" s="6" t="str">
        <f>IF($B1415="","",IF(ISNA(MATCH($B1415,账户名,0)),"※这个账户不在【参数设置】的账户档案里",IF($A1415="","※没填日期，这一笔不会进任何月份的报表",IF(AND($G1415&lt;&gt;"",$H1415&lt;&gt;""),"※收入和支出不能同时填",IF(AND(N($G1415)=0,N($H1415)=0),"※收入和支出都没填",IF($E1415="","※没填收支类别，分类报表会漏掉这一笔",IF(ISNA(MATCH($E1415,类别表,0)),"※收支类别不在【参数设置】的清单里",IF($J1415="","△"&amp;$D1415&amp;" 还没填汇率，去【月度汇率】补上就自动算了",IF(YEAR($A1415)&lt;&gt;管理年度,"△不是管理年度的单据，年报里看不到",IF(AND($F1415="内部转账",$Q1415=""),"△内部转账建议在「往来单位」写上对方账户",IF($M1415&lt;0,"△这一笔之后该账户余额成负数了，核一下","")))))))))))</f>
        <v/>
      </c>
    </row>
    <row r="1416" ht="16.5" spans="1:19">
      <c r="A1416" s="45"/>
      <c r="B1416" s="46"/>
      <c r="C1416" s="12" t="str">
        <f>IF($B1416="","",IFERROR(INDEX(账户银行,MATCH($B1416,账户名,0)),""))</f>
        <v/>
      </c>
      <c r="D1416" s="12" t="str">
        <f>IF($B1416="","",IFERROR(INDEX(账户币种,MATCH($B1416,账户名,0)),""))</f>
        <v/>
      </c>
      <c r="E1416" s="47"/>
      <c r="F1416" s="12" t="str">
        <f>IF($E1416="","",IFERROR(INDEX(类别属性,MATCH($E1416,类别表,0)),""))</f>
        <v/>
      </c>
      <c r="G1416" s="48"/>
      <c r="H1416" s="48"/>
      <c r="I1416" s="49"/>
      <c r="J1416" s="24" t="str">
        <f>IF(OR($A1416="",$B1416=""),"",IF($I1416&lt;&gt;"",$I1416,IF($D1416=本位币,1,IFERROR(LOOKUP(2,1/((汇率月份&lt;=$A1416)*(INDEX(记账汇率区,0,MATCH($D1416,汇率币种头,0))&lt;&gt;"")),INDEX(记账汇率区,0,MATCH($D1416,汇率币种头,0))),""))))</f>
        <v/>
      </c>
      <c r="K1416" s="23" t="str">
        <f t="shared" si="44"/>
        <v/>
      </c>
      <c r="L1416" s="23" t="str">
        <f t="shared" si="45"/>
        <v/>
      </c>
      <c r="M1416" s="23" t="str">
        <f>IF($B1416="","",ROUND(SUMIF(账户名,$B1416,账户期初)+SUMIFS($K$6:K1416,$B$6:B1416,$B1416),2))</f>
        <v/>
      </c>
      <c r="N1416" s="23" t="str">
        <f>IF($B1416="","",IFERROR(ROUND(INDEX(账户期初本位,MATCH($B1416,账户名,0))+SUMIFS($L$6:L1416,$B$6:B1416,$B1416),2),""))</f>
        <v/>
      </c>
      <c r="O1416" s="46"/>
      <c r="P1416" s="47"/>
      <c r="Q1416" s="46"/>
      <c r="R1416" s="46"/>
      <c r="S1416" s="6" t="str">
        <f>IF($B1416="","",IF(ISNA(MATCH($B1416,账户名,0)),"※这个账户不在【参数设置】的账户档案里",IF($A1416="","※没填日期，这一笔不会进任何月份的报表",IF(AND($G1416&lt;&gt;"",$H1416&lt;&gt;""),"※收入和支出不能同时填",IF(AND(N($G1416)=0,N($H1416)=0),"※收入和支出都没填",IF($E1416="","※没填收支类别，分类报表会漏掉这一笔",IF(ISNA(MATCH($E1416,类别表,0)),"※收支类别不在【参数设置】的清单里",IF($J1416="","△"&amp;$D1416&amp;" 还没填汇率，去【月度汇率】补上就自动算了",IF(YEAR($A1416)&lt;&gt;管理年度,"△不是管理年度的单据，年报里看不到",IF(AND($F1416="内部转账",$Q1416=""),"△内部转账建议在「往来单位」写上对方账户",IF($M1416&lt;0,"△这一笔之后该账户余额成负数了，核一下","")))))))))))</f>
        <v/>
      </c>
    </row>
    <row r="1417" ht="16.5" spans="1:19">
      <c r="A1417" s="45"/>
      <c r="B1417" s="46"/>
      <c r="C1417" s="12" t="str">
        <f>IF($B1417="","",IFERROR(INDEX(账户银行,MATCH($B1417,账户名,0)),""))</f>
        <v/>
      </c>
      <c r="D1417" s="12" t="str">
        <f>IF($B1417="","",IFERROR(INDEX(账户币种,MATCH($B1417,账户名,0)),""))</f>
        <v/>
      </c>
      <c r="E1417" s="47"/>
      <c r="F1417" s="12" t="str">
        <f>IF($E1417="","",IFERROR(INDEX(类别属性,MATCH($E1417,类别表,0)),""))</f>
        <v/>
      </c>
      <c r="G1417" s="48"/>
      <c r="H1417" s="48"/>
      <c r="I1417" s="49"/>
      <c r="J1417" s="24" t="str">
        <f>IF(OR($A1417="",$B1417=""),"",IF($I1417&lt;&gt;"",$I1417,IF($D1417=本位币,1,IFERROR(LOOKUP(2,1/((汇率月份&lt;=$A1417)*(INDEX(记账汇率区,0,MATCH($D1417,汇率币种头,0))&lt;&gt;"")),INDEX(记账汇率区,0,MATCH($D1417,汇率币种头,0))),""))))</f>
        <v/>
      </c>
      <c r="K1417" s="23" t="str">
        <f t="shared" si="44"/>
        <v/>
      </c>
      <c r="L1417" s="23" t="str">
        <f t="shared" si="45"/>
        <v/>
      </c>
      <c r="M1417" s="23" t="str">
        <f>IF($B1417="","",ROUND(SUMIF(账户名,$B1417,账户期初)+SUMIFS($K$6:K1417,$B$6:B1417,$B1417),2))</f>
        <v/>
      </c>
      <c r="N1417" s="23" t="str">
        <f>IF($B1417="","",IFERROR(ROUND(INDEX(账户期初本位,MATCH($B1417,账户名,0))+SUMIFS($L$6:L1417,$B$6:B1417,$B1417),2),""))</f>
        <v/>
      </c>
      <c r="O1417" s="46"/>
      <c r="P1417" s="47"/>
      <c r="Q1417" s="46"/>
      <c r="R1417" s="46"/>
      <c r="S1417" s="6" t="str">
        <f>IF($B1417="","",IF(ISNA(MATCH($B1417,账户名,0)),"※这个账户不在【参数设置】的账户档案里",IF($A1417="","※没填日期，这一笔不会进任何月份的报表",IF(AND($G1417&lt;&gt;"",$H1417&lt;&gt;""),"※收入和支出不能同时填",IF(AND(N($G1417)=0,N($H1417)=0),"※收入和支出都没填",IF($E1417="","※没填收支类别，分类报表会漏掉这一笔",IF(ISNA(MATCH($E1417,类别表,0)),"※收支类别不在【参数设置】的清单里",IF($J1417="","△"&amp;$D1417&amp;" 还没填汇率，去【月度汇率】补上就自动算了",IF(YEAR($A1417)&lt;&gt;管理年度,"△不是管理年度的单据，年报里看不到",IF(AND($F1417="内部转账",$Q1417=""),"△内部转账建议在「往来单位」写上对方账户",IF($M1417&lt;0,"△这一笔之后该账户余额成负数了，核一下","")))))))))))</f>
        <v/>
      </c>
    </row>
    <row r="1418" ht="16.5" spans="1:19">
      <c r="A1418" s="45"/>
      <c r="B1418" s="46"/>
      <c r="C1418" s="12" t="str">
        <f>IF($B1418="","",IFERROR(INDEX(账户银行,MATCH($B1418,账户名,0)),""))</f>
        <v/>
      </c>
      <c r="D1418" s="12" t="str">
        <f>IF($B1418="","",IFERROR(INDEX(账户币种,MATCH($B1418,账户名,0)),""))</f>
        <v/>
      </c>
      <c r="E1418" s="47"/>
      <c r="F1418" s="12" t="str">
        <f>IF($E1418="","",IFERROR(INDEX(类别属性,MATCH($E1418,类别表,0)),""))</f>
        <v/>
      </c>
      <c r="G1418" s="48"/>
      <c r="H1418" s="48"/>
      <c r="I1418" s="49"/>
      <c r="J1418" s="24" t="str">
        <f>IF(OR($A1418="",$B1418=""),"",IF($I1418&lt;&gt;"",$I1418,IF($D1418=本位币,1,IFERROR(LOOKUP(2,1/((汇率月份&lt;=$A1418)*(INDEX(记账汇率区,0,MATCH($D1418,汇率币种头,0))&lt;&gt;"")),INDEX(记账汇率区,0,MATCH($D1418,汇率币种头,0))),""))))</f>
        <v/>
      </c>
      <c r="K1418" s="23" t="str">
        <f t="shared" si="44"/>
        <v/>
      </c>
      <c r="L1418" s="23" t="str">
        <f t="shared" si="45"/>
        <v/>
      </c>
      <c r="M1418" s="23" t="str">
        <f>IF($B1418="","",ROUND(SUMIF(账户名,$B1418,账户期初)+SUMIFS($K$6:K1418,$B$6:B1418,$B1418),2))</f>
        <v/>
      </c>
      <c r="N1418" s="23" t="str">
        <f>IF($B1418="","",IFERROR(ROUND(INDEX(账户期初本位,MATCH($B1418,账户名,0))+SUMIFS($L$6:L1418,$B$6:B1418,$B1418),2),""))</f>
        <v/>
      </c>
      <c r="O1418" s="46"/>
      <c r="P1418" s="47"/>
      <c r="Q1418" s="46"/>
      <c r="R1418" s="46"/>
      <c r="S1418" s="6" t="str">
        <f>IF($B1418="","",IF(ISNA(MATCH($B1418,账户名,0)),"※这个账户不在【参数设置】的账户档案里",IF($A1418="","※没填日期，这一笔不会进任何月份的报表",IF(AND($G1418&lt;&gt;"",$H1418&lt;&gt;""),"※收入和支出不能同时填",IF(AND(N($G1418)=0,N($H1418)=0),"※收入和支出都没填",IF($E1418="","※没填收支类别，分类报表会漏掉这一笔",IF(ISNA(MATCH($E1418,类别表,0)),"※收支类别不在【参数设置】的清单里",IF($J1418="","△"&amp;$D1418&amp;" 还没填汇率，去【月度汇率】补上就自动算了",IF(YEAR($A1418)&lt;&gt;管理年度,"△不是管理年度的单据，年报里看不到",IF(AND($F1418="内部转账",$Q1418=""),"△内部转账建议在「往来单位」写上对方账户",IF($M1418&lt;0,"△这一笔之后该账户余额成负数了，核一下","")))))))))))</f>
        <v/>
      </c>
    </row>
    <row r="1419" ht="16.5" spans="1:19">
      <c r="A1419" s="45"/>
      <c r="B1419" s="46"/>
      <c r="C1419" s="12" t="str">
        <f>IF($B1419="","",IFERROR(INDEX(账户银行,MATCH($B1419,账户名,0)),""))</f>
        <v/>
      </c>
      <c r="D1419" s="12" t="str">
        <f>IF($B1419="","",IFERROR(INDEX(账户币种,MATCH($B1419,账户名,0)),""))</f>
        <v/>
      </c>
      <c r="E1419" s="47"/>
      <c r="F1419" s="12" t="str">
        <f>IF($E1419="","",IFERROR(INDEX(类别属性,MATCH($E1419,类别表,0)),""))</f>
        <v/>
      </c>
      <c r="G1419" s="48"/>
      <c r="H1419" s="48"/>
      <c r="I1419" s="49"/>
      <c r="J1419" s="24" t="str">
        <f>IF(OR($A1419="",$B1419=""),"",IF($I1419&lt;&gt;"",$I1419,IF($D1419=本位币,1,IFERROR(LOOKUP(2,1/((汇率月份&lt;=$A1419)*(INDEX(记账汇率区,0,MATCH($D1419,汇率币种头,0))&lt;&gt;"")),INDEX(记账汇率区,0,MATCH($D1419,汇率币种头,0))),""))))</f>
        <v/>
      </c>
      <c r="K1419" s="23" t="str">
        <f t="shared" si="44"/>
        <v/>
      </c>
      <c r="L1419" s="23" t="str">
        <f t="shared" si="45"/>
        <v/>
      </c>
      <c r="M1419" s="23" t="str">
        <f>IF($B1419="","",ROUND(SUMIF(账户名,$B1419,账户期初)+SUMIFS($K$6:K1419,$B$6:B1419,$B1419),2))</f>
        <v/>
      </c>
      <c r="N1419" s="23" t="str">
        <f>IF($B1419="","",IFERROR(ROUND(INDEX(账户期初本位,MATCH($B1419,账户名,0))+SUMIFS($L$6:L1419,$B$6:B1419,$B1419),2),""))</f>
        <v/>
      </c>
      <c r="O1419" s="46"/>
      <c r="P1419" s="47"/>
      <c r="Q1419" s="46"/>
      <c r="R1419" s="46"/>
      <c r="S1419" s="6" t="str">
        <f>IF($B1419="","",IF(ISNA(MATCH($B1419,账户名,0)),"※这个账户不在【参数设置】的账户档案里",IF($A1419="","※没填日期，这一笔不会进任何月份的报表",IF(AND($G1419&lt;&gt;"",$H1419&lt;&gt;""),"※收入和支出不能同时填",IF(AND(N($G1419)=0,N($H1419)=0),"※收入和支出都没填",IF($E1419="","※没填收支类别，分类报表会漏掉这一笔",IF(ISNA(MATCH($E1419,类别表,0)),"※收支类别不在【参数设置】的清单里",IF($J1419="","△"&amp;$D1419&amp;" 还没填汇率，去【月度汇率】补上就自动算了",IF(YEAR($A1419)&lt;&gt;管理年度,"△不是管理年度的单据，年报里看不到",IF(AND($F1419="内部转账",$Q1419=""),"△内部转账建议在「往来单位」写上对方账户",IF($M1419&lt;0,"△这一笔之后该账户余额成负数了，核一下","")))))))))))</f>
        <v/>
      </c>
    </row>
    <row r="1420" ht="16.5" spans="1:19">
      <c r="A1420" s="45"/>
      <c r="B1420" s="46"/>
      <c r="C1420" s="12" t="str">
        <f>IF($B1420="","",IFERROR(INDEX(账户银行,MATCH($B1420,账户名,0)),""))</f>
        <v/>
      </c>
      <c r="D1420" s="12" t="str">
        <f>IF($B1420="","",IFERROR(INDEX(账户币种,MATCH($B1420,账户名,0)),""))</f>
        <v/>
      </c>
      <c r="E1420" s="47"/>
      <c r="F1420" s="12" t="str">
        <f>IF($E1420="","",IFERROR(INDEX(类别属性,MATCH($E1420,类别表,0)),""))</f>
        <v/>
      </c>
      <c r="G1420" s="48"/>
      <c r="H1420" s="48"/>
      <c r="I1420" s="49"/>
      <c r="J1420" s="24" t="str">
        <f>IF(OR($A1420="",$B1420=""),"",IF($I1420&lt;&gt;"",$I1420,IF($D1420=本位币,1,IFERROR(LOOKUP(2,1/((汇率月份&lt;=$A1420)*(INDEX(记账汇率区,0,MATCH($D1420,汇率币种头,0))&lt;&gt;"")),INDEX(记账汇率区,0,MATCH($D1420,汇率币种头,0))),""))))</f>
        <v/>
      </c>
      <c r="K1420" s="23" t="str">
        <f t="shared" si="44"/>
        <v/>
      </c>
      <c r="L1420" s="23" t="str">
        <f t="shared" si="45"/>
        <v/>
      </c>
      <c r="M1420" s="23" t="str">
        <f>IF($B1420="","",ROUND(SUMIF(账户名,$B1420,账户期初)+SUMIFS($K$6:K1420,$B$6:B1420,$B1420),2))</f>
        <v/>
      </c>
      <c r="N1420" s="23" t="str">
        <f>IF($B1420="","",IFERROR(ROUND(INDEX(账户期初本位,MATCH($B1420,账户名,0))+SUMIFS($L$6:L1420,$B$6:B1420,$B1420),2),""))</f>
        <v/>
      </c>
      <c r="O1420" s="46"/>
      <c r="P1420" s="47"/>
      <c r="Q1420" s="46"/>
      <c r="R1420" s="46"/>
      <c r="S1420" s="6" t="str">
        <f>IF($B1420="","",IF(ISNA(MATCH($B1420,账户名,0)),"※这个账户不在【参数设置】的账户档案里",IF($A1420="","※没填日期，这一笔不会进任何月份的报表",IF(AND($G1420&lt;&gt;"",$H1420&lt;&gt;""),"※收入和支出不能同时填",IF(AND(N($G1420)=0,N($H1420)=0),"※收入和支出都没填",IF($E1420="","※没填收支类别，分类报表会漏掉这一笔",IF(ISNA(MATCH($E1420,类别表,0)),"※收支类别不在【参数设置】的清单里",IF($J1420="","△"&amp;$D1420&amp;" 还没填汇率，去【月度汇率】补上就自动算了",IF(YEAR($A1420)&lt;&gt;管理年度,"△不是管理年度的单据，年报里看不到",IF(AND($F1420="内部转账",$Q1420=""),"△内部转账建议在「往来单位」写上对方账户",IF($M1420&lt;0,"△这一笔之后该账户余额成负数了，核一下","")))))))))))</f>
        <v/>
      </c>
    </row>
    <row r="1421" ht="16.5" spans="1:19">
      <c r="A1421" s="45"/>
      <c r="B1421" s="46"/>
      <c r="C1421" s="12" t="str">
        <f>IF($B1421="","",IFERROR(INDEX(账户银行,MATCH($B1421,账户名,0)),""))</f>
        <v/>
      </c>
      <c r="D1421" s="12" t="str">
        <f>IF($B1421="","",IFERROR(INDEX(账户币种,MATCH($B1421,账户名,0)),""))</f>
        <v/>
      </c>
      <c r="E1421" s="47"/>
      <c r="F1421" s="12" t="str">
        <f>IF($E1421="","",IFERROR(INDEX(类别属性,MATCH($E1421,类别表,0)),""))</f>
        <v/>
      </c>
      <c r="G1421" s="48"/>
      <c r="H1421" s="48"/>
      <c r="I1421" s="49"/>
      <c r="J1421" s="24" t="str">
        <f>IF(OR($A1421="",$B1421=""),"",IF($I1421&lt;&gt;"",$I1421,IF($D1421=本位币,1,IFERROR(LOOKUP(2,1/((汇率月份&lt;=$A1421)*(INDEX(记账汇率区,0,MATCH($D1421,汇率币种头,0))&lt;&gt;"")),INDEX(记账汇率区,0,MATCH($D1421,汇率币种头,0))),""))))</f>
        <v/>
      </c>
      <c r="K1421" s="23" t="str">
        <f t="shared" si="44"/>
        <v/>
      </c>
      <c r="L1421" s="23" t="str">
        <f t="shared" si="45"/>
        <v/>
      </c>
      <c r="M1421" s="23" t="str">
        <f>IF($B1421="","",ROUND(SUMIF(账户名,$B1421,账户期初)+SUMIFS($K$6:K1421,$B$6:B1421,$B1421),2))</f>
        <v/>
      </c>
      <c r="N1421" s="23" t="str">
        <f>IF($B1421="","",IFERROR(ROUND(INDEX(账户期初本位,MATCH($B1421,账户名,0))+SUMIFS($L$6:L1421,$B$6:B1421,$B1421),2),""))</f>
        <v/>
      </c>
      <c r="O1421" s="46"/>
      <c r="P1421" s="47"/>
      <c r="Q1421" s="46"/>
      <c r="R1421" s="46"/>
      <c r="S1421" s="6" t="str">
        <f>IF($B1421="","",IF(ISNA(MATCH($B1421,账户名,0)),"※这个账户不在【参数设置】的账户档案里",IF($A1421="","※没填日期，这一笔不会进任何月份的报表",IF(AND($G1421&lt;&gt;"",$H1421&lt;&gt;""),"※收入和支出不能同时填",IF(AND(N($G1421)=0,N($H1421)=0),"※收入和支出都没填",IF($E1421="","※没填收支类别，分类报表会漏掉这一笔",IF(ISNA(MATCH($E1421,类别表,0)),"※收支类别不在【参数设置】的清单里",IF($J1421="","△"&amp;$D1421&amp;" 还没填汇率，去【月度汇率】补上就自动算了",IF(YEAR($A1421)&lt;&gt;管理年度,"△不是管理年度的单据，年报里看不到",IF(AND($F1421="内部转账",$Q1421=""),"△内部转账建议在「往来单位」写上对方账户",IF($M1421&lt;0,"△这一笔之后该账户余额成负数了，核一下","")))))))))))</f>
        <v/>
      </c>
    </row>
    <row r="1422" ht="16.5" spans="1:19">
      <c r="A1422" s="45"/>
      <c r="B1422" s="46"/>
      <c r="C1422" s="12" t="str">
        <f>IF($B1422="","",IFERROR(INDEX(账户银行,MATCH($B1422,账户名,0)),""))</f>
        <v/>
      </c>
      <c r="D1422" s="12" t="str">
        <f>IF($B1422="","",IFERROR(INDEX(账户币种,MATCH($B1422,账户名,0)),""))</f>
        <v/>
      </c>
      <c r="E1422" s="47"/>
      <c r="F1422" s="12" t="str">
        <f>IF($E1422="","",IFERROR(INDEX(类别属性,MATCH($E1422,类别表,0)),""))</f>
        <v/>
      </c>
      <c r="G1422" s="48"/>
      <c r="H1422" s="48"/>
      <c r="I1422" s="49"/>
      <c r="J1422" s="24" t="str">
        <f>IF(OR($A1422="",$B1422=""),"",IF($I1422&lt;&gt;"",$I1422,IF($D1422=本位币,1,IFERROR(LOOKUP(2,1/((汇率月份&lt;=$A1422)*(INDEX(记账汇率区,0,MATCH($D1422,汇率币种头,0))&lt;&gt;"")),INDEX(记账汇率区,0,MATCH($D1422,汇率币种头,0))),""))))</f>
        <v/>
      </c>
      <c r="K1422" s="23" t="str">
        <f t="shared" si="44"/>
        <v/>
      </c>
      <c r="L1422" s="23" t="str">
        <f t="shared" si="45"/>
        <v/>
      </c>
      <c r="M1422" s="23" t="str">
        <f>IF($B1422="","",ROUND(SUMIF(账户名,$B1422,账户期初)+SUMIFS($K$6:K1422,$B$6:B1422,$B1422),2))</f>
        <v/>
      </c>
      <c r="N1422" s="23" t="str">
        <f>IF($B1422="","",IFERROR(ROUND(INDEX(账户期初本位,MATCH($B1422,账户名,0))+SUMIFS($L$6:L1422,$B$6:B1422,$B1422),2),""))</f>
        <v/>
      </c>
      <c r="O1422" s="46"/>
      <c r="P1422" s="47"/>
      <c r="Q1422" s="46"/>
      <c r="R1422" s="46"/>
      <c r="S1422" s="6" t="str">
        <f>IF($B1422="","",IF(ISNA(MATCH($B1422,账户名,0)),"※这个账户不在【参数设置】的账户档案里",IF($A1422="","※没填日期，这一笔不会进任何月份的报表",IF(AND($G1422&lt;&gt;"",$H1422&lt;&gt;""),"※收入和支出不能同时填",IF(AND(N($G1422)=0,N($H1422)=0),"※收入和支出都没填",IF($E1422="","※没填收支类别，分类报表会漏掉这一笔",IF(ISNA(MATCH($E1422,类别表,0)),"※收支类别不在【参数设置】的清单里",IF($J1422="","△"&amp;$D1422&amp;" 还没填汇率，去【月度汇率】补上就自动算了",IF(YEAR($A1422)&lt;&gt;管理年度,"△不是管理年度的单据，年报里看不到",IF(AND($F1422="内部转账",$Q1422=""),"△内部转账建议在「往来单位」写上对方账户",IF($M1422&lt;0,"△这一笔之后该账户余额成负数了，核一下","")))))))))))</f>
        <v/>
      </c>
    </row>
    <row r="1423" ht="16.5" spans="1:19">
      <c r="A1423" s="45"/>
      <c r="B1423" s="46"/>
      <c r="C1423" s="12" t="str">
        <f>IF($B1423="","",IFERROR(INDEX(账户银行,MATCH($B1423,账户名,0)),""))</f>
        <v/>
      </c>
      <c r="D1423" s="12" t="str">
        <f>IF($B1423="","",IFERROR(INDEX(账户币种,MATCH($B1423,账户名,0)),""))</f>
        <v/>
      </c>
      <c r="E1423" s="47"/>
      <c r="F1423" s="12" t="str">
        <f>IF($E1423="","",IFERROR(INDEX(类别属性,MATCH($E1423,类别表,0)),""))</f>
        <v/>
      </c>
      <c r="G1423" s="48"/>
      <c r="H1423" s="48"/>
      <c r="I1423" s="49"/>
      <c r="J1423" s="24" t="str">
        <f>IF(OR($A1423="",$B1423=""),"",IF($I1423&lt;&gt;"",$I1423,IF($D1423=本位币,1,IFERROR(LOOKUP(2,1/((汇率月份&lt;=$A1423)*(INDEX(记账汇率区,0,MATCH($D1423,汇率币种头,0))&lt;&gt;"")),INDEX(记账汇率区,0,MATCH($D1423,汇率币种头,0))),""))))</f>
        <v/>
      </c>
      <c r="K1423" s="23" t="str">
        <f t="shared" si="44"/>
        <v/>
      </c>
      <c r="L1423" s="23" t="str">
        <f t="shared" si="45"/>
        <v/>
      </c>
      <c r="M1423" s="23" t="str">
        <f>IF($B1423="","",ROUND(SUMIF(账户名,$B1423,账户期初)+SUMIFS($K$6:K1423,$B$6:B1423,$B1423),2))</f>
        <v/>
      </c>
      <c r="N1423" s="23" t="str">
        <f>IF($B1423="","",IFERROR(ROUND(INDEX(账户期初本位,MATCH($B1423,账户名,0))+SUMIFS($L$6:L1423,$B$6:B1423,$B1423),2),""))</f>
        <v/>
      </c>
      <c r="O1423" s="46"/>
      <c r="P1423" s="47"/>
      <c r="Q1423" s="46"/>
      <c r="R1423" s="46"/>
      <c r="S1423" s="6" t="str">
        <f>IF($B1423="","",IF(ISNA(MATCH($B1423,账户名,0)),"※这个账户不在【参数设置】的账户档案里",IF($A1423="","※没填日期，这一笔不会进任何月份的报表",IF(AND($G1423&lt;&gt;"",$H1423&lt;&gt;""),"※收入和支出不能同时填",IF(AND(N($G1423)=0,N($H1423)=0),"※收入和支出都没填",IF($E1423="","※没填收支类别，分类报表会漏掉这一笔",IF(ISNA(MATCH($E1423,类别表,0)),"※收支类别不在【参数设置】的清单里",IF($J1423="","△"&amp;$D1423&amp;" 还没填汇率，去【月度汇率】补上就自动算了",IF(YEAR($A1423)&lt;&gt;管理年度,"△不是管理年度的单据，年报里看不到",IF(AND($F1423="内部转账",$Q1423=""),"△内部转账建议在「往来单位」写上对方账户",IF($M1423&lt;0,"△这一笔之后该账户余额成负数了，核一下","")))))))))))</f>
        <v/>
      </c>
    </row>
    <row r="1424" ht="16.5" spans="1:19">
      <c r="A1424" s="45"/>
      <c r="B1424" s="46"/>
      <c r="C1424" s="12" t="str">
        <f>IF($B1424="","",IFERROR(INDEX(账户银行,MATCH($B1424,账户名,0)),""))</f>
        <v/>
      </c>
      <c r="D1424" s="12" t="str">
        <f>IF($B1424="","",IFERROR(INDEX(账户币种,MATCH($B1424,账户名,0)),""))</f>
        <v/>
      </c>
      <c r="E1424" s="47"/>
      <c r="F1424" s="12" t="str">
        <f>IF($E1424="","",IFERROR(INDEX(类别属性,MATCH($E1424,类别表,0)),""))</f>
        <v/>
      </c>
      <c r="G1424" s="48"/>
      <c r="H1424" s="48"/>
      <c r="I1424" s="49"/>
      <c r="J1424" s="24" t="str">
        <f>IF(OR($A1424="",$B1424=""),"",IF($I1424&lt;&gt;"",$I1424,IF($D1424=本位币,1,IFERROR(LOOKUP(2,1/((汇率月份&lt;=$A1424)*(INDEX(记账汇率区,0,MATCH($D1424,汇率币种头,0))&lt;&gt;"")),INDEX(记账汇率区,0,MATCH($D1424,汇率币种头,0))),""))))</f>
        <v/>
      </c>
      <c r="K1424" s="23" t="str">
        <f t="shared" si="44"/>
        <v/>
      </c>
      <c r="L1424" s="23" t="str">
        <f t="shared" si="45"/>
        <v/>
      </c>
      <c r="M1424" s="23" t="str">
        <f>IF($B1424="","",ROUND(SUMIF(账户名,$B1424,账户期初)+SUMIFS($K$6:K1424,$B$6:B1424,$B1424),2))</f>
        <v/>
      </c>
      <c r="N1424" s="23" t="str">
        <f>IF($B1424="","",IFERROR(ROUND(INDEX(账户期初本位,MATCH($B1424,账户名,0))+SUMIFS($L$6:L1424,$B$6:B1424,$B1424),2),""))</f>
        <v/>
      </c>
      <c r="O1424" s="46"/>
      <c r="P1424" s="47"/>
      <c r="Q1424" s="46"/>
      <c r="R1424" s="46"/>
      <c r="S1424" s="6" t="str">
        <f>IF($B1424="","",IF(ISNA(MATCH($B1424,账户名,0)),"※这个账户不在【参数设置】的账户档案里",IF($A1424="","※没填日期，这一笔不会进任何月份的报表",IF(AND($G1424&lt;&gt;"",$H1424&lt;&gt;""),"※收入和支出不能同时填",IF(AND(N($G1424)=0,N($H1424)=0),"※收入和支出都没填",IF($E1424="","※没填收支类别，分类报表会漏掉这一笔",IF(ISNA(MATCH($E1424,类别表,0)),"※收支类别不在【参数设置】的清单里",IF($J1424="","△"&amp;$D1424&amp;" 还没填汇率，去【月度汇率】补上就自动算了",IF(YEAR($A1424)&lt;&gt;管理年度,"△不是管理年度的单据，年报里看不到",IF(AND($F1424="内部转账",$Q1424=""),"△内部转账建议在「往来单位」写上对方账户",IF($M1424&lt;0,"△这一笔之后该账户余额成负数了，核一下","")))))))))))</f>
        <v/>
      </c>
    </row>
    <row r="1425" ht="16.5" spans="1:19">
      <c r="A1425" s="45"/>
      <c r="B1425" s="46"/>
      <c r="C1425" s="12" t="str">
        <f>IF($B1425="","",IFERROR(INDEX(账户银行,MATCH($B1425,账户名,0)),""))</f>
        <v/>
      </c>
      <c r="D1425" s="12" t="str">
        <f>IF($B1425="","",IFERROR(INDEX(账户币种,MATCH($B1425,账户名,0)),""))</f>
        <v/>
      </c>
      <c r="E1425" s="47"/>
      <c r="F1425" s="12" t="str">
        <f>IF($E1425="","",IFERROR(INDEX(类别属性,MATCH($E1425,类别表,0)),""))</f>
        <v/>
      </c>
      <c r="G1425" s="48"/>
      <c r="H1425" s="48"/>
      <c r="I1425" s="49"/>
      <c r="J1425" s="24" t="str">
        <f>IF(OR($A1425="",$B1425=""),"",IF($I1425&lt;&gt;"",$I1425,IF($D1425=本位币,1,IFERROR(LOOKUP(2,1/((汇率月份&lt;=$A1425)*(INDEX(记账汇率区,0,MATCH($D1425,汇率币种头,0))&lt;&gt;"")),INDEX(记账汇率区,0,MATCH($D1425,汇率币种头,0))),""))))</f>
        <v/>
      </c>
      <c r="K1425" s="23" t="str">
        <f t="shared" si="44"/>
        <v/>
      </c>
      <c r="L1425" s="23" t="str">
        <f t="shared" si="45"/>
        <v/>
      </c>
      <c r="M1425" s="23" t="str">
        <f>IF($B1425="","",ROUND(SUMIF(账户名,$B1425,账户期初)+SUMIFS($K$6:K1425,$B$6:B1425,$B1425),2))</f>
        <v/>
      </c>
      <c r="N1425" s="23" t="str">
        <f>IF($B1425="","",IFERROR(ROUND(INDEX(账户期初本位,MATCH($B1425,账户名,0))+SUMIFS($L$6:L1425,$B$6:B1425,$B1425),2),""))</f>
        <v/>
      </c>
      <c r="O1425" s="46"/>
      <c r="P1425" s="47"/>
      <c r="Q1425" s="46"/>
      <c r="R1425" s="46"/>
      <c r="S1425" s="6" t="str">
        <f>IF($B1425="","",IF(ISNA(MATCH($B1425,账户名,0)),"※这个账户不在【参数设置】的账户档案里",IF($A1425="","※没填日期，这一笔不会进任何月份的报表",IF(AND($G1425&lt;&gt;"",$H1425&lt;&gt;""),"※收入和支出不能同时填",IF(AND(N($G1425)=0,N($H1425)=0),"※收入和支出都没填",IF($E1425="","※没填收支类别，分类报表会漏掉这一笔",IF(ISNA(MATCH($E1425,类别表,0)),"※收支类别不在【参数设置】的清单里",IF($J1425="","△"&amp;$D1425&amp;" 还没填汇率，去【月度汇率】补上就自动算了",IF(YEAR($A1425)&lt;&gt;管理年度,"△不是管理年度的单据，年报里看不到",IF(AND($F1425="内部转账",$Q1425=""),"△内部转账建议在「往来单位」写上对方账户",IF($M1425&lt;0,"△这一笔之后该账户余额成负数了，核一下","")))))))))))</f>
        <v/>
      </c>
    </row>
    <row r="1426" ht="16.5" spans="1:19">
      <c r="A1426" s="45"/>
      <c r="B1426" s="46"/>
      <c r="C1426" s="12" t="str">
        <f>IF($B1426="","",IFERROR(INDEX(账户银行,MATCH($B1426,账户名,0)),""))</f>
        <v/>
      </c>
      <c r="D1426" s="12" t="str">
        <f>IF($B1426="","",IFERROR(INDEX(账户币种,MATCH($B1426,账户名,0)),""))</f>
        <v/>
      </c>
      <c r="E1426" s="47"/>
      <c r="F1426" s="12" t="str">
        <f>IF($E1426="","",IFERROR(INDEX(类别属性,MATCH($E1426,类别表,0)),""))</f>
        <v/>
      </c>
      <c r="G1426" s="48"/>
      <c r="H1426" s="48"/>
      <c r="I1426" s="49"/>
      <c r="J1426" s="24" t="str">
        <f>IF(OR($A1426="",$B1426=""),"",IF($I1426&lt;&gt;"",$I1426,IF($D1426=本位币,1,IFERROR(LOOKUP(2,1/((汇率月份&lt;=$A1426)*(INDEX(记账汇率区,0,MATCH($D1426,汇率币种头,0))&lt;&gt;"")),INDEX(记账汇率区,0,MATCH($D1426,汇率币种头,0))),""))))</f>
        <v/>
      </c>
      <c r="K1426" s="23" t="str">
        <f t="shared" si="44"/>
        <v/>
      </c>
      <c r="L1426" s="23" t="str">
        <f t="shared" si="45"/>
        <v/>
      </c>
      <c r="M1426" s="23" t="str">
        <f>IF($B1426="","",ROUND(SUMIF(账户名,$B1426,账户期初)+SUMIFS($K$6:K1426,$B$6:B1426,$B1426),2))</f>
        <v/>
      </c>
      <c r="N1426" s="23" t="str">
        <f>IF($B1426="","",IFERROR(ROUND(INDEX(账户期初本位,MATCH($B1426,账户名,0))+SUMIFS($L$6:L1426,$B$6:B1426,$B1426),2),""))</f>
        <v/>
      </c>
      <c r="O1426" s="46"/>
      <c r="P1426" s="47"/>
      <c r="Q1426" s="46"/>
      <c r="R1426" s="46"/>
      <c r="S1426" s="6" t="str">
        <f>IF($B1426="","",IF(ISNA(MATCH($B1426,账户名,0)),"※这个账户不在【参数设置】的账户档案里",IF($A1426="","※没填日期，这一笔不会进任何月份的报表",IF(AND($G1426&lt;&gt;"",$H1426&lt;&gt;""),"※收入和支出不能同时填",IF(AND(N($G1426)=0,N($H1426)=0),"※收入和支出都没填",IF($E1426="","※没填收支类别，分类报表会漏掉这一笔",IF(ISNA(MATCH($E1426,类别表,0)),"※收支类别不在【参数设置】的清单里",IF($J1426="","△"&amp;$D1426&amp;" 还没填汇率，去【月度汇率】补上就自动算了",IF(YEAR($A1426)&lt;&gt;管理年度,"△不是管理年度的单据，年报里看不到",IF(AND($F1426="内部转账",$Q1426=""),"△内部转账建议在「往来单位」写上对方账户",IF($M1426&lt;0,"△这一笔之后该账户余额成负数了，核一下","")))))))))))</f>
        <v/>
      </c>
    </row>
    <row r="1427" ht="16.5" spans="1:19">
      <c r="A1427" s="45"/>
      <c r="B1427" s="46"/>
      <c r="C1427" s="12" t="str">
        <f>IF($B1427="","",IFERROR(INDEX(账户银行,MATCH($B1427,账户名,0)),""))</f>
        <v/>
      </c>
      <c r="D1427" s="12" t="str">
        <f>IF($B1427="","",IFERROR(INDEX(账户币种,MATCH($B1427,账户名,0)),""))</f>
        <v/>
      </c>
      <c r="E1427" s="47"/>
      <c r="F1427" s="12" t="str">
        <f>IF($E1427="","",IFERROR(INDEX(类别属性,MATCH($E1427,类别表,0)),""))</f>
        <v/>
      </c>
      <c r="G1427" s="48"/>
      <c r="H1427" s="48"/>
      <c r="I1427" s="49"/>
      <c r="J1427" s="24" t="str">
        <f>IF(OR($A1427="",$B1427=""),"",IF($I1427&lt;&gt;"",$I1427,IF($D1427=本位币,1,IFERROR(LOOKUP(2,1/((汇率月份&lt;=$A1427)*(INDEX(记账汇率区,0,MATCH($D1427,汇率币种头,0))&lt;&gt;"")),INDEX(记账汇率区,0,MATCH($D1427,汇率币种头,0))),""))))</f>
        <v/>
      </c>
      <c r="K1427" s="23" t="str">
        <f t="shared" si="44"/>
        <v/>
      </c>
      <c r="L1427" s="23" t="str">
        <f t="shared" si="45"/>
        <v/>
      </c>
      <c r="M1427" s="23" t="str">
        <f>IF($B1427="","",ROUND(SUMIF(账户名,$B1427,账户期初)+SUMIFS($K$6:K1427,$B$6:B1427,$B1427),2))</f>
        <v/>
      </c>
      <c r="N1427" s="23" t="str">
        <f>IF($B1427="","",IFERROR(ROUND(INDEX(账户期初本位,MATCH($B1427,账户名,0))+SUMIFS($L$6:L1427,$B$6:B1427,$B1427),2),""))</f>
        <v/>
      </c>
      <c r="O1427" s="46"/>
      <c r="P1427" s="47"/>
      <c r="Q1427" s="46"/>
      <c r="R1427" s="46"/>
      <c r="S1427" s="6" t="str">
        <f>IF($B1427="","",IF(ISNA(MATCH($B1427,账户名,0)),"※这个账户不在【参数设置】的账户档案里",IF($A1427="","※没填日期，这一笔不会进任何月份的报表",IF(AND($G1427&lt;&gt;"",$H1427&lt;&gt;""),"※收入和支出不能同时填",IF(AND(N($G1427)=0,N($H1427)=0),"※收入和支出都没填",IF($E1427="","※没填收支类别，分类报表会漏掉这一笔",IF(ISNA(MATCH($E1427,类别表,0)),"※收支类别不在【参数设置】的清单里",IF($J1427="","△"&amp;$D1427&amp;" 还没填汇率，去【月度汇率】补上就自动算了",IF(YEAR($A1427)&lt;&gt;管理年度,"△不是管理年度的单据，年报里看不到",IF(AND($F1427="内部转账",$Q1427=""),"△内部转账建议在「往来单位」写上对方账户",IF($M1427&lt;0,"△这一笔之后该账户余额成负数了，核一下","")))))))))))</f>
        <v/>
      </c>
    </row>
    <row r="1428" ht="16.5" spans="1:19">
      <c r="A1428" s="45"/>
      <c r="B1428" s="46"/>
      <c r="C1428" s="12" t="str">
        <f>IF($B1428="","",IFERROR(INDEX(账户银行,MATCH($B1428,账户名,0)),""))</f>
        <v/>
      </c>
      <c r="D1428" s="12" t="str">
        <f>IF($B1428="","",IFERROR(INDEX(账户币种,MATCH($B1428,账户名,0)),""))</f>
        <v/>
      </c>
      <c r="E1428" s="47"/>
      <c r="F1428" s="12" t="str">
        <f>IF($E1428="","",IFERROR(INDEX(类别属性,MATCH($E1428,类别表,0)),""))</f>
        <v/>
      </c>
      <c r="G1428" s="48"/>
      <c r="H1428" s="48"/>
      <c r="I1428" s="49"/>
      <c r="J1428" s="24" t="str">
        <f>IF(OR($A1428="",$B1428=""),"",IF($I1428&lt;&gt;"",$I1428,IF($D1428=本位币,1,IFERROR(LOOKUP(2,1/((汇率月份&lt;=$A1428)*(INDEX(记账汇率区,0,MATCH($D1428,汇率币种头,0))&lt;&gt;"")),INDEX(记账汇率区,0,MATCH($D1428,汇率币种头,0))),""))))</f>
        <v/>
      </c>
      <c r="K1428" s="23" t="str">
        <f t="shared" si="44"/>
        <v/>
      </c>
      <c r="L1428" s="23" t="str">
        <f t="shared" si="45"/>
        <v/>
      </c>
      <c r="M1428" s="23" t="str">
        <f>IF($B1428="","",ROUND(SUMIF(账户名,$B1428,账户期初)+SUMIFS($K$6:K1428,$B$6:B1428,$B1428),2))</f>
        <v/>
      </c>
      <c r="N1428" s="23" t="str">
        <f>IF($B1428="","",IFERROR(ROUND(INDEX(账户期初本位,MATCH($B1428,账户名,0))+SUMIFS($L$6:L1428,$B$6:B1428,$B1428),2),""))</f>
        <v/>
      </c>
      <c r="O1428" s="46"/>
      <c r="P1428" s="47"/>
      <c r="Q1428" s="46"/>
      <c r="R1428" s="46"/>
      <c r="S1428" s="6" t="str">
        <f>IF($B1428="","",IF(ISNA(MATCH($B1428,账户名,0)),"※这个账户不在【参数设置】的账户档案里",IF($A1428="","※没填日期，这一笔不会进任何月份的报表",IF(AND($G1428&lt;&gt;"",$H1428&lt;&gt;""),"※收入和支出不能同时填",IF(AND(N($G1428)=0,N($H1428)=0),"※收入和支出都没填",IF($E1428="","※没填收支类别，分类报表会漏掉这一笔",IF(ISNA(MATCH($E1428,类别表,0)),"※收支类别不在【参数设置】的清单里",IF($J1428="","△"&amp;$D1428&amp;" 还没填汇率，去【月度汇率】补上就自动算了",IF(YEAR($A1428)&lt;&gt;管理年度,"△不是管理年度的单据，年报里看不到",IF(AND($F1428="内部转账",$Q1428=""),"△内部转账建议在「往来单位」写上对方账户",IF($M1428&lt;0,"△这一笔之后该账户余额成负数了，核一下","")))))))))))</f>
        <v/>
      </c>
    </row>
    <row r="1429" ht="16.5" spans="1:19">
      <c r="A1429" s="45"/>
      <c r="B1429" s="46"/>
      <c r="C1429" s="12" t="str">
        <f>IF($B1429="","",IFERROR(INDEX(账户银行,MATCH($B1429,账户名,0)),""))</f>
        <v/>
      </c>
      <c r="D1429" s="12" t="str">
        <f>IF($B1429="","",IFERROR(INDEX(账户币种,MATCH($B1429,账户名,0)),""))</f>
        <v/>
      </c>
      <c r="E1429" s="47"/>
      <c r="F1429" s="12" t="str">
        <f>IF($E1429="","",IFERROR(INDEX(类别属性,MATCH($E1429,类别表,0)),""))</f>
        <v/>
      </c>
      <c r="G1429" s="48"/>
      <c r="H1429" s="48"/>
      <c r="I1429" s="49"/>
      <c r="J1429" s="24" t="str">
        <f>IF(OR($A1429="",$B1429=""),"",IF($I1429&lt;&gt;"",$I1429,IF($D1429=本位币,1,IFERROR(LOOKUP(2,1/((汇率月份&lt;=$A1429)*(INDEX(记账汇率区,0,MATCH($D1429,汇率币种头,0))&lt;&gt;"")),INDEX(记账汇率区,0,MATCH($D1429,汇率币种头,0))),""))))</f>
        <v/>
      </c>
      <c r="K1429" s="23" t="str">
        <f t="shared" si="44"/>
        <v/>
      </c>
      <c r="L1429" s="23" t="str">
        <f t="shared" si="45"/>
        <v/>
      </c>
      <c r="M1429" s="23" t="str">
        <f>IF($B1429="","",ROUND(SUMIF(账户名,$B1429,账户期初)+SUMIFS($K$6:K1429,$B$6:B1429,$B1429),2))</f>
        <v/>
      </c>
      <c r="N1429" s="23" t="str">
        <f>IF($B1429="","",IFERROR(ROUND(INDEX(账户期初本位,MATCH($B1429,账户名,0))+SUMIFS($L$6:L1429,$B$6:B1429,$B1429),2),""))</f>
        <v/>
      </c>
      <c r="O1429" s="46"/>
      <c r="P1429" s="47"/>
      <c r="Q1429" s="46"/>
      <c r="R1429" s="46"/>
      <c r="S1429" s="6" t="str">
        <f>IF($B1429="","",IF(ISNA(MATCH($B1429,账户名,0)),"※这个账户不在【参数设置】的账户档案里",IF($A1429="","※没填日期，这一笔不会进任何月份的报表",IF(AND($G1429&lt;&gt;"",$H1429&lt;&gt;""),"※收入和支出不能同时填",IF(AND(N($G1429)=0,N($H1429)=0),"※收入和支出都没填",IF($E1429="","※没填收支类别，分类报表会漏掉这一笔",IF(ISNA(MATCH($E1429,类别表,0)),"※收支类别不在【参数设置】的清单里",IF($J1429="","△"&amp;$D1429&amp;" 还没填汇率，去【月度汇率】补上就自动算了",IF(YEAR($A1429)&lt;&gt;管理年度,"△不是管理年度的单据，年报里看不到",IF(AND($F1429="内部转账",$Q1429=""),"△内部转账建议在「往来单位」写上对方账户",IF($M1429&lt;0,"△这一笔之后该账户余额成负数了，核一下","")))))))))))</f>
        <v/>
      </c>
    </row>
    <row r="1430" ht="16.5" spans="1:19">
      <c r="A1430" s="45"/>
      <c r="B1430" s="46"/>
      <c r="C1430" s="12" t="str">
        <f>IF($B1430="","",IFERROR(INDEX(账户银行,MATCH($B1430,账户名,0)),""))</f>
        <v/>
      </c>
      <c r="D1430" s="12" t="str">
        <f>IF($B1430="","",IFERROR(INDEX(账户币种,MATCH($B1430,账户名,0)),""))</f>
        <v/>
      </c>
      <c r="E1430" s="47"/>
      <c r="F1430" s="12" t="str">
        <f>IF($E1430="","",IFERROR(INDEX(类别属性,MATCH($E1430,类别表,0)),""))</f>
        <v/>
      </c>
      <c r="G1430" s="48"/>
      <c r="H1430" s="48"/>
      <c r="I1430" s="49"/>
      <c r="J1430" s="24" t="str">
        <f>IF(OR($A1430="",$B1430=""),"",IF($I1430&lt;&gt;"",$I1430,IF($D1430=本位币,1,IFERROR(LOOKUP(2,1/((汇率月份&lt;=$A1430)*(INDEX(记账汇率区,0,MATCH($D1430,汇率币种头,0))&lt;&gt;"")),INDEX(记账汇率区,0,MATCH($D1430,汇率币种头,0))),""))))</f>
        <v/>
      </c>
      <c r="K1430" s="23" t="str">
        <f t="shared" si="44"/>
        <v/>
      </c>
      <c r="L1430" s="23" t="str">
        <f t="shared" si="45"/>
        <v/>
      </c>
      <c r="M1430" s="23" t="str">
        <f>IF($B1430="","",ROUND(SUMIF(账户名,$B1430,账户期初)+SUMIFS($K$6:K1430,$B$6:B1430,$B1430),2))</f>
        <v/>
      </c>
      <c r="N1430" s="23" t="str">
        <f>IF($B1430="","",IFERROR(ROUND(INDEX(账户期初本位,MATCH($B1430,账户名,0))+SUMIFS($L$6:L1430,$B$6:B1430,$B1430),2),""))</f>
        <v/>
      </c>
      <c r="O1430" s="46"/>
      <c r="P1430" s="47"/>
      <c r="Q1430" s="46"/>
      <c r="R1430" s="46"/>
      <c r="S1430" s="6" t="str">
        <f>IF($B1430="","",IF(ISNA(MATCH($B1430,账户名,0)),"※这个账户不在【参数设置】的账户档案里",IF($A1430="","※没填日期，这一笔不会进任何月份的报表",IF(AND($G1430&lt;&gt;"",$H1430&lt;&gt;""),"※收入和支出不能同时填",IF(AND(N($G1430)=0,N($H1430)=0),"※收入和支出都没填",IF($E1430="","※没填收支类别，分类报表会漏掉这一笔",IF(ISNA(MATCH($E1430,类别表,0)),"※收支类别不在【参数设置】的清单里",IF($J1430="","△"&amp;$D1430&amp;" 还没填汇率，去【月度汇率】补上就自动算了",IF(YEAR($A1430)&lt;&gt;管理年度,"△不是管理年度的单据，年报里看不到",IF(AND($F1430="内部转账",$Q1430=""),"△内部转账建议在「往来单位」写上对方账户",IF($M1430&lt;0,"△这一笔之后该账户余额成负数了，核一下","")))))))))))</f>
        <v/>
      </c>
    </row>
    <row r="1431" ht="16.5" spans="1:19">
      <c r="A1431" s="45"/>
      <c r="B1431" s="46"/>
      <c r="C1431" s="12" t="str">
        <f>IF($B1431="","",IFERROR(INDEX(账户银行,MATCH($B1431,账户名,0)),""))</f>
        <v/>
      </c>
      <c r="D1431" s="12" t="str">
        <f>IF($B1431="","",IFERROR(INDEX(账户币种,MATCH($B1431,账户名,0)),""))</f>
        <v/>
      </c>
      <c r="E1431" s="47"/>
      <c r="F1431" s="12" t="str">
        <f>IF($E1431="","",IFERROR(INDEX(类别属性,MATCH($E1431,类别表,0)),""))</f>
        <v/>
      </c>
      <c r="G1431" s="48"/>
      <c r="H1431" s="48"/>
      <c r="I1431" s="49"/>
      <c r="J1431" s="24" t="str">
        <f>IF(OR($A1431="",$B1431=""),"",IF($I1431&lt;&gt;"",$I1431,IF($D1431=本位币,1,IFERROR(LOOKUP(2,1/((汇率月份&lt;=$A1431)*(INDEX(记账汇率区,0,MATCH($D1431,汇率币种头,0))&lt;&gt;"")),INDEX(记账汇率区,0,MATCH($D1431,汇率币种头,0))),""))))</f>
        <v/>
      </c>
      <c r="K1431" s="23" t="str">
        <f t="shared" si="44"/>
        <v/>
      </c>
      <c r="L1431" s="23" t="str">
        <f t="shared" si="45"/>
        <v/>
      </c>
      <c r="M1431" s="23" t="str">
        <f>IF($B1431="","",ROUND(SUMIF(账户名,$B1431,账户期初)+SUMIFS($K$6:K1431,$B$6:B1431,$B1431),2))</f>
        <v/>
      </c>
      <c r="N1431" s="23" t="str">
        <f>IF($B1431="","",IFERROR(ROUND(INDEX(账户期初本位,MATCH($B1431,账户名,0))+SUMIFS($L$6:L1431,$B$6:B1431,$B1431),2),""))</f>
        <v/>
      </c>
      <c r="O1431" s="46"/>
      <c r="P1431" s="47"/>
      <c r="Q1431" s="46"/>
      <c r="R1431" s="46"/>
      <c r="S1431" s="6" t="str">
        <f>IF($B1431="","",IF(ISNA(MATCH($B1431,账户名,0)),"※这个账户不在【参数设置】的账户档案里",IF($A1431="","※没填日期，这一笔不会进任何月份的报表",IF(AND($G1431&lt;&gt;"",$H1431&lt;&gt;""),"※收入和支出不能同时填",IF(AND(N($G1431)=0,N($H1431)=0),"※收入和支出都没填",IF($E1431="","※没填收支类别，分类报表会漏掉这一笔",IF(ISNA(MATCH($E1431,类别表,0)),"※收支类别不在【参数设置】的清单里",IF($J1431="","△"&amp;$D1431&amp;" 还没填汇率，去【月度汇率】补上就自动算了",IF(YEAR($A1431)&lt;&gt;管理年度,"△不是管理年度的单据，年报里看不到",IF(AND($F1431="内部转账",$Q1431=""),"△内部转账建议在「往来单位」写上对方账户",IF($M1431&lt;0,"△这一笔之后该账户余额成负数了，核一下","")))))))))))</f>
        <v/>
      </c>
    </row>
    <row r="1432" ht="16.5" spans="1:19">
      <c r="A1432" s="45"/>
      <c r="B1432" s="46"/>
      <c r="C1432" s="12" t="str">
        <f>IF($B1432="","",IFERROR(INDEX(账户银行,MATCH($B1432,账户名,0)),""))</f>
        <v/>
      </c>
      <c r="D1432" s="12" t="str">
        <f>IF($B1432="","",IFERROR(INDEX(账户币种,MATCH($B1432,账户名,0)),""))</f>
        <v/>
      </c>
      <c r="E1432" s="47"/>
      <c r="F1432" s="12" t="str">
        <f>IF($E1432="","",IFERROR(INDEX(类别属性,MATCH($E1432,类别表,0)),""))</f>
        <v/>
      </c>
      <c r="G1432" s="48"/>
      <c r="H1432" s="48"/>
      <c r="I1432" s="49"/>
      <c r="J1432" s="24" t="str">
        <f>IF(OR($A1432="",$B1432=""),"",IF($I1432&lt;&gt;"",$I1432,IF($D1432=本位币,1,IFERROR(LOOKUP(2,1/((汇率月份&lt;=$A1432)*(INDEX(记账汇率区,0,MATCH($D1432,汇率币种头,0))&lt;&gt;"")),INDEX(记账汇率区,0,MATCH($D1432,汇率币种头,0))),""))))</f>
        <v/>
      </c>
      <c r="K1432" s="23" t="str">
        <f t="shared" si="44"/>
        <v/>
      </c>
      <c r="L1432" s="23" t="str">
        <f t="shared" si="45"/>
        <v/>
      </c>
      <c r="M1432" s="23" t="str">
        <f>IF($B1432="","",ROUND(SUMIF(账户名,$B1432,账户期初)+SUMIFS($K$6:K1432,$B$6:B1432,$B1432),2))</f>
        <v/>
      </c>
      <c r="N1432" s="23" t="str">
        <f>IF($B1432="","",IFERROR(ROUND(INDEX(账户期初本位,MATCH($B1432,账户名,0))+SUMIFS($L$6:L1432,$B$6:B1432,$B1432),2),""))</f>
        <v/>
      </c>
      <c r="O1432" s="46"/>
      <c r="P1432" s="47"/>
      <c r="Q1432" s="46"/>
      <c r="R1432" s="46"/>
      <c r="S1432" s="6" t="str">
        <f>IF($B1432="","",IF(ISNA(MATCH($B1432,账户名,0)),"※这个账户不在【参数设置】的账户档案里",IF($A1432="","※没填日期，这一笔不会进任何月份的报表",IF(AND($G1432&lt;&gt;"",$H1432&lt;&gt;""),"※收入和支出不能同时填",IF(AND(N($G1432)=0,N($H1432)=0),"※收入和支出都没填",IF($E1432="","※没填收支类别，分类报表会漏掉这一笔",IF(ISNA(MATCH($E1432,类别表,0)),"※收支类别不在【参数设置】的清单里",IF($J1432="","△"&amp;$D1432&amp;" 还没填汇率，去【月度汇率】补上就自动算了",IF(YEAR($A1432)&lt;&gt;管理年度,"△不是管理年度的单据，年报里看不到",IF(AND($F1432="内部转账",$Q1432=""),"△内部转账建议在「往来单位」写上对方账户",IF($M1432&lt;0,"△这一笔之后该账户余额成负数了，核一下","")))))))))))</f>
        <v/>
      </c>
    </row>
    <row r="1433" ht="16.5" spans="1:19">
      <c r="A1433" s="45"/>
      <c r="B1433" s="46"/>
      <c r="C1433" s="12" t="str">
        <f>IF($B1433="","",IFERROR(INDEX(账户银行,MATCH($B1433,账户名,0)),""))</f>
        <v/>
      </c>
      <c r="D1433" s="12" t="str">
        <f>IF($B1433="","",IFERROR(INDEX(账户币种,MATCH($B1433,账户名,0)),""))</f>
        <v/>
      </c>
      <c r="E1433" s="47"/>
      <c r="F1433" s="12" t="str">
        <f>IF($E1433="","",IFERROR(INDEX(类别属性,MATCH($E1433,类别表,0)),""))</f>
        <v/>
      </c>
      <c r="G1433" s="48"/>
      <c r="H1433" s="48"/>
      <c r="I1433" s="49"/>
      <c r="J1433" s="24" t="str">
        <f>IF(OR($A1433="",$B1433=""),"",IF($I1433&lt;&gt;"",$I1433,IF($D1433=本位币,1,IFERROR(LOOKUP(2,1/((汇率月份&lt;=$A1433)*(INDEX(记账汇率区,0,MATCH($D1433,汇率币种头,0))&lt;&gt;"")),INDEX(记账汇率区,0,MATCH($D1433,汇率币种头,0))),""))))</f>
        <v/>
      </c>
      <c r="K1433" s="23" t="str">
        <f t="shared" si="44"/>
        <v/>
      </c>
      <c r="L1433" s="23" t="str">
        <f t="shared" si="45"/>
        <v/>
      </c>
      <c r="M1433" s="23" t="str">
        <f>IF($B1433="","",ROUND(SUMIF(账户名,$B1433,账户期初)+SUMIFS($K$6:K1433,$B$6:B1433,$B1433),2))</f>
        <v/>
      </c>
      <c r="N1433" s="23" t="str">
        <f>IF($B1433="","",IFERROR(ROUND(INDEX(账户期初本位,MATCH($B1433,账户名,0))+SUMIFS($L$6:L1433,$B$6:B1433,$B1433),2),""))</f>
        <v/>
      </c>
      <c r="O1433" s="46"/>
      <c r="P1433" s="47"/>
      <c r="Q1433" s="46"/>
      <c r="R1433" s="46"/>
      <c r="S1433" s="6" t="str">
        <f>IF($B1433="","",IF(ISNA(MATCH($B1433,账户名,0)),"※这个账户不在【参数设置】的账户档案里",IF($A1433="","※没填日期，这一笔不会进任何月份的报表",IF(AND($G1433&lt;&gt;"",$H1433&lt;&gt;""),"※收入和支出不能同时填",IF(AND(N($G1433)=0,N($H1433)=0),"※收入和支出都没填",IF($E1433="","※没填收支类别，分类报表会漏掉这一笔",IF(ISNA(MATCH($E1433,类别表,0)),"※收支类别不在【参数设置】的清单里",IF($J1433="","△"&amp;$D1433&amp;" 还没填汇率，去【月度汇率】补上就自动算了",IF(YEAR($A1433)&lt;&gt;管理年度,"△不是管理年度的单据，年报里看不到",IF(AND($F1433="内部转账",$Q1433=""),"△内部转账建议在「往来单位」写上对方账户",IF($M1433&lt;0,"△这一笔之后该账户余额成负数了，核一下","")))))))))))</f>
        <v/>
      </c>
    </row>
    <row r="1434" ht="16.5" spans="1:19">
      <c r="A1434" s="45"/>
      <c r="B1434" s="46"/>
      <c r="C1434" s="12" t="str">
        <f>IF($B1434="","",IFERROR(INDEX(账户银行,MATCH($B1434,账户名,0)),""))</f>
        <v/>
      </c>
      <c r="D1434" s="12" t="str">
        <f>IF($B1434="","",IFERROR(INDEX(账户币种,MATCH($B1434,账户名,0)),""))</f>
        <v/>
      </c>
      <c r="E1434" s="47"/>
      <c r="F1434" s="12" t="str">
        <f>IF($E1434="","",IFERROR(INDEX(类别属性,MATCH($E1434,类别表,0)),""))</f>
        <v/>
      </c>
      <c r="G1434" s="48"/>
      <c r="H1434" s="48"/>
      <c r="I1434" s="49"/>
      <c r="J1434" s="24" t="str">
        <f>IF(OR($A1434="",$B1434=""),"",IF($I1434&lt;&gt;"",$I1434,IF($D1434=本位币,1,IFERROR(LOOKUP(2,1/((汇率月份&lt;=$A1434)*(INDEX(记账汇率区,0,MATCH($D1434,汇率币种头,0))&lt;&gt;"")),INDEX(记账汇率区,0,MATCH($D1434,汇率币种头,0))),""))))</f>
        <v/>
      </c>
      <c r="K1434" s="23" t="str">
        <f t="shared" si="44"/>
        <v/>
      </c>
      <c r="L1434" s="23" t="str">
        <f t="shared" si="45"/>
        <v/>
      </c>
      <c r="M1434" s="23" t="str">
        <f>IF($B1434="","",ROUND(SUMIF(账户名,$B1434,账户期初)+SUMIFS($K$6:K1434,$B$6:B1434,$B1434),2))</f>
        <v/>
      </c>
      <c r="N1434" s="23" t="str">
        <f>IF($B1434="","",IFERROR(ROUND(INDEX(账户期初本位,MATCH($B1434,账户名,0))+SUMIFS($L$6:L1434,$B$6:B1434,$B1434),2),""))</f>
        <v/>
      </c>
      <c r="O1434" s="46"/>
      <c r="P1434" s="47"/>
      <c r="Q1434" s="46"/>
      <c r="R1434" s="46"/>
      <c r="S1434" s="6" t="str">
        <f>IF($B1434="","",IF(ISNA(MATCH($B1434,账户名,0)),"※这个账户不在【参数设置】的账户档案里",IF($A1434="","※没填日期，这一笔不会进任何月份的报表",IF(AND($G1434&lt;&gt;"",$H1434&lt;&gt;""),"※收入和支出不能同时填",IF(AND(N($G1434)=0,N($H1434)=0),"※收入和支出都没填",IF($E1434="","※没填收支类别，分类报表会漏掉这一笔",IF(ISNA(MATCH($E1434,类别表,0)),"※收支类别不在【参数设置】的清单里",IF($J1434="","△"&amp;$D1434&amp;" 还没填汇率，去【月度汇率】补上就自动算了",IF(YEAR($A1434)&lt;&gt;管理年度,"△不是管理年度的单据，年报里看不到",IF(AND($F1434="内部转账",$Q1434=""),"△内部转账建议在「往来单位」写上对方账户",IF($M1434&lt;0,"△这一笔之后该账户余额成负数了，核一下","")))))))))))</f>
        <v/>
      </c>
    </row>
    <row r="1435" ht="16.5" spans="1:19">
      <c r="A1435" s="45"/>
      <c r="B1435" s="46"/>
      <c r="C1435" s="12" t="str">
        <f>IF($B1435="","",IFERROR(INDEX(账户银行,MATCH($B1435,账户名,0)),""))</f>
        <v/>
      </c>
      <c r="D1435" s="12" t="str">
        <f>IF($B1435="","",IFERROR(INDEX(账户币种,MATCH($B1435,账户名,0)),""))</f>
        <v/>
      </c>
      <c r="E1435" s="47"/>
      <c r="F1435" s="12" t="str">
        <f>IF($E1435="","",IFERROR(INDEX(类别属性,MATCH($E1435,类别表,0)),""))</f>
        <v/>
      </c>
      <c r="G1435" s="48"/>
      <c r="H1435" s="48"/>
      <c r="I1435" s="49"/>
      <c r="J1435" s="24" t="str">
        <f>IF(OR($A1435="",$B1435=""),"",IF($I1435&lt;&gt;"",$I1435,IF($D1435=本位币,1,IFERROR(LOOKUP(2,1/((汇率月份&lt;=$A1435)*(INDEX(记账汇率区,0,MATCH($D1435,汇率币种头,0))&lt;&gt;"")),INDEX(记账汇率区,0,MATCH($D1435,汇率币种头,0))),""))))</f>
        <v/>
      </c>
      <c r="K1435" s="23" t="str">
        <f t="shared" si="44"/>
        <v/>
      </c>
      <c r="L1435" s="23" t="str">
        <f t="shared" si="45"/>
        <v/>
      </c>
      <c r="M1435" s="23" t="str">
        <f>IF($B1435="","",ROUND(SUMIF(账户名,$B1435,账户期初)+SUMIFS($K$6:K1435,$B$6:B1435,$B1435),2))</f>
        <v/>
      </c>
      <c r="N1435" s="23" t="str">
        <f>IF($B1435="","",IFERROR(ROUND(INDEX(账户期初本位,MATCH($B1435,账户名,0))+SUMIFS($L$6:L1435,$B$6:B1435,$B1435),2),""))</f>
        <v/>
      </c>
      <c r="O1435" s="46"/>
      <c r="P1435" s="47"/>
      <c r="Q1435" s="46"/>
      <c r="R1435" s="46"/>
      <c r="S1435" s="6" t="str">
        <f>IF($B1435="","",IF(ISNA(MATCH($B1435,账户名,0)),"※这个账户不在【参数设置】的账户档案里",IF($A1435="","※没填日期，这一笔不会进任何月份的报表",IF(AND($G1435&lt;&gt;"",$H1435&lt;&gt;""),"※收入和支出不能同时填",IF(AND(N($G1435)=0,N($H1435)=0),"※收入和支出都没填",IF($E1435="","※没填收支类别，分类报表会漏掉这一笔",IF(ISNA(MATCH($E1435,类别表,0)),"※收支类别不在【参数设置】的清单里",IF($J1435="","△"&amp;$D1435&amp;" 还没填汇率，去【月度汇率】补上就自动算了",IF(YEAR($A1435)&lt;&gt;管理年度,"△不是管理年度的单据，年报里看不到",IF(AND($F1435="内部转账",$Q1435=""),"△内部转账建议在「往来单位」写上对方账户",IF($M1435&lt;0,"△这一笔之后该账户余额成负数了，核一下","")))))))))))</f>
        <v/>
      </c>
    </row>
    <row r="1436" ht="16.5" spans="1:19">
      <c r="A1436" s="45"/>
      <c r="B1436" s="46"/>
      <c r="C1436" s="12" t="str">
        <f>IF($B1436="","",IFERROR(INDEX(账户银行,MATCH($B1436,账户名,0)),""))</f>
        <v/>
      </c>
      <c r="D1436" s="12" t="str">
        <f>IF($B1436="","",IFERROR(INDEX(账户币种,MATCH($B1436,账户名,0)),""))</f>
        <v/>
      </c>
      <c r="E1436" s="47"/>
      <c r="F1436" s="12" t="str">
        <f>IF($E1436="","",IFERROR(INDEX(类别属性,MATCH($E1436,类别表,0)),""))</f>
        <v/>
      </c>
      <c r="G1436" s="48"/>
      <c r="H1436" s="48"/>
      <c r="I1436" s="49"/>
      <c r="J1436" s="24" t="str">
        <f>IF(OR($A1436="",$B1436=""),"",IF($I1436&lt;&gt;"",$I1436,IF($D1436=本位币,1,IFERROR(LOOKUP(2,1/((汇率月份&lt;=$A1436)*(INDEX(记账汇率区,0,MATCH($D1436,汇率币种头,0))&lt;&gt;"")),INDEX(记账汇率区,0,MATCH($D1436,汇率币种头,0))),""))))</f>
        <v/>
      </c>
      <c r="K1436" s="23" t="str">
        <f t="shared" si="44"/>
        <v/>
      </c>
      <c r="L1436" s="23" t="str">
        <f t="shared" si="45"/>
        <v/>
      </c>
      <c r="M1436" s="23" t="str">
        <f>IF($B1436="","",ROUND(SUMIF(账户名,$B1436,账户期初)+SUMIFS($K$6:K1436,$B$6:B1436,$B1436),2))</f>
        <v/>
      </c>
      <c r="N1436" s="23" t="str">
        <f>IF($B1436="","",IFERROR(ROUND(INDEX(账户期初本位,MATCH($B1436,账户名,0))+SUMIFS($L$6:L1436,$B$6:B1436,$B1436),2),""))</f>
        <v/>
      </c>
      <c r="O1436" s="46"/>
      <c r="P1436" s="47"/>
      <c r="Q1436" s="46"/>
      <c r="R1436" s="46"/>
      <c r="S1436" s="6" t="str">
        <f>IF($B1436="","",IF(ISNA(MATCH($B1436,账户名,0)),"※这个账户不在【参数设置】的账户档案里",IF($A1436="","※没填日期，这一笔不会进任何月份的报表",IF(AND($G1436&lt;&gt;"",$H1436&lt;&gt;""),"※收入和支出不能同时填",IF(AND(N($G1436)=0,N($H1436)=0),"※收入和支出都没填",IF($E1436="","※没填收支类别，分类报表会漏掉这一笔",IF(ISNA(MATCH($E1436,类别表,0)),"※收支类别不在【参数设置】的清单里",IF($J1436="","△"&amp;$D1436&amp;" 还没填汇率，去【月度汇率】补上就自动算了",IF(YEAR($A1436)&lt;&gt;管理年度,"△不是管理年度的单据，年报里看不到",IF(AND($F1436="内部转账",$Q1436=""),"△内部转账建议在「往来单位」写上对方账户",IF($M1436&lt;0,"△这一笔之后该账户余额成负数了，核一下","")))))))))))</f>
        <v/>
      </c>
    </row>
    <row r="1437" ht="16.5" spans="1:19">
      <c r="A1437" s="45"/>
      <c r="B1437" s="46"/>
      <c r="C1437" s="12" t="str">
        <f>IF($B1437="","",IFERROR(INDEX(账户银行,MATCH($B1437,账户名,0)),""))</f>
        <v/>
      </c>
      <c r="D1437" s="12" t="str">
        <f>IF($B1437="","",IFERROR(INDEX(账户币种,MATCH($B1437,账户名,0)),""))</f>
        <v/>
      </c>
      <c r="E1437" s="47"/>
      <c r="F1437" s="12" t="str">
        <f>IF($E1437="","",IFERROR(INDEX(类别属性,MATCH($E1437,类别表,0)),""))</f>
        <v/>
      </c>
      <c r="G1437" s="48"/>
      <c r="H1437" s="48"/>
      <c r="I1437" s="49"/>
      <c r="J1437" s="24" t="str">
        <f>IF(OR($A1437="",$B1437=""),"",IF($I1437&lt;&gt;"",$I1437,IF($D1437=本位币,1,IFERROR(LOOKUP(2,1/((汇率月份&lt;=$A1437)*(INDEX(记账汇率区,0,MATCH($D1437,汇率币种头,0))&lt;&gt;"")),INDEX(记账汇率区,0,MATCH($D1437,汇率币种头,0))),""))))</f>
        <v/>
      </c>
      <c r="K1437" s="23" t="str">
        <f t="shared" si="44"/>
        <v/>
      </c>
      <c r="L1437" s="23" t="str">
        <f t="shared" si="45"/>
        <v/>
      </c>
      <c r="M1437" s="23" t="str">
        <f>IF($B1437="","",ROUND(SUMIF(账户名,$B1437,账户期初)+SUMIFS($K$6:K1437,$B$6:B1437,$B1437),2))</f>
        <v/>
      </c>
      <c r="N1437" s="23" t="str">
        <f>IF($B1437="","",IFERROR(ROUND(INDEX(账户期初本位,MATCH($B1437,账户名,0))+SUMIFS($L$6:L1437,$B$6:B1437,$B1437),2),""))</f>
        <v/>
      </c>
      <c r="O1437" s="46"/>
      <c r="P1437" s="47"/>
      <c r="Q1437" s="46"/>
      <c r="R1437" s="46"/>
      <c r="S1437" s="6" t="str">
        <f>IF($B1437="","",IF(ISNA(MATCH($B1437,账户名,0)),"※这个账户不在【参数设置】的账户档案里",IF($A1437="","※没填日期，这一笔不会进任何月份的报表",IF(AND($G1437&lt;&gt;"",$H1437&lt;&gt;""),"※收入和支出不能同时填",IF(AND(N($G1437)=0,N($H1437)=0),"※收入和支出都没填",IF($E1437="","※没填收支类别，分类报表会漏掉这一笔",IF(ISNA(MATCH($E1437,类别表,0)),"※收支类别不在【参数设置】的清单里",IF($J1437="","△"&amp;$D1437&amp;" 还没填汇率，去【月度汇率】补上就自动算了",IF(YEAR($A1437)&lt;&gt;管理年度,"△不是管理年度的单据，年报里看不到",IF(AND($F1437="内部转账",$Q1437=""),"△内部转账建议在「往来单位」写上对方账户",IF($M1437&lt;0,"△这一笔之后该账户余额成负数了，核一下","")))))))))))</f>
        <v/>
      </c>
    </row>
    <row r="1438" ht="16.5" spans="1:19">
      <c r="A1438" s="45"/>
      <c r="B1438" s="46"/>
      <c r="C1438" s="12" t="str">
        <f>IF($B1438="","",IFERROR(INDEX(账户银行,MATCH($B1438,账户名,0)),""))</f>
        <v/>
      </c>
      <c r="D1438" s="12" t="str">
        <f>IF($B1438="","",IFERROR(INDEX(账户币种,MATCH($B1438,账户名,0)),""))</f>
        <v/>
      </c>
      <c r="E1438" s="47"/>
      <c r="F1438" s="12" t="str">
        <f>IF($E1438="","",IFERROR(INDEX(类别属性,MATCH($E1438,类别表,0)),""))</f>
        <v/>
      </c>
      <c r="G1438" s="48"/>
      <c r="H1438" s="48"/>
      <c r="I1438" s="49"/>
      <c r="J1438" s="24" t="str">
        <f>IF(OR($A1438="",$B1438=""),"",IF($I1438&lt;&gt;"",$I1438,IF($D1438=本位币,1,IFERROR(LOOKUP(2,1/((汇率月份&lt;=$A1438)*(INDEX(记账汇率区,0,MATCH($D1438,汇率币种头,0))&lt;&gt;"")),INDEX(记账汇率区,0,MATCH($D1438,汇率币种头,0))),""))))</f>
        <v/>
      </c>
      <c r="K1438" s="23" t="str">
        <f t="shared" si="44"/>
        <v/>
      </c>
      <c r="L1438" s="23" t="str">
        <f t="shared" si="45"/>
        <v/>
      </c>
      <c r="M1438" s="23" t="str">
        <f>IF($B1438="","",ROUND(SUMIF(账户名,$B1438,账户期初)+SUMIFS($K$6:K1438,$B$6:B1438,$B1438),2))</f>
        <v/>
      </c>
      <c r="N1438" s="23" t="str">
        <f>IF($B1438="","",IFERROR(ROUND(INDEX(账户期初本位,MATCH($B1438,账户名,0))+SUMIFS($L$6:L1438,$B$6:B1438,$B1438),2),""))</f>
        <v/>
      </c>
      <c r="O1438" s="46"/>
      <c r="P1438" s="47"/>
      <c r="Q1438" s="46"/>
      <c r="R1438" s="46"/>
      <c r="S1438" s="6" t="str">
        <f>IF($B1438="","",IF(ISNA(MATCH($B1438,账户名,0)),"※这个账户不在【参数设置】的账户档案里",IF($A1438="","※没填日期，这一笔不会进任何月份的报表",IF(AND($G1438&lt;&gt;"",$H1438&lt;&gt;""),"※收入和支出不能同时填",IF(AND(N($G1438)=0,N($H1438)=0),"※收入和支出都没填",IF($E1438="","※没填收支类别，分类报表会漏掉这一笔",IF(ISNA(MATCH($E1438,类别表,0)),"※收支类别不在【参数设置】的清单里",IF($J1438="","△"&amp;$D1438&amp;" 还没填汇率，去【月度汇率】补上就自动算了",IF(YEAR($A1438)&lt;&gt;管理年度,"△不是管理年度的单据，年报里看不到",IF(AND($F1438="内部转账",$Q1438=""),"△内部转账建议在「往来单位」写上对方账户",IF($M1438&lt;0,"△这一笔之后该账户余额成负数了，核一下","")))))))))))</f>
        <v/>
      </c>
    </row>
    <row r="1439" ht="16.5" spans="1:19">
      <c r="A1439" s="45"/>
      <c r="B1439" s="46"/>
      <c r="C1439" s="12" t="str">
        <f>IF($B1439="","",IFERROR(INDEX(账户银行,MATCH($B1439,账户名,0)),""))</f>
        <v/>
      </c>
      <c r="D1439" s="12" t="str">
        <f>IF($B1439="","",IFERROR(INDEX(账户币种,MATCH($B1439,账户名,0)),""))</f>
        <v/>
      </c>
      <c r="E1439" s="47"/>
      <c r="F1439" s="12" t="str">
        <f>IF($E1439="","",IFERROR(INDEX(类别属性,MATCH($E1439,类别表,0)),""))</f>
        <v/>
      </c>
      <c r="G1439" s="48"/>
      <c r="H1439" s="48"/>
      <c r="I1439" s="49"/>
      <c r="J1439" s="24" t="str">
        <f>IF(OR($A1439="",$B1439=""),"",IF($I1439&lt;&gt;"",$I1439,IF($D1439=本位币,1,IFERROR(LOOKUP(2,1/((汇率月份&lt;=$A1439)*(INDEX(记账汇率区,0,MATCH($D1439,汇率币种头,0))&lt;&gt;"")),INDEX(记账汇率区,0,MATCH($D1439,汇率币种头,0))),""))))</f>
        <v/>
      </c>
      <c r="K1439" s="23" t="str">
        <f t="shared" si="44"/>
        <v/>
      </c>
      <c r="L1439" s="23" t="str">
        <f t="shared" si="45"/>
        <v/>
      </c>
      <c r="M1439" s="23" t="str">
        <f>IF($B1439="","",ROUND(SUMIF(账户名,$B1439,账户期初)+SUMIFS($K$6:K1439,$B$6:B1439,$B1439),2))</f>
        <v/>
      </c>
      <c r="N1439" s="23" t="str">
        <f>IF($B1439="","",IFERROR(ROUND(INDEX(账户期初本位,MATCH($B1439,账户名,0))+SUMIFS($L$6:L1439,$B$6:B1439,$B1439),2),""))</f>
        <v/>
      </c>
      <c r="O1439" s="46"/>
      <c r="P1439" s="47"/>
      <c r="Q1439" s="46"/>
      <c r="R1439" s="46"/>
      <c r="S1439" s="6" t="str">
        <f>IF($B1439="","",IF(ISNA(MATCH($B1439,账户名,0)),"※这个账户不在【参数设置】的账户档案里",IF($A1439="","※没填日期，这一笔不会进任何月份的报表",IF(AND($G1439&lt;&gt;"",$H1439&lt;&gt;""),"※收入和支出不能同时填",IF(AND(N($G1439)=0,N($H1439)=0),"※收入和支出都没填",IF($E1439="","※没填收支类别，分类报表会漏掉这一笔",IF(ISNA(MATCH($E1439,类别表,0)),"※收支类别不在【参数设置】的清单里",IF($J1439="","△"&amp;$D1439&amp;" 还没填汇率，去【月度汇率】补上就自动算了",IF(YEAR($A1439)&lt;&gt;管理年度,"△不是管理年度的单据，年报里看不到",IF(AND($F1439="内部转账",$Q1439=""),"△内部转账建议在「往来单位」写上对方账户",IF($M1439&lt;0,"△这一笔之后该账户余额成负数了，核一下","")))))))))))</f>
        <v/>
      </c>
    </row>
    <row r="1440" ht="16.5" spans="1:19">
      <c r="A1440" s="45"/>
      <c r="B1440" s="46"/>
      <c r="C1440" s="12" t="str">
        <f>IF($B1440="","",IFERROR(INDEX(账户银行,MATCH($B1440,账户名,0)),""))</f>
        <v/>
      </c>
      <c r="D1440" s="12" t="str">
        <f>IF($B1440="","",IFERROR(INDEX(账户币种,MATCH($B1440,账户名,0)),""))</f>
        <v/>
      </c>
      <c r="E1440" s="47"/>
      <c r="F1440" s="12" t="str">
        <f>IF($E1440="","",IFERROR(INDEX(类别属性,MATCH($E1440,类别表,0)),""))</f>
        <v/>
      </c>
      <c r="G1440" s="48"/>
      <c r="H1440" s="48"/>
      <c r="I1440" s="49"/>
      <c r="J1440" s="24" t="str">
        <f>IF(OR($A1440="",$B1440=""),"",IF($I1440&lt;&gt;"",$I1440,IF($D1440=本位币,1,IFERROR(LOOKUP(2,1/((汇率月份&lt;=$A1440)*(INDEX(记账汇率区,0,MATCH($D1440,汇率币种头,0))&lt;&gt;"")),INDEX(记账汇率区,0,MATCH($D1440,汇率币种头,0))),""))))</f>
        <v/>
      </c>
      <c r="K1440" s="23" t="str">
        <f t="shared" si="44"/>
        <v/>
      </c>
      <c r="L1440" s="23" t="str">
        <f t="shared" si="45"/>
        <v/>
      </c>
      <c r="M1440" s="23" t="str">
        <f>IF($B1440="","",ROUND(SUMIF(账户名,$B1440,账户期初)+SUMIFS($K$6:K1440,$B$6:B1440,$B1440),2))</f>
        <v/>
      </c>
      <c r="N1440" s="23" t="str">
        <f>IF($B1440="","",IFERROR(ROUND(INDEX(账户期初本位,MATCH($B1440,账户名,0))+SUMIFS($L$6:L1440,$B$6:B1440,$B1440),2),""))</f>
        <v/>
      </c>
      <c r="O1440" s="46"/>
      <c r="P1440" s="47"/>
      <c r="Q1440" s="46"/>
      <c r="R1440" s="46"/>
      <c r="S1440" s="6" t="str">
        <f>IF($B1440="","",IF(ISNA(MATCH($B1440,账户名,0)),"※这个账户不在【参数设置】的账户档案里",IF($A1440="","※没填日期，这一笔不会进任何月份的报表",IF(AND($G1440&lt;&gt;"",$H1440&lt;&gt;""),"※收入和支出不能同时填",IF(AND(N($G1440)=0,N($H1440)=0),"※收入和支出都没填",IF($E1440="","※没填收支类别，分类报表会漏掉这一笔",IF(ISNA(MATCH($E1440,类别表,0)),"※收支类别不在【参数设置】的清单里",IF($J1440="","△"&amp;$D1440&amp;" 还没填汇率，去【月度汇率】补上就自动算了",IF(YEAR($A1440)&lt;&gt;管理年度,"△不是管理年度的单据，年报里看不到",IF(AND($F1440="内部转账",$Q1440=""),"△内部转账建议在「往来单位」写上对方账户",IF($M1440&lt;0,"△这一笔之后该账户余额成负数了，核一下","")))))))))))</f>
        <v/>
      </c>
    </row>
    <row r="1441" ht="16.5" spans="1:19">
      <c r="A1441" s="45"/>
      <c r="B1441" s="46"/>
      <c r="C1441" s="12" t="str">
        <f>IF($B1441="","",IFERROR(INDEX(账户银行,MATCH($B1441,账户名,0)),""))</f>
        <v/>
      </c>
      <c r="D1441" s="12" t="str">
        <f>IF($B1441="","",IFERROR(INDEX(账户币种,MATCH($B1441,账户名,0)),""))</f>
        <v/>
      </c>
      <c r="E1441" s="47"/>
      <c r="F1441" s="12" t="str">
        <f>IF($E1441="","",IFERROR(INDEX(类别属性,MATCH($E1441,类别表,0)),""))</f>
        <v/>
      </c>
      <c r="G1441" s="48"/>
      <c r="H1441" s="48"/>
      <c r="I1441" s="49"/>
      <c r="J1441" s="24" t="str">
        <f>IF(OR($A1441="",$B1441=""),"",IF($I1441&lt;&gt;"",$I1441,IF($D1441=本位币,1,IFERROR(LOOKUP(2,1/((汇率月份&lt;=$A1441)*(INDEX(记账汇率区,0,MATCH($D1441,汇率币种头,0))&lt;&gt;"")),INDEX(记账汇率区,0,MATCH($D1441,汇率币种头,0))),""))))</f>
        <v/>
      </c>
      <c r="K1441" s="23" t="str">
        <f t="shared" si="44"/>
        <v/>
      </c>
      <c r="L1441" s="23" t="str">
        <f t="shared" si="45"/>
        <v/>
      </c>
      <c r="M1441" s="23" t="str">
        <f>IF($B1441="","",ROUND(SUMIF(账户名,$B1441,账户期初)+SUMIFS($K$6:K1441,$B$6:B1441,$B1441),2))</f>
        <v/>
      </c>
      <c r="N1441" s="23" t="str">
        <f>IF($B1441="","",IFERROR(ROUND(INDEX(账户期初本位,MATCH($B1441,账户名,0))+SUMIFS($L$6:L1441,$B$6:B1441,$B1441),2),""))</f>
        <v/>
      </c>
      <c r="O1441" s="46"/>
      <c r="P1441" s="47"/>
      <c r="Q1441" s="46"/>
      <c r="R1441" s="46"/>
      <c r="S1441" s="6" t="str">
        <f>IF($B1441="","",IF(ISNA(MATCH($B1441,账户名,0)),"※这个账户不在【参数设置】的账户档案里",IF($A1441="","※没填日期，这一笔不会进任何月份的报表",IF(AND($G1441&lt;&gt;"",$H1441&lt;&gt;""),"※收入和支出不能同时填",IF(AND(N($G1441)=0,N($H1441)=0),"※收入和支出都没填",IF($E1441="","※没填收支类别，分类报表会漏掉这一笔",IF(ISNA(MATCH($E1441,类别表,0)),"※收支类别不在【参数设置】的清单里",IF($J1441="","△"&amp;$D1441&amp;" 还没填汇率，去【月度汇率】补上就自动算了",IF(YEAR($A1441)&lt;&gt;管理年度,"△不是管理年度的单据，年报里看不到",IF(AND($F1441="内部转账",$Q1441=""),"△内部转账建议在「往来单位」写上对方账户",IF($M1441&lt;0,"△这一笔之后该账户余额成负数了，核一下","")))))))))))</f>
        <v/>
      </c>
    </row>
    <row r="1442" ht="16.5" spans="1:19">
      <c r="A1442" s="45"/>
      <c r="B1442" s="46"/>
      <c r="C1442" s="12" t="str">
        <f>IF($B1442="","",IFERROR(INDEX(账户银行,MATCH($B1442,账户名,0)),""))</f>
        <v/>
      </c>
      <c r="D1442" s="12" t="str">
        <f>IF($B1442="","",IFERROR(INDEX(账户币种,MATCH($B1442,账户名,0)),""))</f>
        <v/>
      </c>
      <c r="E1442" s="47"/>
      <c r="F1442" s="12" t="str">
        <f>IF($E1442="","",IFERROR(INDEX(类别属性,MATCH($E1442,类别表,0)),""))</f>
        <v/>
      </c>
      <c r="G1442" s="48"/>
      <c r="H1442" s="48"/>
      <c r="I1442" s="49"/>
      <c r="J1442" s="24" t="str">
        <f>IF(OR($A1442="",$B1442=""),"",IF($I1442&lt;&gt;"",$I1442,IF($D1442=本位币,1,IFERROR(LOOKUP(2,1/((汇率月份&lt;=$A1442)*(INDEX(记账汇率区,0,MATCH($D1442,汇率币种头,0))&lt;&gt;"")),INDEX(记账汇率区,0,MATCH($D1442,汇率币种头,0))),""))))</f>
        <v/>
      </c>
      <c r="K1442" s="23" t="str">
        <f t="shared" si="44"/>
        <v/>
      </c>
      <c r="L1442" s="23" t="str">
        <f t="shared" si="45"/>
        <v/>
      </c>
      <c r="M1442" s="23" t="str">
        <f>IF($B1442="","",ROUND(SUMIF(账户名,$B1442,账户期初)+SUMIFS($K$6:K1442,$B$6:B1442,$B1442),2))</f>
        <v/>
      </c>
      <c r="N1442" s="23" t="str">
        <f>IF($B1442="","",IFERROR(ROUND(INDEX(账户期初本位,MATCH($B1442,账户名,0))+SUMIFS($L$6:L1442,$B$6:B1442,$B1442),2),""))</f>
        <v/>
      </c>
      <c r="O1442" s="46"/>
      <c r="P1442" s="47"/>
      <c r="Q1442" s="46"/>
      <c r="R1442" s="46"/>
      <c r="S1442" s="6" t="str">
        <f>IF($B1442="","",IF(ISNA(MATCH($B1442,账户名,0)),"※这个账户不在【参数设置】的账户档案里",IF($A1442="","※没填日期，这一笔不会进任何月份的报表",IF(AND($G1442&lt;&gt;"",$H1442&lt;&gt;""),"※收入和支出不能同时填",IF(AND(N($G1442)=0,N($H1442)=0),"※收入和支出都没填",IF($E1442="","※没填收支类别，分类报表会漏掉这一笔",IF(ISNA(MATCH($E1442,类别表,0)),"※收支类别不在【参数设置】的清单里",IF($J1442="","△"&amp;$D1442&amp;" 还没填汇率，去【月度汇率】补上就自动算了",IF(YEAR($A1442)&lt;&gt;管理年度,"△不是管理年度的单据，年报里看不到",IF(AND($F1442="内部转账",$Q1442=""),"△内部转账建议在「往来单位」写上对方账户",IF($M1442&lt;0,"△这一笔之后该账户余额成负数了，核一下","")))))))))))</f>
        <v/>
      </c>
    </row>
    <row r="1443" ht="16.5" spans="1:19">
      <c r="A1443" s="45"/>
      <c r="B1443" s="46"/>
      <c r="C1443" s="12" t="str">
        <f>IF($B1443="","",IFERROR(INDEX(账户银行,MATCH($B1443,账户名,0)),""))</f>
        <v/>
      </c>
      <c r="D1443" s="12" t="str">
        <f>IF($B1443="","",IFERROR(INDEX(账户币种,MATCH($B1443,账户名,0)),""))</f>
        <v/>
      </c>
      <c r="E1443" s="47"/>
      <c r="F1443" s="12" t="str">
        <f>IF($E1443="","",IFERROR(INDEX(类别属性,MATCH($E1443,类别表,0)),""))</f>
        <v/>
      </c>
      <c r="G1443" s="48"/>
      <c r="H1443" s="48"/>
      <c r="I1443" s="49"/>
      <c r="J1443" s="24" t="str">
        <f>IF(OR($A1443="",$B1443=""),"",IF($I1443&lt;&gt;"",$I1443,IF($D1443=本位币,1,IFERROR(LOOKUP(2,1/((汇率月份&lt;=$A1443)*(INDEX(记账汇率区,0,MATCH($D1443,汇率币种头,0))&lt;&gt;"")),INDEX(记账汇率区,0,MATCH($D1443,汇率币种头,0))),""))))</f>
        <v/>
      </c>
      <c r="K1443" s="23" t="str">
        <f t="shared" si="44"/>
        <v/>
      </c>
      <c r="L1443" s="23" t="str">
        <f t="shared" si="45"/>
        <v/>
      </c>
      <c r="M1443" s="23" t="str">
        <f>IF($B1443="","",ROUND(SUMIF(账户名,$B1443,账户期初)+SUMIFS($K$6:K1443,$B$6:B1443,$B1443),2))</f>
        <v/>
      </c>
      <c r="N1443" s="23" t="str">
        <f>IF($B1443="","",IFERROR(ROUND(INDEX(账户期初本位,MATCH($B1443,账户名,0))+SUMIFS($L$6:L1443,$B$6:B1443,$B1443),2),""))</f>
        <v/>
      </c>
      <c r="O1443" s="46"/>
      <c r="P1443" s="47"/>
      <c r="Q1443" s="46"/>
      <c r="R1443" s="46"/>
      <c r="S1443" s="6" t="str">
        <f>IF($B1443="","",IF(ISNA(MATCH($B1443,账户名,0)),"※这个账户不在【参数设置】的账户档案里",IF($A1443="","※没填日期，这一笔不会进任何月份的报表",IF(AND($G1443&lt;&gt;"",$H1443&lt;&gt;""),"※收入和支出不能同时填",IF(AND(N($G1443)=0,N($H1443)=0),"※收入和支出都没填",IF($E1443="","※没填收支类别，分类报表会漏掉这一笔",IF(ISNA(MATCH($E1443,类别表,0)),"※收支类别不在【参数设置】的清单里",IF($J1443="","△"&amp;$D1443&amp;" 还没填汇率，去【月度汇率】补上就自动算了",IF(YEAR($A1443)&lt;&gt;管理年度,"△不是管理年度的单据，年报里看不到",IF(AND($F1443="内部转账",$Q1443=""),"△内部转账建议在「往来单位」写上对方账户",IF($M1443&lt;0,"△这一笔之后该账户余额成负数了，核一下","")))))))))))</f>
        <v/>
      </c>
    </row>
    <row r="1444" ht="16.5" spans="1:19">
      <c r="A1444" s="45"/>
      <c r="B1444" s="46"/>
      <c r="C1444" s="12" t="str">
        <f>IF($B1444="","",IFERROR(INDEX(账户银行,MATCH($B1444,账户名,0)),""))</f>
        <v/>
      </c>
      <c r="D1444" s="12" t="str">
        <f>IF($B1444="","",IFERROR(INDEX(账户币种,MATCH($B1444,账户名,0)),""))</f>
        <v/>
      </c>
      <c r="E1444" s="47"/>
      <c r="F1444" s="12" t="str">
        <f>IF($E1444="","",IFERROR(INDEX(类别属性,MATCH($E1444,类别表,0)),""))</f>
        <v/>
      </c>
      <c r="G1444" s="48"/>
      <c r="H1444" s="48"/>
      <c r="I1444" s="49"/>
      <c r="J1444" s="24" t="str">
        <f>IF(OR($A1444="",$B1444=""),"",IF($I1444&lt;&gt;"",$I1444,IF($D1444=本位币,1,IFERROR(LOOKUP(2,1/((汇率月份&lt;=$A1444)*(INDEX(记账汇率区,0,MATCH($D1444,汇率币种头,0))&lt;&gt;"")),INDEX(记账汇率区,0,MATCH($D1444,汇率币种头,0))),""))))</f>
        <v/>
      </c>
      <c r="K1444" s="23" t="str">
        <f t="shared" si="44"/>
        <v/>
      </c>
      <c r="L1444" s="23" t="str">
        <f t="shared" si="45"/>
        <v/>
      </c>
      <c r="M1444" s="23" t="str">
        <f>IF($B1444="","",ROUND(SUMIF(账户名,$B1444,账户期初)+SUMIFS($K$6:K1444,$B$6:B1444,$B1444),2))</f>
        <v/>
      </c>
      <c r="N1444" s="23" t="str">
        <f>IF($B1444="","",IFERROR(ROUND(INDEX(账户期初本位,MATCH($B1444,账户名,0))+SUMIFS($L$6:L1444,$B$6:B1444,$B1444),2),""))</f>
        <v/>
      </c>
      <c r="O1444" s="46"/>
      <c r="P1444" s="47"/>
      <c r="Q1444" s="46"/>
      <c r="R1444" s="46"/>
      <c r="S1444" s="6" t="str">
        <f>IF($B1444="","",IF(ISNA(MATCH($B1444,账户名,0)),"※这个账户不在【参数设置】的账户档案里",IF($A1444="","※没填日期，这一笔不会进任何月份的报表",IF(AND($G1444&lt;&gt;"",$H1444&lt;&gt;""),"※收入和支出不能同时填",IF(AND(N($G1444)=0,N($H1444)=0),"※收入和支出都没填",IF($E1444="","※没填收支类别，分类报表会漏掉这一笔",IF(ISNA(MATCH($E1444,类别表,0)),"※收支类别不在【参数设置】的清单里",IF($J1444="","△"&amp;$D1444&amp;" 还没填汇率，去【月度汇率】补上就自动算了",IF(YEAR($A1444)&lt;&gt;管理年度,"△不是管理年度的单据，年报里看不到",IF(AND($F1444="内部转账",$Q1444=""),"△内部转账建议在「往来单位」写上对方账户",IF($M1444&lt;0,"△这一笔之后该账户余额成负数了，核一下","")))))))))))</f>
        <v/>
      </c>
    </row>
    <row r="1445" ht="16.5" spans="1:19">
      <c r="A1445" s="45"/>
      <c r="B1445" s="46"/>
      <c r="C1445" s="12" t="str">
        <f>IF($B1445="","",IFERROR(INDEX(账户银行,MATCH($B1445,账户名,0)),""))</f>
        <v/>
      </c>
      <c r="D1445" s="12" t="str">
        <f>IF($B1445="","",IFERROR(INDEX(账户币种,MATCH($B1445,账户名,0)),""))</f>
        <v/>
      </c>
      <c r="E1445" s="47"/>
      <c r="F1445" s="12" t="str">
        <f>IF($E1445="","",IFERROR(INDEX(类别属性,MATCH($E1445,类别表,0)),""))</f>
        <v/>
      </c>
      <c r="G1445" s="48"/>
      <c r="H1445" s="48"/>
      <c r="I1445" s="49"/>
      <c r="J1445" s="24" t="str">
        <f>IF(OR($A1445="",$B1445=""),"",IF($I1445&lt;&gt;"",$I1445,IF($D1445=本位币,1,IFERROR(LOOKUP(2,1/((汇率月份&lt;=$A1445)*(INDEX(记账汇率区,0,MATCH($D1445,汇率币种头,0))&lt;&gt;"")),INDEX(记账汇率区,0,MATCH($D1445,汇率币种头,0))),""))))</f>
        <v/>
      </c>
      <c r="K1445" s="23" t="str">
        <f t="shared" si="44"/>
        <v/>
      </c>
      <c r="L1445" s="23" t="str">
        <f t="shared" si="45"/>
        <v/>
      </c>
      <c r="M1445" s="23" t="str">
        <f>IF($B1445="","",ROUND(SUMIF(账户名,$B1445,账户期初)+SUMIFS($K$6:K1445,$B$6:B1445,$B1445),2))</f>
        <v/>
      </c>
      <c r="N1445" s="23" t="str">
        <f>IF($B1445="","",IFERROR(ROUND(INDEX(账户期初本位,MATCH($B1445,账户名,0))+SUMIFS($L$6:L1445,$B$6:B1445,$B1445),2),""))</f>
        <v/>
      </c>
      <c r="O1445" s="46"/>
      <c r="P1445" s="47"/>
      <c r="Q1445" s="46"/>
      <c r="R1445" s="46"/>
      <c r="S1445" s="6" t="str">
        <f>IF($B1445="","",IF(ISNA(MATCH($B1445,账户名,0)),"※这个账户不在【参数设置】的账户档案里",IF($A1445="","※没填日期，这一笔不会进任何月份的报表",IF(AND($G1445&lt;&gt;"",$H1445&lt;&gt;""),"※收入和支出不能同时填",IF(AND(N($G1445)=0,N($H1445)=0),"※收入和支出都没填",IF($E1445="","※没填收支类别，分类报表会漏掉这一笔",IF(ISNA(MATCH($E1445,类别表,0)),"※收支类别不在【参数设置】的清单里",IF($J1445="","△"&amp;$D1445&amp;" 还没填汇率，去【月度汇率】补上就自动算了",IF(YEAR($A1445)&lt;&gt;管理年度,"△不是管理年度的单据，年报里看不到",IF(AND($F1445="内部转账",$Q1445=""),"△内部转账建议在「往来单位」写上对方账户",IF($M1445&lt;0,"△这一笔之后该账户余额成负数了，核一下","")))))))))))</f>
        <v/>
      </c>
    </row>
    <row r="1446" ht="16.5" spans="1:19">
      <c r="A1446" s="45"/>
      <c r="B1446" s="46"/>
      <c r="C1446" s="12" t="str">
        <f>IF($B1446="","",IFERROR(INDEX(账户银行,MATCH($B1446,账户名,0)),""))</f>
        <v/>
      </c>
      <c r="D1446" s="12" t="str">
        <f>IF($B1446="","",IFERROR(INDEX(账户币种,MATCH($B1446,账户名,0)),""))</f>
        <v/>
      </c>
      <c r="E1446" s="47"/>
      <c r="F1446" s="12" t="str">
        <f>IF($E1446="","",IFERROR(INDEX(类别属性,MATCH($E1446,类别表,0)),""))</f>
        <v/>
      </c>
      <c r="G1446" s="48"/>
      <c r="H1446" s="48"/>
      <c r="I1446" s="49"/>
      <c r="J1446" s="24" t="str">
        <f>IF(OR($A1446="",$B1446=""),"",IF($I1446&lt;&gt;"",$I1446,IF($D1446=本位币,1,IFERROR(LOOKUP(2,1/((汇率月份&lt;=$A1446)*(INDEX(记账汇率区,0,MATCH($D1446,汇率币种头,0))&lt;&gt;"")),INDEX(记账汇率区,0,MATCH($D1446,汇率币种头,0))),""))))</f>
        <v/>
      </c>
      <c r="K1446" s="23" t="str">
        <f t="shared" si="44"/>
        <v/>
      </c>
      <c r="L1446" s="23" t="str">
        <f t="shared" si="45"/>
        <v/>
      </c>
      <c r="M1446" s="23" t="str">
        <f>IF($B1446="","",ROUND(SUMIF(账户名,$B1446,账户期初)+SUMIFS($K$6:K1446,$B$6:B1446,$B1446),2))</f>
        <v/>
      </c>
      <c r="N1446" s="23" t="str">
        <f>IF($B1446="","",IFERROR(ROUND(INDEX(账户期初本位,MATCH($B1446,账户名,0))+SUMIFS($L$6:L1446,$B$6:B1446,$B1446),2),""))</f>
        <v/>
      </c>
      <c r="O1446" s="46"/>
      <c r="P1446" s="47"/>
      <c r="Q1446" s="46"/>
      <c r="R1446" s="46"/>
      <c r="S1446" s="6" t="str">
        <f>IF($B1446="","",IF(ISNA(MATCH($B1446,账户名,0)),"※这个账户不在【参数设置】的账户档案里",IF($A1446="","※没填日期，这一笔不会进任何月份的报表",IF(AND($G1446&lt;&gt;"",$H1446&lt;&gt;""),"※收入和支出不能同时填",IF(AND(N($G1446)=0,N($H1446)=0),"※收入和支出都没填",IF($E1446="","※没填收支类别，分类报表会漏掉这一笔",IF(ISNA(MATCH($E1446,类别表,0)),"※收支类别不在【参数设置】的清单里",IF($J1446="","△"&amp;$D1446&amp;" 还没填汇率，去【月度汇率】补上就自动算了",IF(YEAR($A1446)&lt;&gt;管理年度,"△不是管理年度的单据，年报里看不到",IF(AND($F1446="内部转账",$Q1446=""),"△内部转账建议在「往来单位」写上对方账户",IF($M1446&lt;0,"△这一笔之后该账户余额成负数了，核一下","")))))))))))</f>
        <v/>
      </c>
    </row>
    <row r="1447" ht="16.5" spans="1:19">
      <c r="A1447" s="45"/>
      <c r="B1447" s="46"/>
      <c r="C1447" s="12" t="str">
        <f>IF($B1447="","",IFERROR(INDEX(账户银行,MATCH($B1447,账户名,0)),""))</f>
        <v/>
      </c>
      <c r="D1447" s="12" t="str">
        <f>IF($B1447="","",IFERROR(INDEX(账户币种,MATCH($B1447,账户名,0)),""))</f>
        <v/>
      </c>
      <c r="E1447" s="47"/>
      <c r="F1447" s="12" t="str">
        <f>IF($E1447="","",IFERROR(INDEX(类别属性,MATCH($E1447,类别表,0)),""))</f>
        <v/>
      </c>
      <c r="G1447" s="48"/>
      <c r="H1447" s="48"/>
      <c r="I1447" s="49"/>
      <c r="J1447" s="24" t="str">
        <f>IF(OR($A1447="",$B1447=""),"",IF($I1447&lt;&gt;"",$I1447,IF($D1447=本位币,1,IFERROR(LOOKUP(2,1/((汇率月份&lt;=$A1447)*(INDEX(记账汇率区,0,MATCH($D1447,汇率币种头,0))&lt;&gt;"")),INDEX(记账汇率区,0,MATCH($D1447,汇率币种头,0))),""))))</f>
        <v/>
      </c>
      <c r="K1447" s="23" t="str">
        <f t="shared" si="44"/>
        <v/>
      </c>
      <c r="L1447" s="23" t="str">
        <f t="shared" si="45"/>
        <v/>
      </c>
      <c r="M1447" s="23" t="str">
        <f>IF($B1447="","",ROUND(SUMIF(账户名,$B1447,账户期初)+SUMIFS($K$6:K1447,$B$6:B1447,$B1447),2))</f>
        <v/>
      </c>
      <c r="N1447" s="23" t="str">
        <f>IF($B1447="","",IFERROR(ROUND(INDEX(账户期初本位,MATCH($B1447,账户名,0))+SUMIFS($L$6:L1447,$B$6:B1447,$B1447),2),""))</f>
        <v/>
      </c>
      <c r="O1447" s="46"/>
      <c r="P1447" s="47"/>
      <c r="Q1447" s="46"/>
      <c r="R1447" s="46"/>
      <c r="S1447" s="6" t="str">
        <f>IF($B1447="","",IF(ISNA(MATCH($B1447,账户名,0)),"※这个账户不在【参数设置】的账户档案里",IF($A1447="","※没填日期，这一笔不会进任何月份的报表",IF(AND($G1447&lt;&gt;"",$H1447&lt;&gt;""),"※收入和支出不能同时填",IF(AND(N($G1447)=0,N($H1447)=0),"※收入和支出都没填",IF($E1447="","※没填收支类别，分类报表会漏掉这一笔",IF(ISNA(MATCH($E1447,类别表,0)),"※收支类别不在【参数设置】的清单里",IF($J1447="","△"&amp;$D1447&amp;" 还没填汇率，去【月度汇率】补上就自动算了",IF(YEAR($A1447)&lt;&gt;管理年度,"△不是管理年度的单据，年报里看不到",IF(AND($F1447="内部转账",$Q1447=""),"△内部转账建议在「往来单位」写上对方账户",IF($M1447&lt;0,"△这一笔之后该账户余额成负数了，核一下","")))))))))))</f>
        <v/>
      </c>
    </row>
    <row r="1448" ht="16.5" spans="1:19">
      <c r="A1448" s="45"/>
      <c r="B1448" s="46"/>
      <c r="C1448" s="12" t="str">
        <f>IF($B1448="","",IFERROR(INDEX(账户银行,MATCH($B1448,账户名,0)),""))</f>
        <v/>
      </c>
      <c r="D1448" s="12" t="str">
        <f>IF($B1448="","",IFERROR(INDEX(账户币种,MATCH($B1448,账户名,0)),""))</f>
        <v/>
      </c>
      <c r="E1448" s="47"/>
      <c r="F1448" s="12" t="str">
        <f>IF($E1448="","",IFERROR(INDEX(类别属性,MATCH($E1448,类别表,0)),""))</f>
        <v/>
      </c>
      <c r="G1448" s="48"/>
      <c r="H1448" s="48"/>
      <c r="I1448" s="49"/>
      <c r="J1448" s="24" t="str">
        <f>IF(OR($A1448="",$B1448=""),"",IF($I1448&lt;&gt;"",$I1448,IF($D1448=本位币,1,IFERROR(LOOKUP(2,1/((汇率月份&lt;=$A1448)*(INDEX(记账汇率区,0,MATCH($D1448,汇率币种头,0))&lt;&gt;"")),INDEX(记账汇率区,0,MATCH($D1448,汇率币种头,0))),""))))</f>
        <v/>
      </c>
      <c r="K1448" s="23" t="str">
        <f t="shared" si="44"/>
        <v/>
      </c>
      <c r="L1448" s="23" t="str">
        <f t="shared" si="45"/>
        <v/>
      </c>
      <c r="M1448" s="23" t="str">
        <f>IF($B1448="","",ROUND(SUMIF(账户名,$B1448,账户期初)+SUMIFS($K$6:K1448,$B$6:B1448,$B1448),2))</f>
        <v/>
      </c>
      <c r="N1448" s="23" t="str">
        <f>IF($B1448="","",IFERROR(ROUND(INDEX(账户期初本位,MATCH($B1448,账户名,0))+SUMIFS($L$6:L1448,$B$6:B1448,$B1448),2),""))</f>
        <v/>
      </c>
      <c r="O1448" s="46"/>
      <c r="P1448" s="47"/>
      <c r="Q1448" s="46"/>
      <c r="R1448" s="46"/>
      <c r="S1448" s="6" t="str">
        <f>IF($B1448="","",IF(ISNA(MATCH($B1448,账户名,0)),"※这个账户不在【参数设置】的账户档案里",IF($A1448="","※没填日期，这一笔不会进任何月份的报表",IF(AND($G1448&lt;&gt;"",$H1448&lt;&gt;""),"※收入和支出不能同时填",IF(AND(N($G1448)=0,N($H1448)=0),"※收入和支出都没填",IF($E1448="","※没填收支类别，分类报表会漏掉这一笔",IF(ISNA(MATCH($E1448,类别表,0)),"※收支类别不在【参数设置】的清单里",IF($J1448="","△"&amp;$D1448&amp;" 还没填汇率，去【月度汇率】补上就自动算了",IF(YEAR($A1448)&lt;&gt;管理年度,"△不是管理年度的单据，年报里看不到",IF(AND($F1448="内部转账",$Q1448=""),"△内部转账建议在「往来单位」写上对方账户",IF($M1448&lt;0,"△这一笔之后该账户余额成负数了，核一下","")))))))))))</f>
        <v/>
      </c>
    </row>
    <row r="1449" ht="16.5" spans="1:19">
      <c r="A1449" s="45"/>
      <c r="B1449" s="46"/>
      <c r="C1449" s="12" t="str">
        <f>IF($B1449="","",IFERROR(INDEX(账户银行,MATCH($B1449,账户名,0)),""))</f>
        <v/>
      </c>
      <c r="D1449" s="12" t="str">
        <f>IF($B1449="","",IFERROR(INDEX(账户币种,MATCH($B1449,账户名,0)),""))</f>
        <v/>
      </c>
      <c r="E1449" s="47"/>
      <c r="F1449" s="12" t="str">
        <f>IF($E1449="","",IFERROR(INDEX(类别属性,MATCH($E1449,类别表,0)),""))</f>
        <v/>
      </c>
      <c r="G1449" s="48"/>
      <c r="H1449" s="48"/>
      <c r="I1449" s="49"/>
      <c r="J1449" s="24" t="str">
        <f>IF(OR($A1449="",$B1449=""),"",IF($I1449&lt;&gt;"",$I1449,IF($D1449=本位币,1,IFERROR(LOOKUP(2,1/((汇率月份&lt;=$A1449)*(INDEX(记账汇率区,0,MATCH($D1449,汇率币种头,0))&lt;&gt;"")),INDEX(记账汇率区,0,MATCH($D1449,汇率币种头,0))),""))))</f>
        <v/>
      </c>
      <c r="K1449" s="23" t="str">
        <f t="shared" si="44"/>
        <v/>
      </c>
      <c r="L1449" s="23" t="str">
        <f t="shared" si="45"/>
        <v/>
      </c>
      <c r="M1449" s="23" t="str">
        <f>IF($B1449="","",ROUND(SUMIF(账户名,$B1449,账户期初)+SUMIFS($K$6:K1449,$B$6:B1449,$B1449),2))</f>
        <v/>
      </c>
      <c r="N1449" s="23" t="str">
        <f>IF($B1449="","",IFERROR(ROUND(INDEX(账户期初本位,MATCH($B1449,账户名,0))+SUMIFS($L$6:L1449,$B$6:B1449,$B1449),2),""))</f>
        <v/>
      </c>
      <c r="O1449" s="46"/>
      <c r="P1449" s="47"/>
      <c r="Q1449" s="46"/>
      <c r="R1449" s="46"/>
      <c r="S1449" s="6" t="str">
        <f>IF($B1449="","",IF(ISNA(MATCH($B1449,账户名,0)),"※这个账户不在【参数设置】的账户档案里",IF($A1449="","※没填日期，这一笔不会进任何月份的报表",IF(AND($G1449&lt;&gt;"",$H1449&lt;&gt;""),"※收入和支出不能同时填",IF(AND(N($G1449)=0,N($H1449)=0),"※收入和支出都没填",IF($E1449="","※没填收支类别，分类报表会漏掉这一笔",IF(ISNA(MATCH($E1449,类别表,0)),"※收支类别不在【参数设置】的清单里",IF($J1449="","△"&amp;$D1449&amp;" 还没填汇率，去【月度汇率】补上就自动算了",IF(YEAR($A1449)&lt;&gt;管理年度,"△不是管理年度的单据，年报里看不到",IF(AND($F1449="内部转账",$Q1449=""),"△内部转账建议在「往来单位」写上对方账户",IF($M1449&lt;0,"△这一笔之后该账户余额成负数了，核一下","")))))))))))</f>
        <v/>
      </c>
    </row>
    <row r="1450" ht="16.5" spans="1:19">
      <c r="A1450" s="45"/>
      <c r="B1450" s="46"/>
      <c r="C1450" s="12" t="str">
        <f>IF($B1450="","",IFERROR(INDEX(账户银行,MATCH($B1450,账户名,0)),""))</f>
        <v/>
      </c>
      <c r="D1450" s="12" t="str">
        <f>IF($B1450="","",IFERROR(INDEX(账户币种,MATCH($B1450,账户名,0)),""))</f>
        <v/>
      </c>
      <c r="E1450" s="47"/>
      <c r="F1450" s="12" t="str">
        <f>IF($E1450="","",IFERROR(INDEX(类别属性,MATCH($E1450,类别表,0)),""))</f>
        <v/>
      </c>
      <c r="G1450" s="48"/>
      <c r="H1450" s="48"/>
      <c r="I1450" s="49"/>
      <c r="J1450" s="24" t="str">
        <f>IF(OR($A1450="",$B1450=""),"",IF($I1450&lt;&gt;"",$I1450,IF($D1450=本位币,1,IFERROR(LOOKUP(2,1/((汇率月份&lt;=$A1450)*(INDEX(记账汇率区,0,MATCH($D1450,汇率币种头,0))&lt;&gt;"")),INDEX(记账汇率区,0,MATCH($D1450,汇率币种头,0))),""))))</f>
        <v/>
      </c>
      <c r="K1450" s="23" t="str">
        <f t="shared" si="44"/>
        <v/>
      </c>
      <c r="L1450" s="23" t="str">
        <f t="shared" si="45"/>
        <v/>
      </c>
      <c r="M1450" s="23" t="str">
        <f>IF($B1450="","",ROUND(SUMIF(账户名,$B1450,账户期初)+SUMIFS($K$6:K1450,$B$6:B1450,$B1450),2))</f>
        <v/>
      </c>
      <c r="N1450" s="23" t="str">
        <f>IF($B1450="","",IFERROR(ROUND(INDEX(账户期初本位,MATCH($B1450,账户名,0))+SUMIFS($L$6:L1450,$B$6:B1450,$B1450),2),""))</f>
        <v/>
      </c>
      <c r="O1450" s="46"/>
      <c r="P1450" s="47"/>
      <c r="Q1450" s="46"/>
      <c r="R1450" s="46"/>
      <c r="S1450" s="6" t="str">
        <f>IF($B1450="","",IF(ISNA(MATCH($B1450,账户名,0)),"※这个账户不在【参数设置】的账户档案里",IF($A1450="","※没填日期，这一笔不会进任何月份的报表",IF(AND($G1450&lt;&gt;"",$H1450&lt;&gt;""),"※收入和支出不能同时填",IF(AND(N($G1450)=0,N($H1450)=0),"※收入和支出都没填",IF($E1450="","※没填收支类别，分类报表会漏掉这一笔",IF(ISNA(MATCH($E1450,类别表,0)),"※收支类别不在【参数设置】的清单里",IF($J1450="","△"&amp;$D1450&amp;" 还没填汇率，去【月度汇率】补上就自动算了",IF(YEAR($A1450)&lt;&gt;管理年度,"△不是管理年度的单据，年报里看不到",IF(AND($F1450="内部转账",$Q1450=""),"△内部转账建议在「往来单位」写上对方账户",IF($M1450&lt;0,"△这一笔之后该账户余额成负数了，核一下","")))))))))))</f>
        <v/>
      </c>
    </row>
    <row r="1451" ht="16.5" spans="1:19">
      <c r="A1451" s="45"/>
      <c r="B1451" s="46"/>
      <c r="C1451" s="12" t="str">
        <f>IF($B1451="","",IFERROR(INDEX(账户银行,MATCH($B1451,账户名,0)),""))</f>
        <v/>
      </c>
      <c r="D1451" s="12" t="str">
        <f>IF($B1451="","",IFERROR(INDEX(账户币种,MATCH($B1451,账户名,0)),""))</f>
        <v/>
      </c>
      <c r="E1451" s="47"/>
      <c r="F1451" s="12" t="str">
        <f>IF($E1451="","",IFERROR(INDEX(类别属性,MATCH($E1451,类别表,0)),""))</f>
        <v/>
      </c>
      <c r="G1451" s="48"/>
      <c r="H1451" s="48"/>
      <c r="I1451" s="49"/>
      <c r="J1451" s="24" t="str">
        <f>IF(OR($A1451="",$B1451=""),"",IF($I1451&lt;&gt;"",$I1451,IF($D1451=本位币,1,IFERROR(LOOKUP(2,1/((汇率月份&lt;=$A1451)*(INDEX(记账汇率区,0,MATCH($D1451,汇率币种头,0))&lt;&gt;"")),INDEX(记账汇率区,0,MATCH($D1451,汇率币种头,0))),""))))</f>
        <v/>
      </c>
      <c r="K1451" s="23" t="str">
        <f t="shared" si="44"/>
        <v/>
      </c>
      <c r="L1451" s="23" t="str">
        <f t="shared" si="45"/>
        <v/>
      </c>
      <c r="M1451" s="23" t="str">
        <f>IF($B1451="","",ROUND(SUMIF(账户名,$B1451,账户期初)+SUMIFS($K$6:K1451,$B$6:B1451,$B1451),2))</f>
        <v/>
      </c>
      <c r="N1451" s="23" t="str">
        <f>IF($B1451="","",IFERROR(ROUND(INDEX(账户期初本位,MATCH($B1451,账户名,0))+SUMIFS($L$6:L1451,$B$6:B1451,$B1451),2),""))</f>
        <v/>
      </c>
      <c r="O1451" s="46"/>
      <c r="P1451" s="47"/>
      <c r="Q1451" s="46"/>
      <c r="R1451" s="46"/>
      <c r="S1451" s="6" t="str">
        <f>IF($B1451="","",IF(ISNA(MATCH($B1451,账户名,0)),"※这个账户不在【参数设置】的账户档案里",IF($A1451="","※没填日期，这一笔不会进任何月份的报表",IF(AND($G1451&lt;&gt;"",$H1451&lt;&gt;""),"※收入和支出不能同时填",IF(AND(N($G1451)=0,N($H1451)=0),"※收入和支出都没填",IF($E1451="","※没填收支类别，分类报表会漏掉这一笔",IF(ISNA(MATCH($E1451,类别表,0)),"※收支类别不在【参数设置】的清单里",IF($J1451="","△"&amp;$D1451&amp;" 还没填汇率，去【月度汇率】补上就自动算了",IF(YEAR($A1451)&lt;&gt;管理年度,"△不是管理年度的单据，年报里看不到",IF(AND($F1451="内部转账",$Q1451=""),"△内部转账建议在「往来单位」写上对方账户",IF($M1451&lt;0,"△这一笔之后该账户余额成负数了，核一下","")))))))))))</f>
        <v/>
      </c>
    </row>
    <row r="1452" ht="16.5" spans="1:19">
      <c r="A1452" s="45"/>
      <c r="B1452" s="46"/>
      <c r="C1452" s="12" t="str">
        <f>IF($B1452="","",IFERROR(INDEX(账户银行,MATCH($B1452,账户名,0)),""))</f>
        <v/>
      </c>
      <c r="D1452" s="12" t="str">
        <f>IF($B1452="","",IFERROR(INDEX(账户币种,MATCH($B1452,账户名,0)),""))</f>
        <v/>
      </c>
      <c r="E1452" s="47"/>
      <c r="F1452" s="12" t="str">
        <f>IF($E1452="","",IFERROR(INDEX(类别属性,MATCH($E1452,类别表,0)),""))</f>
        <v/>
      </c>
      <c r="G1452" s="48"/>
      <c r="H1452" s="48"/>
      <c r="I1452" s="49"/>
      <c r="J1452" s="24" t="str">
        <f>IF(OR($A1452="",$B1452=""),"",IF($I1452&lt;&gt;"",$I1452,IF($D1452=本位币,1,IFERROR(LOOKUP(2,1/((汇率月份&lt;=$A1452)*(INDEX(记账汇率区,0,MATCH($D1452,汇率币种头,0))&lt;&gt;"")),INDEX(记账汇率区,0,MATCH($D1452,汇率币种头,0))),""))))</f>
        <v/>
      </c>
      <c r="K1452" s="23" t="str">
        <f t="shared" si="44"/>
        <v/>
      </c>
      <c r="L1452" s="23" t="str">
        <f t="shared" si="45"/>
        <v/>
      </c>
      <c r="M1452" s="23" t="str">
        <f>IF($B1452="","",ROUND(SUMIF(账户名,$B1452,账户期初)+SUMIFS($K$6:K1452,$B$6:B1452,$B1452),2))</f>
        <v/>
      </c>
      <c r="N1452" s="23" t="str">
        <f>IF($B1452="","",IFERROR(ROUND(INDEX(账户期初本位,MATCH($B1452,账户名,0))+SUMIFS($L$6:L1452,$B$6:B1452,$B1452),2),""))</f>
        <v/>
      </c>
      <c r="O1452" s="46"/>
      <c r="P1452" s="47"/>
      <c r="Q1452" s="46"/>
      <c r="R1452" s="46"/>
      <c r="S1452" s="6" t="str">
        <f>IF($B1452="","",IF(ISNA(MATCH($B1452,账户名,0)),"※这个账户不在【参数设置】的账户档案里",IF($A1452="","※没填日期，这一笔不会进任何月份的报表",IF(AND($G1452&lt;&gt;"",$H1452&lt;&gt;""),"※收入和支出不能同时填",IF(AND(N($G1452)=0,N($H1452)=0),"※收入和支出都没填",IF($E1452="","※没填收支类别，分类报表会漏掉这一笔",IF(ISNA(MATCH($E1452,类别表,0)),"※收支类别不在【参数设置】的清单里",IF($J1452="","△"&amp;$D1452&amp;" 还没填汇率，去【月度汇率】补上就自动算了",IF(YEAR($A1452)&lt;&gt;管理年度,"△不是管理年度的单据，年报里看不到",IF(AND($F1452="内部转账",$Q1452=""),"△内部转账建议在「往来单位」写上对方账户",IF($M1452&lt;0,"△这一笔之后该账户余额成负数了，核一下","")))))))))))</f>
        <v/>
      </c>
    </row>
    <row r="1453" ht="16.5" spans="1:19">
      <c r="A1453" s="45"/>
      <c r="B1453" s="46"/>
      <c r="C1453" s="12" t="str">
        <f>IF($B1453="","",IFERROR(INDEX(账户银行,MATCH($B1453,账户名,0)),""))</f>
        <v/>
      </c>
      <c r="D1453" s="12" t="str">
        <f>IF($B1453="","",IFERROR(INDEX(账户币种,MATCH($B1453,账户名,0)),""))</f>
        <v/>
      </c>
      <c r="E1453" s="47"/>
      <c r="F1453" s="12" t="str">
        <f>IF($E1453="","",IFERROR(INDEX(类别属性,MATCH($E1453,类别表,0)),""))</f>
        <v/>
      </c>
      <c r="G1453" s="48"/>
      <c r="H1453" s="48"/>
      <c r="I1453" s="49"/>
      <c r="J1453" s="24" t="str">
        <f>IF(OR($A1453="",$B1453=""),"",IF($I1453&lt;&gt;"",$I1453,IF($D1453=本位币,1,IFERROR(LOOKUP(2,1/((汇率月份&lt;=$A1453)*(INDEX(记账汇率区,0,MATCH($D1453,汇率币种头,0))&lt;&gt;"")),INDEX(记账汇率区,0,MATCH($D1453,汇率币种头,0))),""))))</f>
        <v/>
      </c>
      <c r="K1453" s="23" t="str">
        <f t="shared" si="44"/>
        <v/>
      </c>
      <c r="L1453" s="23" t="str">
        <f t="shared" si="45"/>
        <v/>
      </c>
      <c r="M1453" s="23" t="str">
        <f>IF($B1453="","",ROUND(SUMIF(账户名,$B1453,账户期初)+SUMIFS($K$6:K1453,$B$6:B1453,$B1453),2))</f>
        <v/>
      </c>
      <c r="N1453" s="23" t="str">
        <f>IF($B1453="","",IFERROR(ROUND(INDEX(账户期初本位,MATCH($B1453,账户名,0))+SUMIFS($L$6:L1453,$B$6:B1453,$B1453),2),""))</f>
        <v/>
      </c>
      <c r="O1453" s="46"/>
      <c r="P1453" s="47"/>
      <c r="Q1453" s="46"/>
      <c r="R1453" s="46"/>
      <c r="S1453" s="6" t="str">
        <f>IF($B1453="","",IF(ISNA(MATCH($B1453,账户名,0)),"※这个账户不在【参数设置】的账户档案里",IF($A1453="","※没填日期，这一笔不会进任何月份的报表",IF(AND($G1453&lt;&gt;"",$H1453&lt;&gt;""),"※收入和支出不能同时填",IF(AND(N($G1453)=0,N($H1453)=0),"※收入和支出都没填",IF($E1453="","※没填收支类别，分类报表会漏掉这一笔",IF(ISNA(MATCH($E1453,类别表,0)),"※收支类别不在【参数设置】的清单里",IF($J1453="","△"&amp;$D1453&amp;" 还没填汇率，去【月度汇率】补上就自动算了",IF(YEAR($A1453)&lt;&gt;管理年度,"△不是管理年度的单据，年报里看不到",IF(AND($F1453="内部转账",$Q1453=""),"△内部转账建议在「往来单位」写上对方账户",IF($M1453&lt;0,"△这一笔之后该账户余额成负数了，核一下","")))))))))))</f>
        <v/>
      </c>
    </row>
    <row r="1454" ht="16.5" spans="1:19">
      <c r="A1454" s="45"/>
      <c r="B1454" s="46"/>
      <c r="C1454" s="12" t="str">
        <f>IF($B1454="","",IFERROR(INDEX(账户银行,MATCH($B1454,账户名,0)),""))</f>
        <v/>
      </c>
      <c r="D1454" s="12" t="str">
        <f>IF($B1454="","",IFERROR(INDEX(账户币种,MATCH($B1454,账户名,0)),""))</f>
        <v/>
      </c>
      <c r="E1454" s="47"/>
      <c r="F1454" s="12" t="str">
        <f>IF($E1454="","",IFERROR(INDEX(类别属性,MATCH($E1454,类别表,0)),""))</f>
        <v/>
      </c>
      <c r="G1454" s="48"/>
      <c r="H1454" s="48"/>
      <c r="I1454" s="49"/>
      <c r="J1454" s="24" t="str">
        <f>IF(OR($A1454="",$B1454=""),"",IF($I1454&lt;&gt;"",$I1454,IF($D1454=本位币,1,IFERROR(LOOKUP(2,1/((汇率月份&lt;=$A1454)*(INDEX(记账汇率区,0,MATCH($D1454,汇率币种头,0))&lt;&gt;"")),INDEX(记账汇率区,0,MATCH($D1454,汇率币种头,0))),""))))</f>
        <v/>
      </c>
      <c r="K1454" s="23" t="str">
        <f t="shared" si="44"/>
        <v/>
      </c>
      <c r="L1454" s="23" t="str">
        <f t="shared" si="45"/>
        <v/>
      </c>
      <c r="M1454" s="23" t="str">
        <f>IF($B1454="","",ROUND(SUMIF(账户名,$B1454,账户期初)+SUMIFS($K$6:K1454,$B$6:B1454,$B1454),2))</f>
        <v/>
      </c>
      <c r="N1454" s="23" t="str">
        <f>IF($B1454="","",IFERROR(ROUND(INDEX(账户期初本位,MATCH($B1454,账户名,0))+SUMIFS($L$6:L1454,$B$6:B1454,$B1454),2),""))</f>
        <v/>
      </c>
      <c r="O1454" s="46"/>
      <c r="P1454" s="47"/>
      <c r="Q1454" s="46"/>
      <c r="R1454" s="46"/>
      <c r="S1454" s="6" t="str">
        <f>IF($B1454="","",IF(ISNA(MATCH($B1454,账户名,0)),"※这个账户不在【参数设置】的账户档案里",IF($A1454="","※没填日期，这一笔不会进任何月份的报表",IF(AND($G1454&lt;&gt;"",$H1454&lt;&gt;""),"※收入和支出不能同时填",IF(AND(N($G1454)=0,N($H1454)=0),"※收入和支出都没填",IF($E1454="","※没填收支类别，分类报表会漏掉这一笔",IF(ISNA(MATCH($E1454,类别表,0)),"※收支类别不在【参数设置】的清单里",IF($J1454="","△"&amp;$D1454&amp;" 还没填汇率，去【月度汇率】补上就自动算了",IF(YEAR($A1454)&lt;&gt;管理年度,"△不是管理年度的单据，年报里看不到",IF(AND($F1454="内部转账",$Q1454=""),"△内部转账建议在「往来单位」写上对方账户",IF($M1454&lt;0,"△这一笔之后该账户余额成负数了，核一下","")))))))))))</f>
        <v/>
      </c>
    </row>
    <row r="1455" ht="16.5" spans="1:19">
      <c r="A1455" s="45"/>
      <c r="B1455" s="46"/>
      <c r="C1455" s="12" t="str">
        <f>IF($B1455="","",IFERROR(INDEX(账户银行,MATCH($B1455,账户名,0)),""))</f>
        <v/>
      </c>
      <c r="D1455" s="12" t="str">
        <f>IF($B1455="","",IFERROR(INDEX(账户币种,MATCH($B1455,账户名,0)),""))</f>
        <v/>
      </c>
      <c r="E1455" s="47"/>
      <c r="F1455" s="12" t="str">
        <f>IF($E1455="","",IFERROR(INDEX(类别属性,MATCH($E1455,类别表,0)),""))</f>
        <v/>
      </c>
      <c r="G1455" s="48"/>
      <c r="H1455" s="48"/>
      <c r="I1455" s="49"/>
      <c r="J1455" s="24" t="str">
        <f>IF(OR($A1455="",$B1455=""),"",IF($I1455&lt;&gt;"",$I1455,IF($D1455=本位币,1,IFERROR(LOOKUP(2,1/((汇率月份&lt;=$A1455)*(INDEX(记账汇率区,0,MATCH($D1455,汇率币种头,0))&lt;&gt;"")),INDEX(记账汇率区,0,MATCH($D1455,汇率币种头,0))),""))))</f>
        <v/>
      </c>
      <c r="K1455" s="23" t="str">
        <f t="shared" si="44"/>
        <v/>
      </c>
      <c r="L1455" s="23" t="str">
        <f t="shared" si="45"/>
        <v/>
      </c>
      <c r="M1455" s="23" t="str">
        <f>IF($B1455="","",ROUND(SUMIF(账户名,$B1455,账户期初)+SUMIFS($K$6:K1455,$B$6:B1455,$B1455),2))</f>
        <v/>
      </c>
      <c r="N1455" s="23" t="str">
        <f>IF($B1455="","",IFERROR(ROUND(INDEX(账户期初本位,MATCH($B1455,账户名,0))+SUMIFS($L$6:L1455,$B$6:B1455,$B1455),2),""))</f>
        <v/>
      </c>
      <c r="O1455" s="46"/>
      <c r="P1455" s="47"/>
      <c r="Q1455" s="46"/>
      <c r="R1455" s="46"/>
      <c r="S1455" s="6" t="str">
        <f>IF($B1455="","",IF(ISNA(MATCH($B1455,账户名,0)),"※这个账户不在【参数设置】的账户档案里",IF($A1455="","※没填日期，这一笔不会进任何月份的报表",IF(AND($G1455&lt;&gt;"",$H1455&lt;&gt;""),"※收入和支出不能同时填",IF(AND(N($G1455)=0,N($H1455)=0),"※收入和支出都没填",IF($E1455="","※没填收支类别，分类报表会漏掉这一笔",IF(ISNA(MATCH($E1455,类别表,0)),"※收支类别不在【参数设置】的清单里",IF($J1455="","△"&amp;$D1455&amp;" 还没填汇率，去【月度汇率】补上就自动算了",IF(YEAR($A1455)&lt;&gt;管理年度,"△不是管理年度的单据，年报里看不到",IF(AND($F1455="内部转账",$Q1455=""),"△内部转账建议在「往来单位」写上对方账户",IF($M1455&lt;0,"△这一笔之后该账户余额成负数了，核一下","")))))))))))</f>
        <v/>
      </c>
    </row>
    <row r="1456" ht="16.5" spans="1:19">
      <c r="A1456" s="45"/>
      <c r="B1456" s="46"/>
      <c r="C1456" s="12" t="str">
        <f>IF($B1456="","",IFERROR(INDEX(账户银行,MATCH($B1456,账户名,0)),""))</f>
        <v/>
      </c>
      <c r="D1456" s="12" t="str">
        <f>IF($B1456="","",IFERROR(INDEX(账户币种,MATCH($B1456,账户名,0)),""))</f>
        <v/>
      </c>
      <c r="E1456" s="47"/>
      <c r="F1456" s="12" t="str">
        <f>IF($E1456="","",IFERROR(INDEX(类别属性,MATCH($E1456,类别表,0)),""))</f>
        <v/>
      </c>
      <c r="G1456" s="48"/>
      <c r="H1456" s="48"/>
      <c r="I1456" s="49"/>
      <c r="J1456" s="24" t="str">
        <f>IF(OR($A1456="",$B1456=""),"",IF($I1456&lt;&gt;"",$I1456,IF($D1456=本位币,1,IFERROR(LOOKUP(2,1/((汇率月份&lt;=$A1456)*(INDEX(记账汇率区,0,MATCH($D1456,汇率币种头,0))&lt;&gt;"")),INDEX(记账汇率区,0,MATCH($D1456,汇率币种头,0))),""))))</f>
        <v/>
      </c>
      <c r="K1456" s="23" t="str">
        <f t="shared" si="44"/>
        <v/>
      </c>
      <c r="L1456" s="23" t="str">
        <f t="shared" si="45"/>
        <v/>
      </c>
      <c r="M1456" s="23" t="str">
        <f>IF($B1456="","",ROUND(SUMIF(账户名,$B1456,账户期初)+SUMIFS($K$6:K1456,$B$6:B1456,$B1456),2))</f>
        <v/>
      </c>
      <c r="N1456" s="23" t="str">
        <f>IF($B1456="","",IFERROR(ROUND(INDEX(账户期初本位,MATCH($B1456,账户名,0))+SUMIFS($L$6:L1456,$B$6:B1456,$B1456),2),""))</f>
        <v/>
      </c>
      <c r="O1456" s="46"/>
      <c r="P1456" s="47"/>
      <c r="Q1456" s="46"/>
      <c r="R1456" s="46"/>
      <c r="S1456" s="6" t="str">
        <f>IF($B1456="","",IF(ISNA(MATCH($B1456,账户名,0)),"※这个账户不在【参数设置】的账户档案里",IF($A1456="","※没填日期，这一笔不会进任何月份的报表",IF(AND($G1456&lt;&gt;"",$H1456&lt;&gt;""),"※收入和支出不能同时填",IF(AND(N($G1456)=0,N($H1456)=0),"※收入和支出都没填",IF($E1456="","※没填收支类别，分类报表会漏掉这一笔",IF(ISNA(MATCH($E1456,类别表,0)),"※收支类别不在【参数设置】的清单里",IF($J1456="","△"&amp;$D1456&amp;" 还没填汇率，去【月度汇率】补上就自动算了",IF(YEAR($A1456)&lt;&gt;管理年度,"△不是管理年度的单据，年报里看不到",IF(AND($F1456="内部转账",$Q1456=""),"△内部转账建议在「往来单位」写上对方账户",IF($M1456&lt;0,"△这一笔之后该账户余额成负数了，核一下","")))))))))))</f>
        <v/>
      </c>
    </row>
    <row r="1457" ht="16.5" spans="1:19">
      <c r="A1457" s="45"/>
      <c r="B1457" s="46"/>
      <c r="C1457" s="12" t="str">
        <f>IF($B1457="","",IFERROR(INDEX(账户银行,MATCH($B1457,账户名,0)),""))</f>
        <v/>
      </c>
      <c r="D1457" s="12" t="str">
        <f>IF($B1457="","",IFERROR(INDEX(账户币种,MATCH($B1457,账户名,0)),""))</f>
        <v/>
      </c>
      <c r="E1457" s="47"/>
      <c r="F1457" s="12" t="str">
        <f>IF($E1457="","",IFERROR(INDEX(类别属性,MATCH($E1457,类别表,0)),""))</f>
        <v/>
      </c>
      <c r="G1457" s="48"/>
      <c r="H1457" s="48"/>
      <c r="I1457" s="49"/>
      <c r="J1457" s="24" t="str">
        <f>IF(OR($A1457="",$B1457=""),"",IF($I1457&lt;&gt;"",$I1457,IF($D1457=本位币,1,IFERROR(LOOKUP(2,1/((汇率月份&lt;=$A1457)*(INDEX(记账汇率区,0,MATCH($D1457,汇率币种头,0))&lt;&gt;"")),INDEX(记账汇率区,0,MATCH($D1457,汇率币种头,0))),""))))</f>
        <v/>
      </c>
      <c r="K1457" s="23" t="str">
        <f t="shared" si="44"/>
        <v/>
      </c>
      <c r="L1457" s="23" t="str">
        <f t="shared" si="45"/>
        <v/>
      </c>
      <c r="M1457" s="23" t="str">
        <f>IF($B1457="","",ROUND(SUMIF(账户名,$B1457,账户期初)+SUMIFS($K$6:K1457,$B$6:B1457,$B1457),2))</f>
        <v/>
      </c>
      <c r="N1457" s="23" t="str">
        <f>IF($B1457="","",IFERROR(ROUND(INDEX(账户期初本位,MATCH($B1457,账户名,0))+SUMIFS($L$6:L1457,$B$6:B1457,$B1457),2),""))</f>
        <v/>
      </c>
      <c r="O1457" s="46"/>
      <c r="P1457" s="47"/>
      <c r="Q1457" s="46"/>
      <c r="R1457" s="46"/>
      <c r="S1457" s="6" t="str">
        <f>IF($B1457="","",IF(ISNA(MATCH($B1457,账户名,0)),"※这个账户不在【参数设置】的账户档案里",IF($A1457="","※没填日期，这一笔不会进任何月份的报表",IF(AND($G1457&lt;&gt;"",$H1457&lt;&gt;""),"※收入和支出不能同时填",IF(AND(N($G1457)=0,N($H1457)=0),"※收入和支出都没填",IF($E1457="","※没填收支类别，分类报表会漏掉这一笔",IF(ISNA(MATCH($E1457,类别表,0)),"※收支类别不在【参数设置】的清单里",IF($J1457="","△"&amp;$D1457&amp;" 还没填汇率，去【月度汇率】补上就自动算了",IF(YEAR($A1457)&lt;&gt;管理年度,"△不是管理年度的单据，年报里看不到",IF(AND($F1457="内部转账",$Q1457=""),"△内部转账建议在「往来单位」写上对方账户",IF($M1457&lt;0,"△这一笔之后该账户余额成负数了，核一下","")))))))))))</f>
        <v/>
      </c>
    </row>
    <row r="1458" ht="16.5" spans="1:19">
      <c r="A1458" s="45"/>
      <c r="B1458" s="46"/>
      <c r="C1458" s="12" t="str">
        <f>IF($B1458="","",IFERROR(INDEX(账户银行,MATCH($B1458,账户名,0)),""))</f>
        <v/>
      </c>
      <c r="D1458" s="12" t="str">
        <f>IF($B1458="","",IFERROR(INDEX(账户币种,MATCH($B1458,账户名,0)),""))</f>
        <v/>
      </c>
      <c r="E1458" s="47"/>
      <c r="F1458" s="12" t="str">
        <f>IF($E1458="","",IFERROR(INDEX(类别属性,MATCH($E1458,类别表,0)),""))</f>
        <v/>
      </c>
      <c r="G1458" s="48"/>
      <c r="H1458" s="48"/>
      <c r="I1458" s="49"/>
      <c r="J1458" s="24" t="str">
        <f>IF(OR($A1458="",$B1458=""),"",IF($I1458&lt;&gt;"",$I1458,IF($D1458=本位币,1,IFERROR(LOOKUP(2,1/((汇率月份&lt;=$A1458)*(INDEX(记账汇率区,0,MATCH($D1458,汇率币种头,0))&lt;&gt;"")),INDEX(记账汇率区,0,MATCH($D1458,汇率币种头,0))),""))))</f>
        <v/>
      </c>
      <c r="K1458" s="23" t="str">
        <f t="shared" si="44"/>
        <v/>
      </c>
      <c r="L1458" s="23" t="str">
        <f t="shared" si="45"/>
        <v/>
      </c>
      <c r="M1458" s="23" t="str">
        <f>IF($B1458="","",ROUND(SUMIF(账户名,$B1458,账户期初)+SUMIFS($K$6:K1458,$B$6:B1458,$B1458),2))</f>
        <v/>
      </c>
      <c r="N1458" s="23" t="str">
        <f>IF($B1458="","",IFERROR(ROUND(INDEX(账户期初本位,MATCH($B1458,账户名,0))+SUMIFS($L$6:L1458,$B$6:B1458,$B1458),2),""))</f>
        <v/>
      </c>
      <c r="O1458" s="46"/>
      <c r="P1458" s="47"/>
      <c r="Q1458" s="46"/>
      <c r="R1458" s="46"/>
      <c r="S1458" s="6" t="str">
        <f>IF($B1458="","",IF(ISNA(MATCH($B1458,账户名,0)),"※这个账户不在【参数设置】的账户档案里",IF($A1458="","※没填日期，这一笔不会进任何月份的报表",IF(AND($G1458&lt;&gt;"",$H1458&lt;&gt;""),"※收入和支出不能同时填",IF(AND(N($G1458)=0,N($H1458)=0),"※收入和支出都没填",IF($E1458="","※没填收支类别，分类报表会漏掉这一笔",IF(ISNA(MATCH($E1458,类别表,0)),"※收支类别不在【参数设置】的清单里",IF($J1458="","△"&amp;$D1458&amp;" 还没填汇率，去【月度汇率】补上就自动算了",IF(YEAR($A1458)&lt;&gt;管理年度,"△不是管理年度的单据，年报里看不到",IF(AND($F1458="内部转账",$Q1458=""),"△内部转账建议在「往来单位」写上对方账户",IF($M1458&lt;0,"△这一笔之后该账户余额成负数了，核一下","")))))))))))</f>
        <v/>
      </c>
    </row>
    <row r="1459" ht="16.5" spans="1:19">
      <c r="A1459" s="45"/>
      <c r="B1459" s="46"/>
      <c r="C1459" s="12" t="str">
        <f>IF($B1459="","",IFERROR(INDEX(账户银行,MATCH($B1459,账户名,0)),""))</f>
        <v/>
      </c>
      <c r="D1459" s="12" t="str">
        <f>IF($B1459="","",IFERROR(INDEX(账户币种,MATCH($B1459,账户名,0)),""))</f>
        <v/>
      </c>
      <c r="E1459" s="47"/>
      <c r="F1459" s="12" t="str">
        <f>IF($E1459="","",IFERROR(INDEX(类别属性,MATCH($E1459,类别表,0)),""))</f>
        <v/>
      </c>
      <c r="G1459" s="48"/>
      <c r="H1459" s="48"/>
      <c r="I1459" s="49"/>
      <c r="J1459" s="24" t="str">
        <f>IF(OR($A1459="",$B1459=""),"",IF($I1459&lt;&gt;"",$I1459,IF($D1459=本位币,1,IFERROR(LOOKUP(2,1/((汇率月份&lt;=$A1459)*(INDEX(记账汇率区,0,MATCH($D1459,汇率币种头,0))&lt;&gt;"")),INDEX(记账汇率区,0,MATCH($D1459,汇率币种头,0))),""))))</f>
        <v/>
      </c>
      <c r="K1459" s="23" t="str">
        <f t="shared" si="44"/>
        <v/>
      </c>
      <c r="L1459" s="23" t="str">
        <f t="shared" si="45"/>
        <v/>
      </c>
      <c r="M1459" s="23" t="str">
        <f>IF($B1459="","",ROUND(SUMIF(账户名,$B1459,账户期初)+SUMIFS($K$6:K1459,$B$6:B1459,$B1459),2))</f>
        <v/>
      </c>
      <c r="N1459" s="23" t="str">
        <f>IF($B1459="","",IFERROR(ROUND(INDEX(账户期初本位,MATCH($B1459,账户名,0))+SUMIFS($L$6:L1459,$B$6:B1459,$B1459),2),""))</f>
        <v/>
      </c>
      <c r="O1459" s="46"/>
      <c r="P1459" s="47"/>
      <c r="Q1459" s="46"/>
      <c r="R1459" s="46"/>
      <c r="S1459" s="6" t="str">
        <f>IF($B1459="","",IF(ISNA(MATCH($B1459,账户名,0)),"※这个账户不在【参数设置】的账户档案里",IF($A1459="","※没填日期，这一笔不会进任何月份的报表",IF(AND($G1459&lt;&gt;"",$H1459&lt;&gt;""),"※收入和支出不能同时填",IF(AND(N($G1459)=0,N($H1459)=0),"※收入和支出都没填",IF($E1459="","※没填收支类别，分类报表会漏掉这一笔",IF(ISNA(MATCH($E1459,类别表,0)),"※收支类别不在【参数设置】的清单里",IF($J1459="","△"&amp;$D1459&amp;" 还没填汇率，去【月度汇率】补上就自动算了",IF(YEAR($A1459)&lt;&gt;管理年度,"△不是管理年度的单据，年报里看不到",IF(AND($F1459="内部转账",$Q1459=""),"△内部转账建议在「往来单位」写上对方账户",IF($M1459&lt;0,"△这一笔之后该账户余额成负数了，核一下","")))))))))))</f>
        <v/>
      </c>
    </row>
    <row r="1460" ht="16.5" spans="1:19">
      <c r="A1460" s="45"/>
      <c r="B1460" s="46"/>
      <c r="C1460" s="12" t="str">
        <f>IF($B1460="","",IFERROR(INDEX(账户银行,MATCH($B1460,账户名,0)),""))</f>
        <v/>
      </c>
      <c r="D1460" s="12" t="str">
        <f>IF($B1460="","",IFERROR(INDEX(账户币种,MATCH($B1460,账户名,0)),""))</f>
        <v/>
      </c>
      <c r="E1460" s="47"/>
      <c r="F1460" s="12" t="str">
        <f>IF($E1460="","",IFERROR(INDEX(类别属性,MATCH($E1460,类别表,0)),""))</f>
        <v/>
      </c>
      <c r="G1460" s="48"/>
      <c r="H1460" s="48"/>
      <c r="I1460" s="49"/>
      <c r="J1460" s="24" t="str">
        <f>IF(OR($A1460="",$B1460=""),"",IF($I1460&lt;&gt;"",$I1460,IF($D1460=本位币,1,IFERROR(LOOKUP(2,1/((汇率月份&lt;=$A1460)*(INDEX(记账汇率区,0,MATCH($D1460,汇率币种头,0))&lt;&gt;"")),INDEX(记账汇率区,0,MATCH($D1460,汇率币种头,0))),""))))</f>
        <v/>
      </c>
      <c r="K1460" s="23" t="str">
        <f t="shared" si="44"/>
        <v/>
      </c>
      <c r="L1460" s="23" t="str">
        <f t="shared" si="45"/>
        <v/>
      </c>
      <c r="M1460" s="23" t="str">
        <f>IF($B1460="","",ROUND(SUMIF(账户名,$B1460,账户期初)+SUMIFS($K$6:K1460,$B$6:B1460,$B1460),2))</f>
        <v/>
      </c>
      <c r="N1460" s="23" t="str">
        <f>IF($B1460="","",IFERROR(ROUND(INDEX(账户期初本位,MATCH($B1460,账户名,0))+SUMIFS($L$6:L1460,$B$6:B1460,$B1460),2),""))</f>
        <v/>
      </c>
      <c r="O1460" s="46"/>
      <c r="P1460" s="47"/>
      <c r="Q1460" s="46"/>
      <c r="R1460" s="46"/>
      <c r="S1460" s="6" t="str">
        <f>IF($B1460="","",IF(ISNA(MATCH($B1460,账户名,0)),"※这个账户不在【参数设置】的账户档案里",IF($A1460="","※没填日期，这一笔不会进任何月份的报表",IF(AND($G1460&lt;&gt;"",$H1460&lt;&gt;""),"※收入和支出不能同时填",IF(AND(N($G1460)=0,N($H1460)=0),"※收入和支出都没填",IF($E1460="","※没填收支类别，分类报表会漏掉这一笔",IF(ISNA(MATCH($E1460,类别表,0)),"※收支类别不在【参数设置】的清单里",IF($J1460="","△"&amp;$D1460&amp;" 还没填汇率，去【月度汇率】补上就自动算了",IF(YEAR($A1460)&lt;&gt;管理年度,"△不是管理年度的单据，年报里看不到",IF(AND($F1460="内部转账",$Q1460=""),"△内部转账建议在「往来单位」写上对方账户",IF($M1460&lt;0,"△这一笔之后该账户余额成负数了，核一下","")))))))))))</f>
        <v/>
      </c>
    </row>
    <row r="1461" ht="16.5" spans="1:19">
      <c r="A1461" s="45"/>
      <c r="B1461" s="46"/>
      <c r="C1461" s="12" t="str">
        <f>IF($B1461="","",IFERROR(INDEX(账户银行,MATCH($B1461,账户名,0)),""))</f>
        <v/>
      </c>
      <c r="D1461" s="12" t="str">
        <f>IF($B1461="","",IFERROR(INDEX(账户币种,MATCH($B1461,账户名,0)),""))</f>
        <v/>
      </c>
      <c r="E1461" s="47"/>
      <c r="F1461" s="12" t="str">
        <f>IF($E1461="","",IFERROR(INDEX(类别属性,MATCH($E1461,类别表,0)),""))</f>
        <v/>
      </c>
      <c r="G1461" s="48"/>
      <c r="H1461" s="48"/>
      <c r="I1461" s="49"/>
      <c r="J1461" s="24" t="str">
        <f>IF(OR($A1461="",$B1461=""),"",IF($I1461&lt;&gt;"",$I1461,IF($D1461=本位币,1,IFERROR(LOOKUP(2,1/((汇率月份&lt;=$A1461)*(INDEX(记账汇率区,0,MATCH($D1461,汇率币种头,0))&lt;&gt;"")),INDEX(记账汇率区,0,MATCH($D1461,汇率币种头,0))),""))))</f>
        <v/>
      </c>
      <c r="K1461" s="23" t="str">
        <f t="shared" si="44"/>
        <v/>
      </c>
      <c r="L1461" s="23" t="str">
        <f t="shared" si="45"/>
        <v/>
      </c>
      <c r="M1461" s="23" t="str">
        <f>IF($B1461="","",ROUND(SUMIF(账户名,$B1461,账户期初)+SUMIFS($K$6:K1461,$B$6:B1461,$B1461),2))</f>
        <v/>
      </c>
      <c r="N1461" s="23" t="str">
        <f>IF($B1461="","",IFERROR(ROUND(INDEX(账户期初本位,MATCH($B1461,账户名,0))+SUMIFS($L$6:L1461,$B$6:B1461,$B1461),2),""))</f>
        <v/>
      </c>
      <c r="O1461" s="46"/>
      <c r="P1461" s="47"/>
      <c r="Q1461" s="46"/>
      <c r="R1461" s="46"/>
      <c r="S1461" s="6" t="str">
        <f>IF($B1461="","",IF(ISNA(MATCH($B1461,账户名,0)),"※这个账户不在【参数设置】的账户档案里",IF($A1461="","※没填日期，这一笔不会进任何月份的报表",IF(AND($G1461&lt;&gt;"",$H1461&lt;&gt;""),"※收入和支出不能同时填",IF(AND(N($G1461)=0,N($H1461)=0),"※收入和支出都没填",IF($E1461="","※没填收支类别，分类报表会漏掉这一笔",IF(ISNA(MATCH($E1461,类别表,0)),"※收支类别不在【参数设置】的清单里",IF($J1461="","△"&amp;$D1461&amp;" 还没填汇率，去【月度汇率】补上就自动算了",IF(YEAR($A1461)&lt;&gt;管理年度,"△不是管理年度的单据，年报里看不到",IF(AND($F1461="内部转账",$Q1461=""),"△内部转账建议在「往来单位」写上对方账户",IF($M1461&lt;0,"△这一笔之后该账户余额成负数了，核一下","")))))))))))</f>
        <v/>
      </c>
    </row>
    <row r="1462" ht="16.5" spans="1:19">
      <c r="A1462" s="45"/>
      <c r="B1462" s="46"/>
      <c r="C1462" s="12" t="str">
        <f>IF($B1462="","",IFERROR(INDEX(账户银行,MATCH($B1462,账户名,0)),""))</f>
        <v/>
      </c>
      <c r="D1462" s="12" t="str">
        <f>IF($B1462="","",IFERROR(INDEX(账户币种,MATCH($B1462,账户名,0)),""))</f>
        <v/>
      </c>
      <c r="E1462" s="47"/>
      <c r="F1462" s="12" t="str">
        <f>IF($E1462="","",IFERROR(INDEX(类别属性,MATCH($E1462,类别表,0)),""))</f>
        <v/>
      </c>
      <c r="G1462" s="48"/>
      <c r="H1462" s="48"/>
      <c r="I1462" s="49"/>
      <c r="J1462" s="24" t="str">
        <f>IF(OR($A1462="",$B1462=""),"",IF($I1462&lt;&gt;"",$I1462,IF($D1462=本位币,1,IFERROR(LOOKUP(2,1/((汇率月份&lt;=$A1462)*(INDEX(记账汇率区,0,MATCH($D1462,汇率币种头,0))&lt;&gt;"")),INDEX(记账汇率区,0,MATCH($D1462,汇率币种头,0))),""))))</f>
        <v/>
      </c>
      <c r="K1462" s="23" t="str">
        <f t="shared" si="44"/>
        <v/>
      </c>
      <c r="L1462" s="23" t="str">
        <f t="shared" si="45"/>
        <v/>
      </c>
      <c r="M1462" s="23" t="str">
        <f>IF($B1462="","",ROUND(SUMIF(账户名,$B1462,账户期初)+SUMIFS($K$6:K1462,$B$6:B1462,$B1462),2))</f>
        <v/>
      </c>
      <c r="N1462" s="23" t="str">
        <f>IF($B1462="","",IFERROR(ROUND(INDEX(账户期初本位,MATCH($B1462,账户名,0))+SUMIFS($L$6:L1462,$B$6:B1462,$B1462),2),""))</f>
        <v/>
      </c>
      <c r="O1462" s="46"/>
      <c r="P1462" s="47"/>
      <c r="Q1462" s="46"/>
      <c r="R1462" s="46"/>
      <c r="S1462" s="6" t="str">
        <f>IF($B1462="","",IF(ISNA(MATCH($B1462,账户名,0)),"※这个账户不在【参数设置】的账户档案里",IF($A1462="","※没填日期，这一笔不会进任何月份的报表",IF(AND($G1462&lt;&gt;"",$H1462&lt;&gt;""),"※收入和支出不能同时填",IF(AND(N($G1462)=0,N($H1462)=0),"※收入和支出都没填",IF($E1462="","※没填收支类别，分类报表会漏掉这一笔",IF(ISNA(MATCH($E1462,类别表,0)),"※收支类别不在【参数设置】的清单里",IF($J1462="","△"&amp;$D1462&amp;" 还没填汇率，去【月度汇率】补上就自动算了",IF(YEAR($A1462)&lt;&gt;管理年度,"△不是管理年度的单据，年报里看不到",IF(AND($F1462="内部转账",$Q1462=""),"△内部转账建议在「往来单位」写上对方账户",IF($M1462&lt;0,"△这一笔之后该账户余额成负数了，核一下","")))))))))))</f>
        <v/>
      </c>
    </row>
    <row r="1463" ht="16.5" spans="1:19">
      <c r="A1463" s="45"/>
      <c r="B1463" s="46"/>
      <c r="C1463" s="12" t="str">
        <f>IF($B1463="","",IFERROR(INDEX(账户银行,MATCH($B1463,账户名,0)),""))</f>
        <v/>
      </c>
      <c r="D1463" s="12" t="str">
        <f>IF($B1463="","",IFERROR(INDEX(账户币种,MATCH($B1463,账户名,0)),""))</f>
        <v/>
      </c>
      <c r="E1463" s="47"/>
      <c r="F1463" s="12" t="str">
        <f>IF($E1463="","",IFERROR(INDEX(类别属性,MATCH($E1463,类别表,0)),""))</f>
        <v/>
      </c>
      <c r="G1463" s="48"/>
      <c r="H1463" s="48"/>
      <c r="I1463" s="49"/>
      <c r="J1463" s="24" t="str">
        <f>IF(OR($A1463="",$B1463=""),"",IF($I1463&lt;&gt;"",$I1463,IF($D1463=本位币,1,IFERROR(LOOKUP(2,1/((汇率月份&lt;=$A1463)*(INDEX(记账汇率区,0,MATCH($D1463,汇率币种头,0))&lt;&gt;"")),INDEX(记账汇率区,0,MATCH($D1463,汇率币种头,0))),""))))</f>
        <v/>
      </c>
      <c r="K1463" s="23" t="str">
        <f t="shared" si="44"/>
        <v/>
      </c>
      <c r="L1463" s="23" t="str">
        <f t="shared" si="45"/>
        <v/>
      </c>
      <c r="M1463" s="23" t="str">
        <f>IF($B1463="","",ROUND(SUMIF(账户名,$B1463,账户期初)+SUMIFS($K$6:K1463,$B$6:B1463,$B1463),2))</f>
        <v/>
      </c>
      <c r="N1463" s="23" t="str">
        <f>IF($B1463="","",IFERROR(ROUND(INDEX(账户期初本位,MATCH($B1463,账户名,0))+SUMIFS($L$6:L1463,$B$6:B1463,$B1463),2),""))</f>
        <v/>
      </c>
      <c r="O1463" s="46"/>
      <c r="P1463" s="47"/>
      <c r="Q1463" s="46"/>
      <c r="R1463" s="46"/>
      <c r="S1463" s="6" t="str">
        <f>IF($B1463="","",IF(ISNA(MATCH($B1463,账户名,0)),"※这个账户不在【参数设置】的账户档案里",IF($A1463="","※没填日期，这一笔不会进任何月份的报表",IF(AND($G1463&lt;&gt;"",$H1463&lt;&gt;""),"※收入和支出不能同时填",IF(AND(N($G1463)=0,N($H1463)=0),"※收入和支出都没填",IF($E1463="","※没填收支类别，分类报表会漏掉这一笔",IF(ISNA(MATCH($E1463,类别表,0)),"※收支类别不在【参数设置】的清单里",IF($J1463="","△"&amp;$D1463&amp;" 还没填汇率，去【月度汇率】补上就自动算了",IF(YEAR($A1463)&lt;&gt;管理年度,"△不是管理年度的单据，年报里看不到",IF(AND($F1463="内部转账",$Q1463=""),"△内部转账建议在「往来单位」写上对方账户",IF($M1463&lt;0,"△这一笔之后该账户余额成负数了，核一下","")))))))))))</f>
        <v/>
      </c>
    </row>
    <row r="1464" ht="16.5" spans="1:19">
      <c r="A1464" s="45"/>
      <c r="B1464" s="46"/>
      <c r="C1464" s="12" t="str">
        <f>IF($B1464="","",IFERROR(INDEX(账户银行,MATCH($B1464,账户名,0)),""))</f>
        <v/>
      </c>
      <c r="D1464" s="12" t="str">
        <f>IF($B1464="","",IFERROR(INDEX(账户币种,MATCH($B1464,账户名,0)),""))</f>
        <v/>
      </c>
      <c r="E1464" s="47"/>
      <c r="F1464" s="12" t="str">
        <f>IF($E1464="","",IFERROR(INDEX(类别属性,MATCH($E1464,类别表,0)),""))</f>
        <v/>
      </c>
      <c r="G1464" s="48"/>
      <c r="H1464" s="48"/>
      <c r="I1464" s="49"/>
      <c r="J1464" s="24" t="str">
        <f>IF(OR($A1464="",$B1464=""),"",IF($I1464&lt;&gt;"",$I1464,IF($D1464=本位币,1,IFERROR(LOOKUP(2,1/((汇率月份&lt;=$A1464)*(INDEX(记账汇率区,0,MATCH($D1464,汇率币种头,0))&lt;&gt;"")),INDEX(记账汇率区,0,MATCH($D1464,汇率币种头,0))),""))))</f>
        <v/>
      </c>
      <c r="K1464" s="23" t="str">
        <f t="shared" si="44"/>
        <v/>
      </c>
      <c r="L1464" s="23" t="str">
        <f t="shared" si="45"/>
        <v/>
      </c>
      <c r="M1464" s="23" t="str">
        <f>IF($B1464="","",ROUND(SUMIF(账户名,$B1464,账户期初)+SUMIFS($K$6:K1464,$B$6:B1464,$B1464),2))</f>
        <v/>
      </c>
      <c r="N1464" s="23" t="str">
        <f>IF($B1464="","",IFERROR(ROUND(INDEX(账户期初本位,MATCH($B1464,账户名,0))+SUMIFS($L$6:L1464,$B$6:B1464,$B1464),2),""))</f>
        <v/>
      </c>
      <c r="O1464" s="46"/>
      <c r="P1464" s="47"/>
      <c r="Q1464" s="46"/>
      <c r="R1464" s="46"/>
      <c r="S1464" s="6" t="str">
        <f>IF($B1464="","",IF(ISNA(MATCH($B1464,账户名,0)),"※这个账户不在【参数设置】的账户档案里",IF($A1464="","※没填日期，这一笔不会进任何月份的报表",IF(AND($G1464&lt;&gt;"",$H1464&lt;&gt;""),"※收入和支出不能同时填",IF(AND(N($G1464)=0,N($H1464)=0),"※收入和支出都没填",IF($E1464="","※没填收支类别，分类报表会漏掉这一笔",IF(ISNA(MATCH($E1464,类别表,0)),"※收支类别不在【参数设置】的清单里",IF($J1464="","△"&amp;$D1464&amp;" 还没填汇率，去【月度汇率】补上就自动算了",IF(YEAR($A1464)&lt;&gt;管理年度,"△不是管理年度的单据，年报里看不到",IF(AND($F1464="内部转账",$Q1464=""),"△内部转账建议在「往来单位」写上对方账户",IF($M1464&lt;0,"△这一笔之后该账户余额成负数了，核一下","")))))))))))</f>
        <v/>
      </c>
    </row>
    <row r="1465" ht="16.5" spans="1:19">
      <c r="A1465" s="45"/>
      <c r="B1465" s="46"/>
      <c r="C1465" s="12" t="str">
        <f>IF($B1465="","",IFERROR(INDEX(账户银行,MATCH($B1465,账户名,0)),""))</f>
        <v/>
      </c>
      <c r="D1465" s="12" t="str">
        <f>IF($B1465="","",IFERROR(INDEX(账户币种,MATCH($B1465,账户名,0)),""))</f>
        <v/>
      </c>
      <c r="E1465" s="47"/>
      <c r="F1465" s="12" t="str">
        <f>IF($E1465="","",IFERROR(INDEX(类别属性,MATCH($E1465,类别表,0)),""))</f>
        <v/>
      </c>
      <c r="G1465" s="48"/>
      <c r="H1465" s="48"/>
      <c r="I1465" s="49"/>
      <c r="J1465" s="24" t="str">
        <f>IF(OR($A1465="",$B1465=""),"",IF($I1465&lt;&gt;"",$I1465,IF($D1465=本位币,1,IFERROR(LOOKUP(2,1/((汇率月份&lt;=$A1465)*(INDEX(记账汇率区,0,MATCH($D1465,汇率币种头,0))&lt;&gt;"")),INDEX(记账汇率区,0,MATCH($D1465,汇率币种头,0))),""))))</f>
        <v/>
      </c>
      <c r="K1465" s="23" t="str">
        <f t="shared" si="44"/>
        <v/>
      </c>
      <c r="L1465" s="23" t="str">
        <f t="shared" si="45"/>
        <v/>
      </c>
      <c r="M1465" s="23" t="str">
        <f>IF($B1465="","",ROUND(SUMIF(账户名,$B1465,账户期初)+SUMIFS($K$6:K1465,$B$6:B1465,$B1465),2))</f>
        <v/>
      </c>
      <c r="N1465" s="23" t="str">
        <f>IF($B1465="","",IFERROR(ROUND(INDEX(账户期初本位,MATCH($B1465,账户名,0))+SUMIFS($L$6:L1465,$B$6:B1465,$B1465),2),""))</f>
        <v/>
      </c>
      <c r="O1465" s="46"/>
      <c r="P1465" s="47"/>
      <c r="Q1465" s="46"/>
      <c r="R1465" s="46"/>
      <c r="S1465" s="6" t="str">
        <f>IF($B1465="","",IF(ISNA(MATCH($B1465,账户名,0)),"※这个账户不在【参数设置】的账户档案里",IF($A1465="","※没填日期，这一笔不会进任何月份的报表",IF(AND($G1465&lt;&gt;"",$H1465&lt;&gt;""),"※收入和支出不能同时填",IF(AND(N($G1465)=0,N($H1465)=0),"※收入和支出都没填",IF($E1465="","※没填收支类别，分类报表会漏掉这一笔",IF(ISNA(MATCH($E1465,类别表,0)),"※收支类别不在【参数设置】的清单里",IF($J1465="","△"&amp;$D1465&amp;" 还没填汇率，去【月度汇率】补上就自动算了",IF(YEAR($A1465)&lt;&gt;管理年度,"△不是管理年度的单据，年报里看不到",IF(AND($F1465="内部转账",$Q1465=""),"△内部转账建议在「往来单位」写上对方账户",IF($M1465&lt;0,"△这一笔之后该账户余额成负数了，核一下","")))))))))))</f>
        <v/>
      </c>
    </row>
    <row r="1466" ht="16.5" spans="1:19">
      <c r="A1466" s="45"/>
      <c r="B1466" s="46"/>
      <c r="C1466" s="12" t="str">
        <f>IF($B1466="","",IFERROR(INDEX(账户银行,MATCH($B1466,账户名,0)),""))</f>
        <v/>
      </c>
      <c r="D1466" s="12" t="str">
        <f>IF($B1466="","",IFERROR(INDEX(账户币种,MATCH($B1466,账户名,0)),""))</f>
        <v/>
      </c>
      <c r="E1466" s="47"/>
      <c r="F1466" s="12" t="str">
        <f>IF($E1466="","",IFERROR(INDEX(类别属性,MATCH($E1466,类别表,0)),""))</f>
        <v/>
      </c>
      <c r="G1466" s="48"/>
      <c r="H1466" s="48"/>
      <c r="I1466" s="49"/>
      <c r="J1466" s="24" t="str">
        <f>IF(OR($A1466="",$B1466=""),"",IF($I1466&lt;&gt;"",$I1466,IF($D1466=本位币,1,IFERROR(LOOKUP(2,1/((汇率月份&lt;=$A1466)*(INDEX(记账汇率区,0,MATCH($D1466,汇率币种头,0))&lt;&gt;"")),INDEX(记账汇率区,0,MATCH($D1466,汇率币种头,0))),""))))</f>
        <v/>
      </c>
      <c r="K1466" s="23" t="str">
        <f t="shared" si="44"/>
        <v/>
      </c>
      <c r="L1466" s="23" t="str">
        <f t="shared" si="45"/>
        <v/>
      </c>
      <c r="M1466" s="23" t="str">
        <f>IF($B1466="","",ROUND(SUMIF(账户名,$B1466,账户期初)+SUMIFS($K$6:K1466,$B$6:B1466,$B1466),2))</f>
        <v/>
      </c>
      <c r="N1466" s="23" t="str">
        <f>IF($B1466="","",IFERROR(ROUND(INDEX(账户期初本位,MATCH($B1466,账户名,0))+SUMIFS($L$6:L1466,$B$6:B1466,$B1466),2),""))</f>
        <v/>
      </c>
      <c r="O1466" s="46"/>
      <c r="P1466" s="47"/>
      <c r="Q1466" s="46"/>
      <c r="R1466" s="46"/>
      <c r="S1466" s="6" t="str">
        <f>IF($B1466="","",IF(ISNA(MATCH($B1466,账户名,0)),"※这个账户不在【参数设置】的账户档案里",IF($A1466="","※没填日期，这一笔不会进任何月份的报表",IF(AND($G1466&lt;&gt;"",$H1466&lt;&gt;""),"※收入和支出不能同时填",IF(AND(N($G1466)=0,N($H1466)=0),"※收入和支出都没填",IF($E1466="","※没填收支类别，分类报表会漏掉这一笔",IF(ISNA(MATCH($E1466,类别表,0)),"※收支类别不在【参数设置】的清单里",IF($J1466="","△"&amp;$D1466&amp;" 还没填汇率，去【月度汇率】补上就自动算了",IF(YEAR($A1466)&lt;&gt;管理年度,"△不是管理年度的单据，年报里看不到",IF(AND($F1466="内部转账",$Q1466=""),"△内部转账建议在「往来单位」写上对方账户",IF($M1466&lt;0,"△这一笔之后该账户余额成负数了，核一下","")))))))))))</f>
        <v/>
      </c>
    </row>
    <row r="1467" ht="16.5" spans="1:19">
      <c r="A1467" s="45"/>
      <c r="B1467" s="46"/>
      <c r="C1467" s="12" t="str">
        <f>IF($B1467="","",IFERROR(INDEX(账户银行,MATCH($B1467,账户名,0)),""))</f>
        <v/>
      </c>
      <c r="D1467" s="12" t="str">
        <f>IF($B1467="","",IFERROR(INDEX(账户币种,MATCH($B1467,账户名,0)),""))</f>
        <v/>
      </c>
      <c r="E1467" s="47"/>
      <c r="F1467" s="12" t="str">
        <f>IF($E1467="","",IFERROR(INDEX(类别属性,MATCH($E1467,类别表,0)),""))</f>
        <v/>
      </c>
      <c r="G1467" s="48"/>
      <c r="H1467" s="48"/>
      <c r="I1467" s="49"/>
      <c r="J1467" s="24" t="str">
        <f>IF(OR($A1467="",$B1467=""),"",IF($I1467&lt;&gt;"",$I1467,IF($D1467=本位币,1,IFERROR(LOOKUP(2,1/((汇率月份&lt;=$A1467)*(INDEX(记账汇率区,0,MATCH($D1467,汇率币种头,0))&lt;&gt;"")),INDEX(记账汇率区,0,MATCH($D1467,汇率币种头,0))),""))))</f>
        <v/>
      </c>
      <c r="K1467" s="23" t="str">
        <f t="shared" si="44"/>
        <v/>
      </c>
      <c r="L1467" s="23" t="str">
        <f t="shared" si="45"/>
        <v/>
      </c>
      <c r="M1467" s="23" t="str">
        <f>IF($B1467="","",ROUND(SUMIF(账户名,$B1467,账户期初)+SUMIFS($K$6:K1467,$B$6:B1467,$B1467),2))</f>
        <v/>
      </c>
      <c r="N1467" s="23" t="str">
        <f>IF($B1467="","",IFERROR(ROUND(INDEX(账户期初本位,MATCH($B1467,账户名,0))+SUMIFS($L$6:L1467,$B$6:B1467,$B1467),2),""))</f>
        <v/>
      </c>
      <c r="O1467" s="46"/>
      <c r="P1467" s="47"/>
      <c r="Q1467" s="46"/>
      <c r="R1467" s="46"/>
      <c r="S1467" s="6" t="str">
        <f>IF($B1467="","",IF(ISNA(MATCH($B1467,账户名,0)),"※这个账户不在【参数设置】的账户档案里",IF($A1467="","※没填日期，这一笔不会进任何月份的报表",IF(AND($G1467&lt;&gt;"",$H1467&lt;&gt;""),"※收入和支出不能同时填",IF(AND(N($G1467)=0,N($H1467)=0),"※收入和支出都没填",IF($E1467="","※没填收支类别，分类报表会漏掉这一笔",IF(ISNA(MATCH($E1467,类别表,0)),"※收支类别不在【参数设置】的清单里",IF($J1467="","△"&amp;$D1467&amp;" 还没填汇率，去【月度汇率】补上就自动算了",IF(YEAR($A1467)&lt;&gt;管理年度,"△不是管理年度的单据，年报里看不到",IF(AND($F1467="内部转账",$Q1467=""),"△内部转账建议在「往来单位」写上对方账户",IF($M1467&lt;0,"△这一笔之后该账户余额成负数了，核一下","")))))))))))</f>
        <v/>
      </c>
    </row>
    <row r="1468" ht="16.5" spans="1:19">
      <c r="A1468" s="45"/>
      <c r="B1468" s="46"/>
      <c r="C1468" s="12" t="str">
        <f>IF($B1468="","",IFERROR(INDEX(账户银行,MATCH($B1468,账户名,0)),""))</f>
        <v/>
      </c>
      <c r="D1468" s="12" t="str">
        <f>IF($B1468="","",IFERROR(INDEX(账户币种,MATCH($B1468,账户名,0)),""))</f>
        <v/>
      </c>
      <c r="E1468" s="47"/>
      <c r="F1468" s="12" t="str">
        <f>IF($E1468="","",IFERROR(INDEX(类别属性,MATCH($E1468,类别表,0)),""))</f>
        <v/>
      </c>
      <c r="G1468" s="48"/>
      <c r="H1468" s="48"/>
      <c r="I1468" s="49"/>
      <c r="J1468" s="24" t="str">
        <f>IF(OR($A1468="",$B1468=""),"",IF($I1468&lt;&gt;"",$I1468,IF($D1468=本位币,1,IFERROR(LOOKUP(2,1/((汇率月份&lt;=$A1468)*(INDEX(记账汇率区,0,MATCH($D1468,汇率币种头,0))&lt;&gt;"")),INDEX(记账汇率区,0,MATCH($D1468,汇率币种头,0))),""))))</f>
        <v/>
      </c>
      <c r="K1468" s="23" t="str">
        <f t="shared" si="44"/>
        <v/>
      </c>
      <c r="L1468" s="23" t="str">
        <f t="shared" si="45"/>
        <v/>
      </c>
      <c r="M1468" s="23" t="str">
        <f>IF($B1468="","",ROUND(SUMIF(账户名,$B1468,账户期初)+SUMIFS($K$6:K1468,$B$6:B1468,$B1468),2))</f>
        <v/>
      </c>
      <c r="N1468" s="23" t="str">
        <f>IF($B1468="","",IFERROR(ROUND(INDEX(账户期初本位,MATCH($B1468,账户名,0))+SUMIFS($L$6:L1468,$B$6:B1468,$B1468),2),""))</f>
        <v/>
      </c>
      <c r="O1468" s="46"/>
      <c r="P1468" s="47"/>
      <c r="Q1468" s="46"/>
      <c r="R1468" s="46"/>
      <c r="S1468" s="6" t="str">
        <f>IF($B1468="","",IF(ISNA(MATCH($B1468,账户名,0)),"※这个账户不在【参数设置】的账户档案里",IF($A1468="","※没填日期，这一笔不会进任何月份的报表",IF(AND($G1468&lt;&gt;"",$H1468&lt;&gt;""),"※收入和支出不能同时填",IF(AND(N($G1468)=0,N($H1468)=0),"※收入和支出都没填",IF($E1468="","※没填收支类别，分类报表会漏掉这一笔",IF(ISNA(MATCH($E1468,类别表,0)),"※收支类别不在【参数设置】的清单里",IF($J1468="","△"&amp;$D1468&amp;" 还没填汇率，去【月度汇率】补上就自动算了",IF(YEAR($A1468)&lt;&gt;管理年度,"△不是管理年度的单据，年报里看不到",IF(AND($F1468="内部转账",$Q1468=""),"△内部转账建议在「往来单位」写上对方账户",IF($M1468&lt;0,"△这一笔之后该账户余额成负数了，核一下","")))))))))))</f>
        <v/>
      </c>
    </row>
    <row r="1469" ht="16.5" spans="1:19">
      <c r="A1469" s="45"/>
      <c r="B1469" s="46"/>
      <c r="C1469" s="12" t="str">
        <f>IF($B1469="","",IFERROR(INDEX(账户银行,MATCH($B1469,账户名,0)),""))</f>
        <v/>
      </c>
      <c r="D1469" s="12" t="str">
        <f>IF($B1469="","",IFERROR(INDEX(账户币种,MATCH($B1469,账户名,0)),""))</f>
        <v/>
      </c>
      <c r="E1469" s="47"/>
      <c r="F1469" s="12" t="str">
        <f>IF($E1469="","",IFERROR(INDEX(类别属性,MATCH($E1469,类别表,0)),""))</f>
        <v/>
      </c>
      <c r="G1469" s="48"/>
      <c r="H1469" s="48"/>
      <c r="I1469" s="49"/>
      <c r="J1469" s="24" t="str">
        <f>IF(OR($A1469="",$B1469=""),"",IF($I1469&lt;&gt;"",$I1469,IF($D1469=本位币,1,IFERROR(LOOKUP(2,1/((汇率月份&lt;=$A1469)*(INDEX(记账汇率区,0,MATCH($D1469,汇率币种头,0))&lt;&gt;"")),INDEX(记账汇率区,0,MATCH($D1469,汇率币种头,0))),""))))</f>
        <v/>
      </c>
      <c r="K1469" s="23" t="str">
        <f t="shared" si="44"/>
        <v/>
      </c>
      <c r="L1469" s="23" t="str">
        <f t="shared" si="45"/>
        <v/>
      </c>
      <c r="M1469" s="23" t="str">
        <f>IF($B1469="","",ROUND(SUMIF(账户名,$B1469,账户期初)+SUMIFS($K$6:K1469,$B$6:B1469,$B1469),2))</f>
        <v/>
      </c>
      <c r="N1469" s="23" t="str">
        <f>IF($B1469="","",IFERROR(ROUND(INDEX(账户期初本位,MATCH($B1469,账户名,0))+SUMIFS($L$6:L1469,$B$6:B1469,$B1469),2),""))</f>
        <v/>
      </c>
      <c r="O1469" s="46"/>
      <c r="P1469" s="47"/>
      <c r="Q1469" s="46"/>
      <c r="R1469" s="46"/>
      <c r="S1469" s="6" t="str">
        <f>IF($B1469="","",IF(ISNA(MATCH($B1469,账户名,0)),"※这个账户不在【参数设置】的账户档案里",IF($A1469="","※没填日期，这一笔不会进任何月份的报表",IF(AND($G1469&lt;&gt;"",$H1469&lt;&gt;""),"※收入和支出不能同时填",IF(AND(N($G1469)=0,N($H1469)=0),"※收入和支出都没填",IF($E1469="","※没填收支类别，分类报表会漏掉这一笔",IF(ISNA(MATCH($E1469,类别表,0)),"※收支类别不在【参数设置】的清单里",IF($J1469="","△"&amp;$D1469&amp;" 还没填汇率，去【月度汇率】补上就自动算了",IF(YEAR($A1469)&lt;&gt;管理年度,"△不是管理年度的单据，年报里看不到",IF(AND($F1469="内部转账",$Q1469=""),"△内部转账建议在「往来单位」写上对方账户",IF($M1469&lt;0,"△这一笔之后该账户余额成负数了，核一下","")))))))))))</f>
        <v/>
      </c>
    </row>
    <row r="1470" ht="16.5" spans="1:19">
      <c r="A1470" s="45"/>
      <c r="B1470" s="46"/>
      <c r="C1470" s="12" t="str">
        <f>IF($B1470="","",IFERROR(INDEX(账户银行,MATCH($B1470,账户名,0)),""))</f>
        <v/>
      </c>
      <c r="D1470" s="12" t="str">
        <f>IF($B1470="","",IFERROR(INDEX(账户币种,MATCH($B1470,账户名,0)),""))</f>
        <v/>
      </c>
      <c r="E1470" s="47"/>
      <c r="F1470" s="12" t="str">
        <f>IF($E1470="","",IFERROR(INDEX(类别属性,MATCH($E1470,类别表,0)),""))</f>
        <v/>
      </c>
      <c r="G1470" s="48"/>
      <c r="H1470" s="48"/>
      <c r="I1470" s="49"/>
      <c r="J1470" s="24" t="str">
        <f>IF(OR($A1470="",$B1470=""),"",IF($I1470&lt;&gt;"",$I1470,IF($D1470=本位币,1,IFERROR(LOOKUP(2,1/((汇率月份&lt;=$A1470)*(INDEX(记账汇率区,0,MATCH($D1470,汇率币种头,0))&lt;&gt;"")),INDEX(记账汇率区,0,MATCH($D1470,汇率币种头,0))),""))))</f>
        <v/>
      </c>
      <c r="K1470" s="23" t="str">
        <f t="shared" si="44"/>
        <v/>
      </c>
      <c r="L1470" s="23" t="str">
        <f t="shared" si="45"/>
        <v/>
      </c>
      <c r="M1470" s="23" t="str">
        <f>IF($B1470="","",ROUND(SUMIF(账户名,$B1470,账户期初)+SUMIFS($K$6:K1470,$B$6:B1470,$B1470),2))</f>
        <v/>
      </c>
      <c r="N1470" s="23" t="str">
        <f>IF($B1470="","",IFERROR(ROUND(INDEX(账户期初本位,MATCH($B1470,账户名,0))+SUMIFS($L$6:L1470,$B$6:B1470,$B1470),2),""))</f>
        <v/>
      </c>
      <c r="O1470" s="46"/>
      <c r="P1470" s="47"/>
      <c r="Q1470" s="46"/>
      <c r="R1470" s="46"/>
      <c r="S1470" s="6" t="str">
        <f>IF($B1470="","",IF(ISNA(MATCH($B1470,账户名,0)),"※这个账户不在【参数设置】的账户档案里",IF($A1470="","※没填日期，这一笔不会进任何月份的报表",IF(AND($G1470&lt;&gt;"",$H1470&lt;&gt;""),"※收入和支出不能同时填",IF(AND(N($G1470)=0,N($H1470)=0),"※收入和支出都没填",IF($E1470="","※没填收支类别，分类报表会漏掉这一笔",IF(ISNA(MATCH($E1470,类别表,0)),"※收支类别不在【参数设置】的清单里",IF($J1470="","△"&amp;$D1470&amp;" 还没填汇率，去【月度汇率】补上就自动算了",IF(YEAR($A1470)&lt;&gt;管理年度,"△不是管理年度的单据，年报里看不到",IF(AND($F1470="内部转账",$Q1470=""),"△内部转账建议在「往来单位」写上对方账户",IF($M1470&lt;0,"△这一笔之后该账户余额成负数了，核一下","")))))))))))</f>
        <v/>
      </c>
    </row>
    <row r="1471" ht="16.5" spans="1:19">
      <c r="A1471" s="45"/>
      <c r="B1471" s="46"/>
      <c r="C1471" s="12" t="str">
        <f>IF($B1471="","",IFERROR(INDEX(账户银行,MATCH($B1471,账户名,0)),""))</f>
        <v/>
      </c>
      <c r="D1471" s="12" t="str">
        <f>IF($B1471="","",IFERROR(INDEX(账户币种,MATCH($B1471,账户名,0)),""))</f>
        <v/>
      </c>
      <c r="E1471" s="47"/>
      <c r="F1471" s="12" t="str">
        <f>IF($E1471="","",IFERROR(INDEX(类别属性,MATCH($E1471,类别表,0)),""))</f>
        <v/>
      </c>
      <c r="G1471" s="48"/>
      <c r="H1471" s="48"/>
      <c r="I1471" s="49"/>
      <c r="J1471" s="24" t="str">
        <f>IF(OR($A1471="",$B1471=""),"",IF($I1471&lt;&gt;"",$I1471,IF($D1471=本位币,1,IFERROR(LOOKUP(2,1/((汇率月份&lt;=$A1471)*(INDEX(记账汇率区,0,MATCH($D1471,汇率币种头,0))&lt;&gt;"")),INDEX(记账汇率区,0,MATCH($D1471,汇率币种头,0))),""))))</f>
        <v/>
      </c>
      <c r="K1471" s="23" t="str">
        <f t="shared" si="44"/>
        <v/>
      </c>
      <c r="L1471" s="23" t="str">
        <f t="shared" si="45"/>
        <v/>
      </c>
      <c r="M1471" s="23" t="str">
        <f>IF($B1471="","",ROUND(SUMIF(账户名,$B1471,账户期初)+SUMIFS($K$6:K1471,$B$6:B1471,$B1471),2))</f>
        <v/>
      </c>
      <c r="N1471" s="23" t="str">
        <f>IF($B1471="","",IFERROR(ROUND(INDEX(账户期初本位,MATCH($B1471,账户名,0))+SUMIFS($L$6:L1471,$B$6:B1471,$B1471),2),""))</f>
        <v/>
      </c>
      <c r="O1471" s="46"/>
      <c r="P1471" s="47"/>
      <c r="Q1471" s="46"/>
      <c r="R1471" s="46"/>
      <c r="S1471" s="6" t="str">
        <f>IF($B1471="","",IF(ISNA(MATCH($B1471,账户名,0)),"※这个账户不在【参数设置】的账户档案里",IF($A1471="","※没填日期，这一笔不会进任何月份的报表",IF(AND($G1471&lt;&gt;"",$H1471&lt;&gt;""),"※收入和支出不能同时填",IF(AND(N($G1471)=0,N($H1471)=0),"※收入和支出都没填",IF($E1471="","※没填收支类别，分类报表会漏掉这一笔",IF(ISNA(MATCH($E1471,类别表,0)),"※收支类别不在【参数设置】的清单里",IF($J1471="","△"&amp;$D1471&amp;" 还没填汇率，去【月度汇率】补上就自动算了",IF(YEAR($A1471)&lt;&gt;管理年度,"△不是管理年度的单据，年报里看不到",IF(AND($F1471="内部转账",$Q1471=""),"△内部转账建议在「往来单位」写上对方账户",IF($M1471&lt;0,"△这一笔之后该账户余额成负数了，核一下","")))))))))))</f>
        <v/>
      </c>
    </row>
    <row r="1472" ht="16.5" spans="1:19">
      <c r="A1472" s="45"/>
      <c r="B1472" s="46"/>
      <c r="C1472" s="12" t="str">
        <f>IF($B1472="","",IFERROR(INDEX(账户银行,MATCH($B1472,账户名,0)),""))</f>
        <v/>
      </c>
      <c r="D1472" s="12" t="str">
        <f>IF($B1472="","",IFERROR(INDEX(账户币种,MATCH($B1472,账户名,0)),""))</f>
        <v/>
      </c>
      <c r="E1472" s="47"/>
      <c r="F1472" s="12" t="str">
        <f>IF($E1472="","",IFERROR(INDEX(类别属性,MATCH($E1472,类别表,0)),""))</f>
        <v/>
      </c>
      <c r="G1472" s="48"/>
      <c r="H1472" s="48"/>
      <c r="I1472" s="49"/>
      <c r="J1472" s="24" t="str">
        <f>IF(OR($A1472="",$B1472=""),"",IF($I1472&lt;&gt;"",$I1472,IF($D1472=本位币,1,IFERROR(LOOKUP(2,1/((汇率月份&lt;=$A1472)*(INDEX(记账汇率区,0,MATCH($D1472,汇率币种头,0))&lt;&gt;"")),INDEX(记账汇率区,0,MATCH($D1472,汇率币种头,0))),""))))</f>
        <v/>
      </c>
      <c r="K1472" s="23" t="str">
        <f t="shared" si="44"/>
        <v/>
      </c>
      <c r="L1472" s="23" t="str">
        <f t="shared" si="45"/>
        <v/>
      </c>
      <c r="M1472" s="23" t="str">
        <f>IF($B1472="","",ROUND(SUMIF(账户名,$B1472,账户期初)+SUMIFS($K$6:K1472,$B$6:B1472,$B1472),2))</f>
        <v/>
      </c>
      <c r="N1472" s="23" t="str">
        <f>IF($B1472="","",IFERROR(ROUND(INDEX(账户期初本位,MATCH($B1472,账户名,0))+SUMIFS($L$6:L1472,$B$6:B1472,$B1472),2),""))</f>
        <v/>
      </c>
      <c r="O1472" s="46"/>
      <c r="P1472" s="47"/>
      <c r="Q1472" s="46"/>
      <c r="R1472" s="46"/>
      <c r="S1472" s="6" t="str">
        <f>IF($B1472="","",IF(ISNA(MATCH($B1472,账户名,0)),"※这个账户不在【参数设置】的账户档案里",IF($A1472="","※没填日期，这一笔不会进任何月份的报表",IF(AND($G1472&lt;&gt;"",$H1472&lt;&gt;""),"※收入和支出不能同时填",IF(AND(N($G1472)=0,N($H1472)=0),"※收入和支出都没填",IF($E1472="","※没填收支类别，分类报表会漏掉这一笔",IF(ISNA(MATCH($E1472,类别表,0)),"※收支类别不在【参数设置】的清单里",IF($J1472="","△"&amp;$D1472&amp;" 还没填汇率，去【月度汇率】补上就自动算了",IF(YEAR($A1472)&lt;&gt;管理年度,"△不是管理年度的单据，年报里看不到",IF(AND($F1472="内部转账",$Q1472=""),"△内部转账建议在「往来单位」写上对方账户",IF($M1472&lt;0,"△这一笔之后该账户余额成负数了，核一下","")))))))))))</f>
        <v/>
      </c>
    </row>
    <row r="1473" ht="16.5" spans="1:19">
      <c r="A1473" s="45"/>
      <c r="B1473" s="46"/>
      <c r="C1473" s="12" t="str">
        <f>IF($B1473="","",IFERROR(INDEX(账户银行,MATCH($B1473,账户名,0)),""))</f>
        <v/>
      </c>
      <c r="D1473" s="12" t="str">
        <f>IF($B1473="","",IFERROR(INDEX(账户币种,MATCH($B1473,账户名,0)),""))</f>
        <v/>
      </c>
      <c r="E1473" s="47"/>
      <c r="F1473" s="12" t="str">
        <f>IF($E1473="","",IFERROR(INDEX(类别属性,MATCH($E1473,类别表,0)),""))</f>
        <v/>
      </c>
      <c r="G1473" s="48"/>
      <c r="H1473" s="48"/>
      <c r="I1473" s="49"/>
      <c r="J1473" s="24" t="str">
        <f>IF(OR($A1473="",$B1473=""),"",IF($I1473&lt;&gt;"",$I1473,IF($D1473=本位币,1,IFERROR(LOOKUP(2,1/((汇率月份&lt;=$A1473)*(INDEX(记账汇率区,0,MATCH($D1473,汇率币种头,0))&lt;&gt;"")),INDEX(记账汇率区,0,MATCH($D1473,汇率币种头,0))),""))))</f>
        <v/>
      </c>
      <c r="K1473" s="23" t="str">
        <f t="shared" si="44"/>
        <v/>
      </c>
      <c r="L1473" s="23" t="str">
        <f t="shared" si="45"/>
        <v/>
      </c>
      <c r="M1473" s="23" t="str">
        <f>IF($B1473="","",ROUND(SUMIF(账户名,$B1473,账户期初)+SUMIFS($K$6:K1473,$B$6:B1473,$B1473),2))</f>
        <v/>
      </c>
      <c r="N1473" s="23" t="str">
        <f>IF($B1473="","",IFERROR(ROUND(INDEX(账户期初本位,MATCH($B1473,账户名,0))+SUMIFS($L$6:L1473,$B$6:B1473,$B1473),2),""))</f>
        <v/>
      </c>
      <c r="O1473" s="46"/>
      <c r="P1473" s="47"/>
      <c r="Q1473" s="46"/>
      <c r="R1473" s="46"/>
      <c r="S1473" s="6" t="str">
        <f>IF($B1473="","",IF(ISNA(MATCH($B1473,账户名,0)),"※这个账户不在【参数设置】的账户档案里",IF($A1473="","※没填日期，这一笔不会进任何月份的报表",IF(AND($G1473&lt;&gt;"",$H1473&lt;&gt;""),"※收入和支出不能同时填",IF(AND(N($G1473)=0,N($H1473)=0),"※收入和支出都没填",IF($E1473="","※没填收支类别，分类报表会漏掉这一笔",IF(ISNA(MATCH($E1473,类别表,0)),"※收支类别不在【参数设置】的清单里",IF($J1473="","△"&amp;$D1473&amp;" 还没填汇率，去【月度汇率】补上就自动算了",IF(YEAR($A1473)&lt;&gt;管理年度,"△不是管理年度的单据，年报里看不到",IF(AND($F1473="内部转账",$Q1473=""),"△内部转账建议在「往来单位」写上对方账户",IF($M1473&lt;0,"△这一笔之后该账户余额成负数了，核一下","")))))))))))</f>
        <v/>
      </c>
    </row>
    <row r="1474" ht="16.5" spans="1:19">
      <c r="A1474" s="45"/>
      <c r="B1474" s="46"/>
      <c r="C1474" s="12" t="str">
        <f>IF($B1474="","",IFERROR(INDEX(账户银行,MATCH($B1474,账户名,0)),""))</f>
        <v/>
      </c>
      <c r="D1474" s="12" t="str">
        <f>IF($B1474="","",IFERROR(INDEX(账户币种,MATCH($B1474,账户名,0)),""))</f>
        <v/>
      </c>
      <c r="E1474" s="47"/>
      <c r="F1474" s="12" t="str">
        <f>IF($E1474="","",IFERROR(INDEX(类别属性,MATCH($E1474,类别表,0)),""))</f>
        <v/>
      </c>
      <c r="G1474" s="48"/>
      <c r="H1474" s="48"/>
      <c r="I1474" s="49"/>
      <c r="J1474" s="24" t="str">
        <f>IF(OR($A1474="",$B1474=""),"",IF($I1474&lt;&gt;"",$I1474,IF($D1474=本位币,1,IFERROR(LOOKUP(2,1/((汇率月份&lt;=$A1474)*(INDEX(记账汇率区,0,MATCH($D1474,汇率币种头,0))&lt;&gt;"")),INDEX(记账汇率区,0,MATCH($D1474,汇率币种头,0))),""))))</f>
        <v/>
      </c>
      <c r="K1474" s="23" t="str">
        <f t="shared" si="44"/>
        <v/>
      </c>
      <c r="L1474" s="23" t="str">
        <f t="shared" si="45"/>
        <v/>
      </c>
      <c r="M1474" s="23" t="str">
        <f>IF($B1474="","",ROUND(SUMIF(账户名,$B1474,账户期初)+SUMIFS($K$6:K1474,$B$6:B1474,$B1474),2))</f>
        <v/>
      </c>
      <c r="N1474" s="23" t="str">
        <f>IF($B1474="","",IFERROR(ROUND(INDEX(账户期初本位,MATCH($B1474,账户名,0))+SUMIFS($L$6:L1474,$B$6:B1474,$B1474),2),""))</f>
        <v/>
      </c>
      <c r="O1474" s="46"/>
      <c r="P1474" s="47"/>
      <c r="Q1474" s="46"/>
      <c r="R1474" s="46"/>
      <c r="S1474" s="6" t="str">
        <f>IF($B1474="","",IF(ISNA(MATCH($B1474,账户名,0)),"※这个账户不在【参数设置】的账户档案里",IF($A1474="","※没填日期，这一笔不会进任何月份的报表",IF(AND($G1474&lt;&gt;"",$H1474&lt;&gt;""),"※收入和支出不能同时填",IF(AND(N($G1474)=0,N($H1474)=0),"※收入和支出都没填",IF($E1474="","※没填收支类别，分类报表会漏掉这一笔",IF(ISNA(MATCH($E1474,类别表,0)),"※收支类别不在【参数设置】的清单里",IF($J1474="","△"&amp;$D1474&amp;" 还没填汇率，去【月度汇率】补上就自动算了",IF(YEAR($A1474)&lt;&gt;管理年度,"△不是管理年度的单据，年报里看不到",IF(AND($F1474="内部转账",$Q1474=""),"△内部转账建议在「往来单位」写上对方账户",IF($M1474&lt;0,"△这一笔之后该账户余额成负数了，核一下","")))))))))))</f>
        <v/>
      </c>
    </row>
    <row r="1475" ht="16.5" spans="1:19">
      <c r="A1475" s="45"/>
      <c r="B1475" s="46"/>
      <c r="C1475" s="12" t="str">
        <f>IF($B1475="","",IFERROR(INDEX(账户银行,MATCH($B1475,账户名,0)),""))</f>
        <v/>
      </c>
      <c r="D1475" s="12" t="str">
        <f>IF($B1475="","",IFERROR(INDEX(账户币种,MATCH($B1475,账户名,0)),""))</f>
        <v/>
      </c>
      <c r="E1475" s="47"/>
      <c r="F1475" s="12" t="str">
        <f>IF($E1475="","",IFERROR(INDEX(类别属性,MATCH($E1475,类别表,0)),""))</f>
        <v/>
      </c>
      <c r="G1475" s="48"/>
      <c r="H1475" s="48"/>
      <c r="I1475" s="49"/>
      <c r="J1475" s="24" t="str">
        <f>IF(OR($A1475="",$B1475=""),"",IF($I1475&lt;&gt;"",$I1475,IF($D1475=本位币,1,IFERROR(LOOKUP(2,1/((汇率月份&lt;=$A1475)*(INDEX(记账汇率区,0,MATCH($D1475,汇率币种头,0))&lt;&gt;"")),INDEX(记账汇率区,0,MATCH($D1475,汇率币种头,0))),""))))</f>
        <v/>
      </c>
      <c r="K1475" s="23" t="str">
        <f t="shared" si="44"/>
        <v/>
      </c>
      <c r="L1475" s="23" t="str">
        <f t="shared" si="45"/>
        <v/>
      </c>
      <c r="M1475" s="23" t="str">
        <f>IF($B1475="","",ROUND(SUMIF(账户名,$B1475,账户期初)+SUMIFS($K$6:K1475,$B$6:B1475,$B1475),2))</f>
        <v/>
      </c>
      <c r="N1475" s="23" t="str">
        <f>IF($B1475="","",IFERROR(ROUND(INDEX(账户期初本位,MATCH($B1475,账户名,0))+SUMIFS($L$6:L1475,$B$6:B1475,$B1475),2),""))</f>
        <v/>
      </c>
      <c r="O1475" s="46"/>
      <c r="P1475" s="47"/>
      <c r="Q1475" s="46"/>
      <c r="R1475" s="46"/>
      <c r="S1475" s="6" t="str">
        <f>IF($B1475="","",IF(ISNA(MATCH($B1475,账户名,0)),"※这个账户不在【参数设置】的账户档案里",IF($A1475="","※没填日期，这一笔不会进任何月份的报表",IF(AND($G1475&lt;&gt;"",$H1475&lt;&gt;""),"※收入和支出不能同时填",IF(AND(N($G1475)=0,N($H1475)=0),"※收入和支出都没填",IF($E1475="","※没填收支类别，分类报表会漏掉这一笔",IF(ISNA(MATCH($E1475,类别表,0)),"※收支类别不在【参数设置】的清单里",IF($J1475="","△"&amp;$D1475&amp;" 还没填汇率，去【月度汇率】补上就自动算了",IF(YEAR($A1475)&lt;&gt;管理年度,"△不是管理年度的单据，年报里看不到",IF(AND($F1475="内部转账",$Q1475=""),"△内部转账建议在「往来单位」写上对方账户",IF($M1475&lt;0,"△这一笔之后该账户余额成负数了，核一下","")))))))))))</f>
        <v/>
      </c>
    </row>
    <row r="1476" ht="16.5" spans="1:19">
      <c r="A1476" s="45"/>
      <c r="B1476" s="46"/>
      <c r="C1476" s="12" t="str">
        <f>IF($B1476="","",IFERROR(INDEX(账户银行,MATCH($B1476,账户名,0)),""))</f>
        <v/>
      </c>
      <c r="D1476" s="12" t="str">
        <f>IF($B1476="","",IFERROR(INDEX(账户币种,MATCH($B1476,账户名,0)),""))</f>
        <v/>
      </c>
      <c r="E1476" s="47"/>
      <c r="F1476" s="12" t="str">
        <f>IF($E1476="","",IFERROR(INDEX(类别属性,MATCH($E1476,类别表,0)),""))</f>
        <v/>
      </c>
      <c r="G1476" s="48"/>
      <c r="H1476" s="48"/>
      <c r="I1476" s="49"/>
      <c r="J1476" s="24" t="str">
        <f>IF(OR($A1476="",$B1476=""),"",IF($I1476&lt;&gt;"",$I1476,IF($D1476=本位币,1,IFERROR(LOOKUP(2,1/((汇率月份&lt;=$A1476)*(INDEX(记账汇率区,0,MATCH($D1476,汇率币种头,0))&lt;&gt;"")),INDEX(记账汇率区,0,MATCH($D1476,汇率币种头,0))),""))))</f>
        <v/>
      </c>
      <c r="K1476" s="23" t="str">
        <f t="shared" si="44"/>
        <v/>
      </c>
      <c r="L1476" s="23" t="str">
        <f t="shared" si="45"/>
        <v/>
      </c>
      <c r="M1476" s="23" t="str">
        <f>IF($B1476="","",ROUND(SUMIF(账户名,$B1476,账户期初)+SUMIFS($K$6:K1476,$B$6:B1476,$B1476),2))</f>
        <v/>
      </c>
      <c r="N1476" s="23" t="str">
        <f>IF($B1476="","",IFERROR(ROUND(INDEX(账户期初本位,MATCH($B1476,账户名,0))+SUMIFS($L$6:L1476,$B$6:B1476,$B1476),2),""))</f>
        <v/>
      </c>
      <c r="O1476" s="46"/>
      <c r="P1476" s="47"/>
      <c r="Q1476" s="46"/>
      <c r="R1476" s="46"/>
      <c r="S1476" s="6" t="str">
        <f>IF($B1476="","",IF(ISNA(MATCH($B1476,账户名,0)),"※这个账户不在【参数设置】的账户档案里",IF($A1476="","※没填日期，这一笔不会进任何月份的报表",IF(AND($G1476&lt;&gt;"",$H1476&lt;&gt;""),"※收入和支出不能同时填",IF(AND(N($G1476)=0,N($H1476)=0),"※收入和支出都没填",IF($E1476="","※没填收支类别，分类报表会漏掉这一笔",IF(ISNA(MATCH($E1476,类别表,0)),"※收支类别不在【参数设置】的清单里",IF($J1476="","△"&amp;$D1476&amp;" 还没填汇率，去【月度汇率】补上就自动算了",IF(YEAR($A1476)&lt;&gt;管理年度,"△不是管理年度的单据，年报里看不到",IF(AND($F1476="内部转账",$Q1476=""),"△内部转账建议在「往来单位」写上对方账户",IF($M1476&lt;0,"△这一笔之后该账户余额成负数了，核一下","")))))))))))</f>
        <v/>
      </c>
    </row>
    <row r="1477" ht="16.5" spans="1:19">
      <c r="A1477" s="45"/>
      <c r="B1477" s="46"/>
      <c r="C1477" s="12" t="str">
        <f>IF($B1477="","",IFERROR(INDEX(账户银行,MATCH($B1477,账户名,0)),""))</f>
        <v/>
      </c>
      <c r="D1477" s="12" t="str">
        <f>IF($B1477="","",IFERROR(INDEX(账户币种,MATCH($B1477,账户名,0)),""))</f>
        <v/>
      </c>
      <c r="E1477" s="47"/>
      <c r="F1477" s="12" t="str">
        <f>IF($E1477="","",IFERROR(INDEX(类别属性,MATCH($E1477,类别表,0)),""))</f>
        <v/>
      </c>
      <c r="G1477" s="48"/>
      <c r="H1477" s="48"/>
      <c r="I1477" s="49"/>
      <c r="J1477" s="24" t="str">
        <f>IF(OR($A1477="",$B1477=""),"",IF($I1477&lt;&gt;"",$I1477,IF($D1477=本位币,1,IFERROR(LOOKUP(2,1/((汇率月份&lt;=$A1477)*(INDEX(记账汇率区,0,MATCH($D1477,汇率币种头,0))&lt;&gt;"")),INDEX(记账汇率区,0,MATCH($D1477,汇率币种头,0))),""))))</f>
        <v/>
      </c>
      <c r="K1477" s="23" t="str">
        <f t="shared" si="44"/>
        <v/>
      </c>
      <c r="L1477" s="23" t="str">
        <f t="shared" si="45"/>
        <v/>
      </c>
      <c r="M1477" s="23" t="str">
        <f>IF($B1477="","",ROUND(SUMIF(账户名,$B1477,账户期初)+SUMIFS($K$6:K1477,$B$6:B1477,$B1477),2))</f>
        <v/>
      </c>
      <c r="N1477" s="23" t="str">
        <f>IF($B1477="","",IFERROR(ROUND(INDEX(账户期初本位,MATCH($B1477,账户名,0))+SUMIFS($L$6:L1477,$B$6:B1477,$B1477),2),""))</f>
        <v/>
      </c>
      <c r="O1477" s="46"/>
      <c r="P1477" s="47"/>
      <c r="Q1477" s="46"/>
      <c r="R1477" s="46"/>
      <c r="S1477" s="6" t="str">
        <f>IF($B1477="","",IF(ISNA(MATCH($B1477,账户名,0)),"※这个账户不在【参数设置】的账户档案里",IF($A1477="","※没填日期，这一笔不会进任何月份的报表",IF(AND($G1477&lt;&gt;"",$H1477&lt;&gt;""),"※收入和支出不能同时填",IF(AND(N($G1477)=0,N($H1477)=0),"※收入和支出都没填",IF($E1477="","※没填收支类别，分类报表会漏掉这一笔",IF(ISNA(MATCH($E1477,类别表,0)),"※收支类别不在【参数设置】的清单里",IF($J1477="","△"&amp;$D1477&amp;" 还没填汇率，去【月度汇率】补上就自动算了",IF(YEAR($A1477)&lt;&gt;管理年度,"△不是管理年度的单据，年报里看不到",IF(AND($F1477="内部转账",$Q1477=""),"△内部转账建议在「往来单位」写上对方账户",IF($M1477&lt;0,"△这一笔之后该账户余额成负数了，核一下","")))))))))))</f>
        <v/>
      </c>
    </row>
    <row r="1478" ht="16.5" spans="1:19">
      <c r="A1478" s="45"/>
      <c r="B1478" s="46"/>
      <c r="C1478" s="12" t="str">
        <f>IF($B1478="","",IFERROR(INDEX(账户银行,MATCH($B1478,账户名,0)),""))</f>
        <v/>
      </c>
      <c r="D1478" s="12" t="str">
        <f>IF($B1478="","",IFERROR(INDEX(账户币种,MATCH($B1478,账户名,0)),""))</f>
        <v/>
      </c>
      <c r="E1478" s="47"/>
      <c r="F1478" s="12" t="str">
        <f>IF($E1478="","",IFERROR(INDEX(类别属性,MATCH($E1478,类别表,0)),""))</f>
        <v/>
      </c>
      <c r="G1478" s="48"/>
      <c r="H1478" s="48"/>
      <c r="I1478" s="49"/>
      <c r="J1478" s="24" t="str">
        <f>IF(OR($A1478="",$B1478=""),"",IF($I1478&lt;&gt;"",$I1478,IF($D1478=本位币,1,IFERROR(LOOKUP(2,1/((汇率月份&lt;=$A1478)*(INDEX(记账汇率区,0,MATCH($D1478,汇率币种头,0))&lt;&gt;"")),INDEX(记账汇率区,0,MATCH($D1478,汇率币种头,0))),""))))</f>
        <v/>
      </c>
      <c r="K1478" s="23" t="str">
        <f t="shared" ref="K1478:K1541" si="46">IF(AND($G1478="",$H1478=""),"",ROUND(N($G1478)-N($H1478),2))</f>
        <v/>
      </c>
      <c r="L1478" s="23" t="str">
        <f t="shared" ref="L1478:L1541" si="47">IF(OR($K1478="",$J1478=""),"",ROUND($K1478*$J1478,2))</f>
        <v/>
      </c>
      <c r="M1478" s="23" t="str">
        <f>IF($B1478="","",ROUND(SUMIF(账户名,$B1478,账户期初)+SUMIFS($K$6:K1478,$B$6:B1478,$B1478),2))</f>
        <v/>
      </c>
      <c r="N1478" s="23" t="str">
        <f>IF($B1478="","",IFERROR(ROUND(INDEX(账户期初本位,MATCH($B1478,账户名,0))+SUMIFS($L$6:L1478,$B$6:B1478,$B1478),2),""))</f>
        <v/>
      </c>
      <c r="O1478" s="46"/>
      <c r="P1478" s="47"/>
      <c r="Q1478" s="46"/>
      <c r="R1478" s="46"/>
      <c r="S1478" s="6" t="str">
        <f>IF($B1478="","",IF(ISNA(MATCH($B1478,账户名,0)),"※这个账户不在【参数设置】的账户档案里",IF($A1478="","※没填日期，这一笔不会进任何月份的报表",IF(AND($G1478&lt;&gt;"",$H1478&lt;&gt;""),"※收入和支出不能同时填",IF(AND(N($G1478)=0,N($H1478)=0),"※收入和支出都没填",IF($E1478="","※没填收支类别，分类报表会漏掉这一笔",IF(ISNA(MATCH($E1478,类别表,0)),"※收支类别不在【参数设置】的清单里",IF($J1478="","△"&amp;$D1478&amp;" 还没填汇率，去【月度汇率】补上就自动算了",IF(YEAR($A1478)&lt;&gt;管理年度,"△不是管理年度的单据，年报里看不到",IF(AND($F1478="内部转账",$Q1478=""),"△内部转账建议在「往来单位」写上对方账户",IF($M1478&lt;0,"△这一笔之后该账户余额成负数了，核一下","")))))))))))</f>
        <v/>
      </c>
    </row>
    <row r="1479" ht="16.5" spans="1:19">
      <c r="A1479" s="45"/>
      <c r="B1479" s="46"/>
      <c r="C1479" s="12" t="str">
        <f>IF($B1479="","",IFERROR(INDEX(账户银行,MATCH($B1479,账户名,0)),""))</f>
        <v/>
      </c>
      <c r="D1479" s="12" t="str">
        <f>IF($B1479="","",IFERROR(INDEX(账户币种,MATCH($B1479,账户名,0)),""))</f>
        <v/>
      </c>
      <c r="E1479" s="47"/>
      <c r="F1479" s="12" t="str">
        <f>IF($E1479="","",IFERROR(INDEX(类别属性,MATCH($E1479,类别表,0)),""))</f>
        <v/>
      </c>
      <c r="G1479" s="48"/>
      <c r="H1479" s="48"/>
      <c r="I1479" s="49"/>
      <c r="J1479" s="24" t="str">
        <f>IF(OR($A1479="",$B1479=""),"",IF($I1479&lt;&gt;"",$I1479,IF($D1479=本位币,1,IFERROR(LOOKUP(2,1/((汇率月份&lt;=$A1479)*(INDEX(记账汇率区,0,MATCH($D1479,汇率币种头,0))&lt;&gt;"")),INDEX(记账汇率区,0,MATCH($D1479,汇率币种头,0))),""))))</f>
        <v/>
      </c>
      <c r="K1479" s="23" t="str">
        <f t="shared" si="46"/>
        <v/>
      </c>
      <c r="L1479" s="23" t="str">
        <f t="shared" si="47"/>
        <v/>
      </c>
      <c r="M1479" s="23" t="str">
        <f>IF($B1479="","",ROUND(SUMIF(账户名,$B1479,账户期初)+SUMIFS($K$6:K1479,$B$6:B1479,$B1479),2))</f>
        <v/>
      </c>
      <c r="N1479" s="23" t="str">
        <f>IF($B1479="","",IFERROR(ROUND(INDEX(账户期初本位,MATCH($B1479,账户名,0))+SUMIFS($L$6:L1479,$B$6:B1479,$B1479),2),""))</f>
        <v/>
      </c>
      <c r="O1479" s="46"/>
      <c r="P1479" s="47"/>
      <c r="Q1479" s="46"/>
      <c r="R1479" s="46"/>
      <c r="S1479" s="6" t="str">
        <f>IF($B1479="","",IF(ISNA(MATCH($B1479,账户名,0)),"※这个账户不在【参数设置】的账户档案里",IF($A1479="","※没填日期，这一笔不会进任何月份的报表",IF(AND($G1479&lt;&gt;"",$H1479&lt;&gt;""),"※收入和支出不能同时填",IF(AND(N($G1479)=0,N($H1479)=0),"※收入和支出都没填",IF($E1479="","※没填收支类别，分类报表会漏掉这一笔",IF(ISNA(MATCH($E1479,类别表,0)),"※收支类别不在【参数设置】的清单里",IF($J1479="","△"&amp;$D1479&amp;" 还没填汇率，去【月度汇率】补上就自动算了",IF(YEAR($A1479)&lt;&gt;管理年度,"△不是管理年度的单据，年报里看不到",IF(AND($F1479="内部转账",$Q1479=""),"△内部转账建议在「往来单位」写上对方账户",IF($M1479&lt;0,"△这一笔之后该账户余额成负数了，核一下","")))))))))))</f>
        <v/>
      </c>
    </row>
    <row r="1480" ht="16.5" spans="1:19">
      <c r="A1480" s="45"/>
      <c r="B1480" s="46"/>
      <c r="C1480" s="12" t="str">
        <f>IF($B1480="","",IFERROR(INDEX(账户银行,MATCH($B1480,账户名,0)),""))</f>
        <v/>
      </c>
      <c r="D1480" s="12" t="str">
        <f>IF($B1480="","",IFERROR(INDEX(账户币种,MATCH($B1480,账户名,0)),""))</f>
        <v/>
      </c>
      <c r="E1480" s="47"/>
      <c r="F1480" s="12" t="str">
        <f>IF($E1480="","",IFERROR(INDEX(类别属性,MATCH($E1480,类别表,0)),""))</f>
        <v/>
      </c>
      <c r="G1480" s="48"/>
      <c r="H1480" s="48"/>
      <c r="I1480" s="49"/>
      <c r="J1480" s="24" t="str">
        <f>IF(OR($A1480="",$B1480=""),"",IF($I1480&lt;&gt;"",$I1480,IF($D1480=本位币,1,IFERROR(LOOKUP(2,1/((汇率月份&lt;=$A1480)*(INDEX(记账汇率区,0,MATCH($D1480,汇率币种头,0))&lt;&gt;"")),INDEX(记账汇率区,0,MATCH($D1480,汇率币种头,0))),""))))</f>
        <v/>
      </c>
      <c r="K1480" s="23" t="str">
        <f t="shared" si="46"/>
        <v/>
      </c>
      <c r="L1480" s="23" t="str">
        <f t="shared" si="47"/>
        <v/>
      </c>
      <c r="M1480" s="23" t="str">
        <f>IF($B1480="","",ROUND(SUMIF(账户名,$B1480,账户期初)+SUMIFS($K$6:K1480,$B$6:B1480,$B1480),2))</f>
        <v/>
      </c>
      <c r="N1480" s="23" t="str">
        <f>IF($B1480="","",IFERROR(ROUND(INDEX(账户期初本位,MATCH($B1480,账户名,0))+SUMIFS($L$6:L1480,$B$6:B1480,$B1480),2),""))</f>
        <v/>
      </c>
      <c r="O1480" s="46"/>
      <c r="P1480" s="47"/>
      <c r="Q1480" s="46"/>
      <c r="R1480" s="46"/>
      <c r="S1480" s="6" t="str">
        <f>IF($B1480="","",IF(ISNA(MATCH($B1480,账户名,0)),"※这个账户不在【参数设置】的账户档案里",IF($A1480="","※没填日期，这一笔不会进任何月份的报表",IF(AND($G1480&lt;&gt;"",$H1480&lt;&gt;""),"※收入和支出不能同时填",IF(AND(N($G1480)=0,N($H1480)=0),"※收入和支出都没填",IF($E1480="","※没填收支类别，分类报表会漏掉这一笔",IF(ISNA(MATCH($E1480,类别表,0)),"※收支类别不在【参数设置】的清单里",IF($J1480="","△"&amp;$D1480&amp;" 还没填汇率，去【月度汇率】补上就自动算了",IF(YEAR($A1480)&lt;&gt;管理年度,"△不是管理年度的单据，年报里看不到",IF(AND($F1480="内部转账",$Q1480=""),"△内部转账建议在「往来单位」写上对方账户",IF($M1480&lt;0,"△这一笔之后该账户余额成负数了，核一下","")))))))))))</f>
        <v/>
      </c>
    </row>
    <row r="1481" ht="16.5" spans="1:19">
      <c r="A1481" s="45"/>
      <c r="B1481" s="46"/>
      <c r="C1481" s="12" t="str">
        <f>IF($B1481="","",IFERROR(INDEX(账户银行,MATCH($B1481,账户名,0)),""))</f>
        <v/>
      </c>
      <c r="D1481" s="12" t="str">
        <f>IF($B1481="","",IFERROR(INDEX(账户币种,MATCH($B1481,账户名,0)),""))</f>
        <v/>
      </c>
      <c r="E1481" s="47"/>
      <c r="F1481" s="12" t="str">
        <f>IF($E1481="","",IFERROR(INDEX(类别属性,MATCH($E1481,类别表,0)),""))</f>
        <v/>
      </c>
      <c r="G1481" s="48"/>
      <c r="H1481" s="48"/>
      <c r="I1481" s="49"/>
      <c r="J1481" s="24" t="str">
        <f>IF(OR($A1481="",$B1481=""),"",IF($I1481&lt;&gt;"",$I1481,IF($D1481=本位币,1,IFERROR(LOOKUP(2,1/((汇率月份&lt;=$A1481)*(INDEX(记账汇率区,0,MATCH($D1481,汇率币种头,0))&lt;&gt;"")),INDEX(记账汇率区,0,MATCH($D1481,汇率币种头,0))),""))))</f>
        <v/>
      </c>
      <c r="K1481" s="23" t="str">
        <f t="shared" si="46"/>
        <v/>
      </c>
      <c r="L1481" s="23" t="str">
        <f t="shared" si="47"/>
        <v/>
      </c>
      <c r="M1481" s="23" t="str">
        <f>IF($B1481="","",ROUND(SUMIF(账户名,$B1481,账户期初)+SUMIFS($K$6:K1481,$B$6:B1481,$B1481),2))</f>
        <v/>
      </c>
      <c r="N1481" s="23" t="str">
        <f>IF($B1481="","",IFERROR(ROUND(INDEX(账户期初本位,MATCH($B1481,账户名,0))+SUMIFS($L$6:L1481,$B$6:B1481,$B1481),2),""))</f>
        <v/>
      </c>
      <c r="O1481" s="46"/>
      <c r="P1481" s="47"/>
      <c r="Q1481" s="46"/>
      <c r="R1481" s="46"/>
      <c r="S1481" s="6" t="str">
        <f>IF($B1481="","",IF(ISNA(MATCH($B1481,账户名,0)),"※这个账户不在【参数设置】的账户档案里",IF($A1481="","※没填日期，这一笔不会进任何月份的报表",IF(AND($G1481&lt;&gt;"",$H1481&lt;&gt;""),"※收入和支出不能同时填",IF(AND(N($G1481)=0,N($H1481)=0),"※收入和支出都没填",IF($E1481="","※没填收支类别，分类报表会漏掉这一笔",IF(ISNA(MATCH($E1481,类别表,0)),"※收支类别不在【参数设置】的清单里",IF($J1481="","△"&amp;$D1481&amp;" 还没填汇率，去【月度汇率】补上就自动算了",IF(YEAR($A1481)&lt;&gt;管理年度,"△不是管理年度的单据，年报里看不到",IF(AND($F1481="内部转账",$Q1481=""),"△内部转账建议在「往来单位」写上对方账户",IF($M1481&lt;0,"△这一笔之后该账户余额成负数了，核一下","")))))))))))</f>
        <v/>
      </c>
    </row>
    <row r="1482" ht="16.5" spans="1:19">
      <c r="A1482" s="45"/>
      <c r="B1482" s="46"/>
      <c r="C1482" s="12" t="str">
        <f>IF($B1482="","",IFERROR(INDEX(账户银行,MATCH($B1482,账户名,0)),""))</f>
        <v/>
      </c>
      <c r="D1482" s="12" t="str">
        <f>IF($B1482="","",IFERROR(INDEX(账户币种,MATCH($B1482,账户名,0)),""))</f>
        <v/>
      </c>
      <c r="E1482" s="47"/>
      <c r="F1482" s="12" t="str">
        <f>IF($E1482="","",IFERROR(INDEX(类别属性,MATCH($E1482,类别表,0)),""))</f>
        <v/>
      </c>
      <c r="G1482" s="48"/>
      <c r="H1482" s="48"/>
      <c r="I1482" s="49"/>
      <c r="J1482" s="24" t="str">
        <f>IF(OR($A1482="",$B1482=""),"",IF($I1482&lt;&gt;"",$I1482,IF($D1482=本位币,1,IFERROR(LOOKUP(2,1/((汇率月份&lt;=$A1482)*(INDEX(记账汇率区,0,MATCH($D1482,汇率币种头,0))&lt;&gt;"")),INDEX(记账汇率区,0,MATCH($D1482,汇率币种头,0))),""))))</f>
        <v/>
      </c>
      <c r="K1482" s="23" t="str">
        <f t="shared" si="46"/>
        <v/>
      </c>
      <c r="L1482" s="23" t="str">
        <f t="shared" si="47"/>
        <v/>
      </c>
      <c r="M1482" s="23" t="str">
        <f>IF($B1482="","",ROUND(SUMIF(账户名,$B1482,账户期初)+SUMIFS($K$6:K1482,$B$6:B1482,$B1482),2))</f>
        <v/>
      </c>
      <c r="N1482" s="23" t="str">
        <f>IF($B1482="","",IFERROR(ROUND(INDEX(账户期初本位,MATCH($B1482,账户名,0))+SUMIFS($L$6:L1482,$B$6:B1482,$B1482),2),""))</f>
        <v/>
      </c>
      <c r="O1482" s="46"/>
      <c r="P1482" s="47"/>
      <c r="Q1482" s="46"/>
      <c r="R1482" s="46"/>
      <c r="S1482" s="6" t="str">
        <f>IF($B1482="","",IF(ISNA(MATCH($B1482,账户名,0)),"※这个账户不在【参数设置】的账户档案里",IF($A1482="","※没填日期，这一笔不会进任何月份的报表",IF(AND($G1482&lt;&gt;"",$H1482&lt;&gt;""),"※收入和支出不能同时填",IF(AND(N($G1482)=0,N($H1482)=0),"※收入和支出都没填",IF($E1482="","※没填收支类别，分类报表会漏掉这一笔",IF(ISNA(MATCH($E1482,类别表,0)),"※收支类别不在【参数设置】的清单里",IF($J1482="","△"&amp;$D1482&amp;" 还没填汇率，去【月度汇率】补上就自动算了",IF(YEAR($A1482)&lt;&gt;管理年度,"△不是管理年度的单据，年报里看不到",IF(AND($F1482="内部转账",$Q1482=""),"△内部转账建议在「往来单位」写上对方账户",IF($M1482&lt;0,"△这一笔之后该账户余额成负数了，核一下","")))))))))))</f>
        <v/>
      </c>
    </row>
    <row r="1483" ht="16.5" spans="1:19">
      <c r="A1483" s="45"/>
      <c r="B1483" s="46"/>
      <c r="C1483" s="12" t="str">
        <f>IF($B1483="","",IFERROR(INDEX(账户银行,MATCH($B1483,账户名,0)),""))</f>
        <v/>
      </c>
      <c r="D1483" s="12" t="str">
        <f>IF($B1483="","",IFERROR(INDEX(账户币种,MATCH($B1483,账户名,0)),""))</f>
        <v/>
      </c>
      <c r="E1483" s="47"/>
      <c r="F1483" s="12" t="str">
        <f>IF($E1483="","",IFERROR(INDEX(类别属性,MATCH($E1483,类别表,0)),""))</f>
        <v/>
      </c>
      <c r="G1483" s="48"/>
      <c r="H1483" s="48"/>
      <c r="I1483" s="49"/>
      <c r="J1483" s="24" t="str">
        <f>IF(OR($A1483="",$B1483=""),"",IF($I1483&lt;&gt;"",$I1483,IF($D1483=本位币,1,IFERROR(LOOKUP(2,1/((汇率月份&lt;=$A1483)*(INDEX(记账汇率区,0,MATCH($D1483,汇率币种头,0))&lt;&gt;"")),INDEX(记账汇率区,0,MATCH($D1483,汇率币种头,0))),""))))</f>
        <v/>
      </c>
      <c r="K1483" s="23" t="str">
        <f t="shared" si="46"/>
        <v/>
      </c>
      <c r="L1483" s="23" t="str">
        <f t="shared" si="47"/>
        <v/>
      </c>
      <c r="M1483" s="23" t="str">
        <f>IF($B1483="","",ROUND(SUMIF(账户名,$B1483,账户期初)+SUMIFS($K$6:K1483,$B$6:B1483,$B1483),2))</f>
        <v/>
      </c>
      <c r="N1483" s="23" t="str">
        <f>IF($B1483="","",IFERROR(ROUND(INDEX(账户期初本位,MATCH($B1483,账户名,0))+SUMIFS($L$6:L1483,$B$6:B1483,$B1483),2),""))</f>
        <v/>
      </c>
      <c r="O1483" s="46"/>
      <c r="P1483" s="47"/>
      <c r="Q1483" s="46"/>
      <c r="R1483" s="46"/>
      <c r="S1483" s="6" t="str">
        <f>IF($B1483="","",IF(ISNA(MATCH($B1483,账户名,0)),"※这个账户不在【参数设置】的账户档案里",IF($A1483="","※没填日期，这一笔不会进任何月份的报表",IF(AND($G1483&lt;&gt;"",$H1483&lt;&gt;""),"※收入和支出不能同时填",IF(AND(N($G1483)=0,N($H1483)=0),"※收入和支出都没填",IF($E1483="","※没填收支类别，分类报表会漏掉这一笔",IF(ISNA(MATCH($E1483,类别表,0)),"※收支类别不在【参数设置】的清单里",IF($J1483="","△"&amp;$D1483&amp;" 还没填汇率，去【月度汇率】补上就自动算了",IF(YEAR($A1483)&lt;&gt;管理年度,"△不是管理年度的单据，年报里看不到",IF(AND($F1483="内部转账",$Q1483=""),"△内部转账建议在「往来单位」写上对方账户",IF($M1483&lt;0,"△这一笔之后该账户余额成负数了，核一下","")))))))))))</f>
        <v/>
      </c>
    </row>
    <row r="1484" ht="16.5" spans="1:19">
      <c r="A1484" s="45"/>
      <c r="B1484" s="46"/>
      <c r="C1484" s="12" t="str">
        <f>IF($B1484="","",IFERROR(INDEX(账户银行,MATCH($B1484,账户名,0)),""))</f>
        <v/>
      </c>
      <c r="D1484" s="12" t="str">
        <f>IF($B1484="","",IFERROR(INDEX(账户币种,MATCH($B1484,账户名,0)),""))</f>
        <v/>
      </c>
      <c r="E1484" s="47"/>
      <c r="F1484" s="12" t="str">
        <f>IF($E1484="","",IFERROR(INDEX(类别属性,MATCH($E1484,类别表,0)),""))</f>
        <v/>
      </c>
      <c r="G1484" s="48"/>
      <c r="H1484" s="48"/>
      <c r="I1484" s="49"/>
      <c r="J1484" s="24" t="str">
        <f>IF(OR($A1484="",$B1484=""),"",IF($I1484&lt;&gt;"",$I1484,IF($D1484=本位币,1,IFERROR(LOOKUP(2,1/((汇率月份&lt;=$A1484)*(INDEX(记账汇率区,0,MATCH($D1484,汇率币种头,0))&lt;&gt;"")),INDEX(记账汇率区,0,MATCH($D1484,汇率币种头,0))),""))))</f>
        <v/>
      </c>
      <c r="K1484" s="23" t="str">
        <f t="shared" si="46"/>
        <v/>
      </c>
      <c r="L1484" s="23" t="str">
        <f t="shared" si="47"/>
        <v/>
      </c>
      <c r="M1484" s="23" t="str">
        <f>IF($B1484="","",ROUND(SUMIF(账户名,$B1484,账户期初)+SUMIFS($K$6:K1484,$B$6:B1484,$B1484),2))</f>
        <v/>
      </c>
      <c r="N1484" s="23" t="str">
        <f>IF($B1484="","",IFERROR(ROUND(INDEX(账户期初本位,MATCH($B1484,账户名,0))+SUMIFS($L$6:L1484,$B$6:B1484,$B1484),2),""))</f>
        <v/>
      </c>
      <c r="O1484" s="46"/>
      <c r="P1484" s="47"/>
      <c r="Q1484" s="46"/>
      <c r="R1484" s="46"/>
      <c r="S1484" s="6" t="str">
        <f>IF($B1484="","",IF(ISNA(MATCH($B1484,账户名,0)),"※这个账户不在【参数设置】的账户档案里",IF($A1484="","※没填日期，这一笔不会进任何月份的报表",IF(AND($G1484&lt;&gt;"",$H1484&lt;&gt;""),"※收入和支出不能同时填",IF(AND(N($G1484)=0,N($H1484)=0),"※收入和支出都没填",IF($E1484="","※没填收支类别，分类报表会漏掉这一笔",IF(ISNA(MATCH($E1484,类别表,0)),"※收支类别不在【参数设置】的清单里",IF($J1484="","△"&amp;$D1484&amp;" 还没填汇率，去【月度汇率】补上就自动算了",IF(YEAR($A1484)&lt;&gt;管理年度,"△不是管理年度的单据，年报里看不到",IF(AND($F1484="内部转账",$Q1484=""),"△内部转账建议在「往来单位」写上对方账户",IF($M1484&lt;0,"△这一笔之后该账户余额成负数了，核一下","")))))))))))</f>
        <v/>
      </c>
    </row>
    <row r="1485" ht="16.5" spans="1:19">
      <c r="A1485" s="45"/>
      <c r="B1485" s="46"/>
      <c r="C1485" s="12" t="str">
        <f>IF($B1485="","",IFERROR(INDEX(账户银行,MATCH($B1485,账户名,0)),""))</f>
        <v/>
      </c>
      <c r="D1485" s="12" t="str">
        <f>IF($B1485="","",IFERROR(INDEX(账户币种,MATCH($B1485,账户名,0)),""))</f>
        <v/>
      </c>
      <c r="E1485" s="47"/>
      <c r="F1485" s="12" t="str">
        <f>IF($E1485="","",IFERROR(INDEX(类别属性,MATCH($E1485,类别表,0)),""))</f>
        <v/>
      </c>
      <c r="G1485" s="48"/>
      <c r="H1485" s="48"/>
      <c r="I1485" s="49"/>
      <c r="J1485" s="24" t="str">
        <f>IF(OR($A1485="",$B1485=""),"",IF($I1485&lt;&gt;"",$I1485,IF($D1485=本位币,1,IFERROR(LOOKUP(2,1/((汇率月份&lt;=$A1485)*(INDEX(记账汇率区,0,MATCH($D1485,汇率币种头,0))&lt;&gt;"")),INDEX(记账汇率区,0,MATCH($D1485,汇率币种头,0))),""))))</f>
        <v/>
      </c>
      <c r="K1485" s="23" t="str">
        <f t="shared" si="46"/>
        <v/>
      </c>
      <c r="L1485" s="23" t="str">
        <f t="shared" si="47"/>
        <v/>
      </c>
      <c r="M1485" s="23" t="str">
        <f>IF($B1485="","",ROUND(SUMIF(账户名,$B1485,账户期初)+SUMIFS($K$6:K1485,$B$6:B1485,$B1485),2))</f>
        <v/>
      </c>
      <c r="N1485" s="23" t="str">
        <f>IF($B1485="","",IFERROR(ROUND(INDEX(账户期初本位,MATCH($B1485,账户名,0))+SUMIFS($L$6:L1485,$B$6:B1485,$B1485),2),""))</f>
        <v/>
      </c>
      <c r="O1485" s="46"/>
      <c r="P1485" s="47"/>
      <c r="Q1485" s="46"/>
      <c r="R1485" s="46"/>
      <c r="S1485" s="6" t="str">
        <f>IF($B1485="","",IF(ISNA(MATCH($B1485,账户名,0)),"※这个账户不在【参数设置】的账户档案里",IF($A1485="","※没填日期，这一笔不会进任何月份的报表",IF(AND($G1485&lt;&gt;"",$H1485&lt;&gt;""),"※收入和支出不能同时填",IF(AND(N($G1485)=0,N($H1485)=0),"※收入和支出都没填",IF($E1485="","※没填收支类别，分类报表会漏掉这一笔",IF(ISNA(MATCH($E1485,类别表,0)),"※收支类别不在【参数设置】的清单里",IF($J1485="","△"&amp;$D1485&amp;" 还没填汇率，去【月度汇率】补上就自动算了",IF(YEAR($A1485)&lt;&gt;管理年度,"△不是管理年度的单据，年报里看不到",IF(AND($F1485="内部转账",$Q1485=""),"△内部转账建议在「往来单位」写上对方账户",IF($M1485&lt;0,"△这一笔之后该账户余额成负数了，核一下","")))))))))))</f>
        <v/>
      </c>
    </row>
    <row r="1486" ht="16.5" spans="1:19">
      <c r="A1486" s="45"/>
      <c r="B1486" s="46"/>
      <c r="C1486" s="12" t="str">
        <f>IF($B1486="","",IFERROR(INDEX(账户银行,MATCH($B1486,账户名,0)),""))</f>
        <v/>
      </c>
      <c r="D1486" s="12" t="str">
        <f>IF($B1486="","",IFERROR(INDEX(账户币种,MATCH($B1486,账户名,0)),""))</f>
        <v/>
      </c>
      <c r="E1486" s="47"/>
      <c r="F1486" s="12" t="str">
        <f>IF($E1486="","",IFERROR(INDEX(类别属性,MATCH($E1486,类别表,0)),""))</f>
        <v/>
      </c>
      <c r="G1486" s="48"/>
      <c r="H1486" s="48"/>
      <c r="I1486" s="49"/>
      <c r="J1486" s="24" t="str">
        <f>IF(OR($A1486="",$B1486=""),"",IF($I1486&lt;&gt;"",$I1486,IF($D1486=本位币,1,IFERROR(LOOKUP(2,1/((汇率月份&lt;=$A1486)*(INDEX(记账汇率区,0,MATCH($D1486,汇率币种头,0))&lt;&gt;"")),INDEX(记账汇率区,0,MATCH($D1486,汇率币种头,0))),""))))</f>
        <v/>
      </c>
      <c r="K1486" s="23" t="str">
        <f t="shared" si="46"/>
        <v/>
      </c>
      <c r="L1486" s="23" t="str">
        <f t="shared" si="47"/>
        <v/>
      </c>
      <c r="M1486" s="23" t="str">
        <f>IF($B1486="","",ROUND(SUMIF(账户名,$B1486,账户期初)+SUMIFS($K$6:K1486,$B$6:B1486,$B1486),2))</f>
        <v/>
      </c>
      <c r="N1486" s="23" t="str">
        <f>IF($B1486="","",IFERROR(ROUND(INDEX(账户期初本位,MATCH($B1486,账户名,0))+SUMIFS($L$6:L1486,$B$6:B1486,$B1486),2),""))</f>
        <v/>
      </c>
      <c r="O1486" s="46"/>
      <c r="P1486" s="47"/>
      <c r="Q1486" s="46"/>
      <c r="R1486" s="46"/>
      <c r="S1486" s="6" t="str">
        <f>IF($B1486="","",IF(ISNA(MATCH($B1486,账户名,0)),"※这个账户不在【参数设置】的账户档案里",IF($A1486="","※没填日期，这一笔不会进任何月份的报表",IF(AND($G1486&lt;&gt;"",$H1486&lt;&gt;""),"※收入和支出不能同时填",IF(AND(N($G1486)=0,N($H1486)=0),"※收入和支出都没填",IF($E1486="","※没填收支类别，分类报表会漏掉这一笔",IF(ISNA(MATCH($E1486,类别表,0)),"※收支类别不在【参数设置】的清单里",IF($J1486="","△"&amp;$D1486&amp;" 还没填汇率，去【月度汇率】补上就自动算了",IF(YEAR($A1486)&lt;&gt;管理年度,"△不是管理年度的单据，年报里看不到",IF(AND($F1486="内部转账",$Q1486=""),"△内部转账建议在「往来单位」写上对方账户",IF($M1486&lt;0,"△这一笔之后该账户余额成负数了，核一下","")))))))))))</f>
        <v/>
      </c>
    </row>
    <row r="1487" ht="16.5" spans="1:19">
      <c r="A1487" s="45"/>
      <c r="B1487" s="46"/>
      <c r="C1487" s="12" t="str">
        <f>IF($B1487="","",IFERROR(INDEX(账户银行,MATCH($B1487,账户名,0)),""))</f>
        <v/>
      </c>
      <c r="D1487" s="12" t="str">
        <f>IF($B1487="","",IFERROR(INDEX(账户币种,MATCH($B1487,账户名,0)),""))</f>
        <v/>
      </c>
      <c r="E1487" s="47"/>
      <c r="F1487" s="12" t="str">
        <f>IF($E1487="","",IFERROR(INDEX(类别属性,MATCH($E1487,类别表,0)),""))</f>
        <v/>
      </c>
      <c r="G1487" s="48"/>
      <c r="H1487" s="48"/>
      <c r="I1487" s="49"/>
      <c r="J1487" s="24" t="str">
        <f>IF(OR($A1487="",$B1487=""),"",IF($I1487&lt;&gt;"",$I1487,IF($D1487=本位币,1,IFERROR(LOOKUP(2,1/((汇率月份&lt;=$A1487)*(INDEX(记账汇率区,0,MATCH($D1487,汇率币种头,0))&lt;&gt;"")),INDEX(记账汇率区,0,MATCH($D1487,汇率币种头,0))),""))))</f>
        <v/>
      </c>
      <c r="K1487" s="23" t="str">
        <f t="shared" si="46"/>
        <v/>
      </c>
      <c r="L1487" s="23" t="str">
        <f t="shared" si="47"/>
        <v/>
      </c>
      <c r="M1487" s="23" t="str">
        <f>IF($B1487="","",ROUND(SUMIF(账户名,$B1487,账户期初)+SUMIFS($K$6:K1487,$B$6:B1487,$B1487),2))</f>
        <v/>
      </c>
      <c r="N1487" s="23" t="str">
        <f>IF($B1487="","",IFERROR(ROUND(INDEX(账户期初本位,MATCH($B1487,账户名,0))+SUMIFS($L$6:L1487,$B$6:B1487,$B1487),2),""))</f>
        <v/>
      </c>
      <c r="O1487" s="46"/>
      <c r="P1487" s="47"/>
      <c r="Q1487" s="46"/>
      <c r="R1487" s="46"/>
      <c r="S1487" s="6" t="str">
        <f>IF($B1487="","",IF(ISNA(MATCH($B1487,账户名,0)),"※这个账户不在【参数设置】的账户档案里",IF($A1487="","※没填日期，这一笔不会进任何月份的报表",IF(AND($G1487&lt;&gt;"",$H1487&lt;&gt;""),"※收入和支出不能同时填",IF(AND(N($G1487)=0,N($H1487)=0),"※收入和支出都没填",IF($E1487="","※没填收支类别，分类报表会漏掉这一笔",IF(ISNA(MATCH($E1487,类别表,0)),"※收支类别不在【参数设置】的清单里",IF($J1487="","△"&amp;$D1487&amp;" 还没填汇率，去【月度汇率】补上就自动算了",IF(YEAR($A1487)&lt;&gt;管理年度,"△不是管理年度的单据，年报里看不到",IF(AND($F1487="内部转账",$Q1487=""),"△内部转账建议在「往来单位」写上对方账户",IF($M1487&lt;0,"△这一笔之后该账户余额成负数了，核一下","")))))))))))</f>
        <v/>
      </c>
    </row>
    <row r="1488" ht="16.5" spans="1:19">
      <c r="A1488" s="45"/>
      <c r="B1488" s="46"/>
      <c r="C1488" s="12" t="str">
        <f>IF($B1488="","",IFERROR(INDEX(账户银行,MATCH($B1488,账户名,0)),""))</f>
        <v/>
      </c>
      <c r="D1488" s="12" t="str">
        <f>IF($B1488="","",IFERROR(INDEX(账户币种,MATCH($B1488,账户名,0)),""))</f>
        <v/>
      </c>
      <c r="E1488" s="47"/>
      <c r="F1488" s="12" t="str">
        <f>IF($E1488="","",IFERROR(INDEX(类别属性,MATCH($E1488,类别表,0)),""))</f>
        <v/>
      </c>
      <c r="G1488" s="48"/>
      <c r="H1488" s="48"/>
      <c r="I1488" s="49"/>
      <c r="J1488" s="24" t="str">
        <f>IF(OR($A1488="",$B1488=""),"",IF($I1488&lt;&gt;"",$I1488,IF($D1488=本位币,1,IFERROR(LOOKUP(2,1/((汇率月份&lt;=$A1488)*(INDEX(记账汇率区,0,MATCH($D1488,汇率币种头,0))&lt;&gt;"")),INDEX(记账汇率区,0,MATCH($D1488,汇率币种头,0))),""))))</f>
        <v/>
      </c>
      <c r="K1488" s="23" t="str">
        <f t="shared" si="46"/>
        <v/>
      </c>
      <c r="L1488" s="23" t="str">
        <f t="shared" si="47"/>
        <v/>
      </c>
      <c r="M1488" s="23" t="str">
        <f>IF($B1488="","",ROUND(SUMIF(账户名,$B1488,账户期初)+SUMIFS($K$6:K1488,$B$6:B1488,$B1488),2))</f>
        <v/>
      </c>
      <c r="N1488" s="23" t="str">
        <f>IF($B1488="","",IFERROR(ROUND(INDEX(账户期初本位,MATCH($B1488,账户名,0))+SUMIFS($L$6:L1488,$B$6:B1488,$B1488),2),""))</f>
        <v/>
      </c>
      <c r="O1488" s="46"/>
      <c r="P1488" s="47"/>
      <c r="Q1488" s="46"/>
      <c r="R1488" s="46"/>
      <c r="S1488" s="6" t="str">
        <f>IF($B1488="","",IF(ISNA(MATCH($B1488,账户名,0)),"※这个账户不在【参数设置】的账户档案里",IF($A1488="","※没填日期，这一笔不会进任何月份的报表",IF(AND($G1488&lt;&gt;"",$H1488&lt;&gt;""),"※收入和支出不能同时填",IF(AND(N($G1488)=0,N($H1488)=0),"※收入和支出都没填",IF($E1488="","※没填收支类别，分类报表会漏掉这一笔",IF(ISNA(MATCH($E1488,类别表,0)),"※收支类别不在【参数设置】的清单里",IF($J1488="","△"&amp;$D1488&amp;" 还没填汇率，去【月度汇率】补上就自动算了",IF(YEAR($A1488)&lt;&gt;管理年度,"△不是管理年度的单据，年报里看不到",IF(AND($F1488="内部转账",$Q1488=""),"△内部转账建议在「往来单位」写上对方账户",IF($M1488&lt;0,"△这一笔之后该账户余额成负数了，核一下","")))))))))))</f>
        <v/>
      </c>
    </row>
    <row r="1489" ht="16.5" spans="1:19">
      <c r="A1489" s="45"/>
      <c r="B1489" s="46"/>
      <c r="C1489" s="12" t="str">
        <f>IF($B1489="","",IFERROR(INDEX(账户银行,MATCH($B1489,账户名,0)),""))</f>
        <v/>
      </c>
      <c r="D1489" s="12" t="str">
        <f>IF($B1489="","",IFERROR(INDEX(账户币种,MATCH($B1489,账户名,0)),""))</f>
        <v/>
      </c>
      <c r="E1489" s="47"/>
      <c r="F1489" s="12" t="str">
        <f>IF($E1489="","",IFERROR(INDEX(类别属性,MATCH($E1489,类别表,0)),""))</f>
        <v/>
      </c>
      <c r="G1489" s="48"/>
      <c r="H1489" s="48"/>
      <c r="I1489" s="49"/>
      <c r="J1489" s="24" t="str">
        <f>IF(OR($A1489="",$B1489=""),"",IF($I1489&lt;&gt;"",$I1489,IF($D1489=本位币,1,IFERROR(LOOKUP(2,1/((汇率月份&lt;=$A1489)*(INDEX(记账汇率区,0,MATCH($D1489,汇率币种头,0))&lt;&gt;"")),INDEX(记账汇率区,0,MATCH($D1489,汇率币种头,0))),""))))</f>
        <v/>
      </c>
      <c r="K1489" s="23" t="str">
        <f t="shared" si="46"/>
        <v/>
      </c>
      <c r="L1489" s="23" t="str">
        <f t="shared" si="47"/>
        <v/>
      </c>
      <c r="M1489" s="23" t="str">
        <f>IF($B1489="","",ROUND(SUMIF(账户名,$B1489,账户期初)+SUMIFS($K$6:K1489,$B$6:B1489,$B1489),2))</f>
        <v/>
      </c>
      <c r="N1489" s="23" t="str">
        <f>IF($B1489="","",IFERROR(ROUND(INDEX(账户期初本位,MATCH($B1489,账户名,0))+SUMIFS($L$6:L1489,$B$6:B1489,$B1489),2),""))</f>
        <v/>
      </c>
      <c r="O1489" s="46"/>
      <c r="P1489" s="47"/>
      <c r="Q1489" s="46"/>
      <c r="R1489" s="46"/>
      <c r="S1489" s="6" t="str">
        <f>IF($B1489="","",IF(ISNA(MATCH($B1489,账户名,0)),"※这个账户不在【参数设置】的账户档案里",IF($A1489="","※没填日期，这一笔不会进任何月份的报表",IF(AND($G1489&lt;&gt;"",$H1489&lt;&gt;""),"※收入和支出不能同时填",IF(AND(N($G1489)=0,N($H1489)=0),"※收入和支出都没填",IF($E1489="","※没填收支类别，分类报表会漏掉这一笔",IF(ISNA(MATCH($E1489,类别表,0)),"※收支类别不在【参数设置】的清单里",IF($J1489="","△"&amp;$D1489&amp;" 还没填汇率，去【月度汇率】补上就自动算了",IF(YEAR($A1489)&lt;&gt;管理年度,"△不是管理年度的单据，年报里看不到",IF(AND($F1489="内部转账",$Q1489=""),"△内部转账建议在「往来单位」写上对方账户",IF($M1489&lt;0,"△这一笔之后该账户余额成负数了，核一下","")))))))))))</f>
        <v/>
      </c>
    </row>
    <row r="1490" ht="16.5" spans="1:19">
      <c r="A1490" s="45"/>
      <c r="B1490" s="46"/>
      <c r="C1490" s="12" t="str">
        <f>IF($B1490="","",IFERROR(INDEX(账户银行,MATCH($B1490,账户名,0)),""))</f>
        <v/>
      </c>
      <c r="D1490" s="12" t="str">
        <f>IF($B1490="","",IFERROR(INDEX(账户币种,MATCH($B1490,账户名,0)),""))</f>
        <v/>
      </c>
      <c r="E1490" s="47"/>
      <c r="F1490" s="12" t="str">
        <f>IF($E1490="","",IFERROR(INDEX(类别属性,MATCH($E1490,类别表,0)),""))</f>
        <v/>
      </c>
      <c r="G1490" s="48"/>
      <c r="H1490" s="48"/>
      <c r="I1490" s="49"/>
      <c r="J1490" s="24" t="str">
        <f>IF(OR($A1490="",$B1490=""),"",IF($I1490&lt;&gt;"",$I1490,IF($D1490=本位币,1,IFERROR(LOOKUP(2,1/((汇率月份&lt;=$A1490)*(INDEX(记账汇率区,0,MATCH($D1490,汇率币种头,0))&lt;&gt;"")),INDEX(记账汇率区,0,MATCH($D1490,汇率币种头,0))),""))))</f>
        <v/>
      </c>
      <c r="K1490" s="23" t="str">
        <f t="shared" si="46"/>
        <v/>
      </c>
      <c r="L1490" s="23" t="str">
        <f t="shared" si="47"/>
        <v/>
      </c>
      <c r="M1490" s="23" t="str">
        <f>IF($B1490="","",ROUND(SUMIF(账户名,$B1490,账户期初)+SUMIFS($K$6:K1490,$B$6:B1490,$B1490),2))</f>
        <v/>
      </c>
      <c r="N1490" s="23" t="str">
        <f>IF($B1490="","",IFERROR(ROUND(INDEX(账户期初本位,MATCH($B1490,账户名,0))+SUMIFS($L$6:L1490,$B$6:B1490,$B1490),2),""))</f>
        <v/>
      </c>
      <c r="O1490" s="46"/>
      <c r="P1490" s="47"/>
      <c r="Q1490" s="46"/>
      <c r="R1490" s="46"/>
      <c r="S1490" s="6" t="str">
        <f>IF($B1490="","",IF(ISNA(MATCH($B1490,账户名,0)),"※这个账户不在【参数设置】的账户档案里",IF($A1490="","※没填日期，这一笔不会进任何月份的报表",IF(AND($G1490&lt;&gt;"",$H1490&lt;&gt;""),"※收入和支出不能同时填",IF(AND(N($G1490)=0,N($H1490)=0),"※收入和支出都没填",IF($E1490="","※没填收支类别，分类报表会漏掉这一笔",IF(ISNA(MATCH($E1490,类别表,0)),"※收支类别不在【参数设置】的清单里",IF($J1490="","△"&amp;$D1490&amp;" 还没填汇率，去【月度汇率】补上就自动算了",IF(YEAR($A1490)&lt;&gt;管理年度,"△不是管理年度的单据，年报里看不到",IF(AND($F1490="内部转账",$Q1490=""),"△内部转账建议在「往来单位」写上对方账户",IF($M1490&lt;0,"△这一笔之后该账户余额成负数了，核一下","")))))))))))</f>
        <v/>
      </c>
    </row>
    <row r="1491" ht="16.5" spans="1:19">
      <c r="A1491" s="45"/>
      <c r="B1491" s="46"/>
      <c r="C1491" s="12" t="str">
        <f>IF($B1491="","",IFERROR(INDEX(账户银行,MATCH($B1491,账户名,0)),""))</f>
        <v/>
      </c>
      <c r="D1491" s="12" t="str">
        <f>IF($B1491="","",IFERROR(INDEX(账户币种,MATCH($B1491,账户名,0)),""))</f>
        <v/>
      </c>
      <c r="E1491" s="47"/>
      <c r="F1491" s="12" t="str">
        <f>IF($E1491="","",IFERROR(INDEX(类别属性,MATCH($E1491,类别表,0)),""))</f>
        <v/>
      </c>
      <c r="G1491" s="48"/>
      <c r="H1491" s="48"/>
      <c r="I1491" s="49"/>
      <c r="J1491" s="24" t="str">
        <f>IF(OR($A1491="",$B1491=""),"",IF($I1491&lt;&gt;"",$I1491,IF($D1491=本位币,1,IFERROR(LOOKUP(2,1/((汇率月份&lt;=$A1491)*(INDEX(记账汇率区,0,MATCH($D1491,汇率币种头,0))&lt;&gt;"")),INDEX(记账汇率区,0,MATCH($D1491,汇率币种头,0))),""))))</f>
        <v/>
      </c>
      <c r="K1491" s="23" t="str">
        <f t="shared" si="46"/>
        <v/>
      </c>
      <c r="L1491" s="23" t="str">
        <f t="shared" si="47"/>
        <v/>
      </c>
      <c r="M1491" s="23" t="str">
        <f>IF($B1491="","",ROUND(SUMIF(账户名,$B1491,账户期初)+SUMIFS($K$6:K1491,$B$6:B1491,$B1491),2))</f>
        <v/>
      </c>
      <c r="N1491" s="23" t="str">
        <f>IF($B1491="","",IFERROR(ROUND(INDEX(账户期初本位,MATCH($B1491,账户名,0))+SUMIFS($L$6:L1491,$B$6:B1491,$B1491),2),""))</f>
        <v/>
      </c>
      <c r="O1491" s="46"/>
      <c r="P1491" s="47"/>
      <c r="Q1491" s="46"/>
      <c r="R1491" s="46"/>
      <c r="S1491" s="6" t="str">
        <f>IF($B1491="","",IF(ISNA(MATCH($B1491,账户名,0)),"※这个账户不在【参数设置】的账户档案里",IF($A1491="","※没填日期，这一笔不会进任何月份的报表",IF(AND($G1491&lt;&gt;"",$H1491&lt;&gt;""),"※收入和支出不能同时填",IF(AND(N($G1491)=0,N($H1491)=0),"※收入和支出都没填",IF($E1491="","※没填收支类别，分类报表会漏掉这一笔",IF(ISNA(MATCH($E1491,类别表,0)),"※收支类别不在【参数设置】的清单里",IF($J1491="","△"&amp;$D1491&amp;" 还没填汇率，去【月度汇率】补上就自动算了",IF(YEAR($A1491)&lt;&gt;管理年度,"△不是管理年度的单据，年报里看不到",IF(AND($F1491="内部转账",$Q1491=""),"△内部转账建议在「往来单位」写上对方账户",IF($M1491&lt;0,"△这一笔之后该账户余额成负数了，核一下","")))))))))))</f>
        <v/>
      </c>
    </row>
    <row r="1492" ht="16.5" spans="1:19">
      <c r="A1492" s="45"/>
      <c r="B1492" s="46"/>
      <c r="C1492" s="12" t="str">
        <f>IF($B1492="","",IFERROR(INDEX(账户银行,MATCH($B1492,账户名,0)),""))</f>
        <v/>
      </c>
      <c r="D1492" s="12" t="str">
        <f>IF($B1492="","",IFERROR(INDEX(账户币种,MATCH($B1492,账户名,0)),""))</f>
        <v/>
      </c>
      <c r="E1492" s="47"/>
      <c r="F1492" s="12" t="str">
        <f>IF($E1492="","",IFERROR(INDEX(类别属性,MATCH($E1492,类别表,0)),""))</f>
        <v/>
      </c>
      <c r="G1492" s="48"/>
      <c r="H1492" s="48"/>
      <c r="I1492" s="49"/>
      <c r="J1492" s="24" t="str">
        <f>IF(OR($A1492="",$B1492=""),"",IF($I1492&lt;&gt;"",$I1492,IF($D1492=本位币,1,IFERROR(LOOKUP(2,1/((汇率月份&lt;=$A1492)*(INDEX(记账汇率区,0,MATCH($D1492,汇率币种头,0))&lt;&gt;"")),INDEX(记账汇率区,0,MATCH($D1492,汇率币种头,0))),""))))</f>
        <v/>
      </c>
      <c r="K1492" s="23" t="str">
        <f t="shared" si="46"/>
        <v/>
      </c>
      <c r="L1492" s="23" t="str">
        <f t="shared" si="47"/>
        <v/>
      </c>
      <c r="M1492" s="23" t="str">
        <f>IF($B1492="","",ROUND(SUMIF(账户名,$B1492,账户期初)+SUMIFS($K$6:K1492,$B$6:B1492,$B1492),2))</f>
        <v/>
      </c>
      <c r="N1492" s="23" t="str">
        <f>IF($B1492="","",IFERROR(ROUND(INDEX(账户期初本位,MATCH($B1492,账户名,0))+SUMIFS($L$6:L1492,$B$6:B1492,$B1492),2),""))</f>
        <v/>
      </c>
      <c r="O1492" s="46"/>
      <c r="P1492" s="47"/>
      <c r="Q1492" s="46"/>
      <c r="R1492" s="46"/>
      <c r="S1492" s="6" t="str">
        <f>IF($B1492="","",IF(ISNA(MATCH($B1492,账户名,0)),"※这个账户不在【参数设置】的账户档案里",IF($A1492="","※没填日期，这一笔不会进任何月份的报表",IF(AND($G1492&lt;&gt;"",$H1492&lt;&gt;""),"※收入和支出不能同时填",IF(AND(N($G1492)=0,N($H1492)=0),"※收入和支出都没填",IF($E1492="","※没填收支类别，分类报表会漏掉这一笔",IF(ISNA(MATCH($E1492,类别表,0)),"※收支类别不在【参数设置】的清单里",IF($J1492="","△"&amp;$D1492&amp;" 还没填汇率，去【月度汇率】补上就自动算了",IF(YEAR($A1492)&lt;&gt;管理年度,"△不是管理年度的单据，年报里看不到",IF(AND($F1492="内部转账",$Q1492=""),"△内部转账建议在「往来单位」写上对方账户",IF($M1492&lt;0,"△这一笔之后该账户余额成负数了，核一下","")))))))))))</f>
        <v/>
      </c>
    </row>
    <row r="1493" ht="16.5" spans="1:19">
      <c r="A1493" s="45"/>
      <c r="B1493" s="46"/>
      <c r="C1493" s="12" t="str">
        <f>IF($B1493="","",IFERROR(INDEX(账户银行,MATCH($B1493,账户名,0)),""))</f>
        <v/>
      </c>
      <c r="D1493" s="12" t="str">
        <f>IF($B1493="","",IFERROR(INDEX(账户币种,MATCH($B1493,账户名,0)),""))</f>
        <v/>
      </c>
      <c r="E1493" s="47"/>
      <c r="F1493" s="12" t="str">
        <f>IF($E1493="","",IFERROR(INDEX(类别属性,MATCH($E1493,类别表,0)),""))</f>
        <v/>
      </c>
      <c r="G1493" s="48"/>
      <c r="H1493" s="48"/>
      <c r="I1493" s="49"/>
      <c r="J1493" s="24" t="str">
        <f>IF(OR($A1493="",$B1493=""),"",IF($I1493&lt;&gt;"",$I1493,IF($D1493=本位币,1,IFERROR(LOOKUP(2,1/((汇率月份&lt;=$A1493)*(INDEX(记账汇率区,0,MATCH($D1493,汇率币种头,0))&lt;&gt;"")),INDEX(记账汇率区,0,MATCH($D1493,汇率币种头,0))),""))))</f>
        <v/>
      </c>
      <c r="K1493" s="23" t="str">
        <f t="shared" si="46"/>
        <v/>
      </c>
      <c r="L1493" s="23" t="str">
        <f t="shared" si="47"/>
        <v/>
      </c>
      <c r="M1493" s="23" t="str">
        <f>IF($B1493="","",ROUND(SUMIF(账户名,$B1493,账户期初)+SUMIFS($K$6:K1493,$B$6:B1493,$B1493),2))</f>
        <v/>
      </c>
      <c r="N1493" s="23" t="str">
        <f>IF($B1493="","",IFERROR(ROUND(INDEX(账户期初本位,MATCH($B1493,账户名,0))+SUMIFS($L$6:L1493,$B$6:B1493,$B1493),2),""))</f>
        <v/>
      </c>
      <c r="O1493" s="46"/>
      <c r="P1493" s="47"/>
      <c r="Q1493" s="46"/>
      <c r="R1493" s="46"/>
      <c r="S1493" s="6" t="str">
        <f>IF($B1493="","",IF(ISNA(MATCH($B1493,账户名,0)),"※这个账户不在【参数设置】的账户档案里",IF($A1493="","※没填日期，这一笔不会进任何月份的报表",IF(AND($G1493&lt;&gt;"",$H1493&lt;&gt;""),"※收入和支出不能同时填",IF(AND(N($G1493)=0,N($H1493)=0),"※收入和支出都没填",IF($E1493="","※没填收支类别，分类报表会漏掉这一笔",IF(ISNA(MATCH($E1493,类别表,0)),"※收支类别不在【参数设置】的清单里",IF($J1493="","△"&amp;$D1493&amp;" 还没填汇率，去【月度汇率】补上就自动算了",IF(YEAR($A1493)&lt;&gt;管理年度,"△不是管理年度的单据，年报里看不到",IF(AND($F1493="内部转账",$Q1493=""),"△内部转账建议在「往来单位」写上对方账户",IF($M1493&lt;0,"△这一笔之后该账户余额成负数了，核一下","")))))))))))</f>
        <v/>
      </c>
    </row>
    <row r="1494" ht="16.5" spans="1:19">
      <c r="A1494" s="45"/>
      <c r="B1494" s="46"/>
      <c r="C1494" s="12" t="str">
        <f>IF($B1494="","",IFERROR(INDEX(账户银行,MATCH($B1494,账户名,0)),""))</f>
        <v/>
      </c>
      <c r="D1494" s="12" t="str">
        <f>IF($B1494="","",IFERROR(INDEX(账户币种,MATCH($B1494,账户名,0)),""))</f>
        <v/>
      </c>
      <c r="E1494" s="47"/>
      <c r="F1494" s="12" t="str">
        <f>IF($E1494="","",IFERROR(INDEX(类别属性,MATCH($E1494,类别表,0)),""))</f>
        <v/>
      </c>
      <c r="G1494" s="48"/>
      <c r="H1494" s="48"/>
      <c r="I1494" s="49"/>
      <c r="J1494" s="24" t="str">
        <f>IF(OR($A1494="",$B1494=""),"",IF($I1494&lt;&gt;"",$I1494,IF($D1494=本位币,1,IFERROR(LOOKUP(2,1/((汇率月份&lt;=$A1494)*(INDEX(记账汇率区,0,MATCH($D1494,汇率币种头,0))&lt;&gt;"")),INDEX(记账汇率区,0,MATCH($D1494,汇率币种头,0))),""))))</f>
        <v/>
      </c>
      <c r="K1494" s="23" t="str">
        <f t="shared" si="46"/>
        <v/>
      </c>
      <c r="L1494" s="23" t="str">
        <f t="shared" si="47"/>
        <v/>
      </c>
      <c r="M1494" s="23" t="str">
        <f>IF($B1494="","",ROUND(SUMIF(账户名,$B1494,账户期初)+SUMIFS($K$6:K1494,$B$6:B1494,$B1494),2))</f>
        <v/>
      </c>
      <c r="N1494" s="23" t="str">
        <f>IF($B1494="","",IFERROR(ROUND(INDEX(账户期初本位,MATCH($B1494,账户名,0))+SUMIFS($L$6:L1494,$B$6:B1494,$B1494),2),""))</f>
        <v/>
      </c>
      <c r="O1494" s="46"/>
      <c r="P1494" s="47"/>
      <c r="Q1494" s="46"/>
      <c r="R1494" s="46"/>
      <c r="S1494" s="6" t="str">
        <f>IF($B1494="","",IF(ISNA(MATCH($B1494,账户名,0)),"※这个账户不在【参数设置】的账户档案里",IF($A1494="","※没填日期，这一笔不会进任何月份的报表",IF(AND($G1494&lt;&gt;"",$H1494&lt;&gt;""),"※收入和支出不能同时填",IF(AND(N($G1494)=0,N($H1494)=0),"※收入和支出都没填",IF($E1494="","※没填收支类别，分类报表会漏掉这一笔",IF(ISNA(MATCH($E1494,类别表,0)),"※收支类别不在【参数设置】的清单里",IF($J1494="","△"&amp;$D1494&amp;" 还没填汇率，去【月度汇率】补上就自动算了",IF(YEAR($A1494)&lt;&gt;管理年度,"△不是管理年度的单据，年报里看不到",IF(AND($F1494="内部转账",$Q1494=""),"△内部转账建议在「往来单位」写上对方账户",IF($M1494&lt;0,"△这一笔之后该账户余额成负数了，核一下","")))))))))))</f>
        <v/>
      </c>
    </row>
    <row r="1495" ht="16.5" spans="1:19">
      <c r="A1495" s="45"/>
      <c r="B1495" s="46"/>
      <c r="C1495" s="12" t="str">
        <f>IF($B1495="","",IFERROR(INDEX(账户银行,MATCH($B1495,账户名,0)),""))</f>
        <v/>
      </c>
      <c r="D1495" s="12" t="str">
        <f>IF($B1495="","",IFERROR(INDEX(账户币种,MATCH($B1495,账户名,0)),""))</f>
        <v/>
      </c>
      <c r="E1495" s="47"/>
      <c r="F1495" s="12" t="str">
        <f>IF($E1495="","",IFERROR(INDEX(类别属性,MATCH($E1495,类别表,0)),""))</f>
        <v/>
      </c>
      <c r="G1495" s="48"/>
      <c r="H1495" s="48"/>
      <c r="I1495" s="49"/>
      <c r="J1495" s="24" t="str">
        <f>IF(OR($A1495="",$B1495=""),"",IF($I1495&lt;&gt;"",$I1495,IF($D1495=本位币,1,IFERROR(LOOKUP(2,1/((汇率月份&lt;=$A1495)*(INDEX(记账汇率区,0,MATCH($D1495,汇率币种头,0))&lt;&gt;"")),INDEX(记账汇率区,0,MATCH($D1495,汇率币种头,0))),""))))</f>
        <v/>
      </c>
      <c r="K1495" s="23" t="str">
        <f t="shared" si="46"/>
        <v/>
      </c>
      <c r="L1495" s="23" t="str">
        <f t="shared" si="47"/>
        <v/>
      </c>
      <c r="M1495" s="23" t="str">
        <f>IF($B1495="","",ROUND(SUMIF(账户名,$B1495,账户期初)+SUMIFS($K$6:K1495,$B$6:B1495,$B1495),2))</f>
        <v/>
      </c>
      <c r="N1495" s="23" t="str">
        <f>IF($B1495="","",IFERROR(ROUND(INDEX(账户期初本位,MATCH($B1495,账户名,0))+SUMIFS($L$6:L1495,$B$6:B1495,$B1495),2),""))</f>
        <v/>
      </c>
      <c r="O1495" s="46"/>
      <c r="P1495" s="47"/>
      <c r="Q1495" s="46"/>
      <c r="R1495" s="46"/>
      <c r="S1495" s="6" t="str">
        <f>IF($B1495="","",IF(ISNA(MATCH($B1495,账户名,0)),"※这个账户不在【参数设置】的账户档案里",IF($A1495="","※没填日期，这一笔不会进任何月份的报表",IF(AND($G1495&lt;&gt;"",$H1495&lt;&gt;""),"※收入和支出不能同时填",IF(AND(N($G1495)=0,N($H1495)=0),"※收入和支出都没填",IF($E1495="","※没填收支类别，分类报表会漏掉这一笔",IF(ISNA(MATCH($E1495,类别表,0)),"※收支类别不在【参数设置】的清单里",IF($J1495="","△"&amp;$D1495&amp;" 还没填汇率，去【月度汇率】补上就自动算了",IF(YEAR($A1495)&lt;&gt;管理年度,"△不是管理年度的单据，年报里看不到",IF(AND($F1495="内部转账",$Q1495=""),"△内部转账建议在「往来单位」写上对方账户",IF($M1495&lt;0,"△这一笔之后该账户余额成负数了，核一下","")))))))))))</f>
        <v/>
      </c>
    </row>
    <row r="1496" ht="16.5" spans="1:19">
      <c r="A1496" s="45"/>
      <c r="B1496" s="46"/>
      <c r="C1496" s="12" t="str">
        <f>IF($B1496="","",IFERROR(INDEX(账户银行,MATCH($B1496,账户名,0)),""))</f>
        <v/>
      </c>
      <c r="D1496" s="12" t="str">
        <f>IF($B1496="","",IFERROR(INDEX(账户币种,MATCH($B1496,账户名,0)),""))</f>
        <v/>
      </c>
      <c r="E1496" s="47"/>
      <c r="F1496" s="12" t="str">
        <f>IF($E1496="","",IFERROR(INDEX(类别属性,MATCH($E1496,类别表,0)),""))</f>
        <v/>
      </c>
      <c r="G1496" s="48"/>
      <c r="H1496" s="48"/>
      <c r="I1496" s="49"/>
      <c r="J1496" s="24" t="str">
        <f>IF(OR($A1496="",$B1496=""),"",IF($I1496&lt;&gt;"",$I1496,IF($D1496=本位币,1,IFERROR(LOOKUP(2,1/((汇率月份&lt;=$A1496)*(INDEX(记账汇率区,0,MATCH($D1496,汇率币种头,0))&lt;&gt;"")),INDEX(记账汇率区,0,MATCH($D1496,汇率币种头,0))),""))))</f>
        <v/>
      </c>
      <c r="K1496" s="23" t="str">
        <f t="shared" si="46"/>
        <v/>
      </c>
      <c r="L1496" s="23" t="str">
        <f t="shared" si="47"/>
        <v/>
      </c>
      <c r="M1496" s="23" t="str">
        <f>IF($B1496="","",ROUND(SUMIF(账户名,$B1496,账户期初)+SUMIFS($K$6:K1496,$B$6:B1496,$B1496),2))</f>
        <v/>
      </c>
      <c r="N1496" s="23" t="str">
        <f>IF($B1496="","",IFERROR(ROUND(INDEX(账户期初本位,MATCH($B1496,账户名,0))+SUMIFS($L$6:L1496,$B$6:B1496,$B1496),2),""))</f>
        <v/>
      </c>
      <c r="O1496" s="46"/>
      <c r="P1496" s="47"/>
      <c r="Q1496" s="46"/>
      <c r="R1496" s="46"/>
      <c r="S1496" s="6" t="str">
        <f>IF($B1496="","",IF(ISNA(MATCH($B1496,账户名,0)),"※这个账户不在【参数设置】的账户档案里",IF($A1496="","※没填日期，这一笔不会进任何月份的报表",IF(AND($G1496&lt;&gt;"",$H1496&lt;&gt;""),"※收入和支出不能同时填",IF(AND(N($G1496)=0,N($H1496)=0),"※收入和支出都没填",IF($E1496="","※没填收支类别，分类报表会漏掉这一笔",IF(ISNA(MATCH($E1496,类别表,0)),"※收支类别不在【参数设置】的清单里",IF($J1496="","△"&amp;$D1496&amp;" 还没填汇率，去【月度汇率】补上就自动算了",IF(YEAR($A1496)&lt;&gt;管理年度,"△不是管理年度的单据，年报里看不到",IF(AND($F1496="内部转账",$Q1496=""),"△内部转账建议在「往来单位」写上对方账户",IF($M1496&lt;0,"△这一笔之后该账户余额成负数了，核一下","")))))))))))</f>
        <v/>
      </c>
    </row>
    <row r="1497" ht="16.5" spans="1:19">
      <c r="A1497" s="45"/>
      <c r="B1497" s="46"/>
      <c r="C1497" s="12" t="str">
        <f>IF($B1497="","",IFERROR(INDEX(账户银行,MATCH($B1497,账户名,0)),""))</f>
        <v/>
      </c>
      <c r="D1497" s="12" t="str">
        <f>IF($B1497="","",IFERROR(INDEX(账户币种,MATCH($B1497,账户名,0)),""))</f>
        <v/>
      </c>
      <c r="E1497" s="47"/>
      <c r="F1497" s="12" t="str">
        <f>IF($E1497="","",IFERROR(INDEX(类别属性,MATCH($E1497,类别表,0)),""))</f>
        <v/>
      </c>
      <c r="G1497" s="48"/>
      <c r="H1497" s="48"/>
      <c r="I1497" s="49"/>
      <c r="J1497" s="24" t="str">
        <f>IF(OR($A1497="",$B1497=""),"",IF($I1497&lt;&gt;"",$I1497,IF($D1497=本位币,1,IFERROR(LOOKUP(2,1/((汇率月份&lt;=$A1497)*(INDEX(记账汇率区,0,MATCH($D1497,汇率币种头,0))&lt;&gt;"")),INDEX(记账汇率区,0,MATCH($D1497,汇率币种头,0))),""))))</f>
        <v/>
      </c>
      <c r="K1497" s="23" t="str">
        <f t="shared" si="46"/>
        <v/>
      </c>
      <c r="L1497" s="23" t="str">
        <f t="shared" si="47"/>
        <v/>
      </c>
      <c r="M1497" s="23" t="str">
        <f>IF($B1497="","",ROUND(SUMIF(账户名,$B1497,账户期初)+SUMIFS($K$6:K1497,$B$6:B1497,$B1497),2))</f>
        <v/>
      </c>
      <c r="N1497" s="23" t="str">
        <f>IF($B1497="","",IFERROR(ROUND(INDEX(账户期初本位,MATCH($B1497,账户名,0))+SUMIFS($L$6:L1497,$B$6:B1497,$B1497),2),""))</f>
        <v/>
      </c>
      <c r="O1497" s="46"/>
      <c r="P1497" s="47"/>
      <c r="Q1497" s="46"/>
      <c r="R1497" s="46"/>
      <c r="S1497" s="6" t="str">
        <f>IF($B1497="","",IF(ISNA(MATCH($B1497,账户名,0)),"※这个账户不在【参数设置】的账户档案里",IF($A1497="","※没填日期，这一笔不会进任何月份的报表",IF(AND($G1497&lt;&gt;"",$H1497&lt;&gt;""),"※收入和支出不能同时填",IF(AND(N($G1497)=0,N($H1497)=0),"※收入和支出都没填",IF($E1497="","※没填收支类别，分类报表会漏掉这一笔",IF(ISNA(MATCH($E1497,类别表,0)),"※收支类别不在【参数设置】的清单里",IF($J1497="","△"&amp;$D1497&amp;" 还没填汇率，去【月度汇率】补上就自动算了",IF(YEAR($A1497)&lt;&gt;管理年度,"△不是管理年度的单据，年报里看不到",IF(AND($F1497="内部转账",$Q1497=""),"△内部转账建议在「往来单位」写上对方账户",IF($M1497&lt;0,"△这一笔之后该账户余额成负数了，核一下","")))))))))))</f>
        <v/>
      </c>
    </row>
    <row r="1498" ht="16.5" spans="1:19">
      <c r="A1498" s="45"/>
      <c r="B1498" s="46"/>
      <c r="C1498" s="12" t="str">
        <f>IF($B1498="","",IFERROR(INDEX(账户银行,MATCH($B1498,账户名,0)),""))</f>
        <v/>
      </c>
      <c r="D1498" s="12" t="str">
        <f>IF($B1498="","",IFERROR(INDEX(账户币种,MATCH($B1498,账户名,0)),""))</f>
        <v/>
      </c>
      <c r="E1498" s="47"/>
      <c r="F1498" s="12" t="str">
        <f>IF($E1498="","",IFERROR(INDEX(类别属性,MATCH($E1498,类别表,0)),""))</f>
        <v/>
      </c>
      <c r="G1498" s="48"/>
      <c r="H1498" s="48"/>
      <c r="I1498" s="49"/>
      <c r="J1498" s="24" t="str">
        <f>IF(OR($A1498="",$B1498=""),"",IF($I1498&lt;&gt;"",$I1498,IF($D1498=本位币,1,IFERROR(LOOKUP(2,1/((汇率月份&lt;=$A1498)*(INDEX(记账汇率区,0,MATCH($D1498,汇率币种头,0))&lt;&gt;"")),INDEX(记账汇率区,0,MATCH($D1498,汇率币种头,0))),""))))</f>
        <v/>
      </c>
      <c r="K1498" s="23" t="str">
        <f t="shared" si="46"/>
        <v/>
      </c>
      <c r="L1498" s="23" t="str">
        <f t="shared" si="47"/>
        <v/>
      </c>
      <c r="M1498" s="23" t="str">
        <f>IF($B1498="","",ROUND(SUMIF(账户名,$B1498,账户期初)+SUMIFS($K$6:K1498,$B$6:B1498,$B1498),2))</f>
        <v/>
      </c>
      <c r="N1498" s="23" t="str">
        <f>IF($B1498="","",IFERROR(ROUND(INDEX(账户期初本位,MATCH($B1498,账户名,0))+SUMIFS($L$6:L1498,$B$6:B1498,$B1498),2),""))</f>
        <v/>
      </c>
      <c r="O1498" s="46"/>
      <c r="P1498" s="47"/>
      <c r="Q1498" s="46"/>
      <c r="R1498" s="46"/>
      <c r="S1498" s="6" t="str">
        <f>IF($B1498="","",IF(ISNA(MATCH($B1498,账户名,0)),"※这个账户不在【参数设置】的账户档案里",IF($A1498="","※没填日期，这一笔不会进任何月份的报表",IF(AND($G1498&lt;&gt;"",$H1498&lt;&gt;""),"※收入和支出不能同时填",IF(AND(N($G1498)=0,N($H1498)=0),"※收入和支出都没填",IF($E1498="","※没填收支类别，分类报表会漏掉这一笔",IF(ISNA(MATCH($E1498,类别表,0)),"※收支类别不在【参数设置】的清单里",IF($J1498="","△"&amp;$D1498&amp;" 还没填汇率，去【月度汇率】补上就自动算了",IF(YEAR($A1498)&lt;&gt;管理年度,"△不是管理年度的单据，年报里看不到",IF(AND($F1498="内部转账",$Q1498=""),"△内部转账建议在「往来单位」写上对方账户",IF($M1498&lt;0,"△这一笔之后该账户余额成负数了，核一下","")))))))))))</f>
        <v/>
      </c>
    </row>
    <row r="1499" ht="16.5" spans="1:19">
      <c r="A1499" s="45"/>
      <c r="B1499" s="46"/>
      <c r="C1499" s="12" t="str">
        <f>IF($B1499="","",IFERROR(INDEX(账户银行,MATCH($B1499,账户名,0)),""))</f>
        <v/>
      </c>
      <c r="D1499" s="12" t="str">
        <f>IF($B1499="","",IFERROR(INDEX(账户币种,MATCH($B1499,账户名,0)),""))</f>
        <v/>
      </c>
      <c r="E1499" s="47"/>
      <c r="F1499" s="12" t="str">
        <f>IF($E1499="","",IFERROR(INDEX(类别属性,MATCH($E1499,类别表,0)),""))</f>
        <v/>
      </c>
      <c r="G1499" s="48"/>
      <c r="H1499" s="48"/>
      <c r="I1499" s="49"/>
      <c r="J1499" s="24" t="str">
        <f>IF(OR($A1499="",$B1499=""),"",IF($I1499&lt;&gt;"",$I1499,IF($D1499=本位币,1,IFERROR(LOOKUP(2,1/((汇率月份&lt;=$A1499)*(INDEX(记账汇率区,0,MATCH($D1499,汇率币种头,0))&lt;&gt;"")),INDEX(记账汇率区,0,MATCH($D1499,汇率币种头,0))),""))))</f>
        <v/>
      </c>
      <c r="K1499" s="23" t="str">
        <f t="shared" si="46"/>
        <v/>
      </c>
      <c r="L1499" s="23" t="str">
        <f t="shared" si="47"/>
        <v/>
      </c>
      <c r="M1499" s="23" t="str">
        <f>IF($B1499="","",ROUND(SUMIF(账户名,$B1499,账户期初)+SUMIFS($K$6:K1499,$B$6:B1499,$B1499),2))</f>
        <v/>
      </c>
      <c r="N1499" s="23" t="str">
        <f>IF($B1499="","",IFERROR(ROUND(INDEX(账户期初本位,MATCH($B1499,账户名,0))+SUMIFS($L$6:L1499,$B$6:B1499,$B1499),2),""))</f>
        <v/>
      </c>
      <c r="O1499" s="46"/>
      <c r="P1499" s="47"/>
      <c r="Q1499" s="46"/>
      <c r="R1499" s="46"/>
      <c r="S1499" s="6" t="str">
        <f>IF($B1499="","",IF(ISNA(MATCH($B1499,账户名,0)),"※这个账户不在【参数设置】的账户档案里",IF($A1499="","※没填日期，这一笔不会进任何月份的报表",IF(AND($G1499&lt;&gt;"",$H1499&lt;&gt;""),"※收入和支出不能同时填",IF(AND(N($G1499)=0,N($H1499)=0),"※收入和支出都没填",IF($E1499="","※没填收支类别，分类报表会漏掉这一笔",IF(ISNA(MATCH($E1499,类别表,0)),"※收支类别不在【参数设置】的清单里",IF($J1499="","△"&amp;$D1499&amp;" 还没填汇率，去【月度汇率】补上就自动算了",IF(YEAR($A1499)&lt;&gt;管理年度,"△不是管理年度的单据，年报里看不到",IF(AND($F1499="内部转账",$Q1499=""),"△内部转账建议在「往来单位」写上对方账户",IF($M1499&lt;0,"△这一笔之后该账户余额成负数了，核一下","")))))))))))</f>
        <v/>
      </c>
    </row>
    <row r="1500" ht="16.5" spans="1:19">
      <c r="A1500" s="45"/>
      <c r="B1500" s="46"/>
      <c r="C1500" s="12" t="str">
        <f>IF($B1500="","",IFERROR(INDEX(账户银行,MATCH($B1500,账户名,0)),""))</f>
        <v/>
      </c>
      <c r="D1500" s="12" t="str">
        <f>IF($B1500="","",IFERROR(INDEX(账户币种,MATCH($B1500,账户名,0)),""))</f>
        <v/>
      </c>
      <c r="E1500" s="47"/>
      <c r="F1500" s="12" t="str">
        <f>IF($E1500="","",IFERROR(INDEX(类别属性,MATCH($E1500,类别表,0)),""))</f>
        <v/>
      </c>
      <c r="G1500" s="48"/>
      <c r="H1500" s="48"/>
      <c r="I1500" s="49"/>
      <c r="J1500" s="24" t="str">
        <f>IF(OR($A1500="",$B1500=""),"",IF($I1500&lt;&gt;"",$I1500,IF($D1500=本位币,1,IFERROR(LOOKUP(2,1/((汇率月份&lt;=$A1500)*(INDEX(记账汇率区,0,MATCH($D1500,汇率币种头,0))&lt;&gt;"")),INDEX(记账汇率区,0,MATCH($D1500,汇率币种头,0))),""))))</f>
        <v/>
      </c>
      <c r="K1500" s="23" t="str">
        <f t="shared" si="46"/>
        <v/>
      </c>
      <c r="L1500" s="23" t="str">
        <f t="shared" si="47"/>
        <v/>
      </c>
      <c r="M1500" s="23" t="str">
        <f>IF($B1500="","",ROUND(SUMIF(账户名,$B1500,账户期初)+SUMIFS($K$6:K1500,$B$6:B1500,$B1500),2))</f>
        <v/>
      </c>
      <c r="N1500" s="23" t="str">
        <f>IF($B1500="","",IFERROR(ROUND(INDEX(账户期初本位,MATCH($B1500,账户名,0))+SUMIFS($L$6:L1500,$B$6:B1500,$B1500),2),""))</f>
        <v/>
      </c>
      <c r="O1500" s="46"/>
      <c r="P1500" s="47"/>
      <c r="Q1500" s="46"/>
      <c r="R1500" s="46"/>
      <c r="S1500" s="6" t="str">
        <f>IF($B1500="","",IF(ISNA(MATCH($B1500,账户名,0)),"※这个账户不在【参数设置】的账户档案里",IF($A1500="","※没填日期，这一笔不会进任何月份的报表",IF(AND($G1500&lt;&gt;"",$H1500&lt;&gt;""),"※收入和支出不能同时填",IF(AND(N($G1500)=0,N($H1500)=0),"※收入和支出都没填",IF($E1500="","※没填收支类别，分类报表会漏掉这一笔",IF(ISNA(MATCH($E1500,类别表,0)),"※收支类别不在【参数设置】的清单里",IF($J1500="","△"&amp;$D1500&amp;" 还没填汇率，去【月度汇率】补上就自动算了",IF(YEAR($A1500)&lt;&gt;管理年度,"△不是管理年度的单据，年报里看不到",IF(AND($F1500="内部转账",$Q1500=""),"△内部转账建议在「往来单位」写上对方账户",IF($M1500&lt;0,"△这一笔之后该账户余额成负数了，核一下","")))))))))))</f>
        <v/>
      </c>
    </row>
    <row r="1501" ht="16.5" spans="1:19">
      <c r="A1501" s="45"/>
      <c r="B1501" s="46"/>
      <c r="C1501" s="12" t="str">
        <f>IF($B1501="","",IFERROR(INDEX(账户银行,MATCH($B1501,账户名,0)),""))</f>
        <v/>
      </c>
      <c r="D1501" s="12" t="str">
        <f>IF($B1501="","",IFERROR(INDEX(账户币种,MATCH($B1501,账户名,0)),""))</f>
        <v/>
      </c>
      <c r="E1501" s="47"/>
      <c r="F1501" s="12" t="str">
        <f>IF($E1501="","",IFERROR(INDEX(类别属性,MATCH($E1501,类别表,0)),""))</f>
        <v/>
      </c>
      <c r="G1501" s="48"/>
      <c r="H1501" s="48"/>
      <c r="I1501" s="49"/>
      <c r="J1501" s="24" t="str">
        <f>IF(OR($A1501="",$B1501=""),"",IF($I1501&lt;&gt;"",$I1501,IF($D1501=本位币,1,IFERROR(LOOKUP(2,1/((汇率月份&lt;=$A1501)*(INDEX(记账汇率区,0,MATCH($D1501,汇率币种头,0))&lt;&gt;"")),INDEX(记账汇率区,0,MATCH($D1501,汇率币种头,0))),""))))</f>
        <v/>
      </c>
      <c r="K1501" s="23" t="str">
        <f t="shared" si="46"/>
        <v/>
      </c>
      <c r="L1501" s="23" t="str">
        <f t="shared" si="47"/>
        <v/>
      </c>
      <c r="M1501" s="23" t="str">
        <f>IF($B1501="","",ROUND(SUMIF(账户名,$B1501,账户期初)+SUMIFS($K$6:K1501,$B$6:B1501,$B1501),2))</f>
        <v/>
      </c>
      <c r="N1501" s="23" t="str">
        <f>IF($B1501="","",IFERROR(ROUND(INDEX(账户期初本位,MATCH($B1501,账户名,0))+SUMIFS($L$6:L1501,$B$6:B1501,$B1501),2),""))</f>
        <v/>
      </c>
      <c r="O1501" s="46"/>
      <c r="P1501" s="47"/>
      <c r="Q1501" s="46"/>
      <c r="R1501" s="46"/>
      <c r="S1501" s="6" t="str">
        <f>IF($B1501="","",IF(ISNA(MATCH($B1501,账户名,0)),"※这个账户不在【参数设置】的账户档案里",IF($A1501="","※没填日期，这一笔不会进任何月份的报表",IF(AND($G1501&lt;&gt;"",$H1501&lt;&gt;""),"※收入和支出不能同时填",IF(AND(N($G1501)=0,N($H1501)=0),"※收入和支出都没填",IF($E1501="","※没填收支类别，分类报表会漏掉这一笔",IF(ISNA(MATCH($E1501,类别表,0)),"※收支类别不在【参数设置】的清单里",IF($J1501="","△"&amp;$D1501&amp;" 还没填汇率，去【月度汇率】补上就自动算了",IF(YEAR($A1501)&lt;&gt;管理年度,"△不是管理年度的单据，年报里看不到",IF(AND($F1501="内部转账",$Q1501=""),"△内部转账建议在「往来单位」写上对方账户",IF($M1501&lt;0,"△这一笔之后该账户余额成负数了，核一下","")))))))))))</f>
        <v/>
      </c>
    </row>
    <row r="1502" ht="16.5" spans="1:19">
      <c r="A1502" s="45"/>
      <c r="B1502" s="46"/>
      <c r="C1502" s="12" t="str">
        <f>IF($B1502="","",IFERROR(INDEX(账户银行,MATCH($B1502,账户名,0)),""))</f>
        <v/>
      </c>
      <c r="D1502" s="12" t="str">
        <f>IF($B1502="","",IFERROR(INDEX(账户币种,MATCH($B1502,账户名,0)),""))</f>
        <v/>
      </c>
      <c r="E1502" s="47"/>
      <c r="F1502" s="12" t="str">
        <f>IF($E1502="","",IFERROR(INDEX(类别属性,MATCH($E1502,类别表,0)),""))</f>
        <v/>
      </c>
      <c r="G1502" s="48"/>
      <c r="H1502" s="48"/>
      <c r="I1502" s="49"/>
      <c r="J1502" s="24" t="str">
        <f>IF(OR($A1502="",$B1502=""),"",IF($I1502&lt;&gt;"",$I1502,IF($D1502=本位币,1,IFERROR(LOOKUP(2,1/((汇率月份&lt;=$A1502)*(INDEX(记账汇率区,0,MATCH($D1502,汇率币种头,0))&lt;&gt;"")),INDEX(记账汇率区,0,MATCH($D1502,汇率币种头,0))),""))))</f>
        <v/>
      </c>
      <c r="K1502" s="23" t="str">
        <f t="shared" si="46"/>
        <v/>
      </c>
      <c r="L1502" s="23" t="str">
        <f t="shared" si="47"/>
        <v/>
      </c>
      <c r="M1502" s="23" t="str">
        <f>IF($B1502="","",ROUND(SUMIF(账户名,$B1502,账户期初)+SUMIFS($K$6:K1502,$B$6:B1502,$B1502),2))</f>
        <v/>
      </c>
      <c r="N1502" s="23" t="str">
        <f>IF($B1502="","",IFERROR(ROUND(INDEX(账户期初本位,MATCH($B1502,账户名,0))+SUMIFS($L$6:L1502,$B$6:B1502,$B1502),2),""))</f>
        <v/>
      </c>
      <c r="O1502" s="46"/>
      <c r="P1502" s="47"/>
      <c r="Q1502" s="46"/>
      <c r="R1502" s="46"/>
      <c r="S1502" s="6" t="str">
        <f>IF($B1502="","",IF(ISNA(MATCH($B1502,账户名,0)),"※这个账户不在【参数设置】的账户档案里",IF($A1502="","※没填日期，这一笔不会进任何月份的报表",IF(AND($G1502&lt;&gt;"",$H1502&lt;&gt;""),"※收入和支出不能同时填",IF(AND(N($G1502)=0,N($H1502)=0),"※收入和支出都没填",IF($E1502="","※没填收支类别，分类报表会漏掉这一笔",IF(ISNA(MATCH($E1502,类别表,0)),"※收支类别不在【参数设置】的清单里",IF($J1502="","△"&amp;$D1502&amp;" 还没填汇率，去【月度汇率】补上就自动算了",IF(YEAR($A1502)&lt;&gt;管理年度,"△不是管理年度的单据，年报里看不到",IF(AND($F1502="内部转账",$Q1502=""),"△内部转账建议在「往来单位」写上对方账户",IF($M1502&lt;0,"△这一笔之后该账户余额成负数了，核一下","")))))))))))</f>
        <v/>
      </c>
    </row>
    <row r="1503" ht="16.5" spans="1:19">
      <c r="A1503" s="45"/>
      <c r="B1503" s="46"/>
      <c r="C1503" s="12" t="str">
        <f>IF($B1503="","",IFERROR(INDEX(账户银行,MATCH($B1503,账户名,0)),""))</f>
        <v/>
      </c>
      <c r="D1503" s="12" t="str">
        <f>IF($B1503="","",IFERROR(INDEX(账户币种,MATCH($B1503,账户名,0)),""))</f>
        <v/>
      </c>
      <c r="E1503" s="47"/>
      <c r="F1503" s="12" t="str">
        <f>IF($E1503="","",IFERROR(INDEX(类别属性,MATCH($E1503,类别表,0)),""))</f>
        <v/>
      </c>
      <c r="G1503" s="48"/>
      <c r="H1503" s="48"/>
      <c r="I1503" s="49"/>
      <c r="J1503" s="24" t="str">
        <f>IF(OR($A1503="",$B1503=""),"",IF($I1503&lt;&gt;"",$I1503,IF($D1503=本位币,1,IFERROR(LOOKUP(2,1/((汇率月份&lt;=$A1503)*(INDEX(记账汇率区,0,MATCH($D1503,汇率币种头,0))&lt;&gt;"")),INDEX(记账汇率区,0,MATCH($D1503,汇率币种头,0))),""))))</f>
        <v/>
      </c>
      <c r="K1503" s="23" t="str">
        <f t="shared" si="46"/>
        <v/>
      </c>
      <c r="L1503" s="23" t="str">
        <f t="shared" si="47"/>
        <v/>
      </c>
      <c r="M1503" s="23" t="str">
        <f>IF($B1503="","",ROUND(SUMIF(账户名,$B1503,账户期初)+SUMIFS($K$6:K1503,$B$6:B1503,$B1503),2))</f>
        <v/>
      </c>
      <c r="N1503" s="23" t="str">
        <f>IF($B1503="","",IFERROR(ROUND(INDEX(账户期初本位,MATCH($B1503,账户名,0))+SUMIFS($L$6:L1503,$B$6:B1503,$B1503),2),""))</f>
        <v/>
      </c>
      <c r="O1503" s="46"/>
      <c r="P1503" s="47"/>
      <c r="Q1503" s="46"/>
      <c r="R1503" s="46"/>
      <c r="S1503" s="6" t="str">
        <f>IF($B1503="","",IF(ISNA(MATCH($B1503,账户名,0)),"※这个账户不在【参数设置】的账户档案里",IF($A1503="","※没填日期，这一笔不会进任何月份的报表",IF(AND($G1503&lt;&gt;"",$H1503&lt;&gt;""),"※收入和支出不能同时填",IF(AND(N($G1503)=0,N($H1503)=0),"※收入和支出都没填",IF($E1503="","※没填收支类别，分类报表会漏掉这一笔",IF(ISNA(MATCH($E1503,类别表,0)),"※收支类别不在【参数设置】的清单里",IF($J1503="","△"&amp;$D1503&amp;" 还没填汇率，去【月度汇率】补上就自动算了",IF(YEAR($A1503)&lt;&gt;管理年度,"△不是管理年度的单据，年报里看不到",IF(AND($F1503="内部转账",$Q1503=""),"△内部转账建议在「往来单位」写上对方账户",IF($M1503&lt;0,"△这一笔之后该账户余额成负数了，核一下","")))))))))))</f>
        <v/>
      </c>
    </row>
    <row r="1504" ht="16.5" spans="1:19">
      <c r="A1504" s="45"/>
      <c r="B1504" s="46"/>
      <c r="C1504" s="12" t="str">
        <f>IF($B1504="","",IFERROR(INDEX(账户银行,MATCH($B1504,账户名,0)),""))</f>
        <v/>
      </c>
      <c r="D1504" s="12" t="str">
        <f>IF($B1504="","",IFERROR(INDEX(账户币种,MATCH($B1504,账户名,0)),""))</f>
        <v/>
      </c>
      <c r="E1504" s="47"/>
      <c r="F1504" s="12" t="str">
        <f>IF($E1504="","",IFERROR(INDEX(类别属性,MATCH($E1504,类别表,0)),""))</f>
        <v/>
      </c>
      <c r="G1504" s="48"/>
      <c r="H1504" s="48"/>
      <c r="I1504" s="49"/>
      <c r="J1504" s="24" t="str">
        <f>IF(OR($A1504="",$B1504=""),"",IF($I1504&lt;&gt;"",$I1504,IF($D1504=本位币,1,IFERROR(LOOKUP(2,1/((汇率月份&lt;=$A1504)*(INDEX(记账汇率区,0,MATCH($D1504,汇率币种头,0))&lt;&gt;"")),INDEX(记账汇率区,0,MATCH($D1504,汇率币种头,0))),""))))</f>
        <v/>
      </c>
      <c r="K1504" s="23" t="str">
        <f t="shared" si="46"/>
        <v/>
      </c>
      <c r="L1504" s="23" t="str">
        <f t="shared" si="47"/>
        <v/>
      </c>
      <c r="M1504" s="23" t="str">
        <f>IF($B1504="","",ROUND(SUMIF(账户名,$B1504,账户期初)+SUMIFS($K$6:K1504,$B$6:B1504,$B1504),2))</f>
        <v/>
      </c>
      <c r="N1504" s="23" t="str">
        <f>IF($B1504="","",IFERROR(ROUND(INDEX(账户期初本位,MATCH($B1504,账户名,0))+SUMIFS($L$6:L1504,$B$6:B1504,$B1504),2),""))</f>
        <v/>
      </c>
      <c r="O1504" s="46"/>
      <c r="P1504" s="47"/>
      <c r="Q1504" s="46"/>
      <c r="R1504" s="46"/>
      <c r="S1504" s="6" t="str">
        <f>IF($B1504="","",IF(ISNA(MATCH($B1504,账户名,0)),"※这个账户不在【参数设置】的账户档案里",IF($A1504="","※没填日期，这一笔不会进任何月份的报表",IF(AND($G1504&lt;&gt;"",$H1504&lt;&gt;""),"※收入和支出不能同时填",IF(AND(N($G1504)=0,N($H1504)=0),"※收入和支出都没填",IF($E1504="","※没填收支类别，分类报表会漏掉这一笔",IF(ISNA(MATCH($E1504,类别表,0)),"※收支类别不在【参数设置】的清单里",IF($J1504="","△"&amp;$D1504&amp;" 还没填汇率，去【月度汇率】补上就自动算了",IF(YEAR($A1504)&lt;&gt;管理年度,"△不是管理年度的单据，年报里看不到",IF(AND($F1504="内部转账",$Q1504=""),"△内部转账建议在「往来单位」写上对方账户",IF($M1504&lt;0,"△这一笔之后该账户余额成负数了，核一下","")))))))))))</f>
        <v/>
      </c>
    </row>
    <row r="1505" ht="16.5" spans="1:19">
      <c r="A1505" s="45"/>
      <c r="B1505" s="46"/>
      <c r="C1505" s="12" t="str">
        <f>IF($B1505="","",IFERROR(INDEX(账户银行,MATCH($B1505,账户名,0)),""))</f>
        <v/>
      </c>
      <c r="D1505" s="12" t="str">
        <f>IF($B1505="","",IFERROR(INDEX(账户币种,MATCH($B1505,账户名,0)),""))</f>
        <v/>
      </c>
      <c r="E1505" s="47"/>
      <c r="F1505" s="12" t="str">
        <f>IF($E1505="","",IFERROR(INDEX(类别属性,MATCH($E1505,类别表,0)),""))</f>
        <v/>
      </c>
      <c r="G1505" s="48"/>
      <c r="H1505" s="48"/>
      <c r="I1505" s="49"/>
      <c r="J1505" s="24" t="str">
        <f>IF(OR($A1505="",$B1505=""),"",IF($I1505&lt;&gt;"",$I1505,IF($D1505=本位币,1,IFERROR(LOOKUP(2,1/((汇率月份&lt;=$A1505)*(INDEX(记账汇率区,0,MATCH($D1505,汇率币种头,0))&lt;&gt;"")),INDEX(记账汇率区,0,MATCH($D1505,汇率币种头,0))),""))))</f>
        <v/>
      </c>
      <c r="K1505" s="23" t="str">
        <f t="shared" si="46"/>
        <v/>
      </c>
      <c r="L1505" s="23" t="str">
        <f t="shared" si="47"/>
        <v/>
      </c>
      <c r="M1505" s="23" t="str">
        <f>IF($B1505="","",ROUND(SUMIF(账户名,$B1505,账户期初)+SUMIFS($K$6:K1505,$B$6:B1505,$B1505),2))</f>
        <v/>
      </c>
      <c r="N1505" s="23" t="str">
        <f>IF($B1505="","",IFERROR(ROUND(INDEX(账户期初本位,MATCH($B1505,账户名,0))+SUMIFS($L$6:L1505,$B$6:B1505,$B1505),2),""))</f>
        <v/>
      </c>
      <c r="O1505" s="46"/>
      <c r="P1505" s="47"/>
      <c r="Q1505" s="46"/>
      <c r="R1505" s="46"/>
      <c r="S1505" s="6" t="str">
        <f>IF($B1505="","",IF(ISNA(MATCH($B1505,账户名,0)),"※这个账户不在【参数设置】的账户档案里",IF($A1505="","※没填日期，这一笔不会进任何月份的报表",IF(AND($G1505&lt;&gt;"",$H1505&lt;&gt;""),"※收入和支出不能同时填",IF(AND(N($G1505)=0,N($H1505)=0),"※收入和支出都没填",IF($E1505="","※没填收支类别，分类报表会漏掉这一笔",IF(ISNA(MATCH($E1505,类别表,0)),"※收支类别不在【参数设置】的清单里",IF($J1505="","△"&amp;$D1505&amp;" 还没填汇率，去【月度汇率】补上就自动算了",IF(YEAR($A1505)&lt;&gt;管理年度,"△不是管理年度的单据，年报里看不到",IF(AND($F1505="内部转账",$Q1505=""),"△内部转账建议在「往来单位」写上对方账户",IF($M1505&lt;0,"△这一笔之后该账户余额成负数了，核一下","")))))))))))</f>
        <v/>
      </c>
    </row>
    <row r="1506" ht="16.5" spans="1:19">
      <c r="A1506" s="45"/>
      <c r="B1506" s="46"/>
      <c r="C1506" s="12" t="str">
        <f>IF($B1506="","",IFERROR(INDEX(账户银行,MATCH($B1506,账户名,0)),""))</f>
        <v/>
      </c>
      <c r="D1506" s="12" t="str">
        <f>IF($B1506="","",IFERROR(INDEX(账户币种,MATCH($B1506,账户名,0)),""))</f>
        <v/>
      </c>
      <c r="E1506" s="47"/>
      <c r="F1506" s="12" t="str">
        <f>IF($E1506="","",IFERROR(INDEX(类别属性,MATCH($E1506,类别表,0)),""))</f>
        <v/>
      </c>
      <c r="G1506" s="48"/>
      <c r="H1506" s="48"/>
      <c r="I1506" s="49"/>
      <c r="J1506" s="24" t="str">
        <f>IF(OR($A1506="",$B1506=""),"",IF($I1506&lt;&gt;"",$I1506,IF($D1506=本位币,1,IFERROR(LOOKUP(2,1/((汇率月份&lt;=$A1506)*(INDEX(记账汇率区,0,MATCH($D1506,汇率币种头,0))&lt;&gt;"")),INDEX(记账汇率区,0,MATCH($D1506,汇率币种头,0))),""))))</f>
        <v/>
      </c>
      <c r="K1506" s="23" t="str">
        <f t="shared" si="46"/>
        <v/>
      </c>
      <c r="L1506" s="23" t="str">
        <f t="shared" si="47"/>
        <v/>
      </c>
      <c r="M1506" s="23" t="str">
        <f>IF($B1506="","",ROUND(SUMIF(账户名,$B1506,账户期初)+SUMIFS($K$6:K1506,$B$6:B1506,$B1506),2))</f>
        <v/>
      </c>
      <c r="N1506" s="23" t="str">
        <f>IF($B1506="","",IFERROR(ROUND(INDEX(账户期初本位,MATCH($B1506,账户名,0))+SUMIFS($L$6:L1506,$B$6:B1506,$B1506),2),""))</f>
        <v/>
      </c>
      <c r="O1506" s="46"/>
      <c r="P1506" s="47"/>
      <c r="Q1506" s="46"/>
      <c r="R1506" s="46"/>
      <c r="S1506" s="6" t="str">
        <f>IF($B1506="","",IF(ISNA(MATCH($B1506,账户名,0)),"※这个账户不在【参数设置】的账户档案里",IF($A1506="","※没填日期，这一笔不会进任何月份的报表",IF(AND($G1506&lt;&gt;"",$H1506&lt;&gt;""),"※收入和支出不能同时填",IF(AND(N($G1506)=0,N($H1506)=0),"※收入和支出都没填",IF($E1506="","※没填收支类别，分类报表会漏掉这一笔",IF(ISNA(MATCH($E1506,类别表,0)),"※收支类别不在【参数设置】的清单里",IF($J1506="","△"&amp;$D1506&amp;" 还没填汇率，去【月度汇率】补上就自动算了",IF(YEAR($A1506)&lt;&gt;管理年度,"△不是管理年度的单据，年报里看不到",IF(AND($F1506="内部转账",$Q1506=""),"△内部转账建议在「往来单位」写上对方账户",IF($M1506&lt;0,"△这一笔之后该账户余额成负数了，核一下","")))))))))))</f>
        <v/>
      </c>
    </row>
    <row r="1507" ht="16.5" spans="1:19">
      <c r="A1507" s="45"/>
      <c r="B1507" s="46"/>
      <c r="C1507" s="12" t="str">
        <f>IF($B1507="","",IFERROR(INDEX(账户银行,MATCH($B1507,账户名,0)),""))</f>
        <v/>
      </c>
      <c r="D1507" s="12" t="str">
        <f>IF($B1507="","",IFERROR(INDEX(账户币种,MATCH($B1507,账户名,0)),""))</f>
        <v/>
      </c>
      <c r="E1507" s="47"/>
      <c r="F1507" s="12" t="str">
        <f>IF($E1507="","",IFERROR(INDEX(类别属性,MATCH($E1507,类别表,0)),""))</f>
        <v/>
      </c>
      <c r="G1507" s="48"/>
      <c r="H1507" s="48"/>
      <c r="I1507" s="49"/>
      <c r="J1507" s="24" t="str">
        <f>IF(OR($A1507="",$B1507=""),"",IF($I1507&lt;&gt;"",$I1507,IF($D1507=本位币,1,IFERROR(LOOKUP(2,1/((汇率月份&lt;=$A1507)*(INDEX(记账汇率区,0,MATCH($D1507,汇率币种头,0))&lt;&gt;"")),INDEX(记账汇率区,0,MATCH($D1507,汇率币种头,0))),""))))</f>
        <v/>
      </c>
      <c r="K1507" s="23" t="str">
        <f t="shared" si="46"/>
        <v/>
      </c>
      <c r="L1507" s="23" t="str">
        <f t="shared" si="47"/>
        <v/>
      </c>
      <c r="M1507" s="23" t="str">
        <f>IF($B1507="","",ROUND(SUMIF(账户名,$B1507,账户期初)+SUMIFS($K$6:K1507,$B$6:B1507,$B1507),2))</f>
        <v/>
      </c>
      <c r="N1507" s="23" t="str">
        <f>IF($B1507="","",IFERROR(ROUND(INDEX(账户期初本位,MATCH($B1507,账户名,0))+SUMIFS($L$6:L1507,$B$6:B1507,$B1507),2),""))</f>
        <v/>
      </c>
      <c r="O1507" s="46"/>
      <c r="P1507" s="47"/>
      <c r="Q1507" s="46"/>
      <c r="R1507" s="46"/>
      <c r="S1507" s="6" t="str">
        <f>IF($B1507="","",IF(ISNA(MATCH($B1507,账户名,0)),"※这个账户不在【参数设置】的账户档案里",IF($A1507="","※没填日期，这一笔不会进任何月份的报表",IF(AND($G1507&lt;&gt;"",$H1507&lt;&gt;""),"※收入和支出不能同时填",IF(AND(N($G1507)=0,N($H1507)=0),"※收入和支出都没填",IF($E1507="","※没填收支类别，分类报表会漏掉这一笔",IF(ISNA(MATCH($E1507,类别表,0)),"※收支类别不在【参数设置】的清单里",IF($J1507="","△"&amp;$D1507&amp;" 还没填汇率，去【月度汇率】补上就自动算了",IF(YEAR($A1507)&lt;&gt;管理年度,"△不是管理年度的单据，年报里看不到",IF(AND($F1507="内部转账",$Q1507=""),"△内部转账建议在「往来单位」写上对方账户",IF($M1507&lt;0,"△这一笔之后该账户余额成负数了，核一下","")))))))))))</f>
        <v/>
      </c>
    </row>
    <row r="1508" ht="16.5" spans="1:19">
      <c r="A1508" s="45"/>
      <c r="B1508" s="46"/>
      <c r="C1508" s="12" t="str">
        <f>IF($B1508="","",IFERROR(INDEX(账户银行,MATCH($B1508,账户名,0)),""))</f>
        <v/>
      </c>
      <c r="D1508" s="12" t="str">
        <f>IF($B1508="","",IFERROR(INDEX(账户币种,MATCH($B1508,账户名,0)),""))</f>
        <v/>
      </c>
      <c r="E1508" s="47"/>
      <c r="F1508" s="12" t="str">
        <f>IF($E1508="","",IFERROR(INDEX(类别属性,MATCH($E1508,类别表,0)),""))</f>
        <v/>
      </c>
      <c r="G1508" s="48"/>
      <c r="H1508" s="48"/>
      <c r="I1508" s="49"/>
      <c r="J1508" s="24" t="str">
        <f>IF(OR($A1508="",$B1508=""),"",IF($I1508&lt;&gt;"",$I1508,IF($D1508=本位币,1,IFERROR(LOOKUP(2,1/((汇率月份&lt;=$A1508)*(INDEX(记账汇率区,0,MATCH($D1508,汇率币种头,0))&lt;&gt;"")),INDEX(记账汇率区,0,MATCH($D1508,汇率币种头,0))),""))))</f>
        <v/>
      </c>
      <c r="K1508" s="23" t="str">
        <f t="shared" si="46"/>
        <v/>
      </c>
      <c r="L1508" s="23" t="str">
        <f t="shared" si="47"/>
        <v/>
      </c>
      <c r="M1508" s="23" t="str">
        <f>IF($B1508="","",ROUND(SUMIF(账户名,$B1508,账户期初)+SUMIFS($K$6:K1508,$B$6:B1508,$B1508),2))</f>
        <v/>
      </c>
      <c r="N1508" s="23" t="str">
        <f>IF($B1508="","",IFERROR(ROUND(INDEX(账户期初本位,MATCH($B1508,账户名,0))+SUMIFS($L$6:L1508,$B$6:B1508,$B1508),2),""))</f>
        <v/>
      </c>
      <c r="O1508" s="46"/>
      <c r="P1508" s="47"/>
      <c r="Q1508" s="46"/>
      <c r="R1508" s="46"/>
      <c r="S1508" s="6" t="str">
        <f>IF($B1508="","",IF(ISNA(MATCH($B1508,账户名,0)),"※这个账户不在【参数设置】的账户档案里",IF($A1508="","※没填日期，这一笔不会进任何月份的报表",IF(AND($G1508&lt;&gt;"",$H1508&lt;&gt;""),"※收入和支出不能同时填",IF(AND(N($G1508)=0,N($H1508)=0),"※收入和支出都没填",IF($E1508="","※没填收支类别，分类报表会漏掉这一笔",IF(ISNA(MATCH($E1508,类别表,0)),"※收支类别不在【参数设置】的清单里",IF($J1508="","△"&amp;$D1508&amp;" 还没填汇率，去【月度汇率】补上就自动算了",IF(YEAR($A1508)&lt;&gt;管理年度,"△不是管理年度的单据，年报里看不到",IF(AND($F1508="内部转账",$Q1508=""),"△内部转账建议在「往来单位」写上对方账户",IF($M1508&lt;0,"△这一笔之后该账户余额成负数了，核一下","")))))))))))</f>
        <v/>
      </c>
    </row>
    <row r="1509" ht="16.5" spans="1:19">
      <c r="A1509" s="45"/>
      <c r="B1509" s="46"/>
      <c r="C1509" s="12" t="str">
        <f>IF($B1509="","",IFERROR(INDEX(账户银行,MATCH($B1509,账户名,0)),""))</f>
        <v/>
      </c>
      <c r="D1509" s="12" t="str">
        <f>IF($B1509="","",IFERROR(INDEX(账户币种,MATCH($B1509,账户名,0)),""))</f>
        <v/>
      </c>
      <c r="E1509" s="47"/>
      <c r="F1509" s="12" t="str">
        <f>IF($E1509="","",IFERROR(INDEX(类别属性,MATCH($E1509,类别表,0)),""))</f>
        <v/>
      </c>
      <c r="G1509" s="48"/>
      <c r="H1509" s="48"/>
      <c r="I1509" s="49"/>
      <c r="J1509" s="24" t="str">
        <f>IF(OR($A1509="",$B1509=""),"",IF($I1509&lt;&gt;"",$I1509,IF($D1509=本位币,1,IFERROR(LOOKUP(2,1/((汇率月份&lt;=$A1509)*(INDEX(记账汇率区,0,MATCH($D1509,汇率币种头,0))&lt;&gt;"")),INDEX(记账汇率区,0,MATCH($D1509,汇率币种头,0))),""))))</f>
        <v/>
      </c>
      <c r="K1509" s="23" t="str">
        <f t="shared" si="46"/>
        <v/>
      </c>
      <c r="L1509" s="23" t="str">
        <f t="shared" si="47"/>
        <v/>
      </c>
      <c r="M1509" s="23" t="str">
        <f>IF($B1509="","",ROUND(SUMIF(账户名,$B1509,账户期初)+SUMIFS($K$6:K1509,$B$6:B1509,$B1509),2))</f>
        <v/>
      </c>
      <c r="N1509" s="23" t="str">
        <f>IF($B1509="","",IFERROR(ROUND(INDEX(账户期初本位,MATCH($B1509,账户名,0))+SUMIFS($L$6:L1509,$B$6:B1509,$B1509),2),""))</f>
        <v/>
      </c>
      <c r="O1509" s="46"/>
      <c r="P1509" s="47"/>
      <c r="Q1509" s="46"/>
      <c r="R1509" s="46"/>
      <c r="S1509" s="6" t="str">
        <f>IF($B1509="","",IF(ISNA(MATCH($B1509,账户名,0)),"※这个账户不在【参数设置】的账户档案里",IF($A1509="","※没填日期，这一笔不会进任何月份的报表",IF(AND($G1509&lt;&gt;"",$H1509&lt;&gt;""),"※收入和支出不能同时填",IF(AND(N($G1509)=0,N($H1509)=0),"※收入和支出都没填",IF($E1509="","※没填收支类别，分类报表会漏掉这一笔",IF(ISNA(MATCH($E1509,类别表,0)),"※收支类别不在【参数设置】的清单里",IF($J1509="","△"&amp;$D1509&amp;" 还没填汇率，去【月度汇率】补上就自动算了",IF(YEAR($A1509)&lt;&gt;管理年度,"△不是管理年度的单据，年报里看不到",IF(AND($F1509="内部转账",$Q1509=""),"△内部转账建议在「往来单位」写上对方账户",IF($M1509&lt;0,"△这一笔之后该账户余额成负数了，核一下","")))))))))))</f>
        <v/>
      </c>
    </row>
    <row r="1510" ht="16.5" spans="1:19">
      <c r="A1510" s="45"/>
      <c r="B1510" s="46"/>
      <c r="C1510" s="12" t="str">
        <f>IF($B1510="","",IFERROR(INDEX(账户银行,MATCH($B1510,账户名,0)),""))</f>
        <v/>
      </c>
      <c r="D1510" s="12" t="str">
        <f>IF($B1510="","",IFERROR(INDEX(账户币种,MATCH($B1510,账户名,0)),""))</f>
        <v/>
      </c>
      <c r="E1510" s="47"/>
      <c r="F1510" s="12" t="str">
        <f>IF($E1510="","",IFERROR(INDEX(类别属性,MATCH($E1510,类别表,0)),""))</f>
        <v/>
      </c>
      <c r="G1510" s="48"/>
      <c r="H1510" s="48"/>
      <c r="I1510" s="49"/>
      <c r="J1510" s="24" t="str">
        <f>IF(OR($A1510="",$B1510=""),"",IF($I1510&lt;&gt;"",$I1510,IF($D1510=本位币,1,IFERROR(LOOKUP(2,1/((汇率月份&lt;=$A1510)*(INDEX(记账汇率区,0,MATCH($D1510,汇率币种头,0))&lt;&gt;"")),INDEX(记账汇率区,0,MATCH($D1510,汇率币种头,0))),""))))</f>
        <v/>
      </c>
      <c r="K1510" s="23" t="str">
        <f t="shared" si="46"/>
        <v/>
      </c>
      <c r="L1510" s="23" t="str">
        <f t="shared" si="47"/>
        <v/>
      </c>
      <c r="M1510" s="23" t="str">
        <f>IF($B1510="","",ROUND(SUMIF(账户名,$B1510,账户期初)+SUMIFS($K$6:K1510,$B$6:B1510,$B1510),2))</f>
        <v/>
      </c>
      <c r="N1510" s="23" t="str">
        <f>IF($B1510="","",IFERROR(ROUND(INDEX(账户期初本位,MATCH($B1510,账户名,0))+SUMIFS($L$6:L1510,$B$6:B1510,$B1510),2),""))</f>
        <v/>
      </c>
      <c r="O1510" s="46"/>
      <c r="P1510" s="47"/>
      <c r="Q1510" s="46"/>
      <c r="R1510" s="46"/>
      <c r="S1510" s="6" t="str">
        <f>IF($B1510="","",IF(ISNA(MATCH($B1510,账户名,0)),"※这个账户不在【参数设置】的账户档案里",IF($A1510="","※没填日期，这一笔不会进任何月份的报表",IF(AND($G1510&lt;&gt;"",$H1510&lt;&gt;""),"※收入和支出不能同时填",IF(AND(N($G1510)=0,N($H1510)=0),"※收入和支出都没填",IF($E1510="","※没填收支类别，分类报表会漏掉这一笔",IF(ISNA(MATCH($E1510,类别表,0)),"※收支类别不在【参数设置】的清单里",IF($J1510="","△"&amp;$D1510&amp;" 还没填汇率，去【月度汇率】补上就自动算了",IF(YEAR($A1510)&lt;&gt;管理年度,"△不是管理年度的单据，年报里看不到",IF(AND($F1510="内部转账",$Q1510=""),"△内部转账建议在「往来单位」写上对方账户",IF($M1510&lt;0,"△这一笔之后该账户余额成负数了，核一下","")))))))))))</f>
        <v/>
      </c>
    </row>
    <row r="1511" ht="16.5" spans="1:19">
      <c r="A1511" s="45"/>
      <c r="B1511" s="46"/>
      <c r="C1511" s="12" t="str">
        <f>IF($B1511="","",IFERROR(INDEX(账户银行,MATCH($B1511,账户名,0)),""))</f>
        <v/>
      </c>
      <c r="D1511" s="12" t="str">
        <f>IF($B1511="","",IFERROR(INDEX(账户币种,MATCH($B1511,账户名,0)),""))</f>
        <v/>
      </c>
      <c r="E1511" s="47"/>
      <c r="F1511" s="12" t="str">
        <f>IF($E1511="","",IFERROR(INDEX(类别属性,MATCH($E1511,类别表,0)),""))</f>
        <v/>
      </c>
      <c r="G1511" s="48"/>
      <c r="H1511" s="48"/>
      <c r="I1511" s="49"/>
      <c r="J1511" s="24" t="str">
        <f>IF(OR($A1511="",$B1511=""),"",IF($I1511&lt;&gt;"",$I1511,IF($D1511=本位币,1,IFERROR(LOOKUP(2,1/((汇率月份&lt;=$A1511)*(INDEX(记账汇率区,0,MATCH($D1511,汇率币种头,0))&lt;&gt;"")),INDEX(记账汇率区,0,MATCH($D1511,汇率币种头,0))),""))))</f>
        <v/>
      </c>
      <c r="K1511" s="23" t="str">
        <f t="shared" si="46"/>
        <v/>
      </c>
      <c r="L1511" s="23" t="str">
        <f t="shared" si="47"/>
        <v/>
      </c>
      <c r="M1511" s="23" t="str">
        <f>IF($B1511="","",ROUND(SUMIF(账户名,$B1511,账户期初)+SUMIFS($K$6:K1511,$B$6:B1511,$B1511),2))</f>
        <v/>
      </c>
      <c r="N1511" s="23" t="str">
        <f>IF($B1511="","",IFERROR(ROUND(INDEX(账户期初本位,MATCH($B1511,账户名,0))+SUMIFS($L$6:L1511,$B$6:B1511,$B1511),2),""))</f>
        <v/>
      </c>
      <c r="O1511" s="46"/>
      <c r="P1511" s="47"/>
      <c r="Q1511" s="46"/>
      <c r="R1511" s="46"/>
      <c r="S1511" s="6" t="str">
        <f>IF($B1511="","",IF(ISNA(MATCH($B1511,账户名,0)),"※这个账户不在【参数设置】的账户档案里",IF($A1511="","※没填日期，这一笔不会进任何月份的报表",IF(AND($G1511&lt;&gt;"",$H1511&lt;&gt;""),"※收入和支出不能同时填",IF(AND(N($G1511)=0,N($H1511)=0),"※收入和支出都没填",IF($E1511="","※没填收支类别，分类报表会漏掉这一笔",IF(ISNA(MATCH($E1511,类别表,0)),"※收支类别不在【参数设置】的清单里",IF($J1511="","△"&amp;$D1511&amp;" 还没填汇率，去【月度汇率】补上就自动算了",IF(YEAR($A1511)&lt;&gt;管理年度,"△不是管理年度的单据，年报里看不到",IF(AND($F1511="内部转账",$Q1511=""),"△内部转账建议在「往来单位」写上对方账户",IF($M1511&lt;0,"△这一笔之后该账户余额成负数了，核一下","")))))))))))</f>
        <v/>
      </c>
    </row>
    <row r="1512" ht="16.5" spans="1:19">
      <c r="A1512" s="45"/>
      <c r="B1512" s="46"/>
      <c r="C1512" s="12" t="str">
        <f>IF($B1512="","",IFERROR(INDEX(账户银行,MATCH($B1512,账户名,0)),""))</f>
        <v/>
      </c>
      <c r="D1512" s="12" t="str">
        <f>IF($B1512="","",IFERROR(INDEX(账户币种,MATCH($B1512,账户名,0)),""))</f>
        <v/>
      </c>
      <c r="E1512" s="47"/>
      <c r="F1512" s="12" t="str">
        <f>IF($E1512="","",IFERROR(INDEX(类别属性,MATCH($E1512,类别表,0)),""))</f>
        <v/>
      </c>
      <c r="G1512" s="48"/>
      <c r="H1512" s="48"/>
      <c r="I1512" s="49"/>
      <c r="J1512" s="24" t="str">
        <f>IF(OR($A1512="",$B1512=""),"",IF($I1512&lt;&gt;"",$I1512,IF($D1512=本位币,1,IFERROR(LOOKUP(2,1/((汇率月份&lt;=$A1512)*(INDEX(记账汇率区,0,MATCH($D1512,汇率币种头,0))&lt;&gt;"")),INDEX(记账汇率区,0,MATCH($D1512,汇率币种头,0))),""))))</f>
        <v/>
      </c>
      <c r="K1512" s="23" t="str">
        <f t="shared" si="46"/>
        <v/>
      </c>
      <c r="L1512" s="23" t="str">
        <f t="shared" si="47"/>
        <v/>
      </c>
      <c r="M1512" s="23" t="str">
        <f>IF($B1512="","",ROUND(SUMIF(账户名,$B1512,账户期初)+SUMIFS($K$6:K1512,$B$6:B1512,$B1512),2))</f>
        <v/>
      </c>
      <c r="N1512" s="23" t="str">
        <f>IF($B1512="","",IFERROR(ROUND(INDEX(账户期初本位,MATCH($B1512,账户名,0))+SUMIFS($L$6:L1512,$B$6:B1512,$B1512),2),""))</f>
        <v/>
      </c>
      <c r="O1512" s="46"/>
      <c r="P1512" s="47"/>
      <c r="Q1512" s="46"/>
      <c r="R1512" s="46"/>
      <c r="S1512" s="6" t="str">
        <f>IF($B1512="","",IF(ISNA(MATCH($B1512,账户名,0)),"※这个账户不在【参数设置】的账户档案里",IF($A1512="","※没填日期，这一笔不会进任何月份的报表",IF(AND($G1512&lt;&gt;"",$H1512&lt;&gt;""),"※收入和支出不能同时填",IF(AND(N($G1512)=0,N($H1512)=0),"※收入和支出都没填",IF($E1512="","※没填收支类别，分类报表会漏掉这一笔",IF(ISNA(MATCH($E1512,类别表,0)),"※收支类别不在【参数设置】的清单里",IF($J1512="","△"&amp;$D1512&amp;" 还没填汇率，去【月度汇率】补上就自动算了",IF(YEAR($A1512)&lt;&gt;管理年度,"△不是管理年度的单据，年报里看不到",IF(AND($F1512="内部转账",$Q1512=""),"△内部转账建议在「往来单位」写上对方账户",IF($M1512&lt;0,"△这一笔之后该账户余额成负数了，核一下","")))))))))))</f>
        <v/>
      </c>
    </row>
    <row r="1513" ht="16.5" spans="1:19">
      <c r="A1513" s="45"/>
      <c r="B1513" s="46"/>
      <c r="C1513" s="12" t="str">
        <f>IF($B1513="","",IFERROR(INDEX(账户银行,MATCH($B1513,账户名,0)),""))</f>
        <v/>
      </c>
      <c r="D1513" s="12" t="str">
        <f>IF($B1513="","",IFERROR(INDEX(账户币种,MATCH($B1513,账户名,0)),""))</f>
        <v/>
      </c>
      <c r="E1513" s="47"/>
      <c r="F1513" s="12" t="str">
        <f>IF($E1513="","",IFERROR(INDEX(类别属性,MATCH($E1513,类别表,0)),""))</f>
        <v/>
      </c>
      <c r="G1513" s="48"/>
      <c r="H1513" s="48"/>
      <c r="I1513" s="49"/>
      <c r="J1513" s="24" t="str">
        <f>IF(OR($A1513="",$B1513=""),"",IF($I1513&lt;&gt;"",$I1513,IF($D1513=本位币,1,IFERROR(LOOKUP(2,1/((汇率月份&lt;=$A1513)*(INDEX(记账汇率区,0,MATCH($D1513,汇率币种头,0))&lt;&gt;"")),INDEX(记账汇率区,0,MATCH($D1513,汇率币种头,0))),""))))</f>
        <v/>
      </c>
      <c r="K1513" s="23" t="str">
        <f t="shared" si="46"/>
        <v/>
      </c>
      <c r="L1513" s="23" t="str">
        <f t="shared" si="47"/>
        <v/>
      </c>
      <c r="M1513" s="23" t="str">
        <f>IF($B1513="","",ROUND(SUMIF(账户名,$B1513,账户期初)+SUMIFS($K$6:K1513,$B$6:B1513,$B1513),2))</f>
        <v/>
      </c>
      <c r="N1513" s="23" t="str">
        <f>IF($B1513="","",IFERROR(ROUND(INDEX(账户期初本位,MATCH($B1513,账户名,0))+SUMIFS($L$6:L1513,$B$6:B1513,$B1513),2),""))</f>
        <v/>
      </c>
      <c r="O1513" s="46"/>
      <c r="P1513" s="47"/>
      <c r="Q1513" s="46"/>
      <c r="R1513" s="46"/>
      <c r="S1513" s="6" t="str">
        <f>IF($B1513="","",IF(ISNA(MATCH($B1513,账户名,0)),"※这个账户不在【参数设置】的账户档案里",IF($A1513="","※没填日期，这一笔不会进任何月份的报表",IF(AND($G1513&lt;&gt;"",$H1513&lt;&gt;""),"※收入和支出不能同时填",IF(AND(N($G1513)=0,N($H1513)=0),"※收入和支出都没填",IF($E1513="","※没填收支类别，分类报表会漏掉这一笔",IF(ISNA(MATCH($E1513,类别表,0)),"※收支类别不在【参数设置】的清单里",IF($J1513="","△"&amp;$D1513&amp;" 还没填汇率，去【月度汇率】补上就自动算了",IF(YEAR($A1513)&lt;&gt;管理年度,"△不是管理年度的单据，年报里看不到",IF(AND($F1513="内部转账",$Q1513=""),"△内部转账建议在「往来单位」写上对方账户",IF($M1513&lt;0,"△这一笔之后该账户余额成负数了，核一下","")))))))))))</f>
        <v/>
      </c>
    </row>
    <row r="1514" ht="16.5" spans="1:19">
      <c r="A1514" s="45"/>
      <c r="B1514" s="46"/>
      <c r="C1514" s="12" t="str">
        <f>IF($B1514="","",IFERROR(INDEX(账户银行,MATCH($B1514,账户名,0)),""))</f>
        <v/>
      </c>
      <c r="D1514" s="12" t="str">
        <f>IF($B1514="","",IFERROR(INDEX(账户币种,MATCH($B1514,账户名,0)),""))</f>
        <v/>
      </c>
      <c r="E1514" s="47"/>
      <c r="F1514" s="12" t="str">
        <f>IF($E1514="","",IFERROR(INDEX(类别属性,MATCH($E1514,类别表,0)),""))</f>
        <v/>
      </c>
      <c r="G1514" s="48"/>
      <c r="H1514" s="48"/>
      <c r="I1514" s="49"/>
      <c r="J1514" s="24" t="str">
        <f>IF(OR($A1514="",$B1514=""),"",IF($I1514&lt;&gt;"",$I1514,IF($D1514=本位币,1,IFERROR(LOOKUP(2,1/((汇率月份&lt;=$A1514)*(INDEX(记账汇率区,0,MATCH($D1514,汇率币种头,0))&lt;&gt;"")),INDEX(记账汇率区,0,MATCH($D1514,汇率币种头,0))),""))))</f>
        <v/>
      </c>
      <c r="K1514" s="23" t="str">
        <f t="shared" si="46"/>
        <v/>
      </c>
      <c r="L1514" s="23" t="str">
        <f t="shared" si="47"/>
        <v/>
      </c>
      <c r="M1514" s="23" t="str">
        <f>IF($B1514="","",ROUND(SUMIF(账户名,$B1514,账户期初)+SUMIFS($K$6:K1514,$B$6:B1514,$B1514),2))</f>
        <v/>
      </c>
      <c r="N1514" s="23" t="str">
        <f>IF($B1514="","",IFERROR(ROUND(INDEX(账户期初本位,MATCH($B1514,账户名,0))+SUMIFS($L$6:L1514,$B$6:B1514,$B1514),2),""))</f>
        <v/>
      </c>
      <c r="O1514" s="46"/>
      <c r="P1514" s="47"/>
      <c r="Q1514" s="46"/>
      <c r="R1514" s="46"/>
      <c r="S1514" s="6" t="str">
        <f>IF($B1514="","",IF(ISNA(MATCH($B1514,账户名,0)),"※这个账户不在【参数设置】的账户档案里",IF($A1514="","※没填日期，这一笔不会进任何月份的报表",IF(AND($G1514&lt;&gt;"",$H1514&lt;&gt;""),"※收入和支出不能同时填",IF(AND(N($G1514)=0,N($H1514)=0),"※收入和支出都没填",IF($E1514="","※没填收支类别，分类报表会漏掉这一笔",IF(ISNA(MATCH($E1514,类别表,0)),"※收支类别不在【参数设置】的清单里",IF($J1514="","△"&amp;$D1514&amp;" 还没填汇率，去【月度汇率】补上就自动算了",IF(YEAR($A1514)&lt;&gt;管理年度,"△不是管理年度的单据，年报里看不到",IF(AND($F1514="内部转账",$Q1514=""),"△内部转账建议在「往来单位」写上对方账户",IF($M1514&lt;0,"△这一笔之后该账户余额成负数了，核一下","")))))))))))</f>
        <v/>
      </c>
    </row>
    <row r="1515" ht="16.5" spans="1:19">
      <c r="A1515" s="45"/>
      <c r="B1515" s="46"/>
      <c r="C1515" s="12" t="str">
        <f>IF($B1515="","",IFERROR(INDEX(账户银行,MATCH($B1515,账户名,0)),""))</f>
        <v/>
      </c>
      <c r="D1515" s="12" t="str">
        <f>IF($B1515="","",IFERROR(INDEX(账户币种,MATCH($B1515,账户名,0)),""))</f>
        <v/>
      </c>
      <c r="E1515" s="47"/>
      <c r="F1515" s="12" t="str">
        <f>IF($E1515="","",IFERROR(INDEX(类别属性,MATCH($E1515,类别表,0)),""))</f>
        <v/>
      </c>
      <c r="G1515" s="48"/>
      <c r="H1515" s="48"/>
      <c r="I1515" s="49"/>
      <c r="J1515" s="24" t="str">
        <f>IF(OR($A1515="",$B1515=""),"",IF($I1515&lt;&gt;"",$I1515,IF($D1515=本位币,1,IFERROR(LOOKUP(2,1/((汇率月份&lt;=$A1515)*(INDEX(记账汇率区,0,MATCH($D1515,汇率币种头,0))&lt;&gt;"")),INDEX(记账汇率区,0,MATCH($D1515,汇率币种头,0))),""))))</f>
        <v/>
      </c>
      <c r="K1515" s="23" t="str">
        <f t="shared" si="46"/>
        <v/>
      </c>
      <c r="L1515" s="23" t="str">
        <f t="shared" si="47"/>
        <v/>
      </c>
      <c r="M1515" s="23" t="str">
        <f>IF($B1515="","",ROUND(SUMIF(账户名,$B1515,账户期初)+SUMIFS($K$6:K1515,$B$6:B1515,$B1515),2))</f>
        <v/>
      </c>
      <c r="N1515" s="23" t="str">
        <f>IF($B1515="","",IFERROR(ROUND(INDEX(账户期初本位,MATCH($B1515,账户名,0))+SUMIFS($L$6:L1515,$B$6:B1515,$B1515),2),""))</f>
        <v/>
      </c>
      <c r="O1515" s="46"/>
      <c r="P1515" s="47"/>
      <c r="Q1515" s="46"/>
      <c r="R1515" s="46"/>
      <c r="S1515" s="6" t="str">
        <f>IF($B1515="","",IF(ISNA(MATCH($B1515,账户名,0)),"※这个账户不在【参数设置】的账户档案里",IF($A1515="","※没填日期，这一笔不会进任何月份的报表",IF(AND($G1515&lt;&gt;"",$H1515&lt;&gt;""),"※收入和支出不能同时填",IF(AND(N($G1515)=0,N($H1515)=0),"※收入和支出都没填",IF($E1515="","※没填收支类别，分类报表会漏掉这一笔",IF(ISNA(MATCH($E1515,类别表,0)),"※收支类别不在【参数设置】的清单里",IF($J1515="","△"&amp;$D1515&amp;" 还没填汇率，去【月度汇率】补上就自动算了",IF(YEAR($A1515)&lt;&gt;管理年度,"△不是管理年度的单据，年报里看不到",IF(AND($F1515="内部转账",$Q1515=""),"△内部转账建议在「往来单位」写上对方账户",IF($M1515&lt;0,"△这一笔之后该账户余额成负数了，核一下","")))))))))))</f>
        <v/>
      </c>
    </row>
    <row r="1516" ht="16.5" spans="1:19">
      <c r="A1516" s="45"/>
      <c r="B1516" s="46"/>
      <c r="C1516" s="12" t="str">
        <f>IF($B1516="","",IFERROR(INDEX(账户银行,MATCH($B1516,账户名,0)),""))</f>
        <v/>
      </c>
      <c r="D1516" s="12" t="str">
        <f>IF($B1516="","",IFERROR(INDEX(账户币种,MATCH($B1516,账户名,0)),""))</f>
        <v/>
      </c>
      <c r="E1516" s="47"/>
      <c r="F1516" s="12" t="str">
        <f>IF($E1516="","",IFERROR(INDEX(类别属性,MATCH($E1516,类别表,0)),""))</f>
        <v/>
      </c>
      <c r="G1516" s="48"/>
      <c r="H1516" s="48"/>
      <c r="I1516" s="49"/>
      <c r="J1516" s="24" t="str">
        <f>IF(OR($A1516="",$B1516=""),"",IF($I1516&lt;&gt;"",$I1516,IF($D1516=本位币,1,IFERROR(LOOKUP(2,1/((汇率月份&lt;=$A1516)*(INDEX(记账汇率区,0,MATCH($D1516,汇率币种头,0))&lt;&gt;"")),INDEX(记账汇率区,0,MATCH($D1516,汇率币种头,0))),""))))</f>
        <v/>
      </c>
      <c r="K1516" s="23" t="str">
        <f t="shared" si="46"/>
        <v/>
      </c>
      <c r="L1516" s="23" t="str">
        <f t="shared" si="47"/>
        <v/>
      </c>
      <c r="M1516" s="23" t="str">
        <f>IF($B1516="","",ROUND(SUMIF(账户名,$B1516,账户期初)+SUMIFS($K$6:K1516,$B$6:B1516,$B1516),2))</f>
        <v/>
      </c>
      <c r="N1516" s="23" t="str">
        <f>IF($B1516="","",IFERROR(ROUND(INDEX(账户期初本位,MATCH($B1516,账户名,0))+SUMIFS($L$6:L1516,$B$6:B1516,$B1516),2),""))</f>
        <v/>
      </c>
      <c r="O1516" s="46"/>
      <c r="P1516" s="47"/>
      <c r="Q1516" s="46"/>
      <c r="R1516" s="46"/>
      <c r="S1516" s="6" t="str">
        <f>IF($B1516="","",IF(ISNA(MATCH($B1516,账户名,0)),"※这个账户不在【参数设置】的账户档案里",IF($A1516="","※没填日期，这一笔不会进任何月份的报表",IF(AND($G1516&lt;&gt;"",$H1516&lt;&gt;""),"※收入和支出不能同时填",IF(AND(N($G1516)=0,N($H1516)=0),"※收入和支出都没填",IF($E1516="","※没填收支类别，分类报表会漏掉这一笔",IF(ISNA(MATCH($E1516,类别表,0)),"※收支类别不在【参数设置】的清单里",IF($J1516="","△"&amp;$D1516&amp;" 还没填汇率，去【月度汇率】补上就自动算了",IF(YEAR($A1516)&lt;&gt;管理年度,"△不是管理年度的单据，年报里看不到",IF(AND($F1516="内部转账",$Q1516=""),"△内部转账建议在「往来单位」写上对方账户",IF($M1516&lt;0,"△这一笔之后该账户余额成负数了，核一下","")))))))))))</f>
        <v/>
      </c>
    </row>
    <row r="1517" ht="16.5" spans="1:19">
      <c r="A1517" s="45"/>
      <c r="B1517" s="46"/>
      <c r="C1517" s="12" t="str">
        <f>IF($B1517="","",IFERROR(INDEX(账户银行,MATCH($B1517,账户名,0)),""))</f>
        <v/>
      </c>
      <c r="D1517" s="12" t="str">
        <f>IF($B1517="","",IFERROR(INDEX(账户币种,MATCH($B1517,账户名,0)),""))</f>
        <v/>
      </c>
      <c r="E1517" s="47"/>
      <c r="F1517" s="12" t="str">
        <f>IF($E1517="","",IFERROR(INDEX(类别属性,MATCH($E1517,类别表,0)),""))</f>
        <v/>
      </c>
      <c r="G1517" s="48"/>
      <c r="H1517" s="48"/>
      <c r="I1517" s="49"/>
      <c r="J1517" s="24" t="str">
        <f>IF(OR($A1517="",$B1517=""),"",IF($I1517&lt;&gt;"",$I1517,IF($D1517=本位币,1,IFERROR(LOOKUP(2,1/((汇率月份&lt;=$A1517)*(INDEX(记账汇率区,0,MATCH($D1517,汇率币种头,0))&lt;&gt;"")),INDEX(记账汇率区,0,MATCH($D1517,汇率币种头,0))),""))))</f>
        <v/>
      </c>
      <c r="K1517" s="23" t="str">
        <f t="shared" si="46"/>
        <v/>
      </c>
      <c r="L1517" s="23" t="str">
        <f t="shared" si="47"/>
        <v/>
      </c>
      <c r="M1517" s="23" t="str">
        <f>IF($B1517="","",ROUND(SUMIF(账户名,$B1517,账户期初)+SUMIFS($K$6:K1517,$B$6:B1517,$B1517),2))</f>
        <v/>
      </c>
      <c r="N1517" s="23" t="str">
        <f>IF($B1517="","",IFERROR(ROUND(INDEX(账户期初本位,MATCH($B1517,账户名,0))+SUMIFS($L$6:L1517,$B$6:B1517,$B1517),2),""))</f>
        <v/>
      </c>
      <c r="O1517" s="46"/>
      <c r="P1517" s="47"/>
      <c r="Q1517" s="46"/>
      <c r="R1517" s="46"/>
      <c r="S1517" s="6" t="str">
        <f>IF($B1517="","",IF(ISNA(MATCH($B1517,账户名,0)),"※这个账户不在【参数设置】的账户档案里",IF($A1517="","※没填日期，这一笔不会进任何月份的报表",IF(AND($G1517&lt;&gt;"",$H1517&lt;&gt;""),"※收入和支出不能同时填",IF(AND(N($G1517)=0,N($H1517)=0),"※收入和支出都没填",IF($E1517="","※没填收支类别，分类报表会漏掉这一笔",IF(ISNA(MATCH($E1517,类别表,0)),"※收支类别不在【参数设置】的清单里",IF($J1517="","△"&amp;$D1517&amp;" 还没填汇率，去【月度汇率】补上就自动算了",IF(YEAR($A1517)&lt;&gt;管理年度,"△不是管理年度的单据，年报里看不到",IF(AND($F1517="内部转账",$Q1517=""),"△内部转账建议在「往来单位」写上对方账户",IF($M1517&lt;0,"△这一笔之后该账户余额成负数了，核一下","")))))))))))</f>
        <v/>
      </c>
    </row>
    <row r="1518" ht="16.5" spans="1:19">
      <c r="A1518" s="45"/>
      <c r="B1518" s="46"/>
      <c r="C1518" s="12" t="str">
        <f>IF($B1518="","",IFERROR(INDEX(账户银行,MATCH($B1518,账户名,0)),""))</f>
        <v/>
      </c>
      <c r="D1518" s="12" t="str">
        <f>IF($B1518="","",IFERROR(INDEX(账户币种,MATCH($B1518,账户名,0)),""))</f>
        <v/>
      </c>
      <c r="E1518" s="47"/>
      <c r="F1518" s="12" t="str">
        <f>IF($E1518="","",IFERROR(INDEX(类别属性,MATCH($E1518,类别表,0)),""))</f>
        <v/>
      </c>
      <c r="G1518" s="48"/>
      <c r="H1518" s="48"/>
      <c r="I1518" s="49"/>
      <c r="J1518" s="24" t="str">
        <f>IF(OR($A1518="",$B1518=""),"",IF($I1518&lt;&gt;"",$I1518,IF($D1518=本位币,1,IFERROR(LOOKUP(2,1/((汇率月份&lt;=$A1518)*(INDEX(记账汇率区,0,MATCH($D1518,汇率币种头,0))&lt;&gt;"")),INDEX(记账汇率区,0,MATCH($D1518,汇率币种头,0))),""))))</f>
        <v/>
      </c>
      <c r="K1518" s="23" t="str">
        <f t="shared" si="46"/>
        <v/>
      </c>
      <c r="L1518" s="23" t="str">
        <f t="shared" si="47"/>
        <v/>
      </c>
      <c r="M1518" s="23" t="str">
        <f>IF($B1518="","",ROUND(SUMIF(账户名,$B1518,账户期初)+SUMIFS($K$6:K1518,$B$6:B1518,$B1518),2))</f>
        <v/>
      </c>
      <c r="N1518" s="23" t="str">
        <f>IF($B1518="","",IFERROR(ROUND(INDEX(账户期初本位,MATCH($B1518,账户名,0))+SUMIFS($L$6:L1518,$B$6:B1518,$B1518),2),""))</f>
        <v/>
      </c>
      <c r="O1518" s="46"/>
      <c r="P1518" s="47"/>
      <c r="Q1518" s="46"/>
      <c r="R1518" s="46"/>
      <c r="S1518" s="6" t="str">
        <f>IF($B1518="","",IF(ISNA(MATCH($B1518,账户名,0)),"※这个账户不在【参数设置】的账户档案里",IF($A1518="","※没填日期，这一笔不会进任何月份的报表",IF(AND($G1518&lt;&gt;"",$H1518&lt;&gt;""),"※收入和支出不能同时填",IF(AND(N($G1518)=0,N($H1518)=0),"※收入和支出都没填",IF($E1518="","※没填收支类别，分类报表会漏掉这一笔",IF(ISNA(MATCH($E1518,类别表,0)),"※收支类别不在【参数设置】的清单里",IF($J1518="","△"&amp;$D1518&amp;" 还没填汇率，去【月度汇率】补上就自动算了",IF(YEAR($A1518)&lt;&gt;管理年度,"△不是管理年度的单据，年报里看不到",IF(AND($F1518="内部转账",$Q1518=""),"△内部转账建议在「往来单位」写上对方账户",IF($M1518&lt;0,"△这一笔之后该账户余额成负数了，核一下","")))))))))))</f>
        <v/>
      </c>
    </row>
    <row r="1519" ht="16.5" spans="1:19">
      <c r="A1519" s="45"/>
      <c r="B1519" s="46"/>
      <c r="C1519" s="12" t="str">
        <f>IF($B1519="","",IFERROR(INDEX(账户银行,MATCH($B1519,账户名,0)),""))</f>
        <v/>
      </c>
      <c r="D1519" s="12" t="str">
        <f>IF($B1519="","",IFERROR(INDEX(账户币种,MATCH($B1519,账户名,0)),""))</f>
        <v/>
      </c>
      <c r="E1519" s="47"/>
      <c r="F1519" s="12" t="str">
        <f>IF($E1519="","",IFERROR(INDEX(类别属性,MATCH($E1519,类别表,0)),""))</f>
        <v/>
      </c>
      <c r="G1519" s="48"/>
      <c r="H1519" s="48"/>
      <c r="I1519" s="49"/>
      <c r="J1519" s="24" t="str">
        <f>IF(OR($A1519="",$B1519=""),"",IF($I1519&lt;&gt;"",$I1519,IF($D1519=本位币,1,IFERROR(LOOKUP(2,1/((汇率月份&lt;=$A1519)*(INDEX(记账汇率区,0,MATCH($D1519,汇率币种头,0))&lt;&gt;"")),INDEX(记账汇率区,0,MATCH($D1519,汇率币种头,0))),""))))</f>
        <v/>
      </c>
      <c r="K1519" s="23" t="str">
        <f t="shared" si="46"/>
        <v/>
      </c>
      <c r="L1519" s="23" t="str">
        <f t="shared" si="47"/>
        <v/>
      </c>
      <c r="M1519" s="23" t="str">
        <f>IF($B1519="","",ROUND(SUMIF(账户名,$B1519,账户期初)+SUMIFS($K$6:K1519,$B$6:B1519,$B1519),2))</f>
        <v/>
      </c>
      <c r="N1519" s="23" t="str">
        <f>IF($B1519="","",IFERROR(ROUND(INDEX(账户期初本位,MATCH($B1519,账户名,0))+SUMIFS($L$6:L1519,$B$6:B1519,$B1519),2),""))</f>
        <v/>
      </c>
      <c r="O1519" s="46"/>
      <c r="P1519" s="47"/>
      <c r="Q1519" s="46"/>
      <c r="R1519" s="46"/>
      <c r="S1519" s="6" t="str">
        <f>IF($B1519="","",IF(ISNA(MATCH($B1519,账户名,0)),"※这个账户不在【参数设置】的账户档案里",IF($A1519="","※没填日期，这一笔不会进任何月份的报表",IF(AND($G1519&lt;&gt;"",$H1519&lt;&gt;""),"※收入和支出不能同时填",IF(AND(N($G1519)=0,N($H1519)=0),"※收入和支出都没填",IF($E1519="","※没填收支类别，分类报表会漏掉这一笔",IF(ISNA(MATCH($E1519,类别表,0)),"※收支类别不在【参数设置】的清单里",IF($J1519="","△"&amp;$D1519&amp;" 还没填汇率，去【月度汇率】补上就自动算了",IF(YEAR($A1519)&lt;&gt;管理年度,"△不是管理年度的单据，年报里看不到",IF(AND($F1519="内部转账",$Q1519=""),"△内部转账建议在「往来单位」写上对方账户",IF($M1519&lt;0,"△这一笔之后该账户余额成负数了，核一下","")))))))))))</f>
        <v/>
      </c>
    </row>
    <row r="1520" ht="16.5" spans="1:19">
      <c r="A1520" s="45"/>
      <c r="B1520" s="46"/>
      <c r="C1520" s="12" t="str">
        <f>IF($B1520="","",IFERROR(INDEX(账户银行,MATCH($B1520,账户名,0)),""))</f>
        <v/>
      </c>
      <c r="D1520" s="12" t="str">
        <f>IF($B1520="","",IFERROR(INDEX(账户币种,MATCH($B1520,账户名,0)),""))</f>
        <v/>
      </c>
      <c r="E1520" s="47"/>
      <c r="F1520" s="12" t="str">
        <f>IF($E1520="","",IFERROR(INDEX(类别属性,MATCH($E1520,类别表,0)),""))</f>
        <v/>
      </c>
      <c r="G1520" s="48"/>
      <c r="H1520" s="48"/>
      <c r="I1520" s="49"/>
      <c r="J1520" s="24" t="str">
        <f>IF(OR($A1520="",$B1520=""),"",IF($I1520&lt;&gt;"",$I1520,IF($D1520=本位币,1,IFERROR(LOOKUP(2,1/((汇率月份&lt;=$A1520)*(INDEX(记账汇率区,0,MATCH($D1520,汇率币种头,0))&lt;&gt;"")),INDEX(记账汇率区,0,MATCH($D1520,汇率币种头,0))),""))))</f>
        <v/>
      </c>
      <c r="K1520" s="23" t="str">
        <f t="shared" si="46"/>
        <v/>
      </c>
      <c r="L1520" s="23" t="str">
        <f t="shared" si="47"/>
        <v/>
      </c>
      <c r="M1520" s="23" t="str">
        <f>IF($B1520="","",ROUND(SUMIF(账户名,$B1520,账户期初)+SUMIFS($K$6:K1520,$B$6:B1520,$B1520),2))</f>
        <v/>
      </c>
      <c r="N1520" s="23" t="str">
        <f>IF($B1520="","",IFERROR(ROUND(INDEX(账户期初本位,MATCH($B1520,账户名,0))+SUMIFS($L$6:L1520,$B$6:B1520,$B1520),2),""))</f>
        <v/>
      </c>
      <c r="O1520" s="46"/>
      <c r="P1520" s="47"/>
      <c r="Q1520" s="46"/>
      <c r="R1520" s="46"/>
      <c r="S1520" s="6" t="str">
        <f>IF($B1520="","",IF(ISNA(MATCH($B1520,账户名,0)),"※这个账户不在【参数设置】的账户档案里",IF($A1520="","※没填日期，这一笔不会进任何月份的报表",IF(AND($G1520&lt;&gt;"",$H1520&lt;&gt;""),"※收入和支出不能同时填",IF(AND(N($G1520)=0,N($H1520)=0),"※收入和支出都没填",IF($E1520="","※没填收支类别，分类报表会漏掉这一笔",IF(ISNA(MATCH($E1520,类别表,0)),"※收支类别不在【参数设置】的清单里",IF($J1520="","△"&amp;$D1520&amp;" 还没填汇率，去【月度汇率】补上就自动算了",IF(YEAR($A1520)&lt;&gt;管理年度,"△不是管理年度的单据，年报里看不到",IF(AND($F1520="内部转账",$Q1520=""),"△内部转账建议在「往来单位」写上对方账户",IF($M1520&lt;0,"△这一笔之后该账户余额成负数了，核一下","")))))))))))</f>
        <v/>
      </c>
    </row>
    <row r="1521" ht="16.5" spans="1:19">
      <c r="A1521" s="45"/>
      <c r="B1521" s="46"/>
      <c r="C1521" s="12" t="str">
        <f>IF($B1521="","",IFERROR(INDEX(账户银行,MATCH($B1521,账户名,0)),""))</f>
        <v/>
      </c>
      <c r="D1521" s="12" t="str">
        <f>IF($B1521="","",IFERROR(INDEX(账户币种,MATCH($B1521,账户名,0)),""))</f>
        <v/>
      </c>
      <c r="E1521" s="47"/>
      <c r="F1521" s="12" t="str">
        <f>IF($E1521="","",IFERROR(INDEX(类别属性,MATCH($E1521,类别表,0)),""))</f>
        <v/>
      </c>
      <c r="G1521" s="48"/>
      <c r="H1521" s="48"/>
      <c r="I1521" s="49"/>
      <c r="J1521" s="24" t="str">
        <f>IF(OR($A1521="",$B1521=""),"",IF($I1521&lt;&gt;"",$I1521,IF($D1521=本位币,1,IFERROR(LOOKUP(2,1/((汇率月份&lt;=$A1521)*(INDEX(记账汇率区,0,MATCH($D1521,汇率币种头,0))&lt;&gt;"")),INDEX(记账汇率区,0,MATCH($D1521,汇率币种头,0))),""))))</f>
        <v/>
      </c>
      <c r="K1521" s="23" t="str">
        <f t="shared" si="46"/>
        <v/>
      </c>
      <c r="L1521" s="23" t="str">
        <f t="shared" si="47"/>
        <v/>
      </c>
      <c r="M1521" s="23" t="str">
        <f>IF($B1521="","",ROUND(SUMIF(账户名,$B1521,账户期初)+SUMIFS($K$6:K1521,$B$6:B1521,$B1521),2))</f>
        <v/>
      </c>
      <c r="N1521" s="23" t="str">
        <f>IF($B1521="","",IFERROR(ROUND(INDEX(账户期初本位,MATCH($B1521,账户名,0))+SUMIFS($L$6:L1521,$B$6:B1521,$B1521),2),""))</f>
        <v/>
      </c>
      <c r="O1521" s="46"/>
      <c r="P1521" s="47"/>
      <c r="Q1521" s="46"/>
      <c r="R1521" s="46"/>
      <c r="S1521" s="6" t="str">
        <f>IF($B1521="","",IF(ISNA(MATCH($B1521,账户名,0)),"※这个账户不在【参数设置】的账户档案里",IF($A1521="","※没填日期，这一笔不会进任何月份的报表",IF(AND($G1521&lt;&gt;"",$H1521&lt;&gt;""),"※收入和支出不能同时填",IF(AND(N($G1521)=0,N($H1521)=0),"※收入和支出都没填",IF($E1521="","※没填收支类别，分类报表会漏掉这一笔",IF(ISNA(MATCH($E1521,类别表,0)),"※收支类别不在【参数设置】的清单里",IF($J1521="","△"&amp;$D1521&amp;" 还没填汇率，去【月度汇率】补上就自动算了",IF(YEAR($A1521)&lt;&gt;管理年度,"△不是管理年度的单据，年报里看不到",IF(AND($F1521="内部转账",$Q1521=""),"△内部转账建议在「往来单位」写上对方账户",IF($M1521&lt;0,"△这一笔之后该账户余额成负数了，核一下","")))))))))))</f>
        <v/>
      </c>
    </row>
    <row r="1522" ht="16.5" spans="1:19">
      <c r="A1522" s="45"/>
      <c r="B1522" s="46"/>
      <c r="C1522" s="12" t="str">
        <f>IF($B1522="","",IFERROR(INDEX(账户银行,MATCH($B1522,账户名,0)),""))</f>
        <v/>
      </c>
      <c r="D1522" s="12" t="str">
        <f>IF($B1522="","",IFERROR(INDEX(账户币种,MATCH($B1522,账户名,0)),""))</f>
        <v/>
      </c>
      <c r="E1522" s="47"/>
      <c r="F1522" s="12" t="str">
        <f>IF($E1522="","",IFERROR(INDEX(类别属性,MATCH($E1522,类别表,0)),""))</f>
        <v/>
      </c>
      <c r="G1522" s="48"/>
      <c r="H1522" s="48"/>
      <c r="I1522" s="49"/>
      <c r="J1522" s="24" t="str">
        <f>IF(OR($A1522="",$B1522=""),"",IF($I1522&lt;&gt;"",$I1522,IF($D1522=本位币,1,IFERROR(LOOKUP(2,1/((汇率月份&lt;=$A1522)*(INDEX(记账汇率区,0,MATCH($D1522,汇率币种头,0))&lt;&gt;"")),INDEX(记账汇率区,0,MATCH($D1522,汇率币种头,0))),""))))</f>
        <v/>
      </c>
      <c r="K1522" s="23" t="str">
        <f t="shared" si="46"/>
        <v/>
      </c>
      <c r="L1522" s="23" t="str">
        <f t="shared" si="47"/>
        <v/>
      </c>
      <c r="M1522" s="23" t="str">
        <f>IF($B1522="","",ROUND(SUMIF(账户名,$B1522,账户期初)+SUMIFS($K$6:K1522,$B$6:B1522,$B1522),2))</f>
        <v/>
      </c>
      <c r="N1522" s="23" t="str">
        <f>IF($B1522="","",IFERROR(ROUND(INDEX(账户期初本位,MATCH($B1522,账户名,0))+SUMIFS($L$6:L1522,$B$6:B1522,$B1522),2),""))</f>
        <v/>
      </c>
      <c r="O1522" s="46"/>
      <c r="P1522" s="47"/>
      <c r="Q1522" s="46"/>
      <c r="R1522" s="46"/>
      <c r="S1522" s="6" t="str">
        <f>IF($B1522="","",IF(ISNA(MATCH($B1522,账户名,0)),"※这个账户不在【参数设置】的账户档案里",IF($A1522="","※没填日期，这一笔不会进任何月份的报表",IF(AND($G1522&lt;&gt;"",$H1522&lt;&gt;""),"※收入和支出不能同时填",IF(AND(N($G1522)=0,N($H1522)=0),"※收入和支出都没填",IF($E1522="","※没填收支类别，分类报表会漏掉这一笔",IF(ISNA(MATCH($E1522,类别表,0)),"※收支类别不在【参数设置】的清单里",IF($J1522="","△"&amp;$D1522&amp;" 还没填汇率，去【月度汇率】补上就自动算了",IF(YEAR($A1522)&lt;&gt;管理年度,"△不是管理年度的单据，年报里看不到",IF(AND($F1522="内部转账",$Q1522=""),"△内部转账建议在「往来单位」写上对方账户",IF($M1522&lt;0,"△这一笔之后该账户余额成负数了，核一下","")))))))))))</f>
        <v/>
      </c>
    </row>
    <row r="1523" ht="16.5" spans="1:19">
      <c r="A1523" s="45"/>
      <c r="B1523" s="46"/>
      <c r="C1523" s="12" t="str">
        <f>IF($B1523="","",IFERROR(INDEX(账户银行,MATCH($B1523,账户名,0)),""))</f>
        <v/>
      </c>
      <c r="D1523" s="12" t="str">
        <f>IF($B1523="","",IFERROR(INDEX(账户币种,MATCH($B1523,账户名,0)),""))</f>
        <v/>
      </c>
      <c r="E1523" s="47"/>
      <c r="F1523" s="12" t="str">
        <f>IF($E1523="","",IFERROR(INDEX(类别属性,MATCH($E1523,类别表,0)),""))</f>
        <v/>
      </c>
      <c r="G1523" s="48"/>
      <c r="H1523" s="48"/>
      <c r="I1523" s="49"/>
      <c r="J1523" s="24" t="str">
        <f>IF(OR($A1523="",$B1523=""),"",IF($I1523&lt;&gt;"",$I1523,IF($D1523=本位币,1,IFERROR(LOOKUP(2,1/((汇率月份&lt;=$A1523)*(INDEX(记账汇率区,0,MATCH($D1523,汇率币种头,0))&lt;&gt;"")),INDEX(记账汇率区,0,MATCH($D1523,汇率币种头,0))),""))))</f>
        <v/>
      </c>
      <c r="K1523" s="23" t="str">
        <f t="shared" si="46"/>
        <v/>
      </c>
      <c r="L1523" s="23" t="str">
        <f t="shared" si="47"/>
        <v/>
      </c>
      <c r="M1523" s="23" t="str">
        <f>IF($B1523="","",ROUND(SUMIF(账户名,$B1523,账户期初)+SUMIFS($K$6:K1523,$B$6:B1523,$B1523),2))</f>
        <v/>
      </c>
      <c r="N1523" s="23" t="str">
        <f>IF($B1523="","",IFERROR(ROUND(INDEX(账户期初本位,MATCH($B1523,账户名,0))+SUMIFS($L$6:L1523,$B$6:B1523,$B1523),2),""))</f>
        <v/>
      </c>
      <c r="O1523" s="46"/>
      <c r="P1523" s="47"/>
      <c r="Q1523" s="46"/>
      <c r="R1523" s="46"/>
      <c r="S1523" s="6" t="str">
        <f>IF($B1523="","",IF(ISNA(MATCH($B1523,账户名,0)),"※这个账户不在【参数设置】的账户档案里",IF($A1523="","※没填日期，这一笔不会进任何月份的报表",IF(AND($G1523&lt;&gt;"",$H1523&lt;&gt;""),"※收入和支出不能同时填",IF(AND(N($G1523)=0,N($H1523)=0),"※收入和支出都没填",IF($E1523="","※没填收支类别，分类报表会漏掉这一笔",IF(ISNA(MATCH($E1523,类别表,0)),"※收支类别不在【参数设置】的清单里",IF($J1523="","△"&amp;$D1523&amp;" 还没填汇率，去【月度汇率】补上就自动算了",IF(YEAR($A1523)&lt;&gt;管理年度,"△不是管理年度的单据，年报里看不到",IF(AND($F1523="内部转账",$Q1523=""),"△内部转账建议在「往来单位」写上对方账户",IF($M1523&lt;0,"△这一笔之后该账户余额成负数了，核一下","")))))))))))</f>
        <v/>
      </c>
    </row>
    <row r="1524" ht="16.5" spans="1:19">
      <c r="A1524" s="45"/>
      <c r="B1524" s="46"/>
      <c r="C1524" s="12" t="str">
        <f>IF($B1524="","",IFERROR(INDEX(账户银行,MATCH($B1524,账户名,0)),""))</f>
        <v/>
      </c>
      <c r="D1524" s="12" t="str">
        <f>IF($B1524="","",IFERROR(INDEX(账户币种,MATCH($B1524,账户名,0)),""))</f>
        <v/>
      </c>
      <c r="E1524" s="47"/>
      <c r="F1524" s="12" t="str">
        <f>IF($E1524="","",IFERROR(INDEX(类别属性,MATCH($E1524,类别表,0)),""))</f>
        <v/>
      </c>
      <c r="G1524" s="48"/>
      <c r="H1524" s="48"/>
      <c r="I1524" s="49"/>
      <c r="J1524" s="24" t="str">
        <f>IF(OR($A1524="",$B1524=""),"",IF($I1524&lt;&gt;"",$I1524,IF($D1524=本位币,1,IFERROR(LOOKUP(2,1/((汇率月份&lt;=$A1524)*(INDEX(记账汇率区,0,MATCH($D1524,汇率币种头,0))&lt;&gt;"")),INDEX(记账汇率区,0,MATCH($D1524,汇率币种头,0))),""))))</f>
        <v/>
      </c>
      <c r="K1524" s="23" t="str">
        <f t="shared" si="46"/>
        <v/>
      </c>
      <c r="L1524" s="23" t="str">
        <f t="shared" si="47"/>
        <v/>
      </c>
      <c r="M1524" s="23" t="str">
        <f>IF($B1524="","",ROUND(SUMIF(账户名,$B1524,账户期初)+SUMIFS($K$6:K1524,$B$6:B1524,$B1524),2))</f>
        <v/>
      </c>
      <c r="N1524" s="23" t="str">
        <f>IF($B1524="","",IFERROR(ROUND(INDEX(账户期初本位,MATCH($B1524,账户名,0))+SUMIFS($L$6:L1524,$B$6:B1524,$B1524),2),""))</f>
        <v/>
      </c>
      <c r="O1524" s="46"/>
      <c r="P1524" s="47"/>
      <c r="Q1524" s="46"/>
      <c r="R1524" s="46"/>
      <c r="S1524" s="6" t="str">
        <f>IF($B1524="","",IF(ISNA(MATCH($B1524,账户名,0)),"※这个账户不在【参数设置】的账户档案里",IF($A1524="","※没填日期，这一笔不会进任何月份的报表",IF(AND($G1524&lt;&gt;"",$H1524&lt;&gt;""),"※收入和支出不能同时填",IF(AND(N($G1524)=0,N($H1524)=0),"※收入和支出都没填",IF($E1524="","※没填收支类别，分类报表会漏掉这一笔",IF(ISNA(MATCH($E1524,类别表,0)),"※收支类别不在【参数设置】的清单里",IF($J1524="","△"&amp;$D1524&amp;" 还没填汇率，去【月度汇率】补上就自动算了",IF(YEAR($A1524)&lt;&gt;管理年度,"△不是管理年度的单据，年报里看不到",IF(AND($F1524="内部转账",$Q1524=""),"△内部转账建议在「往来单位」写上对方账户",IF($M1524&lt;0,"△这一笔之后该账户余额成负数了，核一下","")))))))))))</f>
        <v/>
      </c>
    </row>
    <row r="1525" ht="16.5" spans="1:19">
      <c r="A1525" s="45"/>
      <c r="B1525" s="46"/>
      <c r="C1525" s="12" t="str">
        <f>IF($B1525="","",IFERROR(INDEX(账户银行,MATCH($B1525,账户名,0)),""))</f>
        <v/>
      </c>
      <c r="D1525" s="12" t="str">
        <f>IF($B1525="","",IFERROR(INDEX(账户币种,MATCH($B1525,账户名,0)),""))</f>
        <v/>
      </c>
      <c r="E1525" s="47"/>
      <c r="F1525" s="12" t="str">
        <f>IF($E1525="","",IFERROR(INDEX(类别属性,MATCH($E1525,类别表,0)),""))</f>
        <v/>
      </c>
      <c r="G1525" s="48"/>
      <c r="H1525" s="48"/>
      <c r="I1525" s="49"/>
      <c r="J1525" s="24" t="str">
        <f>IF(OR($A1525="",$B1525=""),"",IF($I1525&lt;&gt;"",$I1525,IF($D1525=本位币,1,IFERROR(LOOKUP(2,1/((汇率月份&lt;=$A1525)*(INDEX(记账汇率区,0,MATCH($D1525,汇率币种头,0))&lt;&gt;"")),INDEX(记账汇率区,0,MATCH($D1525,汇率币种头,0))),""))))</f>
        <v/>
      </c>
      <c r="K1525" s="23" t="str">
        <f t="shared" si="46"/>
        <v/>
      </c>
      <c r="L1525" s="23" t="str">
        <f t="shared" si="47"/>
        <v/>
      </c>
      <c r="M1525" s="23" t="str">
        <f>IF($B1525="","",ROUND(SUMIF(账户名,$B1525,账户期初)+SUMIFS($K$6:K1525,$B$6:B1525,$B1525),2))</f>
        <v/>
      </c>
      <c r="N1525" s="23" t="str">
        <f>IF($B1525="","",IFERROR(ROUND(INDEX(账户期初本位,MATCH($B1525,账户名,0))+SUMIFS($L$6:L1525,$B$6:B1525,$B1525),2),""))</f>
        <v/>
      </c>
      <c r="O1525" s="46"/>
      <c r="P1525" s="47"/>
      <c r="Q1525" s="46"/>
      <c r="R1525" s="46"/>
      <c r="S1525" s="6" t="str">
        <f>IF($B1525="","",IF(ISNA(MATCH($B1525,账户名,0)),"※这个账户不在【参数设置】的账户档案里",IF($A1525="","※没填日期，这一笔不会进任何月份的报表",IF(AND($G1525&lt;&gt;"",$H1525&lt;&gt;""),"※收入和支出不能同时填",IF(AND(N($G1525)=0,N($H1525)=0),"※收入和支出都没填",IF($E1525="","※没填收支类别，分类报表会漏掉这一笔",IF(ISNA(MATCH($E1525,类别表,0)),"※收支类别不在【参数设置】的清单里",IF($J1525="","△"&amp;$D1525&amp;" 还没填汇率，去【月度汇率】补上就自动算了",IF(YEAR($A1525)&lt;&gt;管理年度,"△不是管理年度的单据，年报里看不到",IF(AND($F1525="内部转账",$Q1525=""),"△内部转账建议在「往来单位」写上对方账户",IF($M1525&lt;0,"△这一笔之后该账户余额成负数了，核一下","")))))))))))</f>
        <v/>
      </c>
    </row>
    <row r="1526" ht="16.5" spans="1:19">
      <c r="A1526" s="45"/>
      <c r="B1526" s="46"/>
      <c r="C1526" s="12" t="str">
        <f>IF($B1526="","",IFERROR(INDEX(账户银行,MATCH($B1526,账户名,0)),""))</f>
        <v/>
      </c>
      <c r="D1526" s="12" t="str">
        <f>IF($B1526="","",IFERROR(INDEX(账户币种,MATCH($B1526,账户名,0)),""))</f>
        <v/>
      </c>
      <c r="E1526" s="47"/>
      <c r="F1526" s="12" t="str">
        <f>IF($E1526="","",IFERROR(INDEX(类别属性,MATCH($E1526,类别表,0)),""))</f>
        <v/>
      </c>
      <c r="G1526" s="48"/>
      <c r="H1526" s="48"/>
      <c r="I1526" s="49"/>
      <c r="J1526" s="24" t="str">
        <f>IF(OR($A1526="",$B1526=""),"",IF($I1526&lt;&gt;"",$I1526,IF($D1526=本位币,1,IFERROR(LOOKUP(2,1/((汇率月份&lt;=$A1526)*(INDEX(记账汇率区,0,MATCH($D1526,汇率币种头,0))&lt;&gt;"")),INDEX(记账汇率区,0,MATCH($D1526,汇率币种头,0))),""))))</f>
        <v/>
      </c>
      <c r="K1526" s="23" t="str">
        <f t="shared" si="46"/>
        <v/>
      </c>
      <c r="L1526" s="23" t="str">
        <f t="shared" si="47"/>
        <v/>
      </c>
      <c r="M1526" s="23" t="str">
        <f>IF($B1526="","",ROUND(SUMIF(账户名,$B1526,账户期初)+SUMIFS($K$6:K1526,$B$6:B1526,$B1526),2))</f>
        <v/>
      </c>
      <c r="N1526" s="23" t="str">
        <f>IF($B1526="","",IFERROR(ROUND(INDEX(账户期初本位,MATCH($B1526,账户名,0))+SUMIFS($L$6:L1526,$B$6:B1526,$B1526),2),""))</f>
        <v/>
      </c>
      <c r="O1526" s="46"/>
      <c r="P1526" s="47"/>
      <c r="Q1526" s="46"/>
      <c r="R1526" s="46"/>
      <c r="S1526" s="6" t="str">
        <f>IF($B1526="","",IF(ISNA(MATCH($B1526,账户名,0)),"※这个账户不在【参数设置】的账户档案里",IF($A1526="","※没填日期，这一笔不会进任何月份的报表",IF(AND($G1526&lt;&gt;"",$H1526&lt;&gt;""),"※收入和支出不能同时填",IF(AND(N($G1526)=0,N($H1526)=0),"※收入和支出都没填",IF($E1526="","※没填收支类别，分类报表会漏掉这一笔",IF(ISNA(MATCH($E1526,类别表,0)),"※收支类别不在【参数设置】的清单里",IF($J1526="","△"&amp;$D1526&amp;" 还没填汇率，去【月度汇率】补上就自动算了",IF(YEAR($A1526)&lt;&gt;管理年度,"△不是管理年度的单据，年报里看不到",IF(AND($F1526="内部转账",$Q1526=""),"△内部转账建议在「往来单位」写上对方账户",IF($M1526&lt;0,"△这一笔之后该账户余额成负数了，核一下","")))))))))))</f>
        <v/>
      </c>
    </row>
    <row r="1527" ht="16.5" spans="1:19">
      <c r="A1527" s="45"/>
      <c r="B1527" s="46"/>
      <c r="C1527" s="12" t="str">
        <f>IF($B1527="","",IFERROR(INDEX(账户银行,MATCH($B1527,账户名,0)),""))</f>
        <v/>
      </c>
      <c r="D1527" s="12" t="str">
        <f>IF($B1527="","",IFERROR(INDEX(账户币种,MATCH($B1527,账户名,0)),""))</f>
        <v/>
      </c>
      <c r="E1527" s="47"/>
      <c r="F1527" s="12" t="str">
        <f>IF($E1527="","",IFERROR(INDEX(类别属性,MATCH($E1527,类别表,0)),""))</f>
        <v/>
      </c>
      <c r="G1527" s="48"/>
      <c r="H1527" s="48"/>
      <c r="I1527" s="49"/>
      <c r="J1527" s="24" t="str">
        <f>IF(OR($A1527="",$B1527=""),"",IF($I1527&lt;&gt;"",$I1527,IF($D1527=本位币,1,IFERROR(LOOKUP(2,1/((汇率月份&lt;=$A1527)*(INDEX(记账汇率区,0,MATCH($D1527,汇率币种头,0))&lt;&gt;"")),INDEX(记账汇率区,0,MATCH($D1527,汇率币种头,0))),""))))</f>
        <v/>
      </c>
      <c r="K1527" s="23" t="str">
        <f t="shared" si="46"/>
        <v/>
      </c>
      <c r="L1527" s="23" t="str">
        <f t="shared" si="47"/>
        <v/>
      </c>
      <c r="M1527" s="23" t="str">
        <f>IF($B1527="","",ROUND(SUMIF(账户名,$B1527,账户期初)+SUMIFS($K$6:K1527,$B$6:B1527,$B1527),2))</f>
        <v/>
      </c>
      <c r="N1527" s="23" t="str">
        <f>IF($B1527="","",IFERROR(ROUND(INDEX(账户期初本位,MATCH($B1527,账户名,0))+SUMIFS($L$6:L1527,$B$6:B1527,$B1527),2),""))</f>
        <v/>
      </c>
      <c r="O1527" s="46"/>
      <c r="P1527" s="47"/>
      <c r="Q1527" s="46"/>
      <c r="R1527" s="46"/>
      <c r="S1527" s="6" t="str">
        <f>IF($B1527="","",IF(ISNA(MATCH($B1527,账户名,0)),"※这个账户不在【参数设置】的账户档案里",IF($A1527="","※没填日期，这一笔不会进任何月份的报表",IF(AND($G1527&lt;&gt;"",$H1527&lt;&gt;""),"※收入和支出不能同时填",IF(AND(N($G1527)=0,N($H1527)=0),"※收入和支出都没填",IF($E1527="","※没填收支类别，分类报表会漏掉这一笔",IF(ISNA(MATCH($E1527,类别表,0)),"※收支类别不在【参数设置】的清单里",IF($J1527="","△"&amp;$D1527&amp;" 还没填汇率，去【月度汇率】补上就自动算了",IF(YEAR($A1527)&lt;&gt;管理年度,"△不是管理年度的单据，年报里看不到",IF(AND($F1527="内部转账",$Q1527=""),"△内部转账建议在「往来单位」写上对方账户",IF($M1527&lt;0,"△这一笔之后该账户余额成负数了，核一下","")))))))))))</f>
        <v/>
      </c>
    </row>
    <row r="1528" ht="16.5" spans="1:19">
      <c r="A1528" s="45"/>
      <c r="B1528" s="46"/>
      <c r="C1528" s="12" t="str">
        <f>IF($B1528="","",IFERROR(INDEX(账户银行,MATCH($B1528,账户名,0)),""))</f>
        <v/>
      </c>
      <c r="D1528" s="12" t="str">
        <f>IF($B1528="","",IFERROR(INDEX(账户币种,MATCH($B1528,账户名,0)),""))</f>
        <v/>
      </c>
      <c r="E1528" s="47"/>
      <c r="F1528" s="12" t="str">
        <f>IF($E1528="","",IFERROR(INDEX(类别属性,MATCH($E1528,类别表,0)),""))</f>
        <v/>
      </c>
      <c r="G1528" s="48"/>
      <c r="H1528" s="48"/>
      <c r="I1528" s="49"/>
      <c r="J1528" s="24" t="str">
        <f>IF(OR($A1528="",$B1528=""),"",IF($I1528&lt;&gt;"",$I1528,IF($D1528=本位币,1,IFERROR(LOOKUP(2,1/((汇率月份&lt;=$A1528)*(INDEX(记账汇率区,0,MATCH($D1528,汇率币种头,0))&lt;&gt;"")),INDEX(记账汇率区,0,MATCH($D1528,汇率币种头,0))),""))))</f>
        <v/>
      </c>
      <c r="K1528" s="23" t="str">
        <f t="shared" si="46"/>
        <v/>
      </c>
      <c r="L1528" s="23" t="str">
        <f t="shared" si="47"/>
        <v/>
      </c>
      <c r="M1528" s="23" t="str">
        <f>IF($B1528="","",ROUND(SUMIF(账户名,$B1528,账户期初)+SUMIFS($K$6:K1528,$B$6:B1528,$B1528),2))</f>
        <v/>
      </c>
      <c r="N1528" s="23" t="str">
        <f>IF($B1528="","",IFERROR(ROUND(INDEX(账户期初本位,MATCH($B1528,账户名,0))+SUMIFS($L$6:L1528,$B$6:B1528,$B1528),2),""))</f>
        <v/>
      </c>
      <c r="O1528" s="46"/>
      <c r="P1528" s="47"/>
      <c r="Q1528" s="46"/>
      <c r="R1528" s="46"/>
      <c r="S1528" s="6" t="str">
        <f>IF($B1528="","",IF(ISNA(MATCH($B1528,账户名,0)),"※这个账户不在【参数设置】的账户档案里",IF($A1528="","※没填日期，这一笔不会进任何月份的报表",IF(AND($G1528&lt;&gt;"",$H1528&lt;&gt;""),"※收入和支出不能同时填",IF(AND(N($G1528)=0,N($H1528)=0),"※收入和支出都没填",IF($E1528="","※没填收支类别，分类报表会漏掉这一笔",IF(ISNA(MATCH($E1528,类别表,0)),"※收支类别不在【参数设置】的清单里",IF($J1528="","△"&amp;$D1528&amp;" 还没填汇率，去【月度汇率】补上就自动算了",IF(YEAR($A1528)&lt;&gt;管理年度,"△不是管理年度的单据，年报里看不到",IF(AND($F1528="内部转账",$Q1528=""),"△内部转账建议在「往来单位」写上对方账户",IF($M1528&lt;0,"△这一笔之后该账户余额成负数了，核一下","")))))))))))</f>
        <v/>
      </c>
    </row>
    <row r="1529" ht="16.5" spans="1:19">
      <c r="A1529" s="45"/>
      <c r="B1529" s="46"/>
      <c r="C1529" s="12" t="str">
        <f>IF($B1529="","",IFERROR(INDEX(账户银行,MATCH($B1529,账户名,0)),""))</f>
        <v/>
      </c>
      <c r="D1529" s="12" t="str">
        <f>IF($B1529="","",IFERROR(INDEX(账户币种,MATCH($B1529,账户名,0)),""))</f>
        <v/>
      </c>
      <c r="E1529" s="47"/>
      <c r="F1529" s="12" t="str">
        <f>IF($E1529="","",IFERROR(INDEX(类别属性,MATCH($E1529,类别表,0)),""))</f>
        <v/>
      </c>
      <c r="G1529" s="48"/>
      <c r="H1529" s="48"/>
      <c r="I1529" s="49"/>
      <c r="J1529" s="24" t="str">
        <f>IF(OR($A1529="",$B1529=""),"",IF($I1529&lt;&gt;"",$I1529,IF($D1529=本位币,1,IFERROR(LOOKUP(2,1/((汇率月份&lt;=$A1529)*(INDEX(记账汇率区,0,MATCH($D1529,汇率币种头,0))&lt;&gt;"")),INDEX(记账汇率区,0,MATCH($D1529,汇率币种头,0))),""))))</f>
        <v/>
      </c>
      <c r="K1529" s="23" t="str">
        <f t="shared" si="46"/>
        <v/>
      </c>
      <c r="L1529" s="23" t="str">
        <f t="shared" si="47"/>
        <v/>
      </c>
      <c r="M1529" s="23" t="str">
        <f>IF($B1529="","",ROUND(SUMIF(账户名,$B1529,账户期初)+SUMIFS($K$6:K1529,$B$6:B1529,$B1529),2))</f>
        <v/>
      </c>
      <c r="N1529" s="23" t="str">
        <f>IF($B1529="","",IFERROR(ROUND(INDEX(账户期初本位,MATCH($B1529,账户名,0))+SUMIFS($L$6:L1529,$B$6:B1529,$B1529),2),""))</f>
        <v/>
      </c>
      <c r="O1529" s="46"/>
      <c r="P1529" s="47"/>
      <c r="Q1529" s="46"/>
      <c r="R1529" s="46"/>
      <c r="S1529" s="6" t="str">
        <f>IF($B1529="","",IF(ISNA(MATCH($B1529,账户名,0)),"※这个账户不在【参数设置】的账户档案里",IF($A1529="","※没填日期，这一笔不会进任何月份的报表",IF(AND($G1529&lt;&gt;"",$H1529&lt;&gt;""),"※收入和支出不能同时填",IF(AND(N($G1529)=0,N($H1529)=0),"※收入和支出都没填",IF($E1529="","※没填收支类别，分类报表会漏掉这一笔",IF(ISNA(MATCH($E1529,类别表,0)),"※收支类别不在【参数设置】的清单里",IF($J1529="","△"&amp;$D1529&amp;" 还没填汇率，去【月度汇率】补上就自动算了",IF(YEAR($A1529)&lt;&gt;管理年度,"△不是管理年度的单据，年报里看不到",IF(AND($F1529="内部转账",$Q1529=""),"△内部转账建议在「往来单位」写上对方账户",IF($M1529&lt;0,"△这一笔之后该账户余额成负数了，核一下","")))))))))))</f>
        <v/>
      </c>
    </row>
    <row r="1530" ht="16.5" spans="1:19">
      <c r="A1530" s="45"/>
      <c r="B1530" s="46"/>
      <c r="C1530" s="12" t="str">
        <f>IF($B1530="","",IFERROR(INDEX(账户银行,MATCH($B1530,账户名,0)),""))</f>
        <v/>
      </c>
      <c r="D1530" s="12" t="str">
        <f>IF($B1530="","",IFERROR(INDEX(账户币种,MATCH($B1530,账户名,0)),""))</f>
        <v/>
      </c>
      <c r="E1530" s="47"/>
      <c r="F1530" s="12" t="str">
        <f>IF($E1530="","",IFERROR(INDEX(类别属性,MATCH($E1530,类别表,0)),""))</f>
        <v/>
      </c>
      <c r="G1530" s="48"/>
      <c r="H1530" s="48"/>
      <c r="I1530" s="49"/>
      <c r="J1530" s="24" t="str">
        <f>IF(OR($A1530="",$B1530=""),"",IF($I1530&lt;&gt;"",$I1530,IF($D1530=本位币,1,IFERROR(LOOKUP(2,1/((汇率月份&lt;=$A1530)*(INDEX(记账汇率区,0,MATCH($D1530,汇率币种头,0))&lt;&gt;"")),INDEX(记账汇率区,0,MATCH($D1530,汇率币种头,0))),""))))</f>
        <v/>
      </c>
      <c r="K1530" s="23" t="str">
        <f t="shared" si="46"/>
        <v/>
      </c>
      <c r="L1530" s="23" t="str">
        <f t="shared" si="47"/>
        <v/>
      </c>
      <c r="M1530" s="23" t="str">
        <f>IF($B1530="","",ROUND(SUMIF(账户名,$B1530,账户期初)+SUMIFS($K$6:K1530,$B$6:B1530,$B1530),2))</f>
        <v/>
      </c>
      <c r="N1530" s="23" t="str">
        <f>IF($B1530="","",IFERROR(ROUND(INDEX(账户期初本位,MATCH($B1530,账户名,0))+SUMIFS($L$6:L1530,$B$6:B1530,$B1530),2),""))</f>
        <v/>
      </c>
      <c r="O1530" s="46"/>
      <c r="P1530" s="47"/>
      <c r="Q1530" s="46"/>
      <c r="R1530" s="46"/>
      <c r="S1530" s="6" t="str">
        <f>IF($B1530="","",IF(ISNA(MATCH($B1530,账户名,0)),"※这个账户不在【参数设置】的账户档案里",IF($A1530="","※没填日期，这一笔不会进任何月份的报表",IF(AND($G1530&lt;&gt;"",$H1530&lt;&gt;""),"※收入和支出不能同时填",IF(AND(N($G1530)=0,N($H1530)=0),"※收入和支出都没填",IF($E1530="","※没填收支类别，分类报表会漏掉这一笔",IF(ISNA(MATCH($E1530,类别表,0)),"※收支类别不在【参数设置】的清单里",IF($J1530="","△"&amp;$D1530&amp;" 还没填汇率，去【月度汇率】补上就自动算了",IF(YEAR($A1530)&lt;&gt;管理年度,"△不是管理年度的单据，年报里看不到",IF(AND($F1530="内部转账",$Q1530=""),"△内部转账建议在「往来单位」写上对方账户",IF($M1530&lt;0,"△这一笔之后该账户余额成负数了，核一下","")))))))))))</f>
        <v/>
      </c>
    </row>
    <row r="1531" ht="16.5" spans="1:19">
      <c r="A1531" s="45"/>
      <c r="B1531" s="46"/>
      <c r="C1531" s="12" t="str">
        <f>IF($B1531="","",IFERROR(INDEX(账户银行,MATCH($B1531,账户名,0)),""))</f>
        <v/>
      </c>
      <c r="D1531" s="12" t="str">
        <f>IF($B1531="","",IFERROR(INDEX(账户币种,MATCH($B1531,账户名,0)),""))</f>
        <v/>
      </c>
      <c r="E1531" s="47"/>
      <c r="F1531" s="12" t="str">
        <f>IF($E1531="","",IFERROR(INDEX(类别属性,MATCH($E1531,类别表,0)),""))</f>
        <v/>
      </c>
      <c r="G1531" s="48"/>
      <c r="H1531" s="48"/>
      <c r="I1531" s="49"/>
      <c r="J1531" s="24" t="str">
        <f>IF(OR($A1531="",$B1531=""),"",IF($I1531&lt;&gt;"",$I1531,IF($D1531=本位币,1,IFERROR(LOOKUP(2,1/((汇率月份&lt;=$A1531)*(INDEX(记账汇率区,0,MATCH($D1531,汇率币种头,0))&lt;&gt;"")),INDEX(记账汇率区,0,MATCH($D1531,汇率币种头,0))),""))))</f>
        <v/>
      </c>
      <c r="K1531" s="23" t="str">
        <f t="shared" si="46"/>
        <v/>
      </c>
      <c r="L1531" s="23" t="str">
        <f t="shared" si="47"/>
        <v/>
      </c>
      <c r="M1531" s="23" t="str">
        <f>IF($B1531="","",ROUND(SUMIF(账户名,$B1531,账户期初)+SUMIFS($K$6:K1531,$B$6:B1531,$B1531),2))</f>
        <v/>
      </c>
      <c r="N1531" s="23" t="str">
        <f>IF($B1531="","",IFERROR(ROUND(INDEX(账户期初本位,MATCH($B1531,账户名,0))+SUMIFS($L$6:L1531,$B$6:B1531,$B1531),2),""))</f>
        <v/>
      </c>
      <c r="O1531" s="46"/>
      <c r="P1531" s="47"/>
      <c r="Q1531" s="46"/>
      <c r="R1531" s="46"/>
      <c r="S1531" s="6" t="str">
        <f>IF($B1531="","",IF(ISNA(MATCH($B1531,账户名,0)),"※这个账户不在【参数设置】的账户档案里",IF($A1531="","※没填日期，这一笔不会进任何月份的报表",IF(AND($G1531&lt;&gt;"",$H1531&lt;&gt;""),"※收入和支出不能同时填",IF(AND(N($G1531)=0,N($H1531)=0),"※收入和支出都没填",IF($E1531="","※没填收支类别，分类报表会漏掉这一笔",IF(ISNA(MATCH($E1531,类别表,0)),"※收支类别不在【参数设置】的清单里",IF($J1531="","△"&amp;$D1531&amp;" 还没填汇率，去【月度汇率】补上就自动算了",IF(YEAR($A1531)&lt;&gt;管理年度,"△不是管理年度的单据，年报里看不到",IF(AND($F1531="内部转账",$Q1531=""),"△内部转账建议在「往来单位」写上对方账户",IF($M1531&lt;0,"△这一笔之后该账户余额成负数了，核一下","")))))))))))</f>
        <v/>
      </c>
    </row>
    <row r="1532" ht="16.5" spans="1:19">
      <c r="A1532" s="45"/>
      <c r="B1532" s="46"/>
      <c r="C1532" s="12" t="str">
        <f>IF($B1532="","",IFERROR(INDEX(账户银行,MATCH($B1532,账户名,0)),""))</f>
        <v/>
      </c>
      <c r="D1532" s="12" t="str">
        <f>IF($B1532="","",IFERROR(INDEX(账户币种,MATCH($B1532,账户名,0)),""))</f>
        <v/>
      </c>
      <c r="E1532" s="47"/>
      <c r="F1532" s="12" t="str">
        <f>IF($E1532="","",IFERROR(INDEX(类别属性,MATCH($E1532,类别表,0)),""))</f>
        <v/>
      </c>
      <c r="G1532" s="48"/>
      <c r="H1532" s="48"/>
      <c r="I1532" s="49"/>
      <c r="J1532" s="24" t="str">
        <f>IF(OR($A1532="",$B1532=""),"",IF($I1532&lt;&gt;"",$I1532,IF($D1532=本位币,1,IFERROR(LOOKUP(2,1/((汇率月份&lt;=$A1532)*(INDEX(记账汇率区,0,MATCH($D1532,汇率币种头,0))&lt;&gt;"")),INDEX(记账汇率区,0,MATCH($D1532,汇率币种头,0))),""))))</f>
        <v/>
      </c>
      <c r="K1532" s="23" t="str">
        <f t="shared" si="46"/>
        <v/>
      </c>
      <c r="L1532" s="23" t="str">
        <f t="shared" si="47"/>
        <v/>
      </c>
      <c r="M1532" s="23" t="str">
        <f>IF($B1532="","",ROUND(SUMIF(账户名,$B1532,账户期初)+SUMIFS($K$6:K1532,$B$6:B1532,$B1532),2))</f>
        <v/>
      </c>
      <c r="N1532" s="23" t="str">
        <f>IF($B1532="","",IFERROR(ROUND(INDEX(账户期初本位,MATCH($B1532,账户名,0))+SUMIFS($L$6:L1532,$B$6:B1532,$B1532),2),""))</f>
        <v/>
      </c>
      <c r="O1532" s="46"/>
      <c r="P1532" s="47"/>
      <c r="Q1532" s="46"/>
      <c r="R1532" s="46"/>
      <c r="S1532" s="6" t="str">
        <f>IF($B1532="","",IF(ISNA(MATCH($B1532,账户名,0)),"※这个账户不在【参数设置】的账户档案里",IF($A1532="","※没填日期，这一笔不会进任何月份的报表",IF(AND($G1532&lt;&gt;"",$H1532&lt;&gt;""),"※收入和支出不能同时填",IF(AND(N($G1532)=0,N($H1532)=0),"※收入和支出都没填",IF($E1532="","※没填收支类别，分类报表会漏掉这一笔",IF(ISNA(MATCH($E1532,类别表,0)),"※收支类别不在【参数设置】的清单里",IF($J1532="","△"&amp;$D1532&amp;" 还没填汇率，去【月度汇率】补上就自动算了",IF(YEAR($A1532)&lt;&gt;管理年度,"△不是管理年度的单据，年报里看不到",IF(AND($F1532="内部转账",$Q1532=""),"△内部转账建议在「往来单位」写上对方账户",IF($M1532&lt;0,"△这一笔之后该账户余额成负数了，核一下","")))))))))))</f>
        <v/>
      </c>
    </row>
    <row r="1533" ht="16.5" spans="1:19">
      <c r="A1533" s="45"/>
      <c r="B1533" s="46"/>
      <c r="C1533" s="12" t="str">
        <f>IF($B1533="","",IFERROR(INDEX(账户银行,MATCH($B1533,账户名,0)),""))</f>
        <v/>
      </c>
      <c r="D1533" s="12" t="str">
        <f>IF($B1533="","",IFERROR(INDEX(账户币种,MATCH($B1533,账户名,0)),""))</f>
        <v/>
      </c>
      <c r="E1533" s="47"/>
      <c r="F1533" s="12" t="str">
        <f>IF($E1533="","",IFERROR(INDEX(类别属性,MATCH($E1533,类别表,0)),""))</f>
        <v/>
      </c>
      <c r="G1533" s="48"/>
      <c r="H1533" s="48"/>
      <c r="I1533" s="49"/>
      <c r="J1533" s="24" t="str">
        <f>IF(OR($A1533="",$B1533=""),"",IF($I1533&lt;&gt;"",$I1533,IF($D1533=本位币,1,IFERROR(LOOKUP(2,1/((汇率月份&lt;=$A1533)*(INDEX(记账汇率区,0,MATCH($D1533,汇率币种头,0))&lt;&gt;"")),INDEX(记账汇率区,0,MATCH($D1533,汇率币种头,0))),""))))</f>
        <v/>
      </c>
      <c r="K1533" s="23" t="str">
        <f t="shared" si="46"/>
        <v/>
      </c>
      <c r="L1533" s="23" t="str">
        <f t="shared" si="47"/>
        <v/>
      </c>
      <c r="M1533" s="23" t="str">
        <f>IF($B1533="","",ROUND(SUMIF(账户名,$B1533,账户期初)+SUMIFS($K$6:K1533,$B$6:B1533,$B1533),2))</f>
        <v/>
      </c>
      <c r="N1533" s="23" t="str">
        <f>IF($B1533="","",IFERROR(ROUND(INDEX(账户期初本位,MATCH($B1533,账户名,0))+SUMIFS($L$6:L1533,$B$6:B1533,$B1533),2),""))</f>
        <v/>
      </c>
      <c r="O1533" s="46"/>
      <c r="P1533" s="47"/>
      <c r="Q1533" s="46"/>
      <c r="R1533" s="46"/>
      <c r="S1533" s="6" t="str">
        <f>IF($B1533="","",IF(ISNA(MATCH($B1533,账户名,0)),"※这个账户不在【参数设置】的账户档案里",IF($A1533="","※没填日期，这一笔不会进任何月份的报表",IF(AND($G1533&lt;&gt;"",$H1533&lt;&gt;""),"※收入和支出不能同时填",IF(AND(N($G1533)=0,N($H1533)=0),"※收入和支出都没填",IF($E1533="","※没填收支类别，分类报表会漏掉这一笔",IF(ISNA(MATCH($E1533,类别表,0)),"※收支类别不在【参数设置】的清单里",IF($J1533="","△"&amp;$D1533&amp;" 还没填汇率，去【月度汇率】补上就自动算了",IF(YEAR($A1533)&lt;&gt;管理年度,"△不是管理年度的单据，年报里看不到",IF(AND($F1533="内部转账",$Q1533=""),"△内部转账建议在「往来单位」写上对方账户",IF($M1533&lt;0,"△这一笔之后该账户余额成负数了，核一下","")))))))))))</f>
        <v/>
      </c>
    </row>
    <row r="1534" ht="16.5" spans="1:19">
      <c r="A1534" s="45"/>
      <c r="B1534" s="46"/>
      <c r="C1534" s="12" t="str">
        <f>IF($B1534="","",IFERROR(INDEX(账户银行,MATCH($B1534,账户名,0)),""))</f>
        <v/>
      </c>
      <c r="D1534" s="12" t="str">
        <f>IF($B1534="","",IFERROR(INDEX(账户币种,MATCH($B1534,账户名,0)),""))</f>
        <v/>
      </c>
      <c r="E1534" s="47"/>
      <c r="F1534" s="12" t="str">
        <f>IF($E1534="","",IFERROR(INDEX(类别属性,MATCH($E1534,类别表,0)),""))</f>
        <v/>
      </c>
      <c r="G1534" s="48"/>
      <c r="H1534" s="48"/>
      <c r="I1534" s="49"/>
      <c r="J1534" s="24" t="str">
        <f>IF(OR($A1534="",$B1534=""),"",IF($I1534&lt;&gt;"",$I1534,IF($D1534=本位币,1,IFERROR(LOOKUP(2,1/((汇率月份&lt;=$A1534)*(INDEX(记账汇率区,0,MATCH($D1534,汇率币种头,0))&lt;&gt;"")),INDEX(记账汇率区,0,MATCH($D1534,汇率币种头,0))),""))))</f>
        <v/>
      </c>
      <c r="K1534" s="23" t="str">
        <f t="shared" si="46"/>
        <v/>
      </c>
      <c r="L1534" s="23" t="str">
        <f t="shared" si="47"/>
        <v/>
      </c>
      <c r="M1534" s="23" t="str">
        <f>IF($B1534="","",ROUND(SUMIF(账户名,$B1534,账户期初)+SUMIFS($K$6:K1534,$B$6:B1534,$B1534),2))</f>
        <v/>
      </c>
      <c r="N1534" s="23" t="str">
        <f>IF($B1534="","",IFERROR(ROUND(INDEX(账户期初本位,MATCH($B1534,账户名,0))+SUMIFS($L$6:L1534,$B$6:B1534,$B1534),2),""))</f>
        <v/>
      </c>
      <c r="O1534" s="46"/>
      <c r="P1534" s="47"/>
      <c r="Q1534" s="46"/>
      <c r="R1534" s="46"/>
      <c r="S1534" s="6" t="str">
        <f>IF($B1534="","",IF(ISNA(MATCH($B1534,账户名,0)),"※这个账户不在【参数设置】的账户档案里",IF($A1534="","※没填日期，这一笔不会进任何月份的报表",IF(AND($G1534&lt;&gt;"",$H1534&lt;&gt;""),"※收入和支出不能同时填",IF(AND(N($G1534)=0,N($H1534)=0),"※收入和支出都没填",IF($E1534="","※没填收支类别，分类报表会漏掉这一笔",IF(ISNA(MATCH($E1534,类别表,0)),"※收支类别不在【参数设置】的清单里",IF($J1534="","△"&amp;$D1534&amp;" 还没填汇率，去【月度汇率】补上就自动算了",IF(YEAR($A1534)&lt;&gt;管理年度,"△不是管理年度的单据，年报里看不到",IF(AND($F1534="内部转账",$Q1534=""),"△内部转账建议在「往来单位」写上对方账户",IF($M1534&lt;0,"△这一笔之后该账户余额成负数了，核一下","")))))))))))</f>
        <v/>
      </c>
    </row>
    <row r="1535" ht="16.5" spans="1:19">
      <c r="A1535" s="45"/>
      <c r="B1535" s="46"/>
      <c r="C1535" s="12" t="str">
        <f>IF($B1535="","",IFERROR(INDEX(账户银行,MATCH($B1535,账户名,0)),""))</f>
        <v/>
      </c>
      <c r="D1535" s="12" t="str">
        <f>IF($B1535="","",IFERROR(INDEX(账户币种,MATCH($B1535,账户名,0)),""))</f>
        <v/>
      </c>
      <c r="E1535" s="47"/>
      <c r="F1535" s="12" t="str">
        <f>IF($E1535="","",IFERROR(INDEX(类别属性,MATCH($E1535,类别表,0)),""))</f>
        <v/>
      </c>
      <c r="G1535" s="48"/>
      <c r="H1535" s="48"/>
      <c r="I1535" s="49"/>
      <c r="J1535" s="24" t="str">
        <f>IF(OR($A1535="",$B1535=""),"",IF($I1535&lt;&gt;"",$I1535,IF($D1535=本位币,1,IFERROR(LOOKUP(2,1/((汇率月份&lt;=$A1535)*(INDEX(记账汇率区,0,MATCH($D1535,汇率币种头,0))&lt;&gt;"")),INDEX(记账汇率区,0,MATCH($D1535,汇率币种头,0))),""))))</f>
        <v/>
      </c>
      <c r="K1535" s="23" t="str">
        <f t="shared" si="46"/>
        <v/>
      </c>
      <c r="L1535" s="23" t="str">
        <f t="shared" si="47"/>
        <v/>
      </c>
      <c r="M1535" s="23" t="str">
        <f>IF($B1535="","",ROUND(SUMIF(账户名,$B1535,账户期初)+SUMIFS($K$6:K1535,$B$6:B1535,$B1535),2))</f>
        <v/>
      </c>
      <c r="N1535" s="23" t="str">
        <f>IF($B1535="","",IFERROR(ROUND(INDEX(账户期初本位,MATCH($B1535,账户名,0))+SUMIFS($L$6:L1535,$B$6:B1535,$B1535),2),""))</f>
        <v/>
      </c>
      <c r="O1535" s="46"/>
      <c r="P1535" s="47"/>
      <c r="Q1535" s="46"/>
      <c r="R1535" s="46"/>
      <c r="S1535" s="6" t="str">
        <f>IF($B1535="","",IF(ISNA(MATCH($B1535,账户名,0)),"※这个账户不在【参数设置】的账户档案里",IF($A1535="","※没填日期，这一笔不会进任何月份的报表",IF(AND($G1535&lt;&gt;"",$H1535&lt;&gt;""),"※收入和支出不能同时填",IF(AND(N($G1535)=0,N($H1535)=0),"※收入和支出都没填",IF($E1535="","※没填收支类别，分类报表会漏掉这一笔",IF(ISNA(MATCH($E1535,类别表,0)),"※收支类别不在【参数设置】的清单里",IF($J1535="","△"&amp;$D1535&amp;" 还没填汇率，去【月度汇率】补上就自动算了",IF(YEAR($A1535)&lt;&gt;管理年度,"△不是管理年度的单据，年报里看不到",IF(AND($F1535="内部转账",$Q1535=""),"△内部转账建议在「往来单位」写上对方账户",IF($M1535&lt;0,"△这一笔之后该账户余额成负数了，核一下","")))))))))))</f>
        <v/>
      </c>
    </row>
    <row r="1536" ht="16.5" spans="1:19">
      <c r="A1536" s="45"/>
      <c r="B1536" s="46"/>
      <c r="C1536" s="12" t="str">
        <f>IF($B1536="","",IFERROR(INDEX(账户银行,MATCH($B1536,账户名,0)),""))</f>
        <v/>
      </c>
      <c r="D1536" s="12" t="str">
        <f>IF($B1536="","",IFERROR(INDEX(账户币种,MATCH($B1536,账户名,0)),""))</f>
        <v/>
      </c>
      <c r="E1536" s="47"/>
      <c r="F1536" s="12" t="str">
        <f>IF($E1536="","",IFERROR(INDEX(类别属性,MATCH($E1536,类别表,0)),""))</f>
        <v/>
      </c>
      <c r="G1536" s="48"/>
      <c r="H1536" s="48"/>
      <c r="I1536" s="49"/>
      <c r="J1536" s="24" t="str">
        <f>IF(OR($A1536="",$B1536=""),"",IF($I1536&lt;&gt;"",$I1536,IF($D1536=本位币,1,IFERROR(LOOKUP(2,1/((汇率月份&lt;=$A1536)*(INDEX(记账汇率区,0,MATCH($D1536,汇率币种头,0))&lt;&gt;"")),INDEX(记账汇率区,0,MATCH($D1536,汇率币种头,0))),""))))</f>
        <v/>
      </c>
      <c r="K1536" s="23" t="str">
        <f t="shared" si="46"/>
        <v/>
      </c>
      <c r="L1536" s="23" t="str">
        <f t="shared" si="47"/>
        <v/>
      </c>
      <c r="M1536" s="23" t="str">
        <f>IF($B1536="","",ROUND(SUMIF(账户名,$B1536,账户期初)+SUMIFS($K$6:K1536,$B$6:B1536,$B1536),2))</f>
        <v/>
      </c>
      <c r="N1536" s="23" t="str">
        <f>IF($B1536="","",IFERROR(ROUND(INDEX(账户期初本位,MATCH($B1536,账户名,0))+SUMIFS($L$6:L1536,$B$6:B1536,$B1536),2),""))</f>
        <v/>
      </c>
      <c r="O1536" s="46"/>
      <c r="P1536" s="47"/>
      <c r="Q1536" s="46"/>
      <c r="R1536" s="46"/>
      <c r="S1536" s="6" t="str">
        <f>IF($B1536="","",IF(ISNA(MATCH($B1536,账户名,0)),"※这个账户不在【参数设置】的账户档案里",IF($A1536="","※没填日期，这一笔不会进任何月份的报表",IF(AND($G1536&lt;&gt;"",$H1536&lt;&gt;""),"※收入和支出不能同时填",IF(AND(N($G1536)=0,N($H1536)=0),"※收入和支出都没填",IF($E1536="","※没填收支类别，分类报表会漏掉这一笔",IF(ISNA(MATCH($E1536,类别表,0)),"※收支类别不在【参数设置】的清单里",IF($J1536="","△"&amp;$D1536&amp;" 还没填汇率，去【月度汇率】补上就自动算了",IF(YEAR($A1536)&lt;&gt;管理年度,"△不是管理年度的单据，年报里看不到",IF(AND($F1536="内部转账",$Q1536=""),"△内部转账建议在「往来单位」写上对方账户",IF($M1536&lt;0,"△这一笔之后该账户余额成负数了，核一下","")))))))))))</f>
        <v/>
      </c>
    </row>
    <row r="1537" ht="16.5" spans="1:19">
      <c r="A1537" s="45"/>
      <c r="B1537" s="46"/>
      <c r="C1537" s="12" t="str">
        <f>IF($B1537="","",IFERROR(INDEX(账户银行,MATCH($B1537,账户名,0)),""))</f>
        <v/>
      </c>
      <c r="D1537" s="12" t="str">
        <f>IF($B1537="","",IFERROR(INDEX(账户币种,MATCH($B1537,账户名,0)),""))</f>
        <v/>
      </c>
      <c r="E1537" s="47"/>
      <c r="F1537" s="12" t="str">
        <f>IF($E1537="","",IFERROR(INDEX(类别属性,MATCH($E1537,类别表,0)),""))</f>
        <v/>
      </c>
      <c r="G1537" s="48"/>
      <c r="H1537" s="48"/>
      <c r="I1537" s="49"/>
      <c r="J1537" s="24" t="str">
        <f>IF(OR($A1537="",$B1537=""),"",IF($I1537&lt;&gt;"",$I1537,IF($D1537=本位币,1,IFERROR(LOOKUP(2,1/((汇率月份&lt;=$A1537)*(INDEX(记账汇率区,0,MATCH($D1537,汇率币种头,0))&lt;&gt;"")),INDEX(记账汇率区,0,MATCH($D1537,汇率币种头,0))),""))))</f>
        <v/>
      </c>
      <c r="K1537" s="23" t="str">
        <f t="shared" si="46"/>
        <v/>
      </c>
      <c r="L1537" s="23" t="str">
        <f t="shared" si="47"/>
        <v/>
      </c>
      <c r="M1537" s="23" t="str">
        <f>IF($B1537="","",ROUND(SUMIF(账户名,$B1537,账户期初)+SUMIFS($K$6:K1537,$B$6:B1537,$B1537),2))</f>
        <v/>
      </c>
      <c r="N1537" s="23" t="str">
        <f>IF($B1537="","",IFERROR(ROUND(INDEX(账户期初本位,MATCH($B1537,账户名,0))+SUMIFS($L$6:L1537,$B$6:B1537,$B1537),2),""))</f>
        <v/>
      </c>
      <c r="O1537" s="46"/>
      <c r="P1537" s="47"/>
      <c r="Q1537" s="46"/>
      <c r="R1537" s="46"/>
      <c r="S1537" s="6" t="str">
        <f>IF($B1537="","",IF(ISNA(MATCH($B1537,账户名,0)),"※这个账户不在【参数设置】的账户档案里",IF($A1537="","※没填日期，这一笔不会进任何月份的报表",IF(AND($G1537&lt;&gt;"",$H1537&lt;&gt;""),"※收入和支出不能同时填",IF(AND(N($G1537)=0,N($H1537)=0),"※收入和支出都没填",IF($E1537="","※没填收支类别，分类报表会漏掉这一笔",IF(ISNA(MATCH($E1537,类别表,0)),"※收支类别不在【参数设置】的清单里",IF($J1537="","△"&amp;$D1537&amp;" 还没填汇率，去【月度汇率】补上就自动算了",IF(YEAR($A1537)&lt;&gt;管理年度,"△不是管理年度的单据，年报里看不到",IF(AND($F1537="内部转账",$Q1537=""),"△内部转账建议在「往来单位」写上对方账户",IF($M1537&lt;0,"△这一笔之后该账户余额成负数了，核一下","")))))))))))</f>
        <v/>
      </c>
    </row>
    <row r="1538" ht="16.5" spans="1:19">
      <c r="A1538" s="45"/>
      <c r="B1538" s="46"/>
      <c r="C1538" s="12" t="str">
        <f>IF($B1538="","",IFERROR(INDEX(账户银行,MATCH($B1538,账户名,0)),""))</f>
        <v/>
      </c>
      <c r="D1538" s="12" t="str">
        <f>IF($B1538="","",IFERROR(INDEX(账户币种,MATCH($B1538,账户名,0)),""))</f>
        <v/>
      </c>
      <c r="E1538" s="47"/>
      <c r="F1538" s="12" t="str">
        <f>IF($E1538="","",IFERROR(INDEX(类别属性,MATCH($E1538,类别表,0)),""))</f>
        <v/>
      </c>
      <c r="G1538" s="48"/>
      <c r="H1538" s="48"/>
      <c r="I1538" s="49"/>
      <c r="J1538" s="24" t="str">
        <f>IF(OR($A1538="",$B1538=""),"",IF($I1538&lt;&gt;"",$I1538,IF($D1538=本位币,1,IFERROR(LOOKUP(2,1/((汇率月份&lt;=$A1538)*(INDEX(记账汇率区,0,MATCH($D1538,汇率币种头,0))&lt;&gt;"")),INDEX(记账汇率区,0,MATCH($D1538,汇率币种头,0))),""))))</f>
        <v/>
      </c>
      <c r="K1538" s="23" t="str">
        <f t="shared" si="46"/>
        <v/>
      </c>
      <c r="L1538" s="23" t="str">
        <f t="shared" si="47"/>
        <v/>
      </c>
      <c r="M1538" s="23" t="str">
        <f>IF($B1538="","",ROUND(SUMIF(账户名,$B1538,账户期初)+SUMIFS($K$6:K1538,$B$6:B1538,$B1538),2))</f>
        <v/>
      </c>
      <c r="N1538" s="23" t="str">
        <f>IF($B1538="","",IFERROR(ROUND(INDEX(账户期初本位,MATCH($B1538,账户名,0))+SUMIFS($L$6:L1538,$B$6:B1538,$B1538),2),""))</f>
        <v/>
      </c>
      <c r="O1538" s="46"/>
      <c r="P1538" s="47"/>
      <c r="Q1538" s="46"/>
      <c r="R1538" s="46"/>
      <c r="S1538" s="6" t="str">
        <f>IF($B1538="","",IF(ISNA(MATCH($B1538,账户名,0)),"※这个账户不在【参数设置】的账户档案里",IF($A1538="","※没填日期，这一笔不会进任何月份的报表",IF(AND($G1538&lt;&gt;"",$H1538&lt;&gt;""),"※收入和支出不能同时填",IF(AND(N($G1538)=0,N($H1538)=0),"※收入和支出都没填",IF($E1538="","※没填收支类别，分类报表会漏掉这一笔",IF(ISNA(MATCH($E1538,类别表,0)),"※收支类别不在【参数设置】的清单里",IF($J1538="","△"&amp;$D1538&amp;" 还没填汇率，去【月度汇率】补上就自动算了",IF(YEAR($A1538)&lt;&gt;管理年度,"△不是管理年度的单据，年报里看不到",IF(AND($F1538="内部转账",$Q1538=""),"△内部转账建议在「往来单位」写上对方账户",IF($M1538&lt;0,"△这一笔之后该账户余额成负数了，核一下","")))))))))))</f>
        <v/>
      </c>
    </row>
    <row r="1539" ht="16.5" spans="1:19">
      <c r="A1539" s="45"/>
      <c r="B1539" s="46"/>
      <c r="C1539" s="12" t="str">
        <f>IF($B1539="","",IFERROR(INDEX(账户银行,MATCH($B1539,账户名,0)),""))</f>
        <v/>
      </c>
      <c r="D1539" s="12" t="str">
        <f>IF($B1539="","",IFERROR(INDEX(账户币种,MATCH($B1539,账户名,0)),""))</f>
        <v/>
      </c>
      <c r="E1539" s="47"/>
      <c r="F1539" s="12" t="str">
        <f>IF($E1539="","",IFERROR(INDEX(类别属性,MATCH($E1539,类别表,0)),""))</f>
        <v/>
      </c>
      <c r="G1539" s="48"/>
      <c r="H1539" s="48"/>
      <c r="I1539" s="49"/>
      <c r="J1539" s="24" t="str">
        <f>IF(OR($A1539="",$B1539=""),"",IF($I1539&lt;&gt;"",$I1539,IF($D1539=本位币,1,IFERROR(LOOKUP(2,1/((汇率月份&lt;=$A1539)*(INDEX(记账汇率区,0,MATCH($D1539,汇率币种头,0))&lt;&gt;"")),INDEX(记账汇率区,0,MATCH($D1539,汇率币种头,0))),""))))</f>
        <v/>
      </c>
      <c r="K1539" s="23" t="str">
        <f t="shared" si="46"/>
        <v/>
      </c>
      <c r="L1539" s="23" t="str">
        <f t="shared" si="47"/>
        <v/>
      </c>
      <c r="M1539" s="23" t="str">
        <f>IF($B1539="","",ROUND(SUMIF(账户名,$B1539,账户期初)+SUMIFS($K$6:K1539,$B$6:B1539,$B1539),2))</f>
        <v/>
      </c>
      <c r="N1539" s="23" t="str">
        <f>IF($B1539="","",IFERROR(ROUND(INDEX(账户期初本位,MATCH($B1539,账户名,0))+SUMIFS($L$6:L1539,$B$6:B1539,$B1539),2),""))</f>
        <v/>
      </c>
      <c r="O1539" s="46"/>
      <c r="P1539" s="47"/>
      <c r="Q1539" s="46"/>
      <c r="R1539" s="46"/>
      <c r="S1539" s="6" t="str">
        <f>IF($B1539="","",IF(ISNA(MATCH($B1539,账户名,0)),"※这个账户不在【参数设置】的账户档案里",IF($A1539="","※没填日期，这一笔不会进任何月份的报表",IF(AND($G1539&lt;&gt;"",$H1539&lt;&gt;""),"※收入和支出不能同时填",IF(AND(N($G1539)=0,N($H1539)=0),"※收入和支出都没填",IF($E1539="","※没填收支类别，分类报表会漏掉这一笔",IF(ISNA(MATCH($E1539,类别表,0)),"※收支类别不在【参数设置】的清单里",IF($J1539="","△"&amp;$D1539&amp;" 还没填汇率，去【月度汇率】补上就自动算了",IF(YEAR($A1539)&lt;&gt;管理年度,"△不是管理年度的单据，年报里看不到",IF(AND($F1539="内部转账",$Q1539=""),"△内部转账建议在「往来单位」写上对方账户",IF($M1539&lt;0,"△这一笔之后该账户余额成负数了，核一下","")))))))))))</f>
        <v/>
      </c>
    </row>
    <row r="1540" ht="16.5" spans="1:19">
      <c r="A1540" s="45"/>
      <c r="B1540" s="46"/>
      <c r="C1540" s="12" t="str">
        <f>IF($B1540="","",IFERROR(INDEX(账户银行,MATCH($B1540,账户名,0)),""))</f>
        <v/>
      </c>
      <c r="D1540" s="12" t="str">
        <f>IF($B1540="","",IFERROR(INDEX(账户币种,MATCH($B1540,账户名,0)),""))</f>
        <v/>
      </c>
      <c r="E1540" s="47"/>
      <c r="F1540" s="12" t="str">
        <f>IF($E1540="","",IFERROR(INDEX(类别属性,MATCH($E1540,类别表,0)),""))</f>
        <v/>
      </c>
      <c r="G1540" s="48"/>
      <c r="H1540" s="48"/>
      <c r="I1540" s="49"/>
      <c r="J1540" s="24" t="str">
        <f>IF(OR($A1540="",$B1540=""),"",IF($I1540&lt;&gt;"",$I1540,IF($D1540=本位币,1,IFERROR(LOOKUP(2,1/((汇率月份&lt;=$A1540)*(INDEX(记账汇率区,0,MATCH($D1540,汇率币种头,0))&lt;&gt;"")),INDEX(记账汇率区,0,MATCH($D1540,汇率币种头,0))),""))))</f>
        <v/>
      </c>
      <c r="K1540" s="23" t="str">
        <f t="shared" si="46"/>
        <v/>
      </c>
      <c r="L1540" s="23" t="str">
        <f t="shared" si="47"/>
        <v/>
      </c>
      <c r="M1540" s="23" t="str">
        <f>IF($B1540="","",ROUND(SUMIF(账户名,$B1540,账户期初)+SUMIFS($K$6:K1540,$B$6:B1540,$B1540),2))</f>
        <v/>
      </c>
      <c r="N1540" s="23" t="str">
        <f>IF($B1540="","",IFERROR(ROUND(INDEX(账户期初本位,MATCH($B1540,账户名,0))+SUMIFS($L$6:L1540,$B$6:B1540,$B1540),2),""))</f>
        <v/>
      </c>
      <c r="O1540" s="46"/>
      <c r="P1540" s="47"/>
      <c r="Q1540" s="46"/>
      <c r="R1540" s="46"/>
      <c r="S1540" s="6" t="str">
        <f>IF($B1540="","",IF(ISNA(MATCH($B1540,账户名,0)),"※这个账户不在【参数设置】的账户档案里",IF($A1540="","※没填日期，这一笔不会进任何月份的报表",IF(AND($G1540&lt;&gt;"",$H1540&lt;&gt;""),"※收入和支出不能同时填",IF(AND(N($G1540)=0,N($H1540)=0),"※收入和支出都没填",IF($E1540="","※没填收支类别，分类报表会漏掉这一笔",IF(ISNA(MATCH($E1540,类别表,0)),"※收支类别不在【参数设置】的清单里",IF($J1540="","△"&amp;$D1540&amp;" 还没填汇率，去【月度汇率】补上就自动算了",IF(YEAR($A1540)&lt;&gt;管理年度,"△不是管理年度的单据，年报里看不到",IF(AND($F1540="内部转账",$Q1540=""),"△内部转账建议在「往来单位」写上对方账户",IF($M1540&lt;0,"△这一笔之后该账户余额成负数了，核一下","")))))))))))</f>
        <v/>
      </c>
    </row>
    <row r="1541" ht="16.5" spans="1:19">
      <c r="A1541" s="45"/>
      <c r="B1541" s="46"/>
      <c r="C1541" s="12" t="str">
        <f>IF($B1541="","",IFERROR(INDEX(账户银行,MATCH($B1541,账户名,0)),""))</f>
        <v/>
      </c>
      <c r="D1541" s="12" t="str">
        <f>IF($B1541="","",IFERROR(INDEX(账户币种,MATCH($B1541,账户名,0)),""))</f>
        <v/>
      </c>
      <c r="E1541" s="47"/>
      <c r="F1541" s="12" t="str">
        <f>IF($E1541="","",IFERROR(INDEX(类别属性,MATCH($E1541,类别表,0)),""))</f>
        <v/>
      </c>
      <c r="G1541" s="48"/>
      <c r="H1541" s="48"/>
      <c r="I1541" s="49"/>
      <c r="J1541" s="24" t="str">
        <f>IF(OR($A1541="",$B1541=""),"",IF($I1541&lt;&gt;"",$I1541,IF($D1541=本位币,1,IFERROR(LOOKUP(2,1/((汇率月份&lt;=$A1541)*(INDEX(记账汇率区,0,MATCH($D1541,汇率币种头,0))&lt;&gt;"")),INDEX(记账汇率区,0,MATCH($D1541,汇率币种头,0))),""))))</f>
        <v/>
      </c>
      <c r="K1541" s="23" t="str">
        <f t="shared" si="46"/>
        <v/>
      </c>
      <c r="L1541" s="23" t="str">
        <f t="shared" si="47"/>
        <v/>
      </c>
      <c r="M1541" s="23" t="str">
        <f>IF($B1541="","",ROUND(SUMIF(账户名,$B1541,账户期初)+SUMIFS($K$6:K1541,$B$6:B1541,$B1541),2))</f>
        <v/>
      </c>
      <c r="N1541" s="23" t="str">
        <f>IF($B1541="","",IFERROR(ROUND(INDEX(账户期初本位,MATCH($B1541,账户名,0))+SUMIFS($L$6:L1541,$B$6:B1541,$B1541),2),""))</f>
        <v/>
      </c>
      <c r="O1541" s="46"/>
      <c r="P1541" s="47"/>
      <c r="Q1541" s="46"/>
      <c r="R1541" s="46"/>
      <c r="S1541" s="6" t="str">
        <f>IF($B1541="","",IF(ISNA(MATCH($B1541,账户名,0)),"※这个账户不在【参数设置】的账户档案里",IF($A1541="","※没填日期，这一笔不会进任何月份的报表",IF(AND($G1541&lt;&gt;"",$H1541&lt;&gt;""),"※收入和支出不能同时填",IF(AND(N($G1541)=0,N($H1541)=0),"※收入和支出都没填",IF($E1541="","※没填收支类别，分类报表会漏掉这一笔",IF(ISNA(MATCH($E1541,类别表,0)),"※收支类别不在【参数设置】的清单里",IF($J1541="","△"&amp;$D1541&amp;" 还没填汇率，去【月度汇率】补上就自动算了",IF(YEAR($A1541)&lt;&gt;管理年度,"△不是管理年度的单据，年报里看不到",IF(AND($F1541="内部转账",$Q1541=""),"△内部转账建议在「往来单位」写上对方账户",IF($M1541&lt;0,"△这一笔之后该账户余额成负数了，核一下","")))))))))))</f>
        <v/>
      </c>
    </row>
    <row r="1542" ht="16.5" spans="1:19">
      <c r="A1542" s="45"/>
      <c r="B1542" s="46"/>
      <c r="C1542" s="12" t="str">
        <f>IF($B1542="","",IFERROR(INDEX(账户银行,MATCH($B1542,账户名,0)),""))</f>
        <v/>
      </c>
      <c r="D1542" s="12" t="str">
        <f>IF($B1542="","",IFERROR(INDEX(账户币种,MATCH($B1542,账户名,0)),""))</f>
        <v/>
      </c>
      <c r="E1542" s="47"/>
      <c r="F1542" s="12" t="str">
        <f>IF($E1542="","",IFERROR(INDEX(类别属性,MATCH($E1542,类别表,0)),""))</f>
        <v/>
      </c>
      <c r="G1542" s="48"/>
      <c r="H1542" s="48"/>
      <c r="I1542" s="49"/>
      <c r="J1542" s="24" t="str">
        <f>IF(OR($A1542="",$B1542=""),"",IF($I1542&lt;&gt;"",$I1542,IF($D1542=本位币,1,IFERROR(LOOKUP(2,1/((汇率月份&lt;=$A1542)*(INDEX(记账汇率区,0,MATCH($D1542,汇率币种头,0))&lt;&gt;"")),INDEX(记账汇率区,0,MATCH($D1542,汇率币种头,0))),""))))</f>
        <v/>
      </c>
      <c r="K1542" s="23" t="str">
        <f t="shared" ref="K1542:K1605" si="48">IF(AND($G1542="",$H1542=""),"",ROUND(N($G1542)-N($H1542),2))</f>
        <v/>
      </c>
      <c r="L1542" s="23" t="str">
        <f t="shared" ref="L1542:L1605" si="49">IF(OR($K1542="",$J1542=""),"",ROUND($K1542*$J1542,2))</f>
        <v/>
      </c>
      <c r="M1542" s="23" t="str">
        <f>IF($B1542="","",ROUND(SUMIF(账户名,$B1542,账户期初)+SUMIFS($K$6:K1542,$B$6:B1542,$B1542),2))</f>
        <v/>
      </c>
      <c r="N1542" s="23" t="str">
        <f>IF($B1542="","",IFERROR(ROUND(INDEX(账户期初本位,MATCH($B1542,账户名,0))+SUMIFS($L$6:L1542,$B$6:B1542,$B1542),2),""))</f>
        <v/>
      </c>
      <c r="O1542" s="46"/>
      <c r="P1542" s="47"/>
      <c r="Q1542" s="46"/>
      <c r="R1542" s="46"/>
      <c r="S1542" s="6" t="str">
        <f>IF($B1542="","",IF(ISNA(MATCH($B1542,账户名,0)),"※这个账户不在【参数设置】的账户档案里",IF($A1542="","※没填日期，这一笔不会进任何月份的报表",IF(AND($G1542&lt;&gt;"",$H1542&lt;&gt;""),"※收入和支出不能同时填",IF(AND(N($G1542)=0,N($H1542)=0),"※收入和支出都没填",IF($E1542="","※没填收支类别，分类报表会漏掉这一笔",IF(ISNA(MATCH($E1542,类别表,0)),"※收支类别不在【参数设置】的清单里",IF($J1542="","△"&amp;$D1542&amp;" 还没填汇率，去【月度汇率】补上就自动算了",IF(YEAR($A1542)&lt;&gt;管理年度,"△不是管理年度的单据，年报里看不到",IF(AND($F1542="内部转账",$Q1542=""),"△内部转账建议在「往来单位」写上对方账户",IF($M1542&lt;0,"△这一笔之后该账户余额成负数了，核一下","")))))))))))</f>
        <v/>
      </c>
    </row>
    <row r="1543" ht="16.5" spans="1:19">
      <c r="A1543" s="45"/>
      <c r="B1543" s="46"/>
      <c r="C1543" s="12" t="str">
        <f>IF($B1543="","",IFERROR(INDEX(账户银行,MATCH($B1543,账户名,0)),""))</f>
        <v/>
      </c>
      <c r="D1543" s="12" t="str">
        <f>IF($B1543="","",IFERROR(INDEX(账户币种,MATCH($B1543,账户名,0)),""))</f>
        <v/>
      </c>
      <c r="E1543" s="47"/>
      <c r="F1543" s="12" t="str">
        <f>IF($E1543="","",IFERROR(INDEX(类别属性,MATCH($E1543,类别表,0)),""))</f>
        <v/>
      </c>
      <c r="G1543" s="48"/>
      <c r="H1543" s="48"/>
      <c r="I1543" s="49"/>
      <c r="J1543" s="24" t="str">
        <f>IF(OR($A1543="",$B1543=""),"",IF($I1543&lt;&gt;"",$I1543,IF($D1543=本位币,1,IFERROR(LOOKUP(2,1/((汇率月份&lt;=$A1543)*(INDEX(记账汇率区,0,MATCH($D1543,汇率币种头,0))&lt;&gt;"")),INDEX(记账汇率区,0,MATCH($D1543,汇率币种头,0))),""))))</f>
        <v/>
      </c>
      <c r="K1543" s="23" t="str">
        <f t="shared" si="48"/>
        <v/>
      </c>
      <c r="L1543" s="23" t="str">
        <f t="shared" si="49"/>
        <v/>
      </c>
      <c r="M1543" s="23" t="str">
        <f>IF($B1543="","",ROUND(SUMIF(账户名,$B1543,账户期初)+SUMIFS($K$6:K1543,$B$6:B1543,$B1543),2))</f>
        <v/>
      </c>
      <c r="N1543" s="23" t="str">
        <f>IF($B1543="","",IFERROR(ROUND(INDEX(账户期初本位,MATCH($B1543,账户名,0))+SUMIFS($L$6:L1543,$B$6:B1543,$B1543),2),""))</f>
        <v/>
      </c>
      <c r="O1543" s="46"/>
      <c r="P1543" s="47"/>
      <c r="Q1543" s="46"/>
      <c r="R1543" s="46"/>
      <c r="S1543" s="6" t="str">
        <f>IF($B1543="","",IF(ISNA(MATCH($B1543,账户名,0)),"※这个账户不在【参数设置】的账户档案里",IF($A1543="","※没填日期，这一笔不会进任何月份的报表",IF(AND($G1543&lt;&gt;"",$H1543&lt;&gt;""),"※收入和支出不能同时填",IF(AND(N($G1543)=0,N($H1543)=0),"※收入和支出都没填",IF($E1543="","※没填收支类别，分类报表会漏掉这一笔",IF(ISNA(MATCH($E1543,类别表,0)),"※收支类别不在【参数设置】的清单里",IF($J1543="","△"&amp;$D1543&amp;" 还没填汇率，去【月度汇率】补上就自动算了",IF(YEAR($A1543)&lt;&gt;管理年度,"△不是管理年度的单据，年报里看不到",IF(AND($F1543="内部转账",$Q1543=""),"△内部转账建议在「往来单位」写上对方账户",IF($M1543&lt;0,"△这一笔之后该账户余额成负数了，核一下","")))))))))))</f>
        <v/>
      </c>
    </row>
    <row r="1544" ht="16.5" spans="1:19">
      <c r="A1544" s="45"/>
      <c r="B1544" s="46"/>
      <c r="C1544" s="12" t="str">
        <f>IF($B1544="","",IFERROR(INDEX(账户银行,MATCH($B1544,账户名,0)),""))</f>
        <v/>
      </c>
      <c r="D1544" s="12" t="str">
        <f>IF($B1544="","",IFERROR(INDEX(账户币种,MATCH($B1544,账户名,0)),""))</f>
        <v/>
      </c>
      <c r="E1544" s="47"/>
      <c r="F1544" s="12" t="str">
        <f>IF($E1544="","",IFERROR(INDEX(类别属性,MATCH($E1544,类别表,0)),""))</f>
        <v/>
      </c>
      <c r="G1544" s="48"/>
      <c r="H1544" s="48"/>
      <c r="I1544" s="49"/>
      <c r="J1544" s="24" t="str">
        <f>IF(OR($A1544="",$B1544=""),"",IF($I1544&lt;&gt;"",$I1544,IF($D1544=本位币,1,IFERROR(LOOKUP(2,1/((汇率月份&lt;=$A1544)*(INDEX(记账汇率区,0,MATCH($D1544,汇率币种头,0))&lt;&gt;"")),INDEX(记账汇率区,0,MATCH($D1544,汇率币种头,0))),""))))</f>
        <v/>
      </c>
      <c r="K1544" s="23" t="str">
        <f t="shared" si="48"/>
        <v/>
      </c>
      <c r="L1544" s="23" t="str">
        <f t="shared" si="49"/>
        <v/>
      </c>
      <c r="M1544" s="23" t="str">
        <f>IF($B1544="","",ROUND(SUMIF(账户名,$B1544,账户期初)+SUMIFS($K$6:K1544,$B$6:B1544,$B1544),2))</f>
        <v/>
      </c>
      <c r="N1544" s="23" t="str">
        <f>IF($B1544="","",IFERROR(ROUND(INDEX(账户期初本位,MATCH($B1544,账户名,0))+SUMIFS($L$6:L1544,$B$6:B1544,$B1544),2),""))</f>
        <v/>
      </c>
      <c r="O1544" s="46"/>
      <c r="P1544" s="47"/>
      <c r="Q1544" s="46"/>
      <c r="R1544" s="46"/>
      <c r="S1544" s="6" t="str">
        <f>IF($B1544="","",IF(ISNA(MATCH($B1544,账户名,0)),"※这个账户不在【参数设置】的账户档案里",IF($A1544="","※没填日期，这一笔不会进任何月份的报表",IF(AND($G1544&lt;&gt;"",$H1544&lt;&gt;""),"※收入和支出不能同时填",IF(AND(N($G1544)=0,N($H1544)=0),"※收入和支出都没填",IF($E1544="","※没填收支类别，分类报表会漏掉这一笔",IF(ISNA(MATCH($E1544,类别表,0)),"※收支类别不在【参数设置】的清单里",IF($J1544="","△"&amp;$D1544&amp;" 还没填汇率，去【月度汇率】补上就自动算了",IF(YEAR($A1544)&lt;&gt;管理年度,"△不是管理年度的单据，年报里看不到",IF(AND($F1544="内部转账",$Q1544=""),"△内部转账建议在「往来单位」写上对方账户",IF($M1544&lt;0,"△这一笔之后该账户余额成负数了，核一下","")))))))))))</f>
        <v/>
      </c>
    </row>
    <row r="1545" ht="16.5" spans="1:19">
      <c r="A1545" s="45"/>
      <c r="B1545" s="46"/>
      <c r="C1545" s="12" t="str">
        <f>IF($B1545="","",IFERROR(INDEX(账户银行,MATCH($B1545,账户名,0)),""))</f>
        <v/>
      </c>
      <c r="D1545" s="12" t="str">
        <f>IF($B1545="","",IFERROR(INDEX(账户币种,MATCH($B1545,账户名,0)),""))</f>
        <v/>
      </c>
      <c r="E1545" s="47"/>
      <c r="F1545" s="12" t="str">
        <f>IF($E1545="","",IFERROR(INDEX(类别属性,MATCH($E1545,类别表,0)),""))</f>
        <v/>
      </c>
      <c r="G1545" s="48"/>
      <c r="H1545" s="48"/>
      <c r="I1545" s="49"/>
      <c r="J1545" s="24" t="str">
        <f>IF(OR($A1545="",$B1545=""),"",IF($I1545&lt;&gt;"",$I1545,IF($D1545=本位币,1,IFERROR(LOOKUP(2,1/((汇率月份&lt;=$A1545)*(INDEX(记账汇率区,0,MATCH($D1545,汇率币种头,0))&lt;&gt;"")),INDEX(记账汇率区,0,MATCH($D1545,汇率币种头,0))),""))))</f>
        <v/>
      </c>
      <c r="K1545" s="23" t="str">
        <f t="shared" si="48"/>
        <v/>
      </c>
      <c r="L1545" s="23" t="str">
        <f t="shared" si="49"/>
        <v/>
      </c>
      <c r="M1545" s="23" t="str">
        <f>IF($B1545="","",ROUND(SUMIF(账户名,$B1545,账户期初)+SUMIFS($K$6:K1545,$B$6:B1545,$B1545),2))</f>
        <v/>
      </c>
      <c r="N1545" s="23" t="str">
        <f>IF($B1545="","",IFERROR(ROUND(INDEX(账户期初本位,MATCH($B1545,账户名,0))+SUMIFS($L$6:L1545,$B$6:B1545,$B1545),2),""))</f>
        <v/>
      </c>
      <c r="O1545" s="46"/>
      <c r="P1545" s="47"/>
      <c r="Q1545" s="46"/>
      <c r="R1545" s="46"/>
      <c r="S1545" s="6" t="str">
        <f>IF($B1545="","",IF(ISNA(MATCH($B1545,账户名,0)),"※这个账户不在【参数设置】的账户档案里",IF($A1545="","※没填日期，这一笔不会进任何月份的报表",IF(AND($G1545&lt;&gt;"",$H1545&lt;&gt;""),"※收入和支出不能同时填",IF(AND(N($G1545)=0,N($H1545)=0),"※收入和支出都没填",IF($E1545="","※没填收支类别，分类报表会漏掉这一笔",IF(ISNA(MATCH($E1545,类别表,0)),"※收支类别不在【参数设置】的清单里",IF($J1545="","△"&amp;$D1545&amp;" 还没填汇率，去【月度汇率】补上就自动算了",IF(YEAR($A1545)&lt;&gt;管理年度,"△不是管理年度的单据，年报里看不到",IF(AND($F1545="内部转账",$Q1545=""),"△内部转账建议在「往来单位」写上对方账户",IF($M1545&lt;0,"△这一笔之后该账户余额成负数了，核一下","")))))))))))</f>
        <v/>
      </c>
    </row>
    <row r="1546" ht="16.5" spans="1:19">
      <c r="A1546" s="45"/>
      <c r="B1546" s="46"/>
      <c r="C1546" s="12" t="str">
        <f>IF($B1546="","",IFERROR(INDEX(账户银行,MATCH($B1546,账户名,0)),""))</f>
        <v/>
      </c>
      <c r="D1546" s="12" t="str">
        <f>IF($B1546="","",IFERROR(INDEX(账户币种,MATCH($B1546,账户名,0)),""))</f>
        <v/>
      </c>
      <c r="E1546" s="47"/>
      <c r="F1546" s="12" t="str">
        <f>IF($E1546="","",IFERROR(INDEX(类别属性,MATCH($E1546,类别表,0)),""))</f>
        <v/>
      </c>
      <c r="G1546" s="48"/>
      <c r="H1546" s="48"/>
      <c r="I1546" s="49"/>
      <c r="J1546" s="24" t="str">
        <f>IF(OR($A1546="",$B1546=""),"",IF($I1546&lt;&gt;"",$I1546,IF($D1546=本位币,1,IFERROR(LOOKUP(2,1/((汇率月份&lt;=$A1546)*(INDEX(记账汇率区,0,MATCH($D1546,汇率币种头,0))&lt;&gt;"")),INDEX(记账汇率区,0,MATCH($D1546,汇率币种头,0))),""))))</f>
        <v/>
      </c>
      <c r="K1546" s="23" t="str">
        <f t="shared" si="48"/>
        <v/>
      </c>
      <c r="L1546" s="23" t="str">
        <f t="shared" si="49"/>
        <v/>
      </c>
      <c r="M1546" s="23" t="str">
        <f>IF($B1546="","",ROUND(SUMIF(账户名,$B1546,账户期初)+SUMIFS($K$6:K1546,$B$6:B1546,$B1546),2))</f>
        <v/>
      </c>
      <c r="N1546" s="23" t="str">
        <f>IF($B1546="","",IFERROR(ROUND(INDEX(账户期初本位,MATCH($B1546,账户名,0))+SUMIFS($L$6:L1546,$B$6:B1546,$B1546),2),""))</f>
        <v/>
      </c>
      <c r="O1546" s="46"/>
      <c r="P1546" s="47"/>
      <c r="Q1546" s="46"/>
      <c r="R1546" s="46"/>
      <c r="S1546" s="6" t="str">
        <f>IF($B1546="","",IF(ISNA(MATCH($B1546,账户名,0)),"※这个账户不在【参数设置】的账户档案里",IF($A1546="","※没填日期，这一笔不会进任何月份的报表",IF(AND($G1546&lt;&gt;"",$H1546&lt;&gt;""),"※收入和支出不能同时填",IF(AND(N($G1546)=0,N($H1546)=0),"※收入和支出都没填",IF($E1546="","※没填收支类别，分类报表会漏掉这一笔",IF(ISNA(MATCH($E1546,类别表,0)),"※收支类别不在【参数设置】的清单里",IF($J1546="","△"&amp;$D1546&amp;" 还没填汇率，去【月度汇率】补上就自动算了",IF(YEAR($A1546)&lt;&gt;管理年度,"△不是管理年度的单据，年报里看不到",IF(AND($F1546="内部转账",$Q1546=""),"△内部转账建议在「往来单位」写上对方账户",IF($M1546&lt;0,"△这一笔之后该账户余额成负数了，核一下","")))))))))))</f>
        <v/>
      </c>
    </row>
    <row r="1547" ht="16.5" spans="1:19">
      <c r="A1547" s="45"/>
      <c r="B1547" s="46"/>
      <c r="C1547" s="12" t="str">
        <f>IF($B1547="","",IFERROR(INDEX(账户银行,MATCH($B1547,账户名,0)),""))</f>
        <v/>
      </c>
      <c r="D1547" s="12" t="str">
        <f>IF($B1547="","",IFERROR(INDEX(账户币种,MATCH($B1547,账户名,0)),""))</f>
        <v/>
      </c>
      <c r="E1547" s="47"/>
      <c r="F1547" s="12" t="str">
        <f>IF($E1547="","",IFERROR(INDEX(类别属性,MATCH($E1547,类别表,0)),""))</f>
        <v/>
      </c>
      <c r="G1547" s="48"/>
      <c r="H1547" s="48"/>
      <c r="I1547" s="49"/>
      <c r="J1547" s="24" t="str">
        <f>IF(OR($A1547="",$B1547=""),"",IF($I1547&lt;&gt;"",$I1547,IF($D1547=本位币,1,IFERROR(LOOKUP(2,1/((汇率月份&lt;=$A1547)*(INDEX(记账汇率区,0,MATCH($D1547,汇率币种头,0))&lt;&gt;"")),INDEX(记账汇率区,0,MATCH($D1547,汇率币种头,0))),""))))</f>
        <v/>
      </c>
      <c r="K1547" s="23" t="str">
        <f t="shared" si="48"/>
        <v/>
      </c>
      <c r="L1547" s="23" t="str">
        <f t="shared" si="49"/>
        <v/>
      </c>
      <c r="M1547" s="23" t="str">
        <f>IF($B1547="","",ROUND(SUMIF(账户名,$B1547,账户期初)+SUMIFS($K$6:K1547,$B$6:B1547,$B1547),2))</f>
        <v/>
      </c>
      <c r="N1547" s="23" t="str">
        <f>IF($B1547="","",IFERROR(ROUND(INDEX(账户期初本位,MATCH($B1547,账户名,0))+SUMIFS($L$6:L1547,$B$6:B1547,$B1547),2),""))</f>
        <v/>
      </c>
      <c r="O1547" s="46"/>
      <c r="P1547" s="47"/>
      <c r="Q1547" s="46"/>
      <c r="R1547" s="46"/>
      <c r="S1547" s="6" t="str">
        <f>IF($B1547="","",IF(ISNA(MATCH($B1547,账户名,0)),"※这个账户不在【参数设置】的账户档案里",IF($A1547="","※没填日期，这一笔不会进任何月份的报表",IF(AND($G1547&lt;&gt;"",$H1547&lt;&gt;""),"※收入和支出不能同时填",IF(AND(N($G1547)=0,N($H1547)=0),"※收入和支出都没填",IF($E1547="","※没填收支类别，分类报表会漏掉这一笔",IF(ISNA(MATCH($E1547,类别表,0)),"※收支类别不在【参数设置】的清单里",IF($J1547="","△"&amp;$D1547&amp;" 还没填汇率，去【月度汇率】补上就自动算了",IF(YEAR($A1547)&lt;&gt;管理年度,"△不是管理年度的单据，年报里看不到",IF(AND($F1547="内部转账",$Q1547=""),"△内部转账建议在「往来单位」写上对方账户",IF($M1547&lt;0,"△这一笔之后该账户余额成负数了，核一下","")))))))))))</f>
        <v/>
      </c>
    </row>
    <row r="1548" ht="16.5" spans="1:19">
      <c r="A1548" s="45"/>
      <c r="B1548" s="46"/>
      <c r="C1548" s="12" t="str">
        <f>IF($B1548="","",IFERROR(INDEX(账户银行,MATCH($B1548,账户名,0)),""))</f>
        <v/>
      </c>
      <c r="D1548" s="12" t="str">
        <f>IF($B1548="","",IFERROR(INDEX(账户币种,MATCH($B1548,账户名,0)),""))</f>
        <v/>
      </c>
      <c r="E1548" s="47"/>
      <c r="F1548" s="12" t="str">
        <f>IF($E1548="","",IFERROR(INDEX(类别属性,MATCH($E1548,类别表,0)),""))</f>
        <v/>
      </c>
      <c r="G1548" s="48"/>
      <c r="H1548" s="48"/>
      <c r="I1548" s="49"/>
      <c r="J1548" s="24" t="str">
        <f>IF(OR($A1548="",$B1548=""),"",IF($I1548&lt;&gt;"",$I1548,IF($D1548=本位币,1,IFERROR(LOOKUP(2,1/((汇率月份&lt;=$A1548)*(INDEX(记账汇率区,0,MATCH($D1548,汇率币种头,0))&lt;&gt;"")),INDEX(记账汇率区,0,MATCH($D1548,汇率币种头,0))),""))))</f>
        <v/>
      </c>
      <c r="K1548" s="23" t="str">
        <f t="shared" si="48"/>
        <v/>
      </c>
      <c r="L1548" s="23" t="str">
        <f t="shared" si="49"/>
        <v/>
      </c>
      <c r="M1548" s="23" t="str">
        <f>IF($B1548="","",ROUND(SUMIF(账户名,$B1548,账户期初)+SUMIFS($K$6:K1548,$B$6:B1548,$B1548),2))</f>
        <v/>
      </c>
      <c r="N1548" s="23" t="str">
        <f>IF($B1548="","",IFERROR(ROUND(INDEX(账户期初本位,MATCH($B1548,账户名,0))+SUMIFS($L$6:L1548,$B$6:B1548,$B1548),2),""))</f>
        <v/>
      </c>
      <c r="O1548" s="46"/>
      <c r="P1548" s="47"/>
      <c r="Q1548" s="46"/>
      <c r="R1548" s="46"/>
      <c r="S1548" s="6" t="str">
        <f>IF($B1548="","",IF(ISNA(MATCH($B1548,账户名,0)),"※这个账户不在【参数设置】的账户档案里",IF($A1548="","※没填日期，这一笔不会进任何月份的报表",IF(AND($G1548&lt;&gt;"",$H1548&lt;&gt;""),"※收入和支出不能同时填",IF(AND(N($G1548)=0,N($H1548)=0),"※收入和支出都没填",IF($E1548="","※没填收支类别，分类报表会漏掉这一笔",IF(ISNA(MATCH($E1548,类别表,0)),"※收支类别不在【参数设置】的清单里",IF($J1548="","△"&amp;$D1548&amp;" 还没填汇率，去【月度汇率】补上就自动算了",IF(YEAR($A1548)&lt;&gt;管理年度,"△不是管理年度的单据，年报里看不到",IF(AND($F1548="内部转账",$Q1548=""),"△内部转账建议在「往来单位」写上对方账户",IF($M1548&lt;0,"△这一笔之后该账户余额成负数了，核一下","")))))))))))</f>
        <v/>
      </c>
    </row>
    <row r="1549" ht="16.5" spans="1:19">
      <c r="A1549" s="45"/>
      <c r="B1549" s="46"/>
      <c r="C1549" s="12" t="str">
        <f>IF($B1549="","",IFERROR(INDEX(账户银行,MATCH($B1549,账户名,0)),""))</f>
        <v/>
      </c>
      <c r="D1549" s="12" t="str">
        <f>IF($B1549="","",IFERROR(INDEX(账户币种,MATCH($B1549,账户名,0)),""))</f>
        <v/>
      </c>
      <c r="E1549" s="47"/>
      <c r="F1549" s="12" t="str">
        <f>IF($E1549="","",IFERROR(INDEX(类别属性,MATCH($E1549,类别表,0)),""))</f>
        <v/>
      </c>
      <c r="G1549" s="48"/>
      <c r="H1549" s="48"/>
      <c r="I1549" s="49"/>
      <c r="J1549" s="24" t="str">
        <f>IF(OR($A1549="",$B1549=""),"",IF($I1549&lt;&gt;"",$I1549,IF($D1549=本位币,1,IFERROR(LOOKUP(2,1/((汇率月份&lt;=$A1549)*(INDEX(记账汇率区,0,MATCH($D1549,汇率币种头,0))&lt;&gt;"")),INDEX(记账汇率区,0,MATCH($D1549,汇率币种头,0))),""))))</f>
        <v/>
      </c>
      <c r="K1549" s="23" t="str">
        <f t="shared" si="48"/>
        <v/>
      </c>
      <c r="L1549" s="23" t="str">
        <f t="shared" si="49"/>
        <v/>
      </c>
      <c r="M1549" s="23" t="str">
        <f>IF($B1549="","",ROUND(SUMIF(账户名,$B1549,账户期初)+SUMIFS($K$6:K1549,$B$6:B1549,$B1549),2))</f>
        <v/>
      </c>
      <c r="N1549" s="23" t="str">
        <f>IF($B1549="","",IFERROR(ROUND(INDEX(账户期初本位,MATCH($B1549,账户名,0))+SUMIFS($L$6:L1549,$B$6:B1549,$B1549),2),""))</f>
        <v/>
      </c>
      <c r="O1549" s="46"/>
      <c r="P1549" s="47"/>
      <c r="Q1549" s="46"/>
      <c r="R1549" s="46"/>
      <c r="S1549" s="6" t="str">
        <f>IF($B1549="","",IF(ISNA(MATCH($B1549,账户名,0)),"※这个账户不在【参数设置】的账户档案里",IF($A1549="","※没填日期，这一笔不会进任何月份的报表",IF(AND($G1549&lt;&gt;"",$H1549&lt;&gt;""),"※收入和支出不能同时填",IF(AND(N($G1549)=0,N($H1549)=0),"※收入和支出都没填",IF($E1549="","※没填收支类别，分类报表会漏掉这一笔",IF(ISNA(MATCH($E1549,类别表,0)),"※收支类别不在【参数设置】的清单里",IF($J1549="","△"&amp;$D1549&amp;" 还没填汇率，去【月度汇率】补上就自动算了",IF(YEAR($A1549)&lt;&gt;管理年度,"△不是管理年度的单据，年报里看不到",IF(AND($F1549="内部转账",$Q1549=""),"△内部转账建议在「往来单位」写上对方账户",IF($M1549&lt;0,"△这一笔之后该账户余额成负数了，核一下","")))))))))))</f>
        <v/>
      </c>
    </row>
    <row r="1550" ht="16.5" spans="1:19">
      <c r="A1550" s="45"/>
      <c r="B1550" s="46"/>
      <c r="C1550" s="12" t="str">
        <f>IF($B1550="","",IFERROR(INDEX(账户银行,MATCH($B1550,账户名,0)),""))</f>
        <v/>
      </c>
      <c r="D1550" s="12" t="str">
        <f>IF($B1550="","",IFERROR(INDEX(账户币种,MATCH($B1550,账户名,0)),""))</f>
        <v/>
      </c>
      <c r="E1550" s="47"/>
      <c r="F1550" s="12" t="str">
        <f>IF($E1550="","",IFERROR(INDEX(类别属性,MATCH($E1550,类别表,0)),""))</f>
        <v/>
      </c>
      <c r="G1550" s="48"/>
      <c r="H1550" s="48"/>
      <c r="I1550" s="49"/>
      <c r="J1550" s="24" t="str">
        <f>IF(OR($A1550="",$B1550=""),"",IF($I1550&lt;&gt;"",$I1550,IF($D1550=本位币,1,IFERROR(LOOKUP(2,1/((汇率月份&lt;=$A1550)*(INDEX(记账汇率区,0,MATCH($D1550,汇率币种头,0))&lt;&gt;"")),INDEX(记账汇率区,0,MATCH($D1550,汇率币种头,0))),""))))</f>
        <v/>
      </c>
      <c r="K1550" s="23" t="str">
        <f t="shared" si="48"/>
        <v/>
      </c>
      <c r="L1550" s="23" t="str">
        <f t="shared" si="49"/>
        <v/>
      </c>
      <c r="M1550" s="23" t="str">
        <f>IF($B1550="","",ROUND(SUMIF(账户名,$B1550,账户期初)+SUMIFS($K$6:K1550,$B$6:B1550,$B1550),2))</f>
        <v/>
      </c>
      <c r="N1550" s="23" t="str">
        <f>IF($B1550="","",IFERROR(ROUND(INDEX(账户期初本位,MATCH($B1550,账户名,0))+SUMIFS($L$6:L1550,$B$6:B1550,$B1550),2),""))</f>
        <v/>
      </c>
      <c r="O1550" s="46"/>
      <c r="P1550" s="47"/>
      <c r="Q1550" s="46"/>
      <c r="R1550" s="46"/>
      <c r="S1550" s="6" t="str">
        <f>IF($B1550="","",IF(ISNA(MATCH($B1550,账户名,0)),"※这个账户不在【参数设置】的账户档案里",IF($A1550="","※没填日期，这一笔不会进任何月份的报表",IF(AND($G1550&lt;&gt;"",$H1550&lt;&gt;""),"※收入和支出不能同时填",IF(AND(N($G1550)=0,N($H1550)=0),"※收入和支出都没填",IF($E1550="","※没填收支类别，分类报表会漏掉这一笔",IF(ISNA(MATCH($E1550,类别表,0)),"※收支类别不在【参数设置】的清单里",IF($J1550="","△"&amp;$D1550&amp;" 还没填汇率，去【月度汇率】补上就自动算了",IF(YEAR($A1550)&lt;&gt;管理年度,"△不是管理年度的单据，年报里看不到",IF(AND($F1550="内部转账",$Q1550=""),"△内部转账建议在「往来单位」写上对方账户",IF($M1550&lt;0,"△这一笔之后该账户余额成负数了，核一下","")))))))))))</f>
        <v/>
      </c>
    </row>
    <row r="1551" ht="16.5" spans="1:19">
      <c r="A1551" s="45"/>
      <c r="B1551" s="46"/>
      <c r="C1551" s="12" t="str">
        <f>IF($B1551="","",IFERROR(INDEX(账户银行,MATCH($B1551,账户名,0)),""))</f>
        <v/>
      </c>
      <c r="D1551" s="12" t="str">
        <f>IF($B1551="","",IFERROR(INDEX(账户币种,MATCH($B1551,账户名,0)),""))</f>
        <v/>
      </c>
      <c r="E1551" s="47"/>
      <c r="F1551" s="12" t="str">
        <f>IF($E1551="","",IFERROR(INDEX(类别属性,MATCH($E1551,类别表,0)),""))</f>
        <v/>
      </c>
      <c r="G1551" s="48"/>
      <c r="H1551" s="48"/>
      <c r="I1551" s="49"/>
      <c r="J1551" s="24" t="str">
        <f>IF(OR($A1551="",$B1551=""),"",IF($I1551&lt;&gt;"",$I1551,IF($D1551=本位币,1,IFERROR(LOOKUP(2,1/((汇率月份&lt;=$A1551)*(INDEX(记账汇率区,0,MATCH($D1551,汇率币种头,0))&lt;&gt;"")),INDEX(记账汇率区,0,MATCH($D1551,汇率币种头,0))),""))))</f>
        <v/>
      </c>
      <c r="K1551" s="23" t="str">
        <f t="shared" si="48"/>
        <v/>
      </c>
      <c r="L1551" s="23" t="str">
        <f t="shared" si="49"/>
        <v/>
      </c>
      <c r="M1551" s="23" t="str">
        <f>IF($B1551="","",ROUND(SUMIF(账户名,$B1551,账户期初)+SUMIFS($K$6:K1551,$B$6:B1551,$B1551),2))</f>
        <v/>
      </c>
      <c r="N1551" s="23" t="str">
        <f>IF($B1551="","",IFERROR(ROUND(INDEX(账户期初本位,MATCH($B1551,账户名,0))+SUMIFS($L$6:L1551,$B$6:B1551,$B1551),2),""))</f>
        <v/>
      </c>
      <c r="O1551" s="46"/>
      <c r="P1551" s="47"/>
      <c r="Q1551" s="46"/>
      <c r="R1551" s="46"/>
      <c r="S1551" s="6" t="str">
        <f>IF($B1551="","",IF(ISNA(MATCH($B1551,账户名,0)),"※这个账户不在【参数设置】的账户档案里",IF($A1551="","※没填日期，这一笔不会进任何月份的报表",IF(AND($G1551&lt;&gt;"",$H1551&lt;&gt;""),"※收入和支出不能同时填",IF(AND(N($G1551)=0,N($H1551)=0),"※收入和支出都没填",IF($E1551="","※没填收支类别，分类报表会漏掉这一笔",IF(ISNA(MATCH($E1551,类别表,0)),"※收支类别不在【参数设置】的清单里",IF($J1551="","△"&amp;$D1551&amp;" 还没填汇率，去【月度汇率】补上就自动算了",IF(YEAR($A1551)&lt;&gt;管理年度,"△不是管理年度的单据，年报里看不到",IF(AND($F1551="内部转账",$Q1551=""),"△内部转账建议在「往来单位」写上对方账户",IF($M1551&lt;0,"△这一笔之后该账户余额成负数了，核一下","")))))))))))</f>
        <v/>
      </c>
    </row>
    <row r="1552" ht="16.5" spans="1:19">
      <c r="A1552" s="45"/>
      <c r="B1552" s="46"/>
      <c r="C1552" s="12" t="str">
        <f>IF($B1552="","",IFERROR(INDEX(账户银行,MATCH($B1552,账户名,0)),""))</f>
        <v/>
      </c>
      <c r="D1552" s="12" t="str">
        <f>IF($B1552="","",IFERROR(INDEX(账户币种,MATCH($B1552,账户名,0)),""))</f>
        <v/>
      </c>
      <c r="E1552" s="47"/>
      <c r="F1552" s="12" t="str">
        <f>IF($E1552="","",IFERROR(INDEX(类别属性,MATCH($E1552,类别表,0)),""))</f>
        <v/>
      </c>
      <c r="G1552" s="48"/>
      <c r="H1552" s="48"/>
      <c r="I1552" s="49"/>
      <c r="J1552" s="24" t="str">
        <f>IF(OR($A1552="",$B1552=""),"",IF($I1552&lt;&gt;"",$I1552,IF($D1552=本位币,1,IFERROR(LOOKUP(2,1/((汇率月份&lt;=$A1552)*(INDEX(记账汇率区,0,MATCH($D1552,汇率币种头,0))&lt;&gt;"")),INDEX(记账汇率区,0,MATCH($D1552,汇率币种头,0))),""))))</f>
        <v/>
      </c>
      <c r="K1552" s="23" t="str">
        <f t="shared" si="48"/>
        <v/>
      </c>
      <c r="L1552" s="23" t="str">
        <f t="shared" si="49"/>
        <v/>
      </c>
      <c r="M1552" s="23" t="str">
        <f>IF($B1552="","",ROUND(SUMIF(账户名,$B1552,账户期初)+SUMIFS($K$6:K1552,$B$6:B1552,$B1552),2))</f>
        <v/>
      </c>
      <c r="N1552" s="23" t="str">
        <f>IF($B1552="","",IFERROR(ROUND(INDEX(账户期初本位,MATCH($B1552,账户名,0))+SUMIFS($L$6:L1552,$B$6:B1552,$B1552),2),""))</f>
        <v/>
      </c>
      <c r="O1552" s="46"/>
      <c r="P1552" s="47"/>
      <c r="Q1552" s="46"/>
      <c r="R1552" s="46"/>
      <c r="S1552" s="6" t="str">
        <f>IF($B1552="","",IF(ISNA(MATCH($B1552,账户名,0)),"※这个账户不在【参数设置】的账户档案里",IF($A1552="","※没填日期，这一笔不会进任何月份的报表",IF(AND($G1552&lt;&gt;"",$H1552&lt;&gt;""),"※收入和支出不能同时填",IF(AND(N($G1552)=0,N($H1552)=0),"※收入和支出都没填",IF($E1552="","※没填收支类别，分类报表会漏掉这一笔",IF(ISNA(MATCH($E1552,类别表,0)),"※收支类别不在【参数设置】的清单里",IF($J1552="","△"&amp;$D1552&amp;" 还没填汇率，去【月度汇率】补上就自动算了",IF(YEAR($A1552)&lt;&gt;管理年度,"△不是管理年度的单据，年报里看不到",IF(AND($F1552="内部转账",$Q1552=""),"△内部转账建议在「往来单位」写上对方账户",IF($M1552&lt;0,"△这一笔之后该账户余额成负数了，核一下","")))))))))))</f>
        <v/>
      </c>
    </row>
    <row r="1553" ht="16.5" spans="1:19">
      <c r="A1553" s="45"/>
      <c r="B1553" s="46"/>
      <c r="C1553" s="12" t="str">
        <f>IF($B1553="","",IFERROR(INDEX(账户银行,MATCH($B1553,账户名,0)),""))</f>
        <v/>
      </c>
      <c r="D1553" s="12" t="str">
        <f>IF($B1553="","",IFERROR(INDEX(账户币种,MATCH($B1553,账户名,0)),""))</f>
        <v/>
      </c>
      <c r="E1553" s="47"/>
      <c r="F1553" s="12" t="str">
        <f>IF($E1553="","",IFERROR(INDEX(类别属性,MATCH($E1553,类别表,0)),""))</f>
        <v/>
      </c>
      <c r="G1553" s="48"/>
      <c r="H1553" s="48"/>
      <c r="I1553" s="49"/>
      <c r="J1553" s="24" t="str">
        <f>IF(OR($A1553="",$B1553=""),"",IF($I1553&lt;&gt;"",$I1553,IF($D1553=本位币,1,IFERROR(LOOKUP(2,1/((汇率月份&lt;=$A1553)*(INDEX(记账汇率区,0,MATCH($D1553,汇率币种头,0))&lt;&gt;"")),INDEX(记账汇率区,0,MATCH($D1553,汇率币种头,0))),""))))</f>
        <v/>
      </c>
      <c r="K1553" s="23" t="str">
        <f t="shared" si="48"/>
        <v/>
      </c>
      <c r="L1553" s="23" t="str">
        <f t="shared" si="49"/>
        <v/>
      </c>
      <c r="M1553" s="23" t="str">
        <f>IF($B1553="","",ROUND(SUMIF(账户名,$B1553,账户期初)+SUMIFS($K$6:K1553,$B$6:B1553,$B1553),2))</f>
        <v/>
      </c>
      <c r="N1553" s="23" t="str">
        <f>IF($B1553="","",IFERROR(ROUND(INDEX(账户期初本位,MATCH($B1553,账户名,0))+SUMIFS($L$6:L1553,$B$6:B1553,$B1553),2),""))</f>
        <v/>
      </c>
      <c r="O1553" s="46"/>
      <c r="P1553" s="47"/>
      <c r="Q1553" s="46"/>
      <c r="R1553" s="46"/>
      <c r="S1553" s="6" t="str">
        <f>IF($B1553="","",IF(ISNA(MATCH($B1553,账户名,0)),"※这个账户不在【参数设置】的账户档案里",IF($A1553="","※没填日期，这一笔不会进任何月份的报表",IF(AND($G1553&lt;&gt;"",$H1553&lt;&gt;""),"※收入和支出不能同时填",IF(AND(N($G1553)=0,N($H1553)=0),"※收入和支出都没填",IF($E1553="","※没填收支类别，分类报表会漏掉这一笔",IF(ISNA(MATCH($E1553,类别表,0)),"※收支类别不在【参数设置】的清单里",IF($J1553="","△"&amp;$D1553&amp;" 还没填汇率，去【月度汇率】补上就自动算了",IF(YEAR($A1553)&lt;&gt;管理年度,"△不是管理年度的单据，年报里看不到",IF(AND($F1553="内部转账",$Q1553=""),"△内部转账建议在「往来单位」写上对方账户",IF($M1553&lt;0,"△这一笔之后该账户余额成负数了，核一下","")))))))))))</f>
        <v/>
      </c>
    </row>
    <row r="1554" ht="16.5" spans="1:19">
      <c r="A1554" s="45"/>
      <c r="B1554" s="46"/>
      <c r="C1554" s="12" t="str">
        <f>IF($B1554="","",IFERROR(INDEX(账户银行,MATCH($B1554,账户名,0)),""))</f>
        <v/>
      </c>
      <c r="D1554" s="12" t="str">
        <f>IF($B1554="","",IFERROR(INDEX(账户币种,MATCH($B1554,账户名,0)),""))</f>
        <v/>
      </c>
      <c r="E1554" s="47"/>
      <c r="F1554" s="12" t="str">
        <f>IF($E1554="","",IFERROR(INDEX(类别属性,MATCH($E1554,类别表,0)),""))</f>
        <v/>
      </c>
      <c r="G1554" s="48"/>
      <c r="H1554" s="48"/>
      <c r="I1554" s="49"/>
      <c r="J1554" s="24" t="str">
        <f>IF(OR($A1554="",$B1554=""),"",IF($I1554&lt;&gt;"",$I1554,IF($D1554=本位币,1,IFERROR(LOOKUP(2,1/((汇率月份&lt;=$A1554)*(INDEX(记账汇率区,0,MATCH($D1554,汇率币种头,0))&lt;&gt;"")),INDEX(记账汇率区,0,MATCH($D1554,汇率币种头,0))),""))))</f>
        <v/>
      </c>
      <c r="K1554" s="23" t="str">
        <f t="shared" si="48"/>
        <v/>
      </c>
      <c r="L1554" s="23" t="str">
        <f t="shared" si="49"/>
        <v/>
      </c>
      <c r="M1554" s="23" t="str">
        <f>IF($B1554="","",ROUND(SUMIF(账户名,$B1554,账户期初)+SUMIFS($K$6:K1554,$B$6:B1554,$B1554),2))</f>
        <v/>
      </c>
      <c r="N1554" s="23" t="str">
        <f>IF($B1554="","",IFERROR(ROUND(INDEX(账户期初本位,MATCH($B1554,账户名,0))+SUMIFS($L$6:L1554,$B$6:B1554,$B1554),2),""))</f>
        <v/>
      </c>
      <c r="O1554" s="46"/>
      <c r="P1554" s="47"/>
      <c r="Q1554" s="46"/>
      <c r="R1554" s="46"/>
      <c r="S1554" s="6" t="str">
        <f>IF($B1554="","",IF(ISNA(MATCH($B1554,账户名,0)),"※这个账户不在【参数设置】的账户档案里",IF($A1554="","※没填日期，这一笔不会进任何月份的报表",IF(AND($G1554&lt;&gt;"",$H1554&lt;&gt;""),"※收入和支出不能同时填",IF(AND(N($G1554)=0,N($H1554)=0),"※收入和支出都没填",IF($E1554="","※没填收支类别，分类报表会漏掉这一笔",IF(ISNA(MATCH($E1554,类别表,0)),"※收支类别不在【参数设置】的清单里",IF($J1554="","△"&amp;$D1554&amp;" 还没填汇率，去【月度汇率】补上就自动算了",IF(YEAR($A1554)&lt;&gt;管理年度,"△不是管理年度的单据，年报里看不到",IF(AND($F1554="内部转账",$Q1554=""),"△内部转账建议在「往来单位」写上对方账户",IF($M1554&lt;0,"△这一笔之后该账户余额成负数了，核一下","")))))))))))</f>
        <v/>
      </c>
    </row>
    <row r="1555" ht="16.5" spans="1:19">
      <c r="A1555" s="45"/>
      <c r="B1555" s="46"/>
      <c r="C1555" s="12" t="str">
        <f>IF($B1555="","",IFERROR(INDEX(账户银行,MATCH($B1555,账户名,0)),""))</f>
        <v/>
      </c>
      <c r="D1555" s="12" t="str">
        <f>IF($B1555="","",IFERROR(INDEX(账户币种,MATCH($B1555,账户名,0)),""))</f>
        <v/>
      </c>
      <c r="E1555" s="47"/>
      <c r="F1555" s="12" t="str">
        <f>IF($E1555="","",IFERROR(INDEX(类别属性,MATCH($E1555,类别表,0)),""))</f>
        <v/>
      </c>
      <c r="G1555" s="48"/>
      <c r="H1555" s="48"/>
      <c r="I1555" s="49"/>
      <c r="J1555" s="24" t="str">
        <f>IF(OR($A1555="",$B1555=""),"",IF($I1555&lt;&gt;"",$I1555,IF($D1555=本位币,1,IFERROR(LOOKUP(2,1/((汇率月份&lt;=$A1555)*(INDEX(记账汇率区,0,MATCH($D1555,汇率币种头,0))&lt;&gt;"")),INDEX(记账汇率区,0,MATCH($D1555,汇率币种头,0))),""))))</f>
        <v/>
      </c>
      <c r="K1555" s="23" t="str">
        <f t="shared" si="48"/>
        <v/>
      </c>
      <c r="L1555" s="23" t="str">
        <f t="shared" si="49"/>
        <v/>
      </c>
      <c r="M1555" s="23" t="str">
        <f>IF($B1555="","",ROUND(SUMIF(账户名,$B1555,账户期初)+SUMIFS($K$6:K1555,$B$6:B1555,$B1555),2))</f>
        <v/>
      </c>
      <c r="N1555" s="23" t="str">
        <f>IF($B1555="","",IFERROR(ROUND(INDEX(账户期初本位,MATCH($B1555,账户名,0))+SUMIFS($L$6:L1555,$B$6:B1555,$B1555),2),""))</f>
        <v/>
      </c>
      <c r="O1555" s="46"/>
      <c r="P1555" s="47"/>
      <c r="Q1555" s="46"/>
      <c r="R1555" s="46"/>
      <c r="S1555" s="6" t="str">
        <f>IF($B1555="","",IF(ISNA(MATCH($B1555,账户名,0)),"※这个账户不在【参数设置】的账户档案里",IF($A1555="","※没填日期，这一笔不会进任何月份的报表",IF(AND($G1555&lt;&gt;"",$H1555&lt;&gt;""),"※收入和支出不能同时填",IF(AND(N($G1555)=0,N($H1555)=0),"※收入和支出都没填",IF($E1555="","※没填收支类别，分类报表会漏掉这一笔",IF(ISNA(MATCH($E1555,类别表,0)),"※收支类别不在【参数设置】的清单里",IF($J1555="","△"&amp;$D1555&amp;" 还没填汇率，去【月度汇率】补上就自动算了",IF(YEAR($A1555)&lt;&gt;管理年度,"△不是管理年度的单据，年报里看不到",IF(AND($F1555="内部转账",$Q1555=""),"△内部转账建议在「往来单位」写上对方账户",IF($M1555&lt;0,"△这一笔之后该账户余额成负数了，核一下","")))))))))))</f>
        <v/>
      </c>
    </row>
    <row r="1556" ht="16.5" spans="1:19">
      <c r="A1556" s="45"/>
      <c r="B1556" s="46"/>
      <c r="C1556" s="12" t="str">
        <f>IF($B1556="","",IFERROR(INDEX(账户银行,MATCH($B1556,账户名,0)),""))</f>
        <v/>
      </c>
      <c r="D1556" s="12" t="str">
        <f>IF($B1556="","",IFERROR(INDEX(账户币种,MATCH($B1556,账户名,0)),""))</f>
        <v/>
      </c>
      <c r="E1556" s="47"/>
      <c r="F1556" s="12" t="str">
        <f>IF($E1556="","",IFERROR(INDEX(类别属性,MATCH($E1556,类别表,0)),""))</f>
        <v/>
      </c>
      <c r="G1556" s="48"/>
      <c r="H1556" s="48"/>
      <c r="I1556" s="49"/>
      <c r="J1556" s="24" t="str">
        <f>IF(OR($A1556="",$B1556=""),"",IF($I1556&lt;&gt;"",$I1556,IF($D1556=本位币,1,IFERROR(LOOKUP(2,1/((汇率月份&lt;=$A1556)*(INDEX(记账汇率区,0,MATCH($D1556,汇率币种头,0))&lt;&gt;"")),INDEX(记账汇率区,0,MATCH($D1556,汇率币种头,0))),""))))</f>
        <v/>
      </c>
      <c r="K1556" s="23" t="str">
        <f t="shared" si="48"/>
        <v/>
      </c>
      <c r="L1556" s="23" t="str">
        <f t="shared" si="49"/>
        <v/>
      </c>
      <c r="M1556" s="23" t="str">
        <f>IF($B1556="","",ROUND(SUMIF(账户名,$B1556,账户期初)+SUMIFS($K$6:K1556,$B$6:B1556,$B1556),2))</f>
        <v/>
      </c>
      <c r="N1556" s="23" t="str">
        <f>IF($B1556="","",IFERROR(ROUND(INDEX(账户期初本位,MATCH($B1556,账户名,0))+SUMIFS($L$6:L1556,$B$6:B1556,$B1556),2),""))</f>
        <v/>
      </c>
      <c r="O1556" s="46"/>
      <c r="P1556" s="47"/>
      <c r="Q1556" s="46"/>
      <c r="R1556" s="46"/>
      <c r="S1556" s="6" t="str">
        <f>IF($B1556="","",IF(ISNA(MATCH($B1556,账户名,0)),"※这个账户不在【参数设置】的账户档案里",IF($A1556="","※没填日期，这一笔不会进任何月份的报表",IF(AND($G1556&lt;&gt;"",$H1556&lt;&gt;""),"※收入和支出不能同时填",IF(AND(N($G1556)=0,N($H1556)=0),"※收入和支出都没填",IF($E1556="","※没填收支类别，分类报表会漏掉这一笔",IF(ISNA(MATCH($E1556,类别表,0)),"※收支类别不在【参数设置】的清单里",IF($J1556="","△"&amp;$D1556&amp;" 还没填汇率，去【月度汇率】补上就自动算了",IF(YEAR($A1556)&lt;&gt;管理年度,"△不是管理年度的单据，年报里看不到",IF(AND($F1556="内部转账",$Q1556=""),"△内部转账建议在「往来单位」写上对方账户",IF($M1556&lt;0,"△这一笔之后该账户余额成负数了，核一下","")))))))))))</f>
        <v/>
      </c>
    </row>
    <row r="1557" ht="16.5" spans="1:19">
      <c r="A1557" s="45"/>
      <c r="B1557" s="46"/>
      <c r="C1557" s="12" t="str">
        <f>IF($B1557="","",IFERROR(INDEX(账户银行,MATCH($B1557,账户名,0)),""))</f>
        <v/>
      </c>
      <c r="D1557" s="12" t="str">
        <f>IF($B1557="","",IFERROR(INDEX(账户币种,MATCH($B1557,账户名,0)),""))</f>
        <v/>
      </c>
      <c r="E1557" s="47"/>
      <c r="F1557" s="12" t="str">
        <f>IF($E1557="","",IFERROR(INDEX(类别属性,MATCH($E1557,类别表,0)),""))</f>
        <v/>
      </c>
      <c r="G1557" s="48"/>
      <c r="H1557" s="48"/>
      <c r="I1557" s="49"/>
      <c r="J1557" s="24" t="str">
        <f>IF(OR($A1557="",$B1557=""),"",IF($I1557&lt;&gt;"",$I1557,IF($D1557=本位币,1,IFERROR(LOOKUP(2,1/((汇率月份&lt;=$A1557)*(INDEX(记账汇率区,0,MATCH($D1557,汇率币种头,0))&lt;&gt;"")),INDEX(记账汇率区,0,MATCH($D1557,汇率币种头,0))),""))))</f>
        <v/>
      </c>
      <c r="K1557" s="23" t="str">
        <f t="shared" si="48"/>
        <v/>
      </c>
      <c r="L1557" s="23" t="str">
        <f t="shared" si="49"/>
        <v/>
      </c>
      <c r="M1557" s="23" t="str">
        <f>IF($B1557="","",ROUND(SUMIF(账户名,$B1557,账户期初)+SUMIFS($K$6:K1557,$B$6:B1557,$B1557),2))</f>
        <v/>
      </c>
      <c r="N1557" s="23" t="str">
        <f>IF($B1557="","",IFERROR(ROUND(INDEX(账户期初本位,MATCH($B1557,账户名,0))+SUMIFS($L$6:L1557,$B$6:B1557,$B1557),2),""))</f>
        <v/>
      </c>
      <c r="O1557" s="46"/>
      <c r="P1557" s="47"/>
      <c r="Q1557" s="46"/>
      <c r="R1557" s="46"/>
      <c r="S1557" s="6" t="str">
        <f>IF($B1557="","",IF(ISNA(MATCH($B1557,账户名,0)),"※这个账户不在【参数设置】的账户档案里",IF($A1557="","※没填日期，这一笔不会进任何月份的报表",IF(AND($G1557&lt;&gt;"",$H1557&lt;&gt;""),"※收入和支出不能同时填",IF(AND(N($G1557)=0,N($H1557)=0),"※收入和支出都没填",IF($E1557="","※没填收支类别，分类报表会漏掉这一笔",IF(ISNA(MATCH($E1557,类别表,0)),"※收支类别不在【参数设置】的清单里",IF($J1557="","△"&amp;$D1557&amp;" 还没填汇率，去【月度汇率】补上就自动算了",IF(YEAR($A1557)&lt;&gt;管理年度,"△不是管理年度的单据，年报里看不到",IF(AND($F1557="内部转账",$Q1557=""),"△内部转账建议在「往来单位」写上对方账户",IF($M1557&lt;0,"△这一笔之后该账户余额成负数了，核一下","")))))))))))</f>
        <v/>
      </c>
    </row>
    <row r="1558" ht="16.5" spans="1:19">
      <c r="A1558" s="45"/>
      <c r="B1558" s="46"/>
      <c r="C1558" s="12" t="str">
        <f>IF($B1558="","",IFERROR(INDEX(账户银行,MATCH($B1558,账户名,0)),""))</f>
        <v/>
      </c>
      <c r="D1558" s="12" t="str">
        <f>IF($B1558="","",IFERROR(INDEX(账户币种,MATCH($B1558,账户名,0)),""))</f>
        <v/>
      </c>
      <c r="E1558" s="47"/>
      <c r="F1558" s="12" t="str">
        <f>IF($E1558="","",IFERROR(INDEX(类别属性,MATCH($E1558,类别表,0)),""))</f>
        <v/>
      </c>
      <c r="G1558" s="48"/>
      <c r="H1558" s="48"/>
      <c r="I1558" s="49"/>
      <c r="J1558" s="24" t="str">
        <f>IF(OR($A1558="",$B1558=""),"",IF($I1558&lt;&gt;"",$I1558,IF($D1558=本位币,1,IFERROR(LOOKUP(2,1/((汇率月份&lt;=$A1558)*(INDEX(记账汇率区,0,MATCH($D1558,汇率币种头,0))&lt;&gt;"")),INDEX(记账汇率区,0,MATCH($D1558,汇率币种头,0))),""))))</f>
        <v/>
      </c>
      <c r="K1558" s="23" t="str">
        <f t="shared" si="48"/>
        <v/>
      </c>
      <c r="L1558" s="23" t="str">
        <f t="shared" si="49"/>
        <v/>
      </c>
      <c r="M1558" s="23" t="str">
        <f>IF($B1558="","",ROUND(SUMIF(账户名,$B1558,账户期初)+SUMIFS($K$6:K1558,$B$6:B1558,$B1558),2))</f>
        <v/>
      </c>
      <c r="N1558" s="23" t="str">
        <f>IF($B1558="","",IFERROR(ROUND(INDEX(账户期初本位,MATCH($B1558,账户名,0))+SUMIFS($L$6:L1558,$B$6:B1558,$B1558),2),""))</f>
        <v/>
      </c>
      <c r="O1558" s="46"/>
      <c r="P1558" s="47"/>
      <c r="Q1558" s="46"/>
      <c r="R1558" s="46"/>
      <c r="S1558" s="6" t="str">
        <f>IF($B1558="","",IF(ISNA(MATCH($B1558,账户名,0)),"※这个账户不在【参数设置】的账户档案里",IF($A1558="","※没填日期，这一笔不会进任何月份的报表",IF(AND($G1558&lt;&gt;"",$H1558&lt;&gt;""),"※收入和支出不能同时填",IF(AND(N($G1558)=0,N($H1558)=0),"※收入和支出都没填",IF($E1558="","※没填收支类别，分类报表会漏掉这一笔",IF(ISNA(MATCH($E1558,类别表,0)),"※收支类别不在【参数设置】的清单里",IF($J1558="","△"&amp;$D1558&amp;" 还没填汇率，去【月度汇率】补上就自动算了",IF(YEAR($A1558)&lt;&gt;管理年度,"△不是管理年度的单据，年报里看不到",IF(AND($F1558="内部转账",$Q1558=""),"△内部转账建议在「往来单位」写上对方账户",IF($M1558&lt;0,"△这一笔之后该账户余额成负数了，核一下","")))))))))))</f>
        <v/>
      </c>
    </row>
    <row r="1559" ht="16.5" spans="1:19">
      <c r="A1559" s="45"/>
      <c r="B1559" s="46"/>
      <c r="C1559" s="12" t="str">
        <f>IF($B1559="","",IFERROR(INDEX(账户银行,MATCH($B1559,账户名,0)),""))</f>
        <v/>
      </c>
      <c r="D1559" s="12" t="str">
        <f>IF($B1559="","",IFERROR(INDEX(账户币种,MATCH($B1559,账户名,0)),""))</f>
        <v/>
      </c>
      <c r="E1559" s="47"/>
      <c r="F1559" s="12" t="str">
        <f>IF($E1559="","",IFERROR(INDEX(类别属性,MATCH($E1559,类别表,0)),""))</f>
        <v/>
      </c>
      <c r="G1559" s="48"/>
      <c r="H1559" s="48"/>
      <c r="I1559" s="49"/>
      <c r="J1559" s="24" t="str">
        <f>IF(OR($A1559="",$B1559=""),"",IF($I1559&lt;&gt;"",$I1559,IF($D1559=本位币,1,IFERROR(LOOKUP(2,1/((汇率月份&lt;=$A1559)*(INDEX(记账汇率区,0,MATCH($D1559,汇率币种头,0))&lt;&gt;"")),INDEX(记账汇率区,0,MATCH($D1559,汇率币种头,0))),""))))</f>
        <v/>
      </c>
      <c r="K1559" s="23" t="str">
        <f t="shared" si="48"/>
        <v/>
      </c>
      <c r="L1559" s="23" t="str">
        <f t="shared" si="49"/>
        <v/>
      </c>
      <c r="M1559" s="23" t="str">
        <f>IF($B1559="","",ROUND(SUMIF(账户名,$B1559,账户期初)+SUMIFS($K$6:K1559,$B$6:B1559,$B1559),2))</f>
        <v/>
      </c>
      <c r="N1559" s="23" t="str">
        <f>IF($B1559="","",IFERROR(ROUND(INDEX(账户期初本位,MATCH($B1559,账户名,0))+SUMIFS($L$6:L1559,$B$6:B1559,$B1559),2),""))</f>
        <v/>
      </c>
      <c r="O1559" s="46"/>
      <c r="P1559" s="47"/>
      <c r="Q1559" s="46"/>
      <c r="R1559" s="46"/>
      <c r="S1559" s="6" t="str">
        <f>IF($B1559="","",IF(ISNA(MATCH($B1559,账户名,0)),"※这个账户不在【参数设置】的账户档案里",IF($A1559="","※没填日期，这一笔不会进任何月份的报表",IF(AND($G1559&lt;&gt;"",$H1559&lt;&gt;""),"※收入和支出不能同时填",IF(AND(N($G1559)=0,N($H1559)=0),"※收入和支出都没填",IF($E1559="","※没填收支类别，分类报表会漏掉这一笔",IF(ISNA(MATCH($E1559,类别表,0)),"※收支类别不在【参数设置】的清单里",IF($J1559="","△"&amp;$D1559&amp;" 还没填汇率，去【月度汇率】补上就自动算了",IF(YEAR($A1559)&lt;&gt;管理年度,"△不是管理年度的单据，年报里看不到",IF(AND($F1559="内部转账",$Q1559=""),"△内部转账建议在「往来单位」写上对方账户",IF($M1559&lt;0,"△这一笔之后该账户余额成负数了，核一下","")))))))))))</f>
        <v/>
      </c>
    </row>
    <row r="1560" ht="16.5" spans="1:19">
      <c r="A1560" s="45"/>
      <c r="B1560" s="46"/>
      <c r="C1560" s="12" t="str">
        <f>IF($B1560="","",IFERROR(INDEX(账户银行,MATCH($B1560,账户名,0)),""))</f>
        <v/>
      </c>
      <c r="D1560" s="12" t="str">
        <f>IF($B1560="","",IFERROR(INDEX(账户币种,MATCH($B1560,账户名,0)),""))</f>
        <v/>
      </c>
      <c r="E1560" s="47"/>
      <c r="F1560" s="12" t="str">
        <f>IF($E1560="","",IFERROR(INDEX(类别属性,MATCH($E1560,类别表,0)),""))</f>
        <v/>
      </c>
      <c r="G1560" s="48"/>
      <c r="H1560" s="48"/>
      <c r="I1560" s="49"/>
      <c r="J1560" s="24" t="str">
        <f>IF(OR($A1560="",$B1560=""),"",IF($I1560&lt;&gt;"",$I1560,IF($D1560=本位币,1,IFERROR(LOOKUP(2,1/((汇率月份&lt;=$A1560)*(INDEX(记账汇率区,0,MATCH($D1560,汇率币种头,0))&lt;&gt;"")),INDEX(记账汇率区,0,MATCH($D1560,汇率币种头,0))),""))))</f>
        <v/>
      </c>
      <c r="K1560" s="23" t="str">
        <f t="shared" si="48"/>
        <v/>
      </c>
      <c r="L1560" s="23" t="str">
        <f t="shared" si="49"/>
        <v/>
      </c>
      <c r="M1560" s="23" t="str">
        <f>IF($B1560="","",ROUND(SUMIF(账户名,$B1560,账户期初)+SUMIFS($K$6:K1560,$B$6:B1560,$B1560),2))</f>
        <v/>
      </c>
      <c r="N1560" s="23" t="str">
        <f>IF($B1560="","",IFERROR(ROUND(INDEX(账户期初本位,MATCH($B1560,账户名,0))+SUMIFS($L$6:L1560,$B$6:B1560,$B1560),2),""))</f>
        <v/>
      </c>
      <c r="O1560" s="46"/>
      <c r="P1560" s="47"/>
      <c r="Q1560" s="46"/>
      <c r="R1560" s="46"/>
      <c r="S1560" s="6" t="str">
        <f>IF($B1560="","",IF(ISNA(MATCH($B1560,账户名,0)),"※这个账户不在【参数设置】的账户档案里",IF($A1560="","※没填日期，这一笔不会进任何月份的报表",IF(AND($G1560&lt;&gt;"",$H1560&lt;&gt;""),"※收入和支出不能同时填",IF(AND(N($G1560)=0,N($H1560)=0),"※收入和支出都没填",IF($E1560="","※没填收支类别，分类报表会漏掉这一笔",IF(ISNA(MATCH($E1560,类别表,0)),"※收支类别不在【参数设置】的清单里",IF($J1560="","△"&amp;$D1560&amp;" 还没填汇率，去【月度汇率】补上就自动算了",IF(YEAR($A1560)&lt;&gt;管理年度,"△不是管理年度的单据，年报里看不到",IF(AND($F1560="内部转账",$Q1560=""),"△内部转账建议在「往来单位」写上对方账户",IF($M1560&lt;0,"△这一笔之后该账户余额成负数了，核一下","")))))))))))</f>
        <v/>
      </c>
    </row>
    <row r="1561" ht="16.5" spans="1:19">
      <c r="A1561" s="45"/>
      <c r="B1561" s="46"/>
      <c r="C1561" s="12" t="str">
        <f>IF($B1561="","",IFERROR(INDEX(账户银行,MATCH($B1561,账户名,0)),""))</f>
        <v/>
      </c>
      <c r="D1561" s="12" t="str">
        <f>IF($B1561="","",IFERROR(INDEX(账户币种,MATCH($B1561,账户名,0)),""))</f>
        <v/>
      </c>
      <c r="E1561" s="47"/>
      <c r="F1561" s="12" t="str">
        <f>IF($E1561="","",IFERROR(INDEX(类别属性,MATCH($E1561,类别表,0)),""))</f>
        <v/>
      </c>
      <c r="G1561" s="48"/>
      <c r="H1561" s="48"/>
      <c r="I1561" s="49"/>
      <c r="J1561" s="24" t="str">
        <f>IF(OR($A1561="",$B1561=""),"",IF($I1561&lt;&gt;"",$I1561,IF($D1561=本位币,1,IFERROR(LOOKUP(2,1/((汇率月份&lt;=$A1561)*(INDEX(记账汇率区,0,MATCH($D1561,汇率币种头,0))&lt;&gt;"")),INDEX(记账汇率区,0,MATCH($D1561,汇率币种头,0))),""))))</f>
        <v/>
      </c>
      <c r="K1561" s="23" t="str">
        <f t="shared" si="48"/>
        <v/>
      </c>
      <c r="L1561" s="23" t="str">
        <f t="shared" si="49"/>
        <v/>
      </c>
      <c r="M1561" s="23" t="str">
        <f>IF($B1561="","",ROUND(SUMIF(账户名,$B1561,账户期初)+SUMIFS($K$6:K1561,$B$6:B1561,$B1561),2))</f>
        <v/>
      </c>
      <c r="N1561" s="23" t="str">
        <f>IF($B1561="","",IFERROR(ROUND(INDEX(账户期初本位,MATCH($B1561,账户名,0))+SUMIFS($L$6:L1561,$B$6:B1561,$B1561),2),""))</f>
        <v/>
      </c>
      <c r="O1561" s="46"/>
      <c r="P1561" s="47"/>
      <c r="Q1561" s="46"/>
      <c r="R1561" s="46"/>
      <c r="S1561" s="6" t="str">
        <f>IF($B1561="","",IF(ISNA(MATCH($B1561,账户名,0)),"※这个账户不在【参数设置】的账户档案里",IF($A1561="","※没填日期，这一笔不会进任何月份的报表",IF(AND($G1561&lt;&gt;"",$H1561&lt;&gt;""),"※收入和支出不能同时填",IF(AND(N($G1561)=0,N($H1561)=0),"※收入和支出都没填",IF($E1561="","※没填收支类别，分类报表会漏掉这一笔",IF(ISNA(MATCH($E1561,类别表,0)),"※收支类别不在【参数设置】的清单里",IF($J1561="","△"&amp;$D1561&amp;" 还没填汇率，去【月度汇率】补上就自动算了",IF(YEAR($A1561)&lt;&gt;管理年度,"△不是管理年度的单据，年报里看不到",IF(AND($F1561="内部转账",$Q1561=""),"△内部转账建议在「往来单位」写上对方账户",IF($M1561&lt;0,"△这一笔之后该账户余额成负数了，核一下","")))))))))))</f>
        <v/>
      </c>
    </row>
    <row r="1562" ht="16.5" spans="1:19">
      <c r="A1562" s="45"/>
      <c r="B1562" s="46"/>
      <c r="C1562" s="12" t="str">
        <f>IF($B1562="","",IFERROR(INDEX(账户银行,MATCH($B1562,账户名,0)),""))</f>
        <v/>
      </c>
      <c r="D1562" s="12" t="str">
        <f>IF($B1562="","",IFERROR(INDEX(账户币种,MATCH($B1562,账户名,0)),""))</f>
        <v/>
      </c>
      <c r="E1562" s="47"/>
      <c r="F1562" s="12" t="str">
        <f>IF($E1562="","",IFERROR(INDEX(类别属性,MATCH($E1562,类别表,0)),""))</f>
        <v/>
      </c>
      <c r="G1562" s="48"/>
      <c r="H1562" s="48"/>
      <c r="I1562" s="49"/>
      <c r="J1562" s="24" t="str">
        <f>IF(OR($A1562="",$B1562=""),"",IF($I1562&lt;&gt;"",$I1562,IF($D1562=本位币,1,IFERROR(LOOKUP(2,1/((汇率月份&lt;=$A1562)*(INDEX(记账汇率区,0,MATCH($D1562,汇率币种头,0))&lt;&gt;"")),INDEX(记账汇率区,0,MATCH($D1562,汇率币种头,0))),""))))</f>
        <v/>
      </c>
      <c r="K1562" s="23" t="str">
        <f t="shared" si="48"/>
        <v/>
      </c>
      <c r="L1562" s="23" t="str">
        <f t="shared" si="49"/>
        <v/>
      </c>
      <c r="M1562" s="23" t="str">
        <f>IF($B1562="","",ROUND(SUMIF(账户名,$B1562,账户期初)+SUMIFS($K$6:K1562,$B$6:B1562,$B1562),2))</f>
        <v/>
      </c>
      <c r="N1562" s="23" t="str">
        <f>IF($B1562="","",IFERROR(ROUND(INDEX(账户期初本位,MATCH($B1562,账户名,0))+SUMIFS($L$6:L1562,$B$6:B1562,$B1562),2),""))</f>
        <v/>
      </c>
      <c r="O1562" s="46"/>
      <c r="P1562" s="47"/>
      <c r="Q1562" s="46"/>
      <c r="R1562" s="46"/>
      <c r="S1562" s="6" t="str">
        <f>IF($B1562="","",IF(ISNA(MATCH($B1562,账户名,0)),"※这个账户不在【参数设置】的账户档案里",IF($A1562="","※没填日期，这一笔不会进任何月份的报表",IF(AND($G1562&lt;&gt;"",$H1562&lt;&gt;""),"※收入和支出不能同时填",IF(AND(N($G1562)=0,N($H1562)=0),"※收入和支出都没填",IF($E1562="","※没填收支类别，分类报表会漏掉这一笔",IF(ISNA(MATCH($E1562,类别表,0)),"※收支类别不在【参数设置】的清单里",IF($J1562="","△"&amp;$D1562&amp;" 还没填汇率，去【月度汇率】补上就自动算了",IF(YEAR($A1562)&lt;&gt;管理年度,"△不是管理年度的单据，年报里看不到",IF(AND($F1562="内部转账",$Q1562=""),"△内部转账建议在「往来单位」写上对方账户",IF($M1562&lt;0,"△这一笔之后该账户余额成负数了，核一下","")))))))))))</f>
        <v/>
      </c>
    </row>
    <row r="1563" ht="16.5" spans="1:19">
      <c r="A1563" s="45"/>
      <c r="B1563" s="46"/>
      <c r="C1563" s="12" t="str">
        <f>IF($B1563="","",IFERROR(INDEX(账户银行,MATCH($B1563,账户名,0)),""))</f>
        <v/>
      </c>
      <c r="D1563" s="12" t="str">
        <f>IF($B1563="","",IFERROR(INDEX(账户币种,MATCH($B1563,账户名,0)),""))</f>
        <v/>
      </c>
      <c r="E1563" s="47"/>
      <c r="F1563" s="12" t="str">
        <f>IF($E1563="","",IFERROR(INDEX(类别属性,MATCH($E1563,类别表,0)),""))</f>
        <v/>
      </c>
      <c r="G1563" s="48"/>
      <c r="H1563" s="48"/>
      <c r="I1563" s="49"/>
      <c r="J1563" s="24" t="str">
        <f>IF(OR($A1563="",$B1563=""),"",IF($I1563&lt;&gt;"",$I1563,IF($D1563=本位币,1,IFERROR(LOOKUP(2,1/((汇率月份&lt;=$A1563)*(INDEX(记账汇率区,0,MATCH($D1563,汇率币种头,0))&lt;&gt;"")),INDEX(记账汇率区,0,MATCH($D1563,汇率币种头,0))),""))))</f>
        <v/>
      </c>
      <c r="K1563" s="23" t="str">
        <f t="shared" si="48"/>
        <v/>
      </c>
      <c r="L1563" s="23" t="str">
        <f t="shared" si="49"/>
        <v/>
      </c>
      <c r="M1563" s="23" t="str">
        <f>IF($B1563="","",ROUND(SUMIF(账户名,$B1563,账户期初)+SUMIFS($K$6:K1563,$B$6:B1563,$B1563),2))</f>
        <v/>
      </c>
      <c r="N1563" s="23" t="str">
        <f>IF($B1563="","",IFERROR(ROUND(INDEX(账户期初本位,MATCH($B1563,账户名,0))+SUMIFS($L$6:L1563,$B$6:B1563,$B1563),2),""))</f>
        <v/>
      </c>
      <c r="O1563" s="46"/>
      <c r="P1563" s="47"/>
      <c r="Q1563" s="46"/>
      <c r="R1563" s="46"/>
      <c r="S1563" s="6" t="str">
        <f>IF($B1563="","",IF(ISNA(MATCH($B1563,账户名,0)),"※这个账户不在【参数设置】的账户档案里",IF($A1563="","※没填日期，这一笔不会进任何月份的报表",IF(AND($G1563&lt;&gt;"",$H1563&lt;&gt;""),"※收入和支出不能同时填",IF(AND(N($G1563)=0,N($H1563)=0),"※收入和支出都没填",IF($E1563="","※没填收支类别，分类报表会漏掉这一笔",IF(ISNA(MATCH($E1563,类别表,0)),"※收支类别不在【参数设置】的清单里",IF($J1563="","△"&amp;$D1563&amp;" 还没填汇率，去【月度汇率】补上就自动算了",IF(YEAR($A1563)&lt;&gt;管理年度,"△不是管理年度的单据，年报里看不到",IF(AND($F1563="内部转账",$Q1563=""),"△内部转账建议在「往来单位」写上对方账户",IF($M1563&lt;0,"△这一笔之后该账户余额成负数了，核一下","")))))))))))</f>
        <v/>
      </c>
    </row>
    <row r="1564" ht="16.5" spans="1:19">
      <c r="A1564" s="45"/>
      <c r="B1564" s="46"/>
      <c r="C1564" s="12" t="str">
        <f>IF($B1564="","",IFERROR(INDEX(账户银行,MATCH($B1564,账户名,0)),""))</f>
        <v/>
      </c>
      <c r="D1564" s="12" t="str">
        <f>IF($B1564="","",IFERROR(INDEX(账户币种,MATCH($B1564,账户名,0)),""))</f>
        <v/>
      </c>
      <c r="E1564" s="47"/>
      <c r="F1564" s="12" t="str">
        <f>IF($E1564="","",IFERROR(INDEX(类别属性,MATCH($E1564,类别表,0)),""))</f>
        <v/>
      </c>
      <c r="G1564" s="48"/>
      <c r="H1564" s="48"/>
      <c r="I1564" s="49"/>
      <c r="J1564" s="24" t="str">
        <f>IF(OR($A1564="",$B1564=""),"",IF($I1564&lt;&gt;"",$I1564,IF($D1564=本位币,1,IFERROR(LOOKUP(2,1/((汇率月份&lt;=$A1564)*(INDEX(记账汇率区,0,MATCH($D1564,汇率币种头,0))&lt;&gt;"")),INDEX(记账汇率区,0,MATCH($D1564,汇率币种头,0))),""))))</f>
        <v/>
      </c>
      <c r="K1564" s="23" t="str">
        <f t="shared" si="48"/>
        <v/>
      </c>
      <c r="L1564" s="23" t="str">
        <f t="shared" si="49"/>
        <v/>
      </c>
      <c r="M1564" s="23" t="str">
        <f>IF($B1564="","",ROUND(SUMIF(账户名,$B1564,账户期初)+SUMIFS($K$6:K1564,$B$6:B1564,$B1564),2))</f>
        <v/>
      </c>
      <c r="N1564" s="23" t="str">
        <f>IF($B1564="","",IFERROR(ROUND(INDEX(账户期初本位,MATCH($B1564,账户名,0))+SUMIFS($L$6:L1564,$B$6:B1564,$B1564),2),""))</f>
        <v/>
      </c>
      <c r="O1564" s="46"/>
      <c r="P1564" s="47"/>
      <c r="Q1564" s="46"/>
      <c r="R1564" s="46"/>
      <c r="S1564" s="6" t="str">
        <f>IF($B1564="","",IF(ISNA(MATCH($B1564,账户名,0)),"※这个账户不在【参数设置】的账户档案里",IF($A1564="","※没填日期，这一笔不会进任何月份的报表",IF(AND($G1564&lt;&gt;"",$H1564&lt;&gt;""),"※收入和支出不能同时填",IF(AND(N($G1564)=0,N($H1564)=0),"※收入和支出都没填",IF($E1564="","※没填收支类别，分类报表会漏掉这一笔",IF(ISNA(MATCH($E1564,类别表,0)),"※收支类别不在【参数设置】的清单里",IF($J1564="","△"&amp;$D1564&amp;" 还没填汇率，去【月度汇率】补上就自动算了",IF(YEAR($A1564)&lt;&gt;管理年度,"△不是管理年度的单据，年报里看不到",IF(AND($F1564="内部转账",$Q1564=""),"△内部转账建议在「往来单位」写上对方账户",IF($M1564&lt;0,"△这一笔之后该账户余额成负数了，核一下","")))))))))))</f>
        <v/>
      </c>
    </row>
    <row r="1565" ht="16.5" spans="1:19">
      <c r="A1565" s="45"/>
      <c r="B1565" s="46"/>
      <c r="C1565" s="12" t="str">
        <f>IF($B1565="","",IFERROR(INDEX(账户银行,MATCH($B1565,账户名,0)),""))</f>
        <v/>
      </c>
      <c r="D1565" s="12" t="str">
        <f>IF($B1565="","",IFERROR(INDEX(账户币种,MATCH($B1565,账户名,0)),""))</f>
        <v/>
      </c>
      <c r="E1565" s="47"/>
      <c r="F1565" s="12" t="str">
        <f>IF($E1565="","",IFERROR(INDEX(类别属性,MATCH($E1565,类别表,0)),""))</f>
        <v/>
      </c>
      <c r="G1565" s="48"/>
      <c r="H1565" s="48"/>
      <c r="I1565" s="49"/>
      <c r="J1565" s="24" t="str">
        <f>IF(OR($A1565="",$B1565=""),"",IF($I1565&lt;&gt;"",$I1565,IF($D1565=本位币,1,IFERROR(LOOKUP(2,1/((汇率月份&lt;=$A1565)*(INDEX(记账汇率区,0,MATCH($D1565,汇率币种头,0))&lt;&gt;"")),INDEX(记账汇率区,0,MATCH($D1565,汇率币种头,0))),""))))</f>
        <v/>
      </c>
      <c r="K1565" s="23" t="str">
        <f t="shared" si="48"/>
        <v/>
      </c>
      <c r="L1565" s="23" t="str">
        <f t="shared" si="49"/>
        <v/>
      </c>
      <c r="M1565" s="23" t="str">
        <f>IF($B1565="","",ROUND(SUMIF(账户名,$B1565,账户期初)+SUMIFS($K$6:K1565,$B$6:B1565,$B1565),2))</f>
        <v/>
      </c>
      <c r="N1565" s="23" t="str">
        <f>IF($B1565="","",IFERROR(ROUND(INDEX(账户期初本位,MATCH($B1565,账户名,0))+SUMIFS($L$6:L1565,$B$6:B1565,$B1565),2),""))</f>
        <v/>
      </c>
      <c r="O1565" s="46"/>
      <c r="P1565" s="47"/>
      <c r="Q1565" s="46"/>
      <c r="R1565" s="46"/>
      <c r="S1565" s="6" t="str">
        <f>IF($B1565="","",IF(ISNA(MATCH($B1565,账户名,0)),"※这个账户不在【参数设置】的账户档案里",IF($A1565="","※没填日期，这一笔不会进任何月份的报表",IF(AND($G1565&lt;&gt;"",$H1565&lt;&gt;""),"※收入和支出不能同时填",IF(AND(N($G1565)=0,N($H1565)=0),"※收入和支出都没填",IF($E1565="","※没填收支类别，分类报表会漏掉这一笔",IF(ISNA(MATCH($E1565,类别表,0)),"※收支类别不在【参数设置】的清单里",IF($J1565="","△"&amp;$D1565&amp;" 还没填汇率，去【月度汇率】补上就自动算了",IF(YEAR($A1565)&lt;&gt;管理年度,"△不是管理年度的单据，年报里看不到",IF(AND($F1565="内部转账",$Q1565=""),"△内部转账建议在「往来单位」写上对方账户",IF($M1565&lt;0,"△这一笔之后该账户余额成负数了，核一下","")))))))))))</f>
        <v/>
      </c>
    </row>
    <row r="1566" ht="16.5" spans="1:19">
      <c r="A1566" s="45"/>
      <c r="B1566" s="46"/>
      <c r="C1566" s="12" t="str">
        <f>IF($B1566="","",IFERROR(INDEX(账户银行,MATCH($B1566,账户名,0)),""))</f>
        <v/>
      </c>
      <c r="D1566" s="12" t="str">
        <f>IF($B1566="","",IFERROR(INDEX(账户币种,MATCH($B1566,账户名,0)),""))</f>
        <v/>
      </c>
      <c r="E1566" s="47"/>
      <c r="F1566" s="12" t="str">
        <f>IF($E1566="","",IFERROR(INDEX(类别属性,MATCH($E1566,类别表,0)),""))</f>
        <v/>
      </c>
      <c r="G1566" s="48"/>
      <c r="H1566" s="48"/>
      <c r="I1566" s="49"/>
      <c r="J1566" s="24" t="str">
        <f>IF(OR($A1566="",$B1566=""),"",IF($I1566&lt;&gt;"",$I1566,IF($D1566=本位币,1,IFERROR(LOOKUP(2,1/((汇率月份&lt;=$A1566)*(INDEX(记账汇率区,0,MATCH($D1566,汇率币种头,0))&lt;&gt;"")),INDEX(记账汇率区,0,MATCH($D1566,汇率币种头,0))),""))))</f>
        <v/>
      </c>
      <c r="K1566" s="23" t="str">
        <f t="shared" si="48"/>
        <v/>
      </c>
      <c r="L1566" s="23" t="str">
        <f t="shared" si="49"/>
        <v/>
      </c>
      <c r="M1566" s="23" t="str">
        <f>IF($B1566="","",ROUND(SUMIF(账户名,$B1566,账户期初)+SUMIFS($K$6:K1566,$B$6:B1566,$B1566),2))</f>
        <v/>
      </c>
      <c r="N1566" s="23" t="str">
        <f>IF($B1566="","",IFERROR(ROUND(INDEX(账户期初本位,MATCH($B1566,账户名,0))+SUMIFS($L$6:L1566,$B$6:B1566,$B1566),2),""))</f>
        <v/>
      </c>
      <c r="O1566" s="46"/>
      <c r="P1566" s="47"/>
      <c r="Q1566" s="46"/>
      <c r="R1566" s="46"/>
      <c r="S1566" s="6" t="str">
        <f>IF($B1566="","",IF(ISNA(MATCH($B1566,账户名,0)),"※这个账户不在【参数设置】的账户档案里",IF($A1566="","※没填日期，这一笔不会进任何月份的报表",IF(AND($G1566&lt;&gt;"",$H1566&lt;&gt;""),"※收入和支出不能同时填",IF(AND(N($G1566)=0,N($H1566)=0),"※收入和支出都没填",IF($E1566="","※没填收支类别，分类报表会漏掉这一笔",IF(ISNA(MATCH($E1566,类别表,0)),"※收支类别不在【参数设置】的清单里",IF($J1566="","△"&amp;$D1566&amp;" 还没填汇率，去【月度汇率】补上就自动算了",IF(YEAR($A1566)&lt;&gt;管理年度,"△不是管理年度的单据，年报里看不到",IF(AND($F1566="内部转账",$Q1566=""),"△内部转账建议在「往来单位」写上对方账户",IF($M1566&lt;0,"△这一笔之后该账户余额成负数了，核一下","")))))))))))</f>
        <v/>
      </c>
    </row>
    <row r="1567" ht="16.5" spans="1:19">
      <c r="A1567" s="45"/>
      <c r="B1567" s="46"/>
      <c r="C1567" s="12" t="str">
        <f>IF($B1567="","",IFERROR(INDEX(账户银行,MATCH($B1567,账户名,0)),""))</f>
        <v/>
      </c>
      <c r="D1567" s="12" t="str">
        <f>IF($B1567="","",IFERROR(INDEX(账户币种,MATCH($B1567,账户名,0)),""))</f>
        <v/>
      </c>
      <c r="E1567" s="47"/>
      <c r="F1567" s="12" t="str">
        <f>IF($E1567="","",IFERROR(INDEX(类别属性,MATCH($E1567,类别表,0)),""))</f>
        <v/>
      </c>
      <c r="G1567" s="48"/>
      <c r="H1567" s="48"/>
      <c r="I1567" s="49"/>
      <c r="J1567" s="24" t="str">
        <f>IF(OR($A1567="",$B1567=""),"",IF($I1567&lt;&gt;"",$I1567,IF($D1567=本位币,1,IFERROR(LOOKUP(2,1/((汇率月份&lt;=$A1567)*(INDEX(记账汇率区,0,MATCH($D1567,汇率币种头,0))&lt;&gt;"")),INDEX(记账汇率区,0,MATCH($D1567,汇率币种头,0))),""))))</f>
        <v/>
      </c>
      <c r="K1567" s="23" t="str">
        <f t="shared" si="48"/>
        <v/>
      </c>
      <c r="L1567" s="23" t="str">
        <f t="shared" si="49"/>
        <v/>
      </c>
      <c r="M1567" s="23" t="str">
        <f>IF($B1567="","",ROUND(SUMIF(账户名,$B1567,账户期初)+SUMIFS($K$6:K1567,$B$6:B1567,$B1567),2))</f>
        <v/>
      </c>
      <c r="N1567" s="23" t="str">
        <f>IF($B1567="","",IFERROR(ROUND(INDEX(账户期初本位,MATCH($B1567,账户名,0))+SUMIFS($L$6:L1567,$B$6:B1567,$B1567),2),""))</f>
        <v/>
      </c>
      <c r="O1567" s="46"/>
      <c r="P1567" s="47"/>
      <c r="Q1567" s="46"/>
      <c r="R1567" s="46"/>
      <c r="S1567" s="6" t="str">
        <f>IF($B1567="","",IF(ISNA(MATCH($B1567,账户名,0)),"※这个账户不在【参数设置】的账户档案里",IF($A1567="","※没填日期，这一笔不会进任何月份的报表",IF(AND($G1567&lt;&gt;"",$H1567&lt;&gt;""),"※收入和支出不能同时填",IF(AND(N($G1567)=0,N($H1567)=0),"※收入和支出都没填",IF($E1567="","※没填收支类别，分类报表会漏掉这一笔",IF(ISNA(MATCH($E1567,类别表,0)),"※收支类别不在【参数设置】的清单里",IF($J1567="","△"&amp;$D1567&amp;" 还没填汇率，去【月度汇率】补上就自动算了",IF(YEAR($A1567)&lt;&gt;管理年度,"△不是管理年度的单据，年报里看不到",IF(AND($F1567="内部转账",$Q1567=""),"△内部转账建议在「往来单位」写上对方账户",IF($M1567&lt;0,"△这一笔之后该账户余额成负数了，核一下","")))))))))))</f>
        <v/>
      </c>
    </row>
    <row r="1568" ht="16.5" spans="1:19">
      <c r="A1568" s="45"/>
      <c r="B1568" s="46"/>
      <c r="C1568" s="12" t="str">
        <f>IF($B1568="","",IFERROR(INDEX(账户银行,MATCH($B1568,账户名,0)),""))</f>
        <v/>
      </c>
      <c r="D1568" s="12" t="str">
        <f>IF($B1568="","",IFERROR(INDEX(账户币种,MATCH($B1568,账户名,0)),""))</f>
        <v/>
      </c>
      <c r="E1568" s="47"/>
      <c r="F1568" s="12" t="str">
        <f>IF($E1568="","",IFERROR(INDEX(类别属性,MATCH($E1568,类别表,0)),""))</f>
        <v/>
      </c>
      <c r="G1568" s="48"/>
      <c r="H1568" s="48"/>
      <c r="I1568" s="49"/>
      <c r="J1568" s="24" t="str">
        <f>IF(OR($A1568="",$B1568=""),"",IF($I1568&lt;&gt;"",$I1568,IF($D1568=本位币,1,IFERROR(LOOKUP(2,1/((汇率月份&lt;=$A1568)*(INDEX(记账汇率区,0,MATCH($D1568,汇率币种头,0))&lt;&gt;"")),INDEX(记账汇率区,0,MATCH($D1568,汇率币种头,0))),""))))</f>
        <v/>
      </c>
      <c r="K1568" s="23" t="str">
        <f t="shared" si="48"/>
        <v/>
      </c>
      <c r="L1568" s="23" t="str">
        <f t="shared" si="49"/>
        <v/>
      </c>
      <c r="M1568" s="23" t="str">
        <f>IF($B1568="","",ROUND(SUMIF(账户名,$B1568,账户期初)+SUMIFS($K$6:K1568,$B$6:B1568,$B1568),2))</f>
        <v/>
      </c>
      <c r="N1568" s="23" t="str">
        <f>IF($B1568="","",IFERROR(ROUND(INDEX(账户期初本位,MATCH($B1568,账户名,0))+SUMIFS($L$6:L1568,$B$6:B1568,$B1568),2),""))</f>
        <v/>
      </c>
      <c r="O1568" s="46"/>
      <c r="P1568" s="47"/>
      <c r="Q1568" s="46"/>
      <c r="R1568" s="46"/>
      <c r="S1568" s="6" t="str">
        <f>IF($B1568="","",IF(ISNA(MATCH($B1568,账户名,0)),"※这个账户不在【参数设置】的账户档案里",IF($A1568="","※没填日期，这一笔不会进任何月份的报表",IF(AND($G1568&lt;&gt;"",$H1568&lt;&gt;""),"※收入和支出不能同时填",IF(AND(N($G1568)=0,N($H1568)=0),"※收入和支出都没填",IF($E1568="","※没填收支类别，分类报表会漏掉这一笔",IF(ISNA(MATCH($E1568,类别表,0)),"※收支类别不在【参数设置】的清单里",IF($J1568="","△"&amp;$D1568&amp;" 还没填汇率，去【月度汇率】补上就自动算了",IF(YEAR($A1568)&lt;&gt;管理年度,"△不是管理年度的单据，年报里看不到",IF(AND($F1568="内部转账",$Q1568=""),"△内部转账建议在「往来单位」写上对方账户",IF($M1568&lt;0,"△这一笔之后该账户余额成负数了，核一下","")))))))))))</f>
        <v/>
      </c>
    </row>
    <row r="1569" ht="16.5" spans="1:19">
      <c r="A1569" s="45"/>
      <c r="B1569" s="46"/>
      <c r="C1569" s="12" t="str">
        <f>IF($B1569="","",IFERROR(INDEX(账户银行,MATCH($B1569,账户名,0)),""))</f>
        <v/>
      </c>
      <c r="D1569" s="12" t="str">
        <f>IF($B1569="","",IFERROR(INDEX(账户币种,MATCH($B1569,账户名,0)),""))</f>
        <v/>
      </c>
      <c r="E1569" s="47"/>
      <c r="F1569" s="12" t="str">
        <f>IF($E1569="","",IFERROR(INDEX(类别属性,MATCH($E1569,类别表,0)),""))</f>
        <v/>
      </c>
      <c r="G1569" s="48"/>
      <c r="H1569" s="48"/>
      <c r="I1569" s="49"/>
      <c r="J1569" s="24" t="str">
        <f>IF(OR($A1569="",$B1569=""),"",IF($I1569&lt;&gt;"",$I1569,IF($D1569=本位币,1,IFERROR(LOOKUP(2,1/((汇率月份&lt;=$A1569)*(INDEX(记账汇率区,0,MATCH($D1569,汇率币种头,0))&lt;&gt;"")),INDEX(记账汇率区,0,MATCH($D1569,汇率币种头,0))),""))))</f>
        <v/>
      </c>
      <c r="K1569" s="23" t="str">
        <f t="shared" si="48"/>
        <v/>
      </c>
      <c r="L1569" s="23" t="str">
        <f t="shared" si="49"/>
        <v/>
      </c>
      <c r="M1569" s="23" t="str">
        <f>IF($B1569="","",ROUND(SUMIF(账户名,$B1569,账户期初)+SUMIFS($K$6:K1569,$B$6:B1569,$B1569),2))</f>
        <v/>
      </c>
      <c r="N1569" s="23" t="str">
        <f>IF($B1569="","",IFERROR(ROUND(INDEX(账户期初本位,MATCH($B1569,账户名,0))+SUMIFS($L$6:L1569,$B$6:B1569,$B1569),2),""))</f>
        <v/>
      </c>
      <c r="O1569" s="46"/>
      <c r="P1569" s="47"/>
      <c r="Q1569" s="46"/>
      <c r="R1569" s="46"/>
      <c r="S1569" s="6" t="str">
        <f>IF($B1569="","",IF(ISNA(MATCH($B1569,账户名,0)),"※这个账户不在【参数设置】的账户档案里",IF($A1569="","※没填日期，这一笔不会进任何月份的报表",IF(AND($G1569&lt;&gt;"",$H1569&lt;&gt;""),"※收入和支出不能同时填",IF(AND(N($G1569)=0,N($H1569)=0),"※收入和支出都没填",IF($E1569="","※没填收支类别，分类报表会漏掉这一笔",IF(ISNA(MATCH($E1569,类别表,0)),"※收支类别不在【参数设置】的清单里",IF($J1569="","△"&amp;$D1569&amp;" 还没填汇率，去【月度汇率】补上就自动算了",IF(YEAR($A1569)&lt;&gt;管理年度,"△不是管理年度的单据，年报里看不到",IF(AND($F1569="内部转账",$Q1569=""),"△内部转账建议在「往来单位」写上对方账户",IF($M1569&lt;0,"△这一笔之后该账户余额成负数了，核一下","")))))))))))</f>
        <v/>
      </c>
    </row>
    <row r="1570" ht="16.5" spans="1:19">
      <c r="A1570" s="45"/>
      <c r="B1570" s="46"/>
      <c r="C1570" s="12" t="str">
        <f>IF($B1570="","",IFERROR(INDEX(账户银行,MATCH($B1570,账户名,0)),""))</f>
        <v/>
      </c>
      <c r="D1570" s="12" t="str">
        <f>IF($B1570="","",IFERROR(INDEX(账户币种,MATCH($B1570,账户名,0)),""))</f>
        <v/>
      </c>
      <c r="E1570" s="47"/>
      <c r="F1570" s="12" t="str">
        <f>IF($E1570="","",IFERROR(INDEX(类别属性,MATCH($E1570,类别表,0)),""))</f>
        <v/>
      </c>
      <c r="G1570" s="48"/>
      <c r="H1570" s="48"/>
      <c r="I1570" s="49"/>
      <c r="J1570" s="24" t="str">
        <f>IF(OR($A1570="",$B1570=""),"",IF($I1570&lt;&gt;"",$I1570,IF($D1570=本位币,1,IFERROR(LOOKUP(2,1/((汇率月份&lt;=$A1570)*(INDEX(记账汇率区,0,MATCH($D1570,汇率币种头,0))&lt;&gt;"")),INDEX(记账汇率区,0,MATCH($D1570,汇率币种头,0))),""))))</f>
        <v/>
      </c>
      <c r="K1570" s="23" t="str">
        <f t="shared" si="48"/>
        <v/>
      </c>
      <c r="L1570" s="23" t="str">
        <f t="shared" si="49"/>
        <v/>
      </c>
      <c r="M1570" s="23" t="str">
        <f>IF($B1570="","",ROUND(SUMIF(账户名,$B1570,账户期初)+SUMIFS($K$6:K1570,$B$6:B1570,$B1570),2))</f>
        <v/>
      </c>
      <c r="N1570" s="23" t="str">
        <f>IF($B1570="","",IFERROR(ROUND(INDEX(账户期初本位,MATCH($B1570,账户名,0))+SUMIFS($L$6:L1570,$B$6:B1570,$B1570),2),""))</f>
        <v/>
      </c>
      <c r="O1570" s="46"/>
      <c r="P1570" s="47"/>
      <c r="Q1570" s="46"/>
      <c r="R1570" s="46"/>
      <c r="S1570" s="6" t="str">
        <f>IF($B1570="","",IF(ISNA(MATCH($B1570,账户名,0)),"※这个账户不在【参数设置】的账户档案里",IF($A1570="","※没填日期，这一笔不会进任何月份的报表",IF(AND($G1570&lt;&gt;"",$H1570&lt;&gt;""),"※收入和支出不能同时填",IF(AND(N($G1570)=0,N($H1570)=0),"※收入和支出都没填",IF($E1570="","※没填收支类别，分类报表会漏掉这一笔",IF(ISNA(MATCH($E1570,类别表,0)),"※收支类别不在【参数设置】的清单里",IF($J1570="","△"&amp;$D1570&amp;" 还没填汇率，去【月度汇率】补上就自动算了",IF(YEAR($A1570)&lt;&gt;管理年度,"△不是管理年度的单据，年报里看不到",IF(AND($F1570="内部转账",$Q1570=""),"△内部转账建议在「往来单位」写上对方账户",IF($M1570&lt;0,"△这一笔之后该账户余额成负数了，核一下","")))))))))))</f>
        <v/>
      </c>
    </row>
    <row r="1571" ht="16.5" spans="1:19">
      <c r="A1571" s="45"/>
      <c r="B1571" s="46"/>
      <c r="C1571" s="12" t="str">
        <f>IF($B1571="","",IFERROR(INDEX(账户银行,MATCH($B1571,账户名,0)),""))</f>
        <v/>
      </c>
      <c r="D1571" s="12" t="str">
        <f>IF($B1571="","",IFERROR(INDEX(账户币种,MATCH($B1571,账户名,0)),""))</f>
        <v/>
      </c>
      <c r="E1571" s="47"/>
      <c r="F1571" s="12" t="str">
        <f>IF($E1571="","",IFERROR(INDEX(类别属性,MATCH($E1571,类别表,0)),""))</f>
        <v/>
      </c>
      <c r="G1571" s="48"/>
      <c r="H1571" s="48"/>
      <c r="I1571" s="49"/>
      <c r="J1571" s="24" t="str">
        <f>IF(OR($A1571="",$B1571=""),"",IF($I1571&lt;&gt;"",$I1571,IF($D1571=本位币,1,IFERROR(LOOKUP(2,1/((汇率月份&lt;=$A1571)*(INDEX(记账汇率区,0,MATCH($D1571,汇率币种头,0))&lt;&gt;"")),INDEX(记账汇率区,0,MATCH($D1571,汇率币种头,0))),""))))</f>
        <v/>
      </c>
      <c r="K1571" s="23" t="str">
        <f t="shared" si="48"/>
        <v/>
      </c>
      <c r="L1571" s="23" t="str">
        <f t="shared" si="49"/>
        <v/>
      </c>
      <c r="M1571" s="23" t="str">
        <f>IF($B1571="","",ROUND(SUMIF(账户名,$B1571,账户期初)+SUMIFS($K$6:K1571,$B$6:B1571,$B1571),2))</f>
        <v/>
      </c>
      <c r="N1571" s="23" t="str">
        <f>IF($B1571="","",IFERROR(ROUND(INDEX(账户期初本位,MATCH($B1571,账户名,0))+SUMIFS($L$6:L1571,$B$6:B1571,$B1571),2),""))</f>
        <v/>
      </c>
      <c r="O1571" s="46"/>
      <c r="P1571" s="47"/>
      <c r="Q1571" s="46"/>
      <c r="R1571" s="46"/>
      <c r="S1571" s="6" t="str">
        <f>IF($B1571="","",IF(ISNA(MATCH($B1571,账户名,0)),"※这个账户不在【参数设置】的账户档案里",IF($A1571="","※没填日期，这一笔不会进任何月份的报表",IF(AND($G1571&lt;&gt;"",$H1571&lt;&gt;""),"※收入和支出不能同时填",IF(AND(N($G1571)=0,N($H1571)=0),"※收入和支出都没填",IF($E1571="","※没填收支类别，分类报表会漏掉这一笔",IF(ISNA(MATCH($E1571,类别表,0)),"※收支类别不在【参数设置】的清单里",IF($J1571="","△"&amp;$D1571&amp;" 还没填汇率，去【月度汇率】补上就自动算了",IF(YEAR($A1571)&lt;&gt;管理年度,"△不是管理年度的单据，年报里看不到",IF(AND($F1571="内部转账",$Q1571=""),"△内部转账建议在「往来单位」写上对方账户",IF($M1571&lt;0,"△这一笔之后该账户余额成负数了，核一下","")))))))))))</f>
        <v/>
      </c>
    </row>
    <row r="1572" ht="16.5" spans="1:19">
      <c r="A1572" s="45"/>
      <c r="B1572" s="46"/>
      <c r="C1572" s="12" t="str">
        <f>IF($B1572="","",IFERROR(INDEX(账户银行,MATCH($B1572,账户名,0)),""))</f>
        <v/>
      </c>
      <c r="D1572" s="12" t="str">
        <f>IF($B1572="","",IFERROR(INDEX(账户币种,MATCH($B1572,账户名,0)),""))</f>
        <v/>
      </c>
      <c r="E1572" s="47"/>
      <c r="F1572" s="12" t="str">
        <f>IF($E1572="","",IFERROR(INDEX(类别属性,MATCH($E1572,类别表,0)),""))</f>
        <v/>
      </c>
      <c r="G1572" s="48"/>
      <c r="H1572" s="48"/>
      <c r="I1572" s="49"/>
      <c r="J1572" s="24" t="str">
        <f>IF(OR($A1572="",$B1572=""),"",IF($I1572&lt;&gt;"",$I1572,IF($D1572=本位币,1,IFERROR(LOOKUP(2,1/((汇率月份&lt;=$A1572)*(INDEX(记账汇率区,0,MATCH($D1572,汇率币种头,0))&lt;&gt;"")),INDEX(记账汇率区,0,MATCH($D1572,汇率币种头,0))),""))))</f>
        <v/>
      </c>
      <c r="K1572" s="23" t="str">
        <f t="shared" si="48"/>
        <v/>
      </c>
      <c r="L1572" s="23" t="str">
        <f t="shared" si="49"/>
        <v/>
      </c>
      <c r="M1572" s="23" t="str">
        <f>IF($B1572="","",ROUND(SUMIF(账户名,$B1572,账户期初)+SUMIFS($K$6:K1572,$B$6:B1572,$B1572),2))</f>
        <v/>
      </c>
      <c r="N1572" s="23" t="str">
        <f>IF($B1572="","",IFERROR(ROUND(INDEX(账户期初本位,MATCH($B1572,账户名,0))+SUMIFS($L$6:L1572,$B$6:B1572,$B1572),2),""))</f>
        <v/>
      </c>
      <c r="O1572" s="46"/>
      <c r="P1572" s="47"/>
      <c r="Q1572" s="46"/>
      <c r="R1572" s="46"/>
      <c r="S1572" s="6" t="str">
        <f>IF($B1572="","",IF(ISNA(MATCH($B1572,账户名,0)),"※这个账户不在【参数设置】的账户档案里",IF($A1572="","※没填日期，这一笔不会进任何月份的报表",IF(AND($G1572&lt;&gt;"",$H1572&lt;&gt;""),"※收入和支出不能同时填",IF(AND(N($G1572)=0,N($H1572)=0),"※收入和支出都没填",IF($E1572="","※没填收支类别，分类报表会漏掉这一笔",IF(ISNA(MATCH($E1572,类别表,0)),"※收支类别不在【参数设置】的清单里",IF($J1572="","△"&amp;$D1572&amp;" 还没填汇率，去【月度汇率】补上就自动算了",IF(YEAR($A1572)&lt;&gt;管理年度,"△不是管理年度的单据，年报里看不到",IF(AND($F1572="内部转账",$Q1572=""),"△内部转账建议在「往来单位」写上对方账户",IF($M1572&lt;0,"△这一笔之后该账户余额成负数了，核一下","")))))))))))</f>
        <v/>
      </c>
    </row>
    <row r="1573" ht="16.5" spans="1:19">
      <c r="A1573" s="45"/>
      <c r="B1573" s="46"/>
      <c r="C1573" s="12" t="str">
        <f>IF($B1573="","",IFERROR(INDEX(账户银行,MATCH($B1573,账户名,0)),""))</f>
        <v/>
      </c>
      <c r="D1573" s="12" t="str">
        <f>IF($B1573="","",IFERROR(INDEX(账户币种,MATCH($B1573,账户名,0)),""))</f>
        <v/>
      </c>
      <c r="E1573" s="47"/>
      <c r="F1573" s="12" t="str">
        <f>IF($E1573="","",IFERROR(INDEX(类别属性,MATCH($E1573,类别表,0)),""))</f>
        <v/>
      </c>
      <c r="G1573" s="48"/>
      <c r="H1573" s="48"/>
      <c r="I1573" s="49"/>
      <c r="J1573" s="24" t="str">
        <f>IF(OR($A1573="",$B1573=""),"",IF($I1573&lt;&gt;"",$I1573,IF($D1573=本位币,1,IFERROR(LOOKUP(2,1/((汇率月份&lt;=$A1573)*(INDEX(记账汇率区,0,MATCH($D1573,汇率币种头,0))&lt;&gt;"")),INDEX(记账汇率区,0,MATCH($D1573,汇率币种头,0))),""))))</f>
        <v/>
      </c>
      <c r="K1573" s="23" t="str">
        <f t="shared" si="48"/>
        <v/>
      </c>
      <c r="L1573" s="23" t="str">
        <f t="shared" si="49"/>
        <v/>
      </c>
      <c r="M1573" s="23" t="str">
        <f>IF($B1573="","",ROUND(SUMIF(账户名,$B1573,账户期初)+SUMIFS($K$6:K1573,$B$6:B1573,$B1573),2))</f>
        <v/>
      </c>
      <c r="N1573" s="23" t="str">
        <f>IF($B1573="","",IFERROR(ROUND(INDEX(账户期初本位,MATCH($B1573,账户名,0))+SUMIFS($L$6:L1573,$B$6:B1573,$B1573),2),""))</f>
        <v/>
      </c>
      <c r="O1573" s="46"/>
      <c r="P1573" s="47"/>
      <c r="Q1573" s="46"/>
      <c r="R1573" s="46"/>
      <c r="S1573" s="6" t="str">
        <f>IF($B1573="","",IF(ISNA(MATCH($B1573,账户名,0)),"※这个账户不在【参数设置】的账户档案里",IF($A1573="","※没填日期，这一笔不会进任何月份的报表",IF(AND($G1573&lt;&gt;"",$H1573&lt;&gt;""),"※收入和支出不能同时填",IF(AND(N($G1573)=0,N($H1573)=0),"※收入和支出都没填",IF($E1573="","※没填收支类别，分类报表会漏掉这一笔",IF(ISNA(MATCH($E1573,类别表,0)),"※收支类别不在【参数设置】的清单里",IF($J1573="","△"&amp;$D1573&amp;" 还没填汇率，去【月度汇率】补上就自动算了",IF(YEAR($A1573)&lt;&gt;管理年度,"△不是管理年度的单据，年报里看不到",IF(AND($F1573="内部转账",$Q1573=""),"△内部转账建议在「往来单位」写上对方账户",IF($M1573&lt;0,"△这一笔之后该账户余额成负数了，核一下","")))))))))))</f>
        <v/>
      </c>
    </row>
    <row r="1574" ht="16.5" spans="1:19">
      <c r="A1574" s="45"/>
      <c r="B1574" s="46"/>
      <c r="C1574" s="12" t="str">
        <f>IF($B1574="","",IFERROR(INDEX(账户银行,MATCH($B1574,账户名,0)),""))</f>
        <v/>
      </c>
      <c r="D1574" s="12" t="str">
        <f>IF($B1574="","",IFERROR(INDEX(账户币种,MATCH($B1574,账户名,0)),""))</f>
        <v/>
      </c>
      <c r="E1574" s="47"/>
      <c r="F1574" s="12" t="str">
        <f>IF($E1574="","",IFERROR(INDEX(类别属性,MATCH($E1574,类别表,0)),""))</f>
        <v/>
      </c>
      <c r="G1574" s="48"/>
      <c r="H1574" s="48"/>
      <c r="I1574" s="49"/>
      <c r="J1574" s="24" t="str">
        <f>IF(OR($A1574="",$B1574=""),"",IF($I1574&lt;&gt;"",$I1574,IF($D1574=本位币,1,IFERROR(LOOKUP(2,1/((汇率月份&lt;=$A1574)*(INDEX(记账汇率区,0,MATCH($D1574,汇率币种头,0))&lt;&gt;"")),INDEX(记账汇率区,0,MATCH($D1574,汇率币种头,0))),""))))</f>
        <v/>
      </c>
      <c r="K1574" s="23" t="str">
        <f t="shared" si="48"/>
        <v/>
      </c>
      <c r="L1574" s="23" t="str">
        <f t="shared" si="49"/>
        <v/>
      </c>
      <c r="M1574" s="23" t="str">
        <f>IF($B1574="","",ROUND(SUMIF(账户名,$B1574,账户期初)+SUMIFS($K$6:K1574,$B$6:B1574,$B1574),2))</f>
        <v/>
      </c>
      <c r="N1574" s="23" t="str">
        <f>IF($B1574="","",IFERROR(ROUND(INDEX(账户期初本位,MATCH($B1574,账户名,0))+SUMIFS($L$6:L1574,$B$6:B1574,$B1574),2),""))</f>
        <v/>
      </c>
      <c r="O1574" s="46"/>
      <c r="P1574" s="47"/>
      <c r="Q1574" s="46"/>
      <c r="R1574" s="46"/>
      <c r="S1574" s="6" t="str">
        <f>IF($B1574="","",IF(ISNA(MATCH($B1574,账户名,0)),"※这个账户不在【参数设置】的账户档案里",IF($A1574="","※没填日期，这一笔不会进任何月份的报表",IF(AND($G1574&lt;&gt;"",$H1574&lt;&gt;""),"※收入和支出不能同时填",IF(AND(N($G1574)=0,N($H1574)=0),"※收入和支出都没填",IF($E1574="","※没填收支类别，分类报表会漏掉这一笔",IF(ISNA(MATCH($E1574,类别表,0)),"※收支类别不在【参数设置】的清单里",IF($J1574="","△"&amp;$D1574&amp;" 还没填汇率，去【月度汇率】补上就自动算了",IF(YEAR($A1574)&lt;&gt;管理年度,"△不是管理年度的单据，年报里看不到",IF(AND($F1574="内部转账",$Q1574=""),"△内部转账建议在「往来单位」写上对方账户",IF($M1574&lt;0,"△这一笔之后该账户余额成负数了，核一下","")))))))))))</f>
        <v/>
      </c>
    </row>
    <row r="1575" ht="16.5" spans="1:19">
      <c r="A1575" s="45"/>
      <c r="B1575" s="46"/>
      <c r="C1575" s="12" t="str">
        <f>IF($B1575="","",IFERROR(INDEX(账户银行,MATCH($B1575,账户名,0)),""))</f>
        <v/>
      </c>
      <c r="D1575" s="12" t="str">
        <f>IF($B1575="","",IFERROR(INDEX(账户币种,MATCH($B1575,账户名,0)),""))</f>
        <v/>
      </c>
      <c r="E1575" s="47"/>
      <c r="F1575" s="12" t="str">
        <f>IF($E1575="","",IFERROR(INDEX(类别属性,MATCH($E1575,类别表,0)),""))</f>
        <v/>
      </c>
      <c r="G1575" s="48"/>
      <c r="H1575" s="48"/>
      <c r="I1575" s="49"/>
      <c r="J1575" s="24" t="str">
        <f>IF(OR($A1575="",$B1575=""),"",IF($I1575&lt;&gt;"",$I1575,IF($D1575=本位币,1,IFERROR(LOOKUP(2,1/((汇率月份&lt;=$A1575)*(INDEX(记账汇率区,0,MATCH($D1575,汇率币种头,0))&lt;&gt;"")),INDEX(记账汇率区,0,MATCH($D1575,汇率币种头,0))),""))))</f>
        <v/>
      </c>
      <c r="K1575" s="23" t="str">
        <f t="shared" si="48"/>
        <v/>
      </c>
      <c r="L1575" s="23" t="str">
        <f t="shared" si="49"/>
        <v/>
      </c>
      <c r="M1575" s="23" t="str">
        <f>IF($B1575="","",ROUND(SUMIF(账户名,$B1575,账户期初)+SUMIFS($K$6:K1575,$B$6:B1575,$B1575),2))</f>
        <v/>
      </c>
      <c r="N1575" s="23" t="str">
        <f>IF($B1575="","",IFERROR(ROUND(INDEX(账户期初本位,MATCH($B1575,账户名,0))+SUMIFS($L$6:L1575,$B$6:B1575,$B1575),2),""))</f>
        <v/>
      </c>
      <c r="O1575" s="46"/>
      <c r="P1575" s="47"/>
      <c r="Q1575" s="46"/>
      <c r="R1575" s="46"/>
      <c r="S1575" s="6" t="str">
        <f>IF($B1575="","",IF(ISNA(MATCH($B1575,账户名,0)),"※这个账户不在【参数设置】的账户档案里",IF($A1575="","※没填日期，这一笔不会进任何月份的报表",IF(AND($G1575&lt;&gt;"",$H1575&lt;&gt;""),"※收入和支出不能同时填",IF(AND(N($G1575)=0,N($H1575)=0),"※收入和支出都没填",IF($E1575="","※没填收支类别，分类报表会漏掉这一笔",IF(ISNA(MATCH($E1575,类别表,0)),"※收支类别不在【参数设置】的清单里",IF($J1575="","△"&amp;$D1575&amp;" 还没填汇率，去【月度汇率】补上就自动算了",IF(YEAR($A1575)&lt;&gt;管理年度,"△不是管理年度的单据，年报里看不到",IF(AND($F1575="内部转账",$Q1575=""),"△内部转账建议在「往来单位」写上对方账户",IF($M1575&lt;0,"△这一笔之后该账户余额成负数了，核一下","")))))))))))</f>
        <v/>
      </c>
    </row>
    <row r="1576" ht="16.5" spans="1:19">
      <c r="A1576" s="45"/>
      <c r="B1576" s="46"/>
      <c r="C1576" s="12" t="str">
        <f>IF($B1576="","",IFERROR(INDEX(账户银行,MATCH($B1576,账户名,0)),""))</f>
        <v/>
      </c>
      <c r="D1576" s="12" t="str">
        <f>IF($B1576="","",IFERROR(INDEX(账户币种,MATCH($B1576,账户名,0)),""))</f>
        <v/>
      </c>
      <c r="E1576" s="47"/>
      <c r="F1576" s="12" t="str">
        <f>IF($E1576="","",IFERROR(INDEX(类别属性,MATCH($E1576,类别表,0)),""))</f>
        <v/>
      </c>
      <c r="G1576" s="48"/>
      <c r="H1576" s="48"/>
      <c r="I1576" s="49"/>
      <c r="J1576" s="24" t="str">
        <f>IF(OR($A1576="",$B1576=""),"",IF($I1576&lt;&gt;"",$I1576,IF($D1576=本位币,1,IFERROR(LOOKUP(2,1/((汇率月份&lt;=$A1576)*(INDEX(记账汇率区,0,MATCH($D1576,汇率币种头,0))&lt;&gt;"")),INDEX(记账汇率区,0,MATCH($D1576,汇率币种头,0))),""))))</f>
        <v/>
      </c>
      <c r="K1576" s="23" t="str">
        <f t="shared" si="48"/>
        <v/>
      </c>
      <c r="L1576" s="23" t="str">
        <f t="shared" si="49"/>
        <v/>
      </c>
      <c r="M1576" s="23" t="str">
        <f>IF($B1576="","",ROUND(SUMIF(账户名,$B1576,账户期初)+SUMIFS($K$6:K1576,$B$6:B1576,$B1576),2))</f>
        <v/>
      </c>
      <c r="N1576" s="23" t="str">
        <f>IF($B1576="","",IFERROR(ROUND(INDEX(账户期初本位,MATCH($B1576,账户名,0))+SUMIFS($L$6:L1576,$B$6:B1576,$B1576),2),""))</f>
        <v/>
      </c>
      <c r="O1576" s="46"/>
      <c r="P1576" s="47"/>
      <c r="Q1576" s="46"/>
      <c r="R1576" s="46"/>
      <c r="S1576" s="6" t="str">
        <f>IF($B1576="","",IF(ISNA(MATCH($B1576,账户名,0)),"※这个账户不在【参数设置】的账户档案里",IF($A1576="","※没填日期，这一笔不会进任何月份的报表",IF(AND($G1576&lt;&gt;"",$H1576&lt;&gt;""),"※收入和支出不能同时填",IF(AND(N($G1576)=0,N($H1576)=0),"※收入和支出都没填",IF($E1576="","※没填收支类别，分类报表会漏掉这一笔",IF(ISNA(MATCH($E1576,类别表,0)),"※收支类别不在【参数设置】的清单里",IF($J1576="","△"&amp;$D1576&amp;" 还没填汇率，去【月度汇率】补上就自动算了",IF(YEAR($A1576)&lt;&gt;管理年度,"△不是管理年度的单据，年报里看不到",IF(AND($F1576="内部转账",$Q1576=""),"△内部转账建议在「往来单位」写上对方账户",IF($M1576&lt;0,"△这一笔之后该账户余额成负数了，核一下","")))))))))))</f>
        <v/>
      </c>
    </row>
    <row r="1577" ht="16.5" spans="1:19">
      <c r="A1577" s="45"/>
      <c r="B1577" s="46"/>
      <c r="C1577" s="12" t="str">
        <f>IF($B1577="","",IFERROR(INDEX(账户银行,MATCH($B1577,账户名,0)),""))</f>
        <v/>
      </c>
      <c r="D1577" s="12" t="str">
        <f>IF($B1577="","",IFERROR(INDEX(账户币种,MATCH($B1577,账户名,0)),""))</f>
        <v/>
      </c>
      <c r="E1577" s="47"/>
      <c r="F1577" s="12" t="str">
        <f>IF($E1577="","",IFERROR(INDEX(类别属性,MATCH($E1577,类别表,0)),""))</f>
        <v/>
      </c>
      <c r="G1577" s="48"/>
      <c r="H1577" s="48"/>
      <c r="I1577" s="49"/>
      <c r="J1577" s="24" t="str">
        <f>IF(OR($A1577="",$B1577=""),"",IF($I1577&lt;&gt;"",$I1577,IF($D1577=本位币,1,IFERROR(LOOKUP(2,1/((汇率月份&lt;=$A1577)*(INDEX(记账汇率区,0,MATCH($D1577,汇率币种头,0))&lt;&gt;"")),INDEX(记账汇率区,0,MATCH($D1577,汇率币种头,0))),""))))</f>
        <v/>
      </c>
      <c r="K1577" s="23" t="str">
        <f t="shared" si="48"/>
        <v/>
      </c>
      <c r="L1577" s="23" t="str">
        <f t="shared" si="49"/>
        <v/>
      </c>
      <c r="M1577" s="23" t="str">
        <f>IF($B1577="","",ROUND(SUMIF(账户名,$B1577,账户期初)+SUMIFS($K$6:K1577,$B$6:B1577,$B1577),2))</f>
        <v/>
      </c>
      <c r="N1577" s="23" t="str">
        <f>IF($B1577="","",IFERROR(ROUND(INDEX(账户期初本位,MATCH($B1577,账户名,0))+SUMIFS($L$6:L1577,$B$6:B1577,$B1577),2),""))</f>
        <v/>
      </c>
      <c r="O1577" s="46"/>
      <c r="P1577" s="47"/>
      <c r="Q1577" s="46"/>
      <c r="R1577" s="46"/>
      <c r="S1577" s="6" t="str">
        <f>IF($B1577="","",IF(ISNA(MATCH($B1577,账户名,0)),"※这个账户不在【参数设置】的账户档案里",IF($A1577="","※没填日期，这一笔不会进任何月份的报表",IF(AND($G1577&lt;&gt;"",$H1577&lt;&gt;""),"※收入和支出不能同时填",IF(AND(N($G1577)=0,N($H1577)=0),"※收入和支出都没填",IF($E1577="","※没填收支类别，分类报表会漏掉这一笔",IF(ISNA(MATCH($E1577,类别表,0)),"※收支类别不在【参数设置】的清单里",IF($J1577="","△"&amp;$D1577&amp;" 还没填汇率，去【月度汇率】补上就自动算了",IF(YEAR($A1577)&lt;&gt;管理年度,"△不是管理年度的单据，年报里看不到",IF(AND($F1577="内部转账",$Q1577=""),"△内部转账建议在「往来单位」写上对方账户",IF($M1577&lt;0,"△这一笔之后该账户余额成负数了，核一下","")))))))))))</f>
        <v/>
      </c>
    </row>
    <row r="1578" ht="16.5" spans="1:19">
      <c r="A1578" s="45"/>
      <c r="B1578" s="46"/>
      <c r="C1578" s="12" t="str">
        <f>IF($B1578="","",IFERROR(INDEX(账户银行,MATCH($B1578,账户名,0)),""))</f>
        <v/>
      </c>
      <c r="D1578" s="12" t="str">
        <f>IF($B1578="","",IFERROR(INDEX(账户币种,MATCH($B1578,账户名,0)),""))</f>
        <v/>
      </c>
      <c r="E1578" s="47"/>
      <c r="F1578" s="12" t="str">
        <f>IF($E1578="","",IFERROR(INDEX(类别属性,MATCH($E1578,类别表,0)),""))</f>
        <v/>
      </c>
      <c r="G1578" s="48"/>
      <c r="H1578" s="48"/>
      <c r="I1578" s="49"/>
      <c r="J1578" s="24" t="str">
        <f>IF(OR($A1578="",$B1578=""),"",IF($I1578&lt;&gt;"",$I1578,IF($D1578=本位币,1,IFERROR(LOOKUP(2,1/((汇率月份&lt;=$A1578)*(INDEX(记账汇率区,0,MATCH($D1578,汇率币种头,0))&lt;&gt;"")),INDEX(记账汇率区,0,MATCH($D1578,汇率币种头,0))),""))))</f>
        <v/>
      </c>
      <c r="K1578" s="23" t="str">
        <f t="shared" si="48"/>
        <v/>
      </c>
      <c r="L1578" s="23" t="str">
        <f t="shared" si="49"/>
        <v/>
      </c>
      <c r="M1578" s="23" t="str">
        <f>IF($B1578="","",ROUND(SUMIF(账户名,$B1578,账户期初)+SUMIFS($K$6:K1578,$B$6:B1578,$B1578),2))</f>
        <v/>
      </c>
      <c r="N1578" s="23" t="str">
        <f>IF($B1578="","",IFERROR(ROUND(INDEX(账户期初本位,MATCH($B1578,账户名,0))+SUMIFS($L$6:L1578,$B$6:B1578,$B1578),2),""))</f>
        <v/>
      </c>
      <c r="O1578" s="46"/>
      <c r="P1578" s="47"/>
      <c r="Q1578" s="46"/>
      <c r="R1578" s="46"/>
      <c r="S1578" s="6" t="str">
        <f>IF($B1578="","",IF(ISNA(MATCH($B1578,账户名,0)),"※这个账户不在【参数设置】的账户档案里",IF($A1578="","※没填日期，这一笔不会进任何月份的报表",IF(AND($G1578&lt;&gt;"",$H1578&lt;&gt;""),"※收入和支出不能同时填",IF(AND(N($G1578)=0,N($H1578)=0),"※收入和支出都没填",IF($E1578="","※没填收支类别，分类报表会漏掉这一笔",IF(ISNA(MATCH($E1578,类别表,0)),"※收支类别不在【参数设置】的清单里",IF($J1578="","△"&amp;$D1578&amp;" 还没填汇率，去【月度汇率】补上就自动算了",IF(YEAR($A1578)&lt;&gt;管理年度,"△不是管理年度的单据，年报里看不到",IF(AND($F1578="内部转账",$Q1578=""),"△内部转账建议在「往来单位」写上对方账户",IF($M1578&lt;0,"△这一笔之后该账户余额成负数了，核一下","")))))))))))</f>
        <v/>
      </c>
    </row>
    <row r="1579" ht="16.5" spans="1:19">
      <c r="A1579" s="45"/>
      <c r="B1579" s="46"/>
      <c r="C1579" s="12" t="str">
        <f>IF($B1579="","",IFERROR(INDEX(账户银行,MATCH($B1579,账户名,0)),""))</f>
        <v/>
      </c>
      <c r="D1579" s="12" t="str">
        <f>IF($B1579="","",IFERROR(INDEX(账户币种,MATCH($B1579,账户名,0)),""))</f>
        <v/>
      </c>
      <c r="E1579" s="47"/>
      <c r="F1579" s="12" t="str">
        <f>IF($E1579="","",IFERROR(INDEX(类别属性,MATCH($E1579,类别表,0)),""))</f>
        <v/>
      </c>
      <c r="G1579" s="48"/>
      <c r="H1579" s="48"/>
      <c r="I1579" s="49"/>
      <c r="J1579" s="24" t="str">
        <f>IF(OR($A1579="",$B1579=""),"",IF($I1579&lt;&gt;"",$I1579,IF($D1579=本位币,1,IFERROR(LOOKUP(2,1/((汇率月份&lt;=$A1579)*(INDEX(记账汇率区,0,MATCH($D1579,汇率币种头,0))&lt;&gt;"")),INDEX(记账汇率区,0,MATCH($D1579,汇率币种头,0))),""))))</f>
        <v/>
      </c>
      <c r="K1579" s="23" t="str">
        <f t="shared" si="48"/>
        <v/>
      </c>
      <c r="L1579" s="23" t="str">
        <f t="shared" si="49"/>
        <v/>
      </c>
      <c r="M1579" s="23" t="str">
        <f>IF($B1579="","",ROUND(SUMIF(账户名,$B1579,账户期初)+SUMIFS($K$6:K1579,$B$6:B1579,$B1579),2))</f>
        <v/>
      </c>
      <c r="N1579" s="23" t="str">
        <f>IF($B1579="","",IFERROR(ROUND(INDEX(账户期初本位,MATCH($B1579,账户名,0))+SUMIFS($L$6:L1579,$B$6:B1579,$B1579),2),""))</f>
        <v/>
      </c>
      <c r="O1579" s="46"/>
      <c r="P1579" s="47"/>
      <c r="Q1579" s="46"/>
      <c r="R1579" s="46"/>
      <c r="S1579" s="6" t="str">
        <f>IF($B1579="","",IF(ISNA(MATCH($B1579,账户名,0)),"※这个账户不在【参数设置】的账户档案里",IF($A1579="","※没填日期，这一笔不会进任何月份的报表",IF(AND($G1579&lt;&gt;"",$H1579&lt;&gt;""),"※收入和支出不能同时填",IF(AND(N($G1579)=0,N($H1579)=0),"※收入和支出都没填",IF($E1579="","※没填收支类别，分类报表会漏掉这一笔",IF(ISNA(MATCH($E1579,类别表,0)),"※收支类别不在【参数设置】的清单里",IF($J1579="","△"&amp;$D1579&amp;" 还没填汇率，去【月度汇率】补上就自动算了",IF(YEAR($A1579)&lt;&gt;管理年度,"△不是管理年度的单据，年报里看不到",IF(AND($F1579="内部转账",$Q1579=""),"△内部转账建议在「往来单位」写上对方账户",IF($M1579&lt;0,"△这一笔之后该账户余额成负数了，核一下","")))))))))))</f>
        <v/>
      </c>
    </row>
    <row r="1580" ht="16.5" spans="1:19">
      <c r="A1580" s="45"/>
      <c r="B1580" s="46"/>
      <c r="C1580" s="12" t="str">
        <f>IF($B1580="","",IFERROR(INDEX(账户银行,MATCH($B1580,账户名,0)),""))</f>
        <v/>
      </c>
      <c r="D1580" s="12" t="str">
        <f>IF($B1580="","",IFERROR(INDEX(账户币种,MATCH($B1580,账户名,0)),""))</f>
        <v/>
      </c>
      <c r="E1580" s="47"/>
      <c r="F1580" s="12" t="str">
        <f>IF($E1580="","",IFERROR(INDEX(类别属性,MATCH($E1580,类别表,0)),""))</f>
        <v/>
      </c>
      <c r="G1580" s="48"/>
      <c r="H1580" s="48"/>
      <c r="I1580" s="49"/>
      <c r="J1580" s="24" t="str">
        <f>IF(OR($A1580="",$B1580=""),"",IF($I1580&lt;&gt;"",$I1580,IF($D1580=本位币,1,IFERROR(LOOKUP(2,1/((汇率月份&lt;=$A1580)*(INDEX(记账汇率区,0,MATCH($D1580,汇率币种头,0))&lt;&gt;"")),INDEX(记账汇率区,0,MATCH($D1580,汇率币种头,0))),""))))</f>
        <v/>
      </c>
      <c r="K1580" s="23" t="str">
        <f t="shared" si="48"/>
        <v/>
      </c>
      <c r="L1580" s="23" t="str">
        <f t="shared" si="49"/>
        <v/>
      </c>
      <c r="M1580" s="23" t="str">
        <f>IF($B1580="","",ROUND(SUMIF(账户名,$B1580,账户期初)+SUMIFS($K$6:K1580,$B$6:B1580,$B1580),2))</f>
        <v/>
      </c>
      <c r="N1580" s="23" t="str">
        <f>IF($B1580="","",IFERROR(ROUND(INDEX(账户期初本位,MATCH($B1580,账户名,0))+SUMIFS($L$6:L1580,$B$6:B1580,$B1580),2),""))</f>
        <v/>
      </c>
      <c r="O1580" s="46"/>
      <c r="P1580" s="47"/>
      <c r="Q1580" s="46"/>
      <c r="R1580" s="46"/>
      <c r="S1580" s="6" t="str">
        <f>IF($B1580="","",IF(ISNA(MATCH($B1580,账户名,0)),"※这个账户不在【参数设置】的账户档案里",IF($A1580="","※没填日期，这一笔不会进任何月份的报表",IF(AND($G1580&lt;&gt;"",$H1580&lt;&gt;""),"※收入和支出不能同时填",IF(AND(N($G1580)=0,N($H1580)=0),"※收入和支出都没填",IF($E1580="","※没填收支类别，分类报表会漏掉这一笔",IF(ISNA(MATCH($E1580,类别表,0)),"※收支类别不在【参数设置】的清单里",IF($J1580="","△"&amp;$D1580&amp;" 还没填汇率，去【月度汇率】补上就自动算了",IF(YEAR($A1580)&lt;&gt;管理年度,"△不是管理年度的单据，年报里看不到",IF(AND($F1580="内部转账",$Q1580=""),"△内部转账建议在「往来单位」写上对方账户",IF($M1580&lt;0,"△这一笔之后该账户余额成负数了，核一下","")))))))))))</f>
        <v/>
      </c>
    </row>
    <row r="1581" ht="16.5" spans="1:19">
      <c r="A1581" s="45"/>
      <c r="B1581" s="46"/>
      <c r="C1581" s="12" t="str">
        <f>IF($B1581="","",IFERROR(INDEX(账户银行,MATCH($B1581,账户名,0)),""))</f>
        <v/>
      </c>
      <c r="D1581" s="12" t="str">
        <f>IF($B1581="","",IFERROR(INDEX(账户币种,MATCH($B1581,账户名,0)),""))</f>
        <v/>
      </c>
      <c r="E1581" s="47"/>
      <c r="F1581" s="12" t="str">
        <f>IF($E1581="","",IFERROR(INDEX(类别属性,MATCH($E1581,类别表,0)),""))</f>
        <v/>
      </c>
      <c r="G1581" s="48"/>
      <c r="H1581" s="48"/>
      <c r="I1581" s="49"/>
      <c r="J1581" s="24" t="str">
        <f>IF(OR($A1581="",$B1581=""),"",IF($I1581&lt;&gt;"",$I1581,IF($D1581=本位币,1,IFERROR(LOOKUP(2,1/((汇率月份&lt;=$A1581)*(INDEX(记账汇率区,0,MATCH($D1581,汇率币种头,0))&lt;&gt;"")),INDEX(记账汇率区,0,MATCH($D1581,汇率币种头,0))),""))))</f>
        <v/>
      </c>
      <c r="K1581" s="23" t="str">
        <f t="shared" si="48"/>
        <v/>
      </c>
      <c r="L1581" s="23" t="str">
        <f t="shared" si="49"/>
        <v/>
      </c>
      <c r="M1581" s="23" t="str">
        <f>IF($B1581="","",ROUND(SUMIF(账户名,$B1581,账户期初)+SUMIFS($K$6:K1581,$B$6:B1581,$B1581),2))</f>
        <v/>
      </c>
      <c r="N1581" s="23" t="str">
        <f>IF($B1581="","",IFERROR(ROUND(INDEX(账户期初本位,MATCH($B1581,账户名,0))+SUMIFS($L$6:L1581,$B$6:B1581,$B1581),2),""))</f>
        <v/>
      </c>
      <c r="O1581" s="46"/>
      <c r="P1581" s="47"/>
      <c r="Q1581" s="46"/>
      <c r="R1581" s="46"/>
      <c r="S1581" s="6" t="str">
        <f>IF($B1581="","",IF(ISNA(MATCH($B1581,账户名,0)),"※这个账户不在【参数设置】的账户档案里",IF($A1581="","※没填日期，这一笔不会进任何月份的报表",IF(AND($G1581&lt;&gt;"",$H1581&lt;&gt;""),"※收入和支出不能同时填",IF(AND(N($G1581)=0,N($H1581)=0),"※收入和支出都没填",IF($E1581="","※没填收支类别，分类报表会漏掉这一笔",IF(ISNA(MATCH($E1581,类别表,0)),"※收支类别不在【参数设置】的清单里",IF($J1581="","△"&amp;$D1581&amp;" 还没填汇率，去【月度汇率】补上就自动算了",IF(YEAR($A1581)&lt;&gt;管理年度,"△不是管理年度的单据，年报里看不到",IF(AND($F1581="内部转账",$Q1581=""),"△内部转账建议在「往来单位」写上对方账户",IF($M1581&lt;0,"△这一笔之后该账户余额成负数了，核一下","")))))))))))</f>
        <v/>
      </c>
    </row>
    <row r="1582" ht="16.5" spans="1:19">
      <c r="A1582" s="45"/>
      <c r="B1582" s="46"/>
      <c r="C1582" s="12" t="str">
        <f>IF($B1582="","",IFERROR(INDEX(账户银行,MATCH($B1582,账户名,0)),""))</f>
        <v/>
      </c>
      <c r="D1582" s="12" t="str">
        <f>IF($B1582="","",IFERROR(INDEX(账户币种,MATCH($B1582,账户名,0)),""))</f>
        <v/>
      </c>
      <c r="E1582" s="47"/>
      <c r="F1582" s="12" t="str">
        <f>IF($E1582="","",IFERROR(INDEX(类别属性,MATCH($E1582,类别表,0)),""))</f>
        <v/>
      </c>
      <c r="G1582" s="48"/>
      <c r="H1582" s="48"/>
      <c r="I1582" s="49"/>
      <c r="J1582" s="24" t="str">
        <f>IF(OR($A1582="",$B1582=""),"",IF($I1582&lt;&gt;"",$I1582,IF($D1582=本位币,1,IFERROR(LOOKUP(2,1/((汇率月份&lt;=$A1582)*(INDEX(记账汇率区,0,MATCH($D1582,汇率币种头,0))&lt;&gt;"")),INDEX(记账汇率区,0,MATCH($D1582,汇率币种头,0))),""))))</f>
        <v/>
      </c>
      <c r="K1582" s="23" t="str">
        <f t="shared" si="48"/>
        <v/>
      </c>
      <c r="L1582" s="23" t="str">
        <f t="shared" si="49"/>
        <v/>
      </c>
      <c r="M1582" s="23" t="str">
        <f>IF($B1582="","",ROUND(SUMIF(账户名,$B1582,账户期初)+SUMIFS($K$6:K1582,$B$6:B1582,$B1582),2))</f>
        <v/>
      </c>
      <c r="N1582" s="23" t="str">
        <f>IF($B1582="","",IFERROR(ROUND(INDEX(账户期初本位,MATCH($B1582,账户名,0))+SUMIFS($L$6:L1582,$B$6:B1582,$B1582),2),""))</f>
        <v/>
      </c>
      <c r="O1582" s="46"/>
      <c r="P1582" s="47"/>
      <c r="Q1582" s="46"/>
      <c r="R1582" s="46"/>
      <c r="S1582" s="6" t="str">
        <f>IF($B1582="","",IF(ISNA(MATCH($B1582,账户名,0)),"※这个账户不在【参数设置】的账户档案里",IF($A1582="","※没填日期，这一笔不会进任何月份的报表",IF(AND($G1582&lt;&gt;"",$H1582&lt;&gt;""),"※收入和支出不能同时填",IF(AND(N($G1582)=0,N($H1582)=0),"※收入和支出都没填",IF($E1582="","※没填收支类别，分类报表会漏掉这一笔",IF(ISNA(MATCH($E1582,类别表,0)),"※收支类别不在【参数设置】的清单里",IF($J1582="","△"&amp;$D1582&amp;" 还没填汇率，去【月度汇率】补上就自动算了",IF(YEAR($A1582)&lt;&gt;管理年度,"△不是管理年度的单据，年报里看不到",IF(AND($F1582="内部转账",$Q1582=""),"△内部转账建议在「往来单位」写上对方账户",IF($M1582&lt;0,"△这一笔之后该账户余额成负数了，核一下","")))))))))))</f>
        <v/>
      </c>
    </row>
    <row r="1583" ht="16.5" spans="1:19">
      <c r="A1583" s="45"/>
      <c r="B1583" s="46"/>
      <c r="C1583" s="12" t="str">
        <f>IF($B1583="","",IFERROR(INDEX(账户银行,MATCH($B1583,账户名,0)),""))</f>
        <v/>
      </c>
      <c r="D1583" s="12" t="str">
        <f>IF($B1583="","",IFERROR(INDEX(账户币种,MATCH($B1583,账户名,0)),""))</f>
        <v/>
      </c>
      <c r="E1583" s="47"/>
      <c r="F1583" s="12" t="str">
        <f>IF($E1583="","",IFERROR(INDEX(类别属性,MATCH($E1583,类别表,0)),""))</f>
        <v/>
      </c>
      <c r="G1583" s="48"/>
      <c r="H1583" s="48"/>
      <c r="I1583" s="49"/>
      <c r="J1583" s="24" t="str">
        <f>IF(OR($A1583="",$B1583=""),"",IF($I1583&lt;&gt;"",$I1583,IF($D1583=本位币,1,IFERROR(LOOKUP(2,1/((汇率月份&lt;=$A1583)*(INDEX(记账汇率区,0,MATCH($D1583,汇率币种头,0))&lt;&gt;"")),INDEX(记账汇率区,0,MATCH($D1583,汇率币种头,0))),""))))</f>
        <v/>
      </c>
      <c r="K1583" s="23" t="str">
        <f t="shared" si="48"/>
        <v/>
      </c>
      <c r="L1583" s="23" t="str">
        <f t="shared" si="49"/>
        <v/>
      </c>
      <c r="M1583" s="23" t="str">
        <f>IF($B1583="","",ROUND(SUMIF(账户名,$B1583,账户期初)+SUMIFS($K$6:K1583,$B$6:B1583,$B1583),2))</f>
        <v/>
      </c>
      <c r="N1583" s="23" t="str">
        <f>IF($B1583="","",IFERROR(ROUND(INDEX(账户期初本位,MATCH($B1583,账户名,0))+SUMIFS($L$6:L1583,$B$6:B1583,$B1583),2),""))</f>
        <v/>
      </c>
      <c r="O1583" s="46"/>
      <c r="P1583" s="47"/>
      <c r="Q1583" s="46"/>
      <c r="R1583" s="46"/>
      <c r="S1583" s="6" t="str">
        <f>IF($B1583="","",IF(ISNA(MATCH($B1583,账户名,0)),"※这个账户不在【参数设置】的账户档案里",IF($A1583="","※没填日期，这一笔不会进任何月份的报表",IF(AND($G1583&lt;&gt;"",$H1583&lt;&gt;""),"※收入和支出不能同时填",IF(AND(N($G1583)=0,N($H1583)=0),"※收入和支出都没填",IF($E1583="","※没填收支类别，分类报表会漏掉这一笔",IF(ISNA(MATCH($E1583,类别表,0)),"※收支类别不在【参数设置】的清单里",IF($J1583="","△"&amp;$D1583&amp;" 还没填汇率，去【月度汇率】补上就自动算了",IF(YEAR($A1583)&lt;&gt;管理年度,"△不是管理年度的单据，年报里看不到",IF(AND($F1583="内部转账",$Q1583=""),"△内部转账建议在「往来单位」写上对方账户",IF($M1583&lt;0,"△这一笔之后该账户余额成负数了，核一下","")))))))))))</f>
        <v/>
      </c>
    </row>
    <row r="1584" ht="16.5" spans="1:19">
      <c r="A1584" s="45"/>
      <c r="B1584" s="46"/>
      <c r="C1584" s="12" t="str">
        <f>IF($B1584="","",IFERROR(INDEX(账户银行,MATCH($B1584,账户名,0)),""))</f>
        <v/>
      </c>
      <c r="D1584" s="12" t="str">
        <f>IF($B1584="","",IFERROR(INDEX(账户币种,MATCH($B1584,账户名,0)),""))</f>
        <v/>
      </c>
      <c r="E1584" s="47"/>
      <c r="F1584" s="12" t="str">
        <f>IF($E1584="","",IFERROR(INDEX(类别属性,MATCH($E1584,类别表,0)),""))</f>
        <v/>
      </c>
      <c r="G1584" s="48"/>
      <c r="H1584" s="48"/>
      <c r="I1584" s="49"/>
      <c r="J1584" s="24" t="str">
        <f>IF(OR($A1584="",$B1584=""),"",IF($I1584&lt;&gt;"",$I1584,IF($D1584=本位币,1,IFERROR(LOOKUP(2,1/((汇率月份&lt;=$A1584)*(INDEX(记账汇率区,0,MATCH($D1584,汇率币种头,0))&lt;&gt;"")),INDEX(记账汇率区,0,MATCH($D1584,汇率币种头,0))),""))))</f>
        <v/>
      </c>
      <c r="K1584" s="23" t="str">
        <f t="shared" si="48"/>
        <v/>
      </c>
      <c r="L1584" s="23" t="str">
        <f t="shared" si="49"/>
        <v/>
      </c>
      <c r="M1584" s="23" t="str">
        <f>IF($B1584="","",ROUND(SUMIF(账户名,$B1584,账户期初)+SUMIFS($K$6:K1584,$B$6:B1584,$B1584),2))</f>
        <v/>
      </c>
      <c r="N1584" s="23" t="str">
        <f>IF($B1584="","",IFERROR(ROUND(INDEX(账户期初本位,MATCH($B1584,账户名,0))+SUMIFS($L$6:L1584,$B$6:B1584,$B1584),2),""))</f>
        <v/>
      </c>
      <c r="O1584" s="46"/>
      <c r="P1584" s="47"/>
      <c r="Q1584" s="46"/>
      <c r="R1584" s="46"/>
      <c r="S1584" s="6" t="str">
        <f>IF($B1584="","",IF(ISNA(MATCH($B1584,账户名,0)),"※这个账户不在【参数设置】的账户档案里",IF($A1584="","※没填日期，这一笔不会进任何月份的报表",IF(AND($G1584&lt;&gt;"",$H1584&lt;&gt;""),"※收入和支出不能同时填",IF(AND(N($G1584)=0,N($H1584)=0),"※收入和支出都没填",IF($E1584="","※没填收支类别，分类报表会漏掉这一笔",IF(ISNA(MATCH($E1584,类别表,0)),"※收支类别不在【参数设置】的清单里",IF($J1584="","△"&amp;$D1584&amp;" 还没填汇率，去【月度汇率】补上就自动算了",IF(YEAR($A1584)&lt;&gt;管理年度,"△不是管理年度的单据，年报里看不到",IF(AND($F1584="内部转账",$Q1584=""),"△内部转账建议在「往来单位」写上对方账户",IF($M1584&lt;0,"△这一笔之后该账户余额成负数了，核一下","")))))))))))</f>
        <v/>
      </c>
    </row>
    <row r="1585" ht="16.5" spans="1:19">
      <c r="A1585" s="45"/>
      <c r="B1585" s="46"/>
      <c r="C1585" s="12" t="str">
        <f>IF($B1585="","",IFERROR(INDEX(账户银行,MATCH($B1585,账户名,0)),""))</f>
        <v/>
      </c>
      <c r="D1585" s="12" t="str">
        <f>IF($B1585="","",IFERROR(INDEX(账户币种,MATCH($B1585,账户名,0)),""))</f>
        <v/>
      </c>
      <c r="E1585" s="47"/>
      <c r="F1585" s="12" t="str">
        <f>IF($E1585="","",IFERROR(INDEX(类别属性,MATCH($E1585,类别表,0)),""))</f>
        <v/>
      </c>
      <c r="G1585" s="48"/>
      <c r="H1585" s="48"/>
      <c r="I1585" s="49"/>
      <c r="J1585" s="24" t="str">
        <f>IF(OR($A1585="",$B1585=""),"",IF($I1585&lt;&gt;"",$I1585,IF($D1585=本位币,1,IFERROR(LOOKUP(2,1/((汇率月份&lt;=$A1585)*(INDEX(记账汇率区,0,MATCH($D1585,汇率币种头,0))&lt;&gt;"")),INDEX(记账汇率区,0,MATCH($D1585,汇率币种头,0))),""))))</f>
        <v/>
      </c>
      <c r="K1585" s="23" t="str">
        <f t="shared" si="48"/>
        <v/>
      </c>
      <c r="L1585" s="23" t="str">
        <f t="shared" si="49"/>
        <v/>
      </c>
      <c r="M1585" s="23" t="str">
        <f>IF($B1585="","",ROUND(SUMIF(账户名,$B1585,账户期初)+SUMIFS($K$6:K1585,$B$6:B1585,$B1585),2))</f>
        <v/>
      </c>
      <c r="N1585" s="23" t="str">
        <f>IF($B1585="","",IFERROR(ROUND(INDEX(账户期初本位,MATCH($B1585,账户名,0))+SUMIFS($L$6:L1585,$B$6:B1585,$B1585),2),""))</f>
        <v/>
      </c>
      <c r="O1585" s="46"/>
      <c r="P1585" s="47"/>
      <c r="Q1585" s="46"/>
      <c r="R1585" s="46"/>
      <c r="S1585" s="6" t="str">
        <f>IF($B1585="","",IF(ISNA(MATCH($B1585,账户名,0)),"※这个账户不在【参数设置】的账户档案里",IF($A1585="","※没填日期，这一笔不会进任何月份的报表",IF(AND($G1585&lt;&gt;"",$H1585&lt;&gt;""),"※收入和支出不能同时填",IF(AND(N($G1585)=0,N($H1585)=0),"※收入和支出都没填",IF($E1585="","※没填收支类别，分类报表会漏掉这一笔",IF(ISNA(MATCH($E1585,类别表,0)),"※收支类别不在【参数设置】的清单里",IF($J1585="","△"&amp;$D1585&amp;" 还没填汇率，去【月度汇率】补上就自动算了",IF(YEAR($A1585)&lt;&gt;管理年度,"△不是管理年度的单据，年报里看不到",IF(AND($F1585="内部转账",$Q1585=""),"△内部转账建议在「往来单位」写上对方账户",IF($M1585&lt;0,"△这一笔之后该账户余额成负数了，核一下","")))))))))))</f>
        <v/>
      </c>
    </row>
    <row r="1586" ht="16.5" spans="1:19">
      <c r="A1586" s="45"/>
      <c r="B1586" s="46"/>
      <c r="C1586" s="12" t="str">
        <f>IF($B1586="","",IFERROR(INDEX(账户银行,MATCH($B1586,账户名,0)),""))</f>
        <v/>
      </c>
      <c r="D1586" s="12" t="str">
        <f>IF($B1586="","",IFERROR(INDEX(账户币种,MATCH($B1586,账户名,0)),""))</f>
        <v/>
      </c>
      <c r="E1586" s="47"/>
      <c r="F1586" s="12" t="str">
        <f>IF($E1586="","",IFERROR(INDEX(类别属性,MATCH($E1586,类别表,0)),""))</f>
        <v/>
      </c>
      <c r="G1586" s="48"/>
      <c r="H1586" s="48"/>
      <c r="I1586" s="49"/>
      <c r="J1586" s="24" t="str">
        <f>IF(OR($A1586="",$B1586=""),"",IF($I1586&lt;&gt;"",$I1586,IF($D1586=本位币,1,IFERROR(LOOKUP(2,1/((汇率月份&lt;=$A1586)*(INDEX(记账汇率区,0,MATCH($D1586,汇率币种头,0))&lt;&gt;"")),INDEX(记账汇率区,0,MATCH($D1586,汇率币种头,0))),""))))</f>
        <v/>
      </c>
      <c r="K1586" s="23" t="str">
        <f t="shared" si="48"/>
        <v/>
      </c>
      <c r="L1586" s="23" t="str">
        <f t="shared" si="49"/>
        <v/>
      </c>
      <c r="M1586" s="23" t="str">
        <f>IF($B1586="","",ROUND(SUMIF(账户名,$B1586,账户期初)+SUMIFS($K$6:K1586,$B$6:B1586,$B1586),2))</f>
        <v/>
      </c>
      <c r="N1586" s="23" t="str">
        <f>IF($B1586="","",IFERROR(ROUND(INDEX(账户期初本位,MATCH($B1586,账户名,0))+SUMIFS($L$6:L1586,$B$6:B1586,$B1586),2),""))</f>
        <v/>
      </c>
      <c r="O1586" s="46"/>
      <c r="P1586" s="47"/>
      <c r="Q1586" s="46"/>
      <c r="R1586" s="46"/>
      <c r="S1586" s="6" t="str">
        <f>IF($B1586="","",IF(ISNA(MATCH($B1586,账户名,0)),"※这个账户不在【参数设置】的账户档案里",IF($A1586="","※没填日期，这一笔不会进任何月份的报表",IF(AND($G1586&lt;&gt;"",$H1586&lt;&gt;""),"※收入和支出不能同时填",IF(AND(N($G1586)=0,N($H1586)=0),"※收入和支出都没填",IF($E1586="","※没填收支类别，分类报表会漏掉这一笔",IF(ISNA(MATCH($E1586,类别表,0)),"※收支类别不在【参数设置】的清单里",IF($J1586="","△"&amp;$D1586&amp;" 还没填汇率，去【月度汇率】补上就自动算了",IF(YEAR($A1586)&lt;&gt;管理年度,"△不是管理年度的单据，年报里看不到",IF(AND($F1586="内部转账",$Q1586=""),"△内部转账建议在「往来单位」写上对方账户",IF($M1586&lt;0,"△这一笔之后该账户余额成负数了，核一下","")))))))))))</f>
        <v/>
      </c>
    </row>
    <row r="1587" ht="16.5" spans="1:19">
      <c r="A1587" s="45"/>
      <c r="B1587" s="46"/>
      <c r="C1587" s="12" t="str">
        <f>IF($B1587="","",IFERROR(INDEX(账户银行,MATCH($B1587,账户名,0)),""))</f>
        <v/>
      </c>
      <c r="D1587" s="12" t="str">
        <f>IF($B1587="","",IFERROR(INDEX(账户币种,MATCH($B1587,账户名,0)),""))</f>
        <v/>
      </c>
      <c r="E1587" s="47"/>
      <c r="F1587" s="12" t="str">
        <f>IF($E1587="","",IFERROR(INDEX(类别属性,MATCH($E1587,类别表,0)),""))</f>
        <v/>
      </c>
      <c r="G1587" s="48"/>
      <c r="H1587" s="48"/>
      <c r="I1587" s="49"/>
      <c r="J1587" s="24" t="str">
        <f>IF(OR($A1587="",$B1587=""),"",IF($I1587&lt;&gt;"",$I1587,IF($D1587=本位币,1,IFERROR(LOOKUP(2,1/((汇率月份&lt;=$A1587)*(INDEX(记账汇率区,0,MATCH($D1587,汇率币种头,0))&lt;&gt;"")),INDEX(记账汇率区,0,MATCH($D1587,汇率币种头,0))),""))))</f>
        <v/>
      </c>
      <c r="K1587" s="23" t="str">
        <f t="shared" si="48"/>
        <v/>
      </c>
      <c r="L1587" s="23" t="str">
        <f t="shared" si="49"/>
        <v/>
      </c>
      <c r="M1587" s="23" t="str">
        <f>IF($B1587="","",ROUND(SUMIF(账户名,$B1587,账户期初)+SUMIFS($K$6:K1587,$B$6:B1587,$B1587),2))</f>
        <v/>
      </c>
      <c r="N1587" s="23" t="str">
        <f>IF($B1587="","",IFERROR(ROUND(INDEX(账户期初本位,MATCH($B1587,账户名,0))+SUMIFS($L$6:L1587,$B$6:B1587,$B1587),2),""))</f>
        <v/>
      </c>
      <c r="O1587" s="46"/>
      <c r="P1587" s="47"/>
      <c r="Q1587" s="46"/>
      <c r="R1587" s="46"/>
      <c r="S1587" s="6" t="str">
        <f>IF($B1587="","",IF(ISNA(MATCH($B1587,账户名,0)),"※这个账户不在【参数设置】的账户档案里",IF($A1587="","※没填日期，这一笔不会进任何月份的报表",IF(AND($G1587&lt;&gt;"",$H1587&lt;&gt;""),"※收入和支出不能同时填",IF(AND(N($G1587)=0,N($H1587)=0),"※收入和支出都没填",IF($E1587="","※没填收支类别，分类报表会漏掉这一笔",IF(ISNA(MATCH($E1587,类别表,0)),"※收支类别不在【参数设置】的清单里",IF($J1587="","△"&amp;$D1587&amp;" 还没填汇率，去【月度汇率】补上就自动算了",IF(YEAR($A1587)&lt;&gt;管理年度,"△不是管理年度的单据，年报里看不到",IF(AND($F1587="内部转账",$Q1587=""),"△内部转账建议在「往来单位」写上对方账户",IF($M1587&lt;0,"△这一笔之后该账户余额成负数了，核一下","")))))))))))</f>
        <v/>
      </c>
    </row>
    <row r="1588" ht="16.5" spans="1:19">
      <c r="A1588" s="45"/>
      <c r="B1588" s="46"/>
      <c r="C1588" s="12" t="str">
        <f>IF($B1588="","",IFERROR(INDEX(账户银行,MATCH($B1588,账户名,0)),""))</f>
        <v/>
      </c>
      <c r="D1588" s="12" t="str">
        <f>IF($B1588="","",IFERROR(INDEX(账户币种,MATCH($B1588,账户名,0)),""))</f>
        <v/>
      </c>
      <c r="E1588" s="47"/>
      <c r="F1588" s="12" t="str">
        <f>IF($E1588="","",IFERROR(INDEX(类别属性,MATCH($E1588,类别表,0)),""))</f>
        <v/>
      </c>
      <c r="G1588" s="48"/>
      <c r="H1588" s="48"/>
      <c r="I1588" s="49"/>
      <c r="J1588" s="24" t="str">
        <f>IF(OR($A1588="",$B1588=""),"",IF($I1588&lt;&gt;"",$I1588,IF($D1588=本位币,1,IFERROR(LOOKUP(2,1/((汇率月份&lt;=$A1588)*(INDEX(记账汇率区,0,MATCH($D1588,汇率币种头,0))&lt;&gt;"")),INDEX(记账汇率区,0,MATCH($D1588,汇率币种头,0))),""))))</f>
        <v/>
      </c>
      <c r="K1588" s="23" t="str">
        <f t="shared" si="48"/>
        <v/>
      </c>
      <c r="L1588" s="23" t="str">
        <f t="shared" si="49"/>
        <v/>
      </c>
      <c r="M1588" s="23" t="str">
        <f>IF($B1588="","",ROUND(SUMIF(账户名,$B1588,账户期初)+SUMIFS($K$6:K1588,$B$6:B1588,$B1588),2))</f>
        <v/>
      </c>
      <c r="N1588" s="23" t="str">
        <f>IF($B1588="","",IFERROR(ROUND(INDEX(账户期初本位,MATCH($B1588,账户名,0))+SUMIFS($L$6:L1588,$B$6:B1588,$B1588),2),""))</f>
        <v/>
      </c>
      <c r="O1588" s="46"/>
      <c r="P1588" s="47"/>
      <c r="Q1588" s="46"/>
      <c r="R1588" s="46"/>
      <c r="S1588" s="6" t="str">
        <f>IF($B1588="","",IF(ISNA(MATCH($B1588,账户名,0)),"※这个账户不在【参数设置】的账户档案里",IF($A1588="","※没填日期，这一笔不会进任何月份的报表",IF(AND($G1588&lt;&gt;"",$H1588&lt;&gt;""),"※收入和支出不能同时填",IF(AND(N($G1588)=0,N($H1588)=0),"※收入和支出都没填",IF($E1588="","※没填收支类别，分类报表会漏掉这一笔",IF(ISNA(MATCH($E1588,类别表,0)),"※收支类别不在【参数设置】的清单里",IF($J1588="","△"&amp;$D1588&amp;" 还没填汇率，去【月度汇率】补上就自动算了",IF(YEAR($A1588)&lt;&gt;管理年度,"△不是管理年度的单据，年报里看不到",IF(AND($F1588="内部转账",$Q1588=""),"△内部转账建议在「往来单位」写上对方账户",IF($M1588&lt;0,"△这一笔之后该账户余额成负数了，核一下","")))))))))))</f>
        <v/>
      </c>
    </row>
    <row r="1589" ht="16.5" spans="1:19">
      <c r="A1589" s="45"/>
      <c r="B1589" s="46"/>
      <c r="C1589" s="12" t="str">
        <f>IF($B1589="","",IFERROR(INDEX(账户银行,MATCH($B1589,账户名,0)),""))</f>
        <v/>
      </c>
      <c r="D1589" s="12" t="str">
        <f>IF($B1589="","",IFERROR(INDEX(账户币种,MATCH($B1589,账户名,0)),""))</f>
        <v/>
      </c>
      <c r="E1589" s="47"/>
      <c r="F1589" s="12" t="str">
        <f>IF($E1589="","",IFERROR(INDEX(类别属性,MATCH($E1589,类别表,0)),""))</f>
        <v/>
      </c>
      <c r="G1589" s="48"/>
      <c r="H1589" s="48"/>
      <c r="I1589" s="49"/>
      <c r="J1589" s="24" t="str">
        <f>IF(OR($A1589="",$B1589=""),"",IF($I1589&lt;&gt;"",$I1589,IF($D1589=本位币,1,IFERROR(LOOKUP(2,1/((汇率月份&lt;=$A1589)*(INDEX(记账汇率区,0,MATCH($D1589,汇率币种头,0))&lt;&gt;"")),INDEX(记账汇率区,0,MATCH($D1589,汇率币种头,0))),""))))</f>
        <v/>
      </c>
      <c r="K1589" s="23" t="str">
        <f t="shared" si="48"/>
        <v/>
      </c>
      <c r="L1589" s="23" t="str">
        <f t="shared" si="49"/>
        <v/>
      </c>
      <c r="M1589" s="23" t="str">
        <f>IF($B1589="","",ROUND(SUMIF(账户名,$B1589,账户期初)+SUMIFS($K$6:K1589,$B$6:B1589,$B1589),2))</f>
        <v/>
      </c>
      <c r="N1589" s="23" t="str">
        <f>IF($B1589="","",IFERROR(ROUND(INDEX(账户期初本位,MATCH($B1589,账户名,0))+SUMIFS($L$6:L1589,$B$6:B1589,$B1589),2),""))</f>
        <v/>
      </c>
      <c r="O1589" s="46"/>
      <c r="P1589" s="47"/>
      <c r="Q1589" s="46"/>
      <c r="R1589" s="46"/>
      <c r="S1589" s="6" t="str">
        <f>IF($B1589="","",IF(ISNA(MATCH($B1589,账户名,0)),"※这个账户不在【参数设置】的账户档案里",IF($A1589="","※没填日期，这一笔不会进任何月份的报表",IF(AND($G1589&lt;&gt;"",$H1589&lt;&gt;""),"※收入和支出不能同时填",IF(AND(N($G1589)=0,N($H1589)=0),"※收入和支出都没填",IF($E1589="","※没填收支类别，分类报表会漏掉这一笔",IF(ISNA(MATCH($E1589,类别表,0)),"※收支类别不在【参数设置】的清单里",IF($J1589="","△"&amp;$D1589&amp;" 还没填汇率，去【月度汇率】补上就自动算了",IF(YEAR($A1589)&lt;&gt;管理年度,"△不是管理年度的单据，年报里看不到",IF(AND($F1589="内部转账",$Q1589=""),"△内部转账建议在「往来单位」写上对方账户",IF($M1589&lt;0,"△这一笔之后该账户余额成负数了，核一下","")))))))))))</f>
        <v/>
      </c>
    </row>
    <row r="1590" ht="16.5" spans="1:19">
      <c r="A1590" s="45"/>
      <c r="B1590" s="46"/>
      <c r="C1590" s="12" t="str">
        <f>IF($B1590="","",IFERROR(INDEX(账户银行,MATCH($B1590,账户名,0)),""))</f>
        <v/>
      </c>
      <c r="D1590" s="12" t="str">
        <f>IF($B1590="","",IFERROR(INDEX(账户币种,MATCH($B1590,账户名,0)),""))</f>
        <v/>
      </c>
      <c r="E1590" s="47"/>
      <c r="F1590" s="12" t="str">
        <f>IF($E1590="","",IFERROR(INDEX(类别属性,MATCH($E1590,类别表,0)),""))</f>
        <v/>
      </c>
      <c r="G1590" s="48"/>
      <c r="H1590" s="48"/>
      <c r="I1590" s="49"/>
      <c r="J1590" s="24" t="str">
        <f>IF(OR($A1590="",$B1590=""),"",IF($I1590&lt;&gt;"",$I1590,IF($D1590=本位币,1,IFERROR(LOOKUP(2,1/((汇率月份&lt;=$A1590)*(INDEX(记账汇率区,0,MATCH($D1590,汇率币种头,0))&lt;&gt;"")),INDEX(记账汇率区,0,MATCH($D1590,汇率币种头,0))),""))))</f>
        <v/>
      </c>
      <c r="K1590" s="23" t="str">
        <f t="shared" si="48"/>
        <v/>
      </c>
      <c r="L1590" s="23" t="str">
        <f t="shared" si="49"/>
        <v/>
      </c>
      <c r="M1590" s="23" t="str">
        <f>IF($B1590="","",ROUND(SUMIF(账户名,$B1590,账户期初)+SUMIFS($K$6:K1590,$B$6:B1590,$B1590),2))</f>
        <v/>
      </c>
      <c r="N1590" s="23" t="str">
        <f>IF($B1590="","",IFERROR(ROUND(INDEX(账户期初本位,MATCH($B1590,账户名,0))+SUMIFS($L$6:L1590,$B$6:B1590,$B1590),2),""))</f>
        <v/>
      </c>
      <c r="O1590" s="46"/>
      <c r="P1590" s="47"/>
      <c r="Q1590" s="46"/>
      <c r="R1590" s="46"/>
      <c r="S1590" s="6" t="str">
        <f>IF($B1590="","",IF(ISNA(MATCH($B1590,账户名,0)),"※这个账户不在【参数设置】的账户档案里",IF($A1590="","※没填日期，这一笔不会进任何月份的报表",IF(AND($G1590&lt;&gt;"",$H1590&lt;&gt;""),"※收入和支出不能同时填",IF(AND(N($G1590)=0,N($H1590)=0),"※收入和支出都没填",IF($E1590="","※没填收支类别，分类报表会漏掉这一笔",IF(ISNA(MATCH($E1590,类别表,0)),"※收支类别不在【参数设置】的清单里",IF($J1590="","△"&amp;$D1590&amp;" 还没填汇率，去【月度汇率】补上就自动算了",IF(YEAR($A1590)&lt;&gt;管理年度,"△不是管理年度的单据，年报里看不到",IF(AND($F1590="内部转账",$Q1590=""),"△内部转账建议在「往来单位」写上对方账户",IF($M1590&lt;0,"△这一笔之后该账户余额成负数了，核一下","")))))))))))</f>
        <v/>
      </c>
    </row>
    <row r="1591" ht="16.5" spans="1:19">
      <c r="A1591" s="45"/>
      <c r="B1591" s="46"/>
      <c r="C1591" s="12" t="str">
        <f>IF($B1591="","",IFERROR(INDEX(账户银行,MATCH($B1591,账户名,0)),""))</f>
        <v/>
      </c>
      <c r="D1591" s="12" t="str">
        <f>IF($B1591="","",IFERROR(INDEX(账户币种,MATCH($B1591,账户名,0)),""))</f>
        <v/>
      </c>
      <c r="E1591" s="47"/>
      <c r="F1591" s="12" t="str">
        <f>IF($E1591="","",IFERROR(INDEX(类别属性,MATCH($E1591,类别表,0)),""))</f>
        <v/>
      </c>
      <c r="G1591" s="48"/>
      <c r="H1591" s="48"/>
      <c r="I1591" s="49"/>
      <c r="J1591" s="24" t="str">
        <f>IF(OR($A1591="",$B1591=""),"",IF($I1591&lt;&gt;"",$I1591,IF($D1591=本位币,1,IFERROR(LOOKUP(2,1/((汇率月份&lt;=$A1591)*(INDEX(记账汇率区,0,MATCH($D1591,汇率币种头,0))&lt;&gt;"")),INDEX(记账汇率区,0,MATCH($D1591,汇率币种头,0))),""))))</f>
        <v/>
      </c>
      <c r="K1591" s="23" t="str">
        <f t="shared" si="48"/>
        <v/>
      </c>
      <c r="L1591" s="23" t="str">
        <f t="shared" si="49"/>
        <v/>
      </c>
      <c r="M1591" s="23" t="str">
        <f>IF($B1591="","",ROUND(SUMIF(账户名,$B1591,账户期初)+SUMIFS($K$6:K1591,$B$6:B1591,$B1591),2))</f>
        <v/>
      </c>
      <c r="N1591" s="23" t="str">
        <f>IF($B1591="","",IFERROR(ROUND(INDEX(账户期初本位,MATCH($B1591,账户名,0))+SUMIFS($L$6:L1591,$B$6:B1591,$B1591),2),""))</f>
        <v/>
      </c>
      <c r="O1591" s="46"/>
      <c r="P1591" s="47"/>
      <c r="Q1591" s="46"/>
      <c r="R1591" s="46"/>
      <c r="S1591" s="6" t="str">
        <f>IF($B1591="","",IF(ISNA(MATCH($B1591,账户名,0)),"※这个账户不在【参数设置】的账户档案里",IF($A1591="","※没填日期，这一笔不会进任何月份的报表",IF(AND($G1591&lt;&gt;"",$H1591&lt;&gt;""),"※收入和支出不能同时填",IF(AND(N($G1591)=0,N($H1591)=0),"※收入和支出都没填",IF($E1591="","※没填收支类别，分类报表会漏掉这一笔",IF(ISNA(MATCH($E1591,类别表,0)),"※收支类别不在【参数设置】的清单里",IF($J1591="","△"&amp;$D1591&amp;" 还没填汇率，去【月度汇率】补上就自动算了",IF(YEAR($A1591)&lt;&gt;管理年度,"△不是管理年度的单据，年报里看不到",IF(AND($F1591="内部转账",$Q1591=""),"△内部转账建议在「往来单位」写上对方账户",IF($M1591&lt;0,"△这一笔之后该账户余额成负数了，核一下","")))))))))))</f>
        <v/>
      </c>
    </row>
    <row r="1592" ht="16.5" spans="1:19">
      <c r="A1592" s="45"/>
      <c r="B1592" s="46"/>
      <c r="C1592" s="12" t="str">
        <f>IF($B1592="","",IFERROR(INDEX(账户银行,MATCH($B1592,账户名,0)),""))</f>
        <v/>
      </c>
      <c r="D1592" s="12" t="str">
        <f>IF($B1592="","",IFERROR(INDEX(账户币种,MATCH($B1592,账户名,0)),""))</f>
        <v/>
      </c>
      <c r="E1592" s="47"/>
      <c r="F1592" s="12" t="str">
        <f>IF($E1592="","",IFERROR(INDEX(类别属性,MATCH($E1592,类别表,0)),""))</f>
        <v/>
      </c>
      <c r="G1592" s="48"/>
      <c r="H1592" s="48"/>
      <c r="I1592" s="49"/>
      <c r="J1592" s="24" t="str">
        <f>IF(OR($A1592="",$B1592=""),"",IF($I1592&lt;&gt;"",$I1592,IF($D1592=本位币,1,IFERROR(LOOKUP(2,1/((汇率月份&lt;=$A1592)*(INDEX(记账汇率区,0,MATCH($D1592,汇率币种头,0))&lt;&gt;"")),INDEX(记账汇率区,0,MATCH($D1592,汇率币种头,0))),""))))</f>
        <v/>
      </c>
      <c r="K1592" s="23" t="str">
        <f t="shared" si="48"/>
        <v/>
      </c>
      <c r="L1592" s="23" t="str">
        <f t="shared" si="49"/>
        <v/>
      </c>
      <c r="M1592" s="23" t="str">
        <f>IF($B1592="","",ROUND(SUMIF(账户名,$B1592,账户期初)+SUMIFS($K$6:K1592,$B$6:B1592,$B1592),2))</f>
        <v/>
      </c>
      <c r="N1592" s="23" t="str">
        <f>IF($B1592="","",IFERROR(ROUND(INDEX(账户期初本位,MATCH($B1592,账户名,0))+SUMIFS($L$6:L1592,$B$6:B1592,$B1592),2),""))</f>
        <v/>
      </c>
      <c r="O1592" s="46"/>
      <c r="P1592" s="47"/>
      <c r="Q1592" s="46"/>
      <c r="R1592" s="46"/>
      <c r="S1592" s="6" t="str">
        <f>IF($B1592="","",IF(ISNA(MATCH($B1592,账户名,0)),"※这个账户不在【参数设置】的账户档案里",IF($A1592="","※没填日期，这一笔不会进任何月份的报表",IF(AND($G1592&lt;&gt;"",$H1592&lt;&gt;""),"※收入和支出不能同时填",IF(AND(N($G1592)=0,N($H1592)=0),"※收入和支出都没填",IF($E1592="","※没填收支类别，分类报表会漏掉这一笔",IF(ISNA(MATCH($E1592,类别表,0)),"※收支类别不在【参数设置】的清单里",IF($J1592="","△"&amp;$D1592&amp;" 还没填汇率，去【月度汇率】补上就自动算了",IF(YEAR($A1592)&lt;&gt;管理年度,"△不是管理年度的单据，年报里看不到",IF(AND($F1592="内部转账",$Q1592=""),"△内部转账建议在「往来单位」写上对方账户",IF($M1592&lt;0,"△这一笔之后该账户余额成负数了，核一下","")))))))))))</f>
        <v/>
      </c>
    </row>
    <row r="1593" ht="16.5" spans="1:19">
      <c r="A1593" s="45"/>
      <c r="B1593" s="46"/>
      <c r="C1593" s="12" t="str">
        <f>IF($B1593="","",IFERROR(INDEX(账户银行,MATCH($B1593,账户名,0)),""))</f>
        <v/>
      </c>
      <c r="D1593" s="12" t="str">
        <f>IF($B1593="","",IFERROR(INDEX(账户币种,MATCH($B1593,账户名,0)),""))</f>
        <v/>
      </c>
      <c r="E1593" s="47"/>
      <c r="F1593" s="12" t="str">
        <f>IF($E1593="","",IFERROR(INDEX(类别属性,MATCH($E1593,类别表,0)),""))</f>
        <v/>
      </c>
      <c r="G1593" s="48"/>
      <c r="H1593" s="48"/>
      <c r="I1593" s="49"/>
      <c r="J1593" s="24" t="str">
        <f>IF(OR($A1593="",$B1593=""),"",IF($I1593&lt;&gt;"",$I1593,IF($D1593=本位币,1,IFERROR(LOOKUP(2,1/((汇率月份&lt;=$A1593)*(INDEX(记账汇率区,0,MATCH($D1593,汇率币种头,0))&lt;&gt;"")),INDEX(记账汇率区,0,MATCH($D1593,汇率币种头,0))),""))))</f>
        <v/>
      </c>
      <c r="K1593" s="23" t="str">
        <f t="shared" si="48"/>
        <v/>
      </c>
      <c r="L1593" s="23" t="str">
        <f t="shared" si="49"/>
        <v/>
      </c>
      <c r="M1593" s="23" t="str">
        <f>IF($B1593="","",ROUND(SUMIF(账户名,$B1593,账户期初)+SUMIFS($K$6:K1593,$B$6:B1593,$B1593),2))</f>
        <v/>
      </c>
      <c r="N1593" s="23" t="str">
        <f>IF($B1593="","",IFERROR(ROUND(INDEX(账户期初本位,MATCH($B1593,账户名,0))+SUMIFS($L$6:L1593,$B$6:B1593,$B1593),2),""))</f>
        <v/>
      </c>
      <c r="O1593" s="46"/>
      <c r="P1593" s="47"/>
      <c r="Q1593" s="46"/>
      <c r="R1593" s="46"/>
      <c r="S1593" s="6" t="str">
        <f>IF($B1593="","",IF(ISNA(MATCH($B1593,账户名,0)),"※这个账户不在【参数设置】的账户档案里",IF($A1593="","※没填日期，这一笔不会进任何月份的报表",IF(AND($G1593&lt;&gt;"",$H1593&lt;&gt;""),"※收入和支出不能同时填",IF(AND(N($G1593)=0,N($H1593)=0),"※收入和支出都没填",IF($E1593="","※没填收支类别，分类报表会漏掉这一笔",IF(ISNA(MATCH($E1593,类别表,0)),"※收支类别不在【参数设置】的清单里",IF($J1593="","△"&amp;$D1593&amp;" 还没填汇率，去【月度汇率】补上就自动算了",IF(YEAR($A1593)&lt;&gt;管理年度,"△不是管理年度的单据，年报里看不到",IF(AND($F1593="内部转账",$Q1593=""),"△内部转账建议在「往来单位」写上对方账户",IF($M1593&lt;0,"△这一笔之后该账户余额成负数了，核一下","")))))))))))</f>
        <v/>
      </c>
    </row>
    <row r="1594" ht="16.5" spans="1:19">
      <c r="A1594" s="45"/>
      <c r="B1594" s="46"/>
      <c r="C1594" s="12" t="str">
        <f>IF($B1594="","",IFERROR(INDEX(账户银行,MATCH($B1594,账户名,0)),""))</f>
        <v/>
      </c>
      <c r="D1594" s="12" t="str">
        <f>IF($B1594="","",IFERROR(INDEX(账户币种,MATCH($B1594,账户名,0)),""))</f>
        <v/>
      </c>
      <c r="E1594" s="47"/>
      <c r="F1594" s="12" t="str">
        <f>IF($E1594="","",IFERROR(INDEX(类别属性,MATCH($E1594,类别表,0)),""))</f>
        <v/>
      </c>
      <c r="G1594" s="48"/>
      <c r="H1594" s="48"/>
      <c r="I1594" s="49"/>
      <c r="J1594" s="24" t="str">
        <f>IF(OR($A1594="",$B1594=""),"",IF($I1594&lt;&gt;"",$I1594,IF($D1594=本位币,1,IFERROR(LOOKUP(2,1/((汇率月份&lt;=$A1594)*(INDEX(记账汇率区,0,MATCH($D1594,汇率币种头,0))&lt;&gt;"")),INDEX(记账汇率区,0,MATCH($D1594,汇率币种头,0))),""))))</f>
        <v/>
      </c>
      <c r="K1594" s="23" t="str">
        <f t="shared" si="48"/>
        <v/>
      </c>
      <c r="L1594" s="23" t="str">
        <f t="shared" si="49"/>
        <v/>
      </c>
      <c r="M1594" s="23" t="str">
        <f>IF($B1594="","",ROUND(SUMIF(账户名,$B1594,账户期初)+SUMIFS($K$6:K1594,$B$6:B1594,$B1594),2))</f>
        <v/>
      </c>
      <c r="N1594" s="23" t="str">
        <f>IF($B1594="","",IFERROR(ROUND(INDEX(账户期初本位,MATCH($B1594,账户名,0))+SUMIFS($L$6:L1594,$B$6:B1594,$B1594),2),""))</f>
        <v/>
      </c>
      <c r="O1594" s="46"/>
      <c r="P1594" s="47"/>
      <c r="Q1594" s="46"/>
      <c r="R1594" s="46"/>
      <c r="S1594" s="6" t="str">
        <f>IF($B1594="","",IF(ISNA(MATCH($B1594,账户名,0)),"※这个账户不在【参数设置】的账户档案里",IF($A1594="","※没填日期，这一笔不会进任何月份的报表",IF(AND($G1594&lt;&gt;"",$H1594&lt;&gt;""),"※收入和支出不能同时填",IF(AND(N($G1594)=0,N($H1594)=0),"※收入和支出都没填",IF($E1594="","※没填收支类别，分类报表会漏掉这一笔",IF(ISNA(MATCH($E1594,类别表,0)),"※收支类别不在【参数设置】的清单里",IF($J1594="","△"&amp;$D1594&amp;" 还没填汇率，去【月度汇率】补上就自动算了",IF(YEAR($A1594)&lt;&gt;管理年度,"△不是管理年度的单据，年报里看不到",IF(AND($F1594="内部转账",$Q1594=""),"△内部转账建议在「往来单位」写上对方账户",IF($M1594&lt;0,"△这一笔之后该账户余额成负数了，核一下","")))))))))))</f>
        <v/>
      </c>
    </row>
    <row r="1595" ht="16.5" spans="1:19">
      <c r="A1595" s="45"/>
      <c r="B1595" s="46"/>
      <c r="C1595" s="12" t="str">
        <f>IF($B1595="","",IFERROR(INDEX(账户银行,MATCH($B1595,账户名,0)),""))</f>
        <v/>
      </c>
      <c r="D1595" s="12" t="str">
        <f>IF($B1595="","",IFERROR(INDEX(账户币种,MATCH($B1595,账户名,0)),""))</f>
        <v/>
      </c>
      <c r="E1595" s="47"/>
      <c r="F1595" s="12" t="str">
        <f>IF($E1595="","",IFERROR(INDEX(类别属性,MATCH($E1595,类别表,0)),""))</f>
        <v/>
      </c>
      <c r="G1595" s="48"/>
      <c r="H1595" s="48"/>
      <c r="I1595" s="49"/>
      <c r="J1595" s="24" t="str">
        <f>IF(OR($A1595="",$B1595=""),"",IF($I1595&lt;&gt;"",$I1595,IF($D1595=本位币,1,IFERROR(LOOKUP(2,1/((汇率月份&lt;=$A1595)*(INDEX(记账汇率区,0,MATCH($D1595,汇率币种头,0))&lt;&gt;"")),INDEX(记账汇率区,0,MATCH($D1595,汇率币种头,0))),""))))</f>
        <v/>
      </c>
      <c r="K1595" s="23" t="str">
        <f t="shared" si="48"/>
        <v/>
      </c>
      <c r="L1595" s="23" t="str">
        <f t="shared" si="49"/>
        <v/>
      </c>
      <c r="M1595" s="23" t="str">
        <f>IF($B1595="","",ROUND(SUMIF(账户名,$B1595,账户期初)+SUMIFS($K$6:K1595,$B$6:B1595,$B1595),2))</f>
        <v/>
      </c>
      <c r="N1595" s="23" t="str">
        <f>IF($B1595="","",IFERROR(ROUND(INDEX(账户期初本位,MATCH($B1595,账户名,0))+SUMIFS($L$6:L1595,$B$6:B1595,$B1595),2),""))</f>
        <v/>
      </c>
      <c r="O1595" s="46"/>
      <c r="P1595" s="47"/>
      <c r="Q1595" s="46"/>
      <c r="R1595" s="46"/>
      <c r="S1595" s="6" t="str">
        <f>IF($B1595="","",IF(ISNA(MATCH($B1595,账户名,0)),"※这个账户不在【参数设置】的账户档案里",IF($A1595="","※没填日期，这一笔不会进任何月份的报表",IF(AND($G1595&lt;&gt;"",$H1595&lt;&gt;""),"※收入和支出不能同时填",IF(AND(N($G1595)=0,N($H1595)=0),"※收入和支出都没填",IF($E1595="","※没填收支类别，分类报表会漏掉这一笔",IF(ISNA(MATCH($E1595,类别表,0)),"※收支类别不在【参数设置】的清单里",IF($J1595="","△"&amp;$D1595&amp;" 还没填汇率，去【月度汇率】补上就自动算了",IF(YEAR($A1595)&lt;&gt;管理年度,"△不是管理年度的单据，年报里看不到",IF(AND($F1595="内部转账",$Q1595=""),"△内部转账建议在「往来单位」写上对方账户",IF($M1595&lt;0,"△这一笔之后该账户余额成负数了，核一下","")))))))))))</f>
        <v/>
      </c>
    </row>
    <row r="1596" ht="16.5" spans="1:19">
      <c r="A1596" s="45"/>
      <c r="B1596" s="46"/>
      <c r="C1596" s="12" t="str">
        <f>IF($B1596="","",IFERROR(INDEX(账户银行,MATCH($B1596,账户名,0)),""))</f>
        <v/>
      </c>
      <c r="D1596" s="12" t="str">
        <f>IF($B1596="","",IFERROR(INDEX(账户币种,MATCH($B1596,账户名,0)),""))</f>
        <v/>
      </c>
      <c r="E1596" s="47"/>
      <c r="F1596" s="12" t="str">
        <f>IF($E1596="","",IFERROR(INDEX(类别属性,MATCH($E1596,类别表,0)),""))</f>
        <v/>
      </c>
      <c r="G1596" s="48"/>
      <c r="H1596" s="48"/>
      <c r="I1596" s="49"/>
      <c r="J1596" s="24" t="str">
        <f>IF(OR($A1596="",$B1596=""),"",IF($I1596&lt;&gt;"",$I1596,IF($D1596=本位币,1,IFERROR(LOOKUP(2,1/((汇率月份&lt;=$A1596)*(INDEX(记账汇率区,0,MATCH($D1596,汇率币种头,0))&lt;&gt;"")),INDEX(记账汇率区,0,MATCH($D1596,汇率币种头,0))),""))))</f>
        <v/>
      </c>
      <c r="K1596" s="23" t="str">
        <f t="shared" si="48"/>
        <v/>
      </c>
      <c r="L1596" s="23" t="str">
        <f t="shared" si="49"/>
        <v/>
      </c>
      <c r="M1596" s="23" t="str">
        <f>IF($B1596="","",ROUND(SUMIF(账户名,$B1596,账户期初)+SUMIFS($K$6:K1596,$B$6:B1596,$B1596),2))</f>
        <v/>
      </c>
      <c r="N1596" s="23" t="str">
        <f>IF($B1596="","",IFERROR(ROUND(INDEX(账户期初本位,MATCH($B1596,账户名,0))+SUMIFS($L$6:L1596,$B$6:B1596,$B1596),2),""))</f>
        <v/>
      </c>
      <c r="O1596" s="46"/>
      <c r="P1596" s="47"/>
      <c r="Q1596" s="46"/>
      <c r="R1596" s="46"/>
      <c r="S1596" s="6" t="str">
        <f>IF($B1596="","",IF(ISNA(MATCH($B1596,账户名,0)),"※这个账户不在【参数设置】的账户档案里",IF($A1596="","※没填日期，这一笔不会进任何月份的报表",IF(AND($G1596&lt;&gt;"",$H1596&lt;&gt;""),"※收入和支出不能同时填",IF(AND(N($G1596)=0,N($H1596)=0),"※收入和支出都没填",IF($E1596="","※没填收支类别，分类报表会漏掉这一笔",IF(ISNA(MATCH($E1596,类别表,0)),"※收支类别不在【参数设置】的清单里",IF($J1596="","△"&amp;$D1596&amp;" 还没填汇率，去【月度汇率】补上就自动算了",IF(YEAR($A1596)&lt;&gt;管理年度,"△不是管理年度的单据，年报里看不到",IF(AND($F1596="内部转账",$Q1596=""),"△内部转账建议在「往来单位」写上对方账户",IF($M1596&lt;0,"△这一笔之后该账户余额成负数了，核一下","")))))))))))</f>
        <v/>
      </c>
    </row>
    <row r="1597" ht="16.5" spans="1:19">
      <c r="A1597" s="45"/>
      <c r="B1597" s="46"/>
      <c r="C1597" s="12" t="str">
        <f>IF($B1597="","",IFERROR(INDEX(账户银行,MATCH($B1597,账户名,0)),""))</f>
        <v/>
      </c>
      <c r="D1597" s="12" t="str">
        <f>IF($B1597="","",IFERROR(INDEX(账户币种,MATCH($B1597,账户名,0)),""))</f>
        <v/>
      </c>
      <c r="E1597" s="47"/>
      <c r="F1597" s="12" t="str">
        <f>IF($E1597="","",IFERROR(INDEX(类别属性,MATCH($E1597,类别表,0)),""))</f>
        <v/>
      </c>
      <c r="G1597" s="48"/>
      <c r="H1597" s="48"/>
      <c r="I1597" s="49"/>
      <c r="J1597" s="24" t="str">
        <f>IF(OR($A1597="",$B1597=""),"",IF($I1597&lt;&gt;"",$I1597,IF($D1597=本位币,1,IFERROR(LOOKUP(2,1/((汇率月份&lt;=$A1597)*(INDEX(记账汇率区,0,MATCH($D1597,汇率币种头,0))&lt;&gt;"")),INDEX(记账汇率区,0,MATCH($D1597,汇率币种头,0))),""))))</f>
        <v/>
      </c>
      <c r="K1597" s="23" t="str">
        <f t="shared" si="48"/>
        <v/>
      </c>
      <c r="L1597" s="23" t="str">
        <f t="shared" si="49"/>
        <v/>
      </c>
      <c r="M1597" s="23" t="str">
        <f>IF($B1597="","",ROUND(SUMIF(账户名,$B1597,账户期初)+SUMIFS($K$6:K1597,$B$6:B1597,$B1597),2))</f>
        <v/>
      </c>
      <c r="N1597" s="23" t="str">
        <f>IF($B1597="","",IFERROR(ROUND(INDEX(账户期初本位,MATCH($B1597,账户名,0))+SUMIFS($L$6:L1597,$B$6:B1597,$B1597),2),""))</f>
        <v/>
      </c>
      <c r="O1597" s="46"/>
      <c r="P1597" s="47"/>
      <c r="Q1597" s="46"/>
      <c r="R1597" s="46"/>
      <c r="S1597" s="6" t="str">
        <f>IF($B1597="","",IF(ISNA(MATCH($B1597,账户名,0)),"※这个账户不在【参数设置】的账户档案里",IF($A1597="","※没填日期，这一笔不会进任何月份的报表",IF(AND($G1597&lt;&gt;"",$H1597&lt;&gt;""),"※收入和支出不能同时填",IF(AND(N($G1597)=0,N($H1597)=0),"※收入和支出都没填",IF($E1597="","※没填收支类别，分类报表会漏掉这一笔",IF(ISNA(MATCH($E1597,类别表,0)),"※收支类别不在【参数设置】的清单里",IF($J1597="","△"&amp;$D1597&amp;" 还没填汇率，去【月度汇率】补上就自动算了",IF(YEAR($A1597)&lt;&gt;管理年度,"△不是管理年度的单据，年报里看不到",IF(AND($F1597="内部转账",$Q1597=""),"△内部转账建议在「往来单位」写上对方账户",IF($M1597&lt;0,"△这一笔之后该账户余额成负数了，核一下","")))))))))))</f>
        <v/>
      </c>
    </row>
    <row r="1598" ht="16.5" spans="1:19">
      <c r="A1598" s="45"/>
      <c r="B1598" s="46"/>
      <c r="C1598" s="12" t="str">
        <f>IF($B1598="","",IFERROR(INDEX(账户银行,MATCH($B1598,账户名,0)),""))</f>
        <v/>
      </c>
      <c r="D1598" s="12" t="str">
        <f>IF($B1598="","",IFERROR(INDEX(账户币种,MATCH($B1598,账户名,0)),""))</f>
        <v/>
      </c>
      <c r="E1598" s="47"/>
      <c r="F1598" s="12" t="str">
        <f>IF($E1598="","",IFERROR(INDEX(类别属性,MATCH($E1598,类别表,0)),""))</f>
        <v/>
      </c>
      <c r="G1598" s="48"/>
      <c r="H1598" s="48"/>
      <c r="I1598" s="49"/>
      <c r="J1598" s="24" t="str">
        <f>IF(OR($A1598="",$B1598=""),"",IF($I1598&lt;&gt;"",$I1598,IF($D1598=本位币,1,IFERROR(LOOKUP(2,1/((汇率月份&lt;=$A1598)*(INDEX(记账汇率区,0,MATCH($D1598,汇率币种头,0))&lt;&gt;"")),INDEX(记账汇率区,0,MATCH($D1598,汇率币种头,0))),""))))</f>
        <v/>
      </c>
      <c r="K1598" s="23" t="str">
        <f t="shared" si="48"/>
        <v/>
      </c>
      <c r="L1598" s="23" t="str">
        <f t="shared" si="49"/>
        <v/>
      </c>
      <c r="M1598" s="23" t="str">
        <f>IF($B1598="","",ROUND(SUMIF(账户名,$B1598,账户期初)+SUMIFS($K$6:K1598,$B$6:B1598,$B1598),2))</f>
        <v/>
      </c>
      <c r="N1598" s="23" t="str">
        <f>IF($B1598="","",IFERROR(ROUND(INDEX(账户期初本位,MATCH($B1598,账户名,0))+SUMIFS($L$6:L1598,$B$6:B1598,$B1598),2),""))</f>
        <v/>
      </c>
      <c r="O1598" s="46"/>
      <c r="P1598" s="47"/>
      <c r="Q1598" s="46"/>
      <c r="R1598" s="46"/>
      <c r="S1598" s="6" t="str">
        <f>IF($B1598="","",IF(ISNA(MATCH($B1598,账户名,0)),"※这个账户不在【参数设置】的账户档案里",IF($A1598="","※没填日期，这一笔不会进任何月份的报表",IF(AND($G1598&lt;&gt;"",$H1598&lt;&gt;""),"※收入和支出不能同时填",IF(AND(N($G1598)=0,N($H1598)=0),"※收入和支出都没填",IF($E1598="","※没填收支类别，分类报表会漏掉这一笔",IF(ISNA(MATCH($E1598,类别表,0)),"※收支类别不在【参数设置】的清单里",IF($J1598="","△"&amp;$D1598&amp;" 还没填汇率，去【月度汇率】补上就自动算了",IF(YEAR($A1598)&lt;&gt;管理年度,"△不是管理年度的单据，年报里看不到",IF(AND($F1598="内部转账",$Q1598=""),"△内部转账建议在「往来单位」写上对方账户",IF($M1598&lt;0,"△这一笔之后该账户余额成负数了，核一下","")))))))))))</f>
        <v/>
      </c>
    </row>
    <row r="1599" ht="16.5" spans="1:19">
      <c r="A1599" s="45"/>
      <c r="B1599" s="46"/>
      <c r="C1599" s="12" t="str">
        <f>IF($B1599="","",IFERROR(INDEX(账户银行,MATCH($B1599,账户名,0)),""))</f>
        <v/>
      </c>
      <c r="D1599" s="12" t="str">
        <f>IF($B1599="","",IFERROR(INDEX(账户币种,MATCH($B1599,账户名,0)),""))</f>
        <v/>
      </c>
      <c r="E1599" s="47"/>
      <c r="F1599" s="12" t="str">
        <f>IF($E1599="","",IFERROR(INDEX(类别属性,MATCH($E1599,类别表,0)),""))</f>
        <v/>
      </c>
      <c r="G1599" s="48"/>
      <c r="H1599" s="48"/>
      <c r="I1599" s="49"/>
      <c r="J1599" s="24" t="str">
        <f>IF(OR($A1599="",$B1599=""),"",IF($I1599&lt;&gt;"",$I1599,IF($D1599=本位币,1,IFERROR(LOOKUP(2,1/((汇率月份&lt;=$A1599)*(INDEX(记账汇率区,0,MATCH($D1599,汇率币种头,0))&lt;&gt;"")),INDEX(记账汇率区,0,MATCH($D1599,汇率币种头,0))),""))))</f>
        <v/>
      </c>
      <c r="K1599" s="23" t="str">
        <f t="shared" si="48"/>
        <v/>
      </c>
      <c r="L1599" s="23" t="str">
        <f t="shared" si="49"/>
        <v/>
      </c>
      <c r="M1599" s="23" t="str">
        <f>IF($B1599="","",ROUND(SUMIF(账户名,$B1599,账户期初)+SUMIFS($K$6:K1599,$B$6:B1599,$B1599),2))</f>
        <v/>
      </c>
      <c r="N1599" s="23" t="str">
        <f>IF($B1599="","",IFERROR(ROUND(INDEX(账户期初本位,MATCH($B1599,账户名,0))+SUMIFS($L$6:L1599,$B$6:B1599,$B1599),2),""))</f>
        <v/>
      </c>
      <c r="O1599" s="46"/>
      <c r="P1599" s="47"/>
      <c r="Q1599" s="46"/>
      <c r="R1599" s="46"/>
      <c r="S1599" s="6" t="str">
        <f>IF($B1599="","",IF(ISNA(MATCH($B1599,账户名,0)),"※这个账户不在【参数设置】的账户档案里",IF($A1599="","※没填日期，这一笔不会进任何月份的报表",IF(AND($G1599&lt;&gt;"",$H1599&lt;&gt;""),"※收入和支出不能同时填",IF(AND(N($G1599)=0,N($H1599)=0),"※收入和支出都没填",IF($E1599="","※没填收支类别，分类报表会漏掉这一笔",IF(ISNA(MATCH($E1599,类别表,0)),"※收支类别不在【参数设置】的清单里",IF($J1599="","△"&amp;$D1599&amp;" 还没填汇率，去【月度汇率】补上就自动算了",IF(YEAR($A1599)&lt;&gt;管理年度,"△不是管理年度的单据，年报里看不到",IF(AND($F1599="内部转账",$Q1599=""),"△内部转账建议在「往来单位」写上对方账户",IF($M1599&lt;0,"△这一笔之后该账户余额成负数了，核一下","")))))))))))</f>
        <v/>
      </c>
    </row>
    <row r="1600" ht="16.5" spans="1:19">
      <c r="A1600" s="45"/>
      <c r="B1600" s="46"/>
      <c r="C1600" s="12" t="str">
        <f>IF($B1600="","",IFERROR(INDEX(账户银行,MATCH($B1600,账户名,0)),""))</f>
        <v/>
      </c>
      <c r="D1600" s="12" t="str">
        <f>IF($B1600="","",IFERROR(INDEX(账户币种,MATCH($B1600,账户名,0)),""))</f>
        <v/>
      </c>
      <c r="E1600" s="47"/>
      <c r="F1600" s="12" t="str">
        <f>IF($E1600="","",IFERROR(INDEX(类别属性,MATCH($E1600,类别表,0)),""))</f>
        <v/>
      </c>
      <c r="G1600" s="48"/>
      <c r="H1600" s="48"/>
      <c r="I1600" s="49"/>
      <c r="J1600" s="24" t="str">
        <f>IF(OR($A1600="",$B1600=""),"",IF($I1600&lt;&gt;"",$I1600,IF($D1600=本位币,1,IFERROR(LOOKUP(2,1/((汇率月份&lt;=$A1600)*(INDEX(记账汇率区,0,MATCH($D1600,汇率币种头,0))&lt;&gt;"")),INDEX(记账汇率区,0,MATCH($D1600,汇率币种头,0))),""))))</f>
        <v/>
      </c>
      <c r="K1600" s="23" t="str">
        <f t="shared" si="48"/>
        <v/>
      </c>
      <c r="L1600" s="23" t="str">
        <f t="shared" si="49"/>
        <v/>
      </c>
      <c r="M1600" s="23" t="str">
        <f>IF($B1600="","",ROUND(SUMIF(账户名,$B1600,账户期初)+SUMIFS($K$6:K1600,$B$6:B1600,$B1600),2))</f>
        <v/>
      </c>
      <c r="N1600" s="23" t="str">
        <f>IF($B1600="","",IFERROR(ROUND(INDEX(账户期初本位,MATCH($B1600,账户名,0))+SUMIFS($L$6:L1600,$B$6:B1600,$B1600),2),""))</f>
        <v/>
      </c>
      <c r="O1600" s="46"/>
      <c r="P1600" s="47"/>
      <c r="Q1600" s="46"/>
      <c r="R1600" s="46"/>
      <c r="S1600" s="6" t="str">
        <f>IF($B1600="","",IF(ISNA(MATCH($B1600,账户名,0)),"※这个账户不在【参数设置】的账户档案里",IF($A1600="","※没填日期，这一笔不会进任何月份的报表",IF(AND($G1600&lt;&gt;"",$H1600&lt;&gt;""),"※收入和支出不能同时填",IF(AND(N($G1600)=0,N($H1600)=0),"※收入和支出都没填",IF($E1600="","※没填收支类别，分类报表会漏掉这一笔",IF(ISNA(MATCH($E1600,类别表,0)),"※收支类别不在【参数设置】的清单里",IF($J1600="","△"&amp;$D1600&amp;" 还没填汇率，去【月度汇率】补上就自动算了",IF(YEAR($A1600)&lt;&gt;管理年度,"△不是管理年度的单据，年报里看不到",IF(AND($F1600="内部转账",$Q1600=""),"△内部转账建议在「往来单位」写上对方账户",IF($M1600&lt;0,"△这一笔之后该账户余额成负数了，核一下","")))))))))))</f>
        <v/>
      </c>
    </row>
    <row r="1601" ht="16.5" spans="1:19">
      <c r="A1601" s="45"/>
      <c r="B1601" s="46"/>
      <c r="C1601" s="12" t="str">
        <f>IF($B1601="","",IFERROR(INDEX(账户银行,MATCH($B1601,账户名,0)),""))</f>
        <v/>
      </c>
      <c r="D1601" s="12" t="str">
        <f>IF($B1601="","",IFERROR(INDEX(账户币种,MATCH($B1601,账户名,0)),""))</f>
        <v/>
      </c>
      <c r="E1601" s="47"/>
      <c r="F1601" s="12" t="str">
        <f>IF($E1601="","",IFERROR(INDEX(类别属性,MATCH($E1601,类别表,0)),""))</f>
        <v/>
      </c>
      <c r="G1601" s="48"/>
      <c r="H1601" s="48"/>
      <c r="I1601" s="49"/>
      <c r="J1601" s="24" t="str">
        <f>IF(OR($A1601="",$B1601=""),"",IF($I1601&lt;&gt;"",$I1601,IF($D1601=本位币,1,IFERROR(LOOKUP(2,1/((汇率月份&lt;=$A1601)*(INDEX(记账汇率区,0,MATCH($D1601,汇率币种头,0))&lt;&gt;"")),INDEX(记账汇率区,0,MATCH($D1601,汇率币种头,0))),""))))</f>
        <v/>
      </c>
      <c r="K1601" s="23" t="str">
        <f t="shared" si="48"/>
        <v/>
      </c>
      <c r="L1601" s="23" t="str">
        <f t="shared" si="49"/>
        <v/>
      </c>
      <c r="M1601" s="23" t="str">
        <f>IF($B1601="","",ROUND(SUMIF(账户名,$B1601,账户期初)+SUMIFS($K$6:K1601,$B$6:B1601,$B1601),2))</f>
        <v/>
      </c>
      <c r="N1601" s="23" t="str">
        <f>IF($B1601="","",IFERROR(ROUND(INDEX(账户期初本位,MATCH($B1601,账户名,0))+SUMIFS($L$6:L1601,$B$6:B1601,$B1601),2),""))</f>
        <v/>
      </c>
      <c r="O1601" s="46"/>
      <c r="P1601" s="47"/>
      <c r="Q1601" s="46"/>
      <c r="R1601" s="46"/>
      <c r="S1601" s="6" t="str">
        <f>IF($B1601="","",IF(ISNA(MATCH($B1601,账户名,0)),"※这个账户不在【参数设置】的账户档案里",IF($A1601="","※没填日期，这一笔不会进任何月份的报表",IF(AND($G1601&lt;&gt;"",$H1601&lt;&gt;""),"※收入和支出不能同时填",IF(AND(N($G1601)=0,N($H1601)=0),"※收入和支出都没填",IF($E1601="","※没填收支类别，分类报表会漏掉这一笔",IF(ISNA(MATCH($E1601,类别表,0)),"※收支类别不在【参数设置】的清单里",IF($J1601="","△"&amp;$D1601&amp;" 还没填汇率，去【月度汇率】补上就自动算了",IF(YEAR($A1601)&lt;&gt;管理年度,"△不是管理年度的单据，年报里看不到",IF(AND($F1601="内部转账",$Q1601=""),"△内部转账建议在「往来单位」写上对方账户",IF($M1601&lt;0,"△这一笔之后该账户余额成负数了，核一下","")))))))))))</f>
        <v/>
      </c>
    </row>
    <row r="1602" ht="16.5" spans="1:19">
      <c r="A1602" s="45"/>
      <c r="B1602" s="46"/>
      <c r="C1602" s="12" t="str">
        <f>IF($B1602="","",IFERROR(INDEX(账户银行,MATCH($B1602,账户名,0)),""))</f>
        <v/>
      </c>
      <c r="D1602" s="12" t="str">
        <f>IF($B1602="","",IFERROR(INDEX(账户币种,MATCH($B1602,账户名,0)),""))</f>
        <v/>
      </c>
      <c r="E1602" s="47"/>
      <c r="F1602" s="12" t="str">
        <f>IF($E1602="","",IFERROR(INDEX(类别属性,MATCH($E1602,类别表,0)),""))</f>
        <v/>
      </c>
      <c r="G1602" s="48"/>
      <c r="H1602" s="48"/>
      <c r="I1602" s="49"/>
      <c r="J1602" s="24" t="str">
        <f>IF(OR($A1602="",$B1602=""),"",IF($I1602&lt;&gt;"",$I1602,IF($D1602=本位币,1,IFERROR(LOOKUP(2,1/((汇率月份&lt;=$A1602)*(INDEX(记账汇率区,0,MATCH($D1602,汇率币种头,0))&lt;&gt;"")),INDEX(记账汇率区,0,MATCH($D1602,汇率币种头,0))),""))))</f>
        <v/>
      </c>
      <c r="K1602" s="23" t="str">
        <f t="shared" si="48"/>
        <v/>
      </c>
      <c r="L1602" s="23" t="str">
        <f t="shared" si="49"/>
        <v/>
      </c>
      <c r="M1602" s="23" t="str">
        <f>IF($B1602="","",ROUND(SUMIF(账户名,$B1602,账户期初)+SUMIFS($K$6:K1602,$B$6:B1602,$B1602),2))</f>
        <v/>
      </c>
      <c r="N1602" s="23" t="str">
        <f>IF($B1602="","",IFERROR(ROUND(INDEX(账户期初本位,MATCH($B1602,账户名,0))+SUMIFS($L$6:L1602,$B$6:B1602,$B1602),2),""))</f>
        <v/>
      </c>
      <c r="O1602" s="46"/>
      <c r="P1602" s="47"/>
      <c r="Q1602" s="46"/>
      <c r="R1602" s="46"/>
      <c r="S1602" s="6" t="str">
        <f>IF($B1602="","",IF(ISNA(MATCH($B1602,账户名,0)),"※这个账户不在【参数设置】的账户档案里",IF($A1602="","※没填日期，这一笔不会进任何月份的报表",IF(AND($G1602&lt;&gt;"",$H1602&lt;&gt;""),"※收入和支出不能同时填",IF(AND(N($G1602)=0,N($H1602)=0),"※收入和支出都没填",IF($E1602="","※没填收支类别，分类报表会漏掉这一笔",IF(ISNA(MATCH($E1602,类别表,0)),"※收支类别不在【参数设置】的清单里",IF($J1602="","△"&amp;$D1602&amp;" 还没填汇率，去【月度汇率】补上就自动算了",IF(YEAR($A1602)&lt;&gt;管理年度,"△不是管理年度的单据，年报里看不到",IF(AND($F1602="内部转账",$Q1602=""),"△内部转账建议在「往来单位」写上对方账户",IF($M1602&lt;0,"△这一笔之后该账户余额成负数了，核一下","")))))))))))</f>
        <v/>
      </c>
    </row>
    <row r="1603" ht="16.5" spans="1:19">
      <c r="A1603" s="45"/>
      <c r="B1603" s="46"/>
      <c r="C1603" s="12" t="str">
        <f>IF($B1603="","",IFERROR(INDEX(账户银行,MATCH($B1603,账户名,0)),""))</f>
        <v/>
      </c>
      <c r="D1603" s="12" t="str">
        <f>IF($B1603="","",IFERROR(INDEX(账户币种,MATCH($B1603,账户名,0)),""))</f>
        <v/>
      </c>
      <c r="E1603" s="47"/>
      <c r="F1603" s="12" t="str">
        <f>IF($E1603="","",IFERROR(INDEX(类别属性,MATCH($E1603,类别表,0)),""))</f>
        <v/>
      </c>
      <c r="G1603" s="48"/>
      <c r="H1603" s="48"/>
      <c r="I1603" s="49"/>
      <c r="J1603" s="24" t="str">
        <f>IF(OR($A1603="",$B1603=""),"",IF($I1603&lt;&gt;"",$I1603,IF($D1603=本位币,1,IFERROR(LOOKUP(2,1/((汇率月份&lt;=$A1603)*(INDEX(记账汇率区,0,MATCH($D1603,汇率币种头,0))&lt;&gt;"")),INDEX(记账汇率区,0,MATCH($D1603,汇率币种头,0))),""))))</f>
        <v/>
      </c>
      <c r="K1603" s="23" t="str">
        <f t="shared" si="48"/>
        <v/>
      </c>
      <c r="L1603" s="23" t="str">
        <f t="shared" si="49"/>
        <v/>
      </c>
      <c r="M1603" s="23" t="str">
        <f>IF($B1603="","",ROUND(SUMIF(账户名,$B1603,账户期初)+SUMIFS($K$6:K1603,$B$6:B1603,$B1603),2))</f>
        <v/>
      </c>
      <c r="N1603" s="23" t="str">
        <f>IF($B1603="","",IFERROR(ROUND(INDEX(账户期初本位,MATCH($B1603,账户名,0))+SUMIFS($L$6:L1603,$B$6:B1603,$B1603),2),""))</f>
        <v/>
      </c>
      <c r="O1603" s="46"/>
      <c r="P1603" s="47"/>
      <c r="Q1603" s="46"/>
      <c r="R1603" s="46"/>
      <c r="S1603" s="6" t="str">
        <f>IF($B1603="","",IF(ISNA(MATCH($B1603,账户名,0)),"※这个账户不在【参数设置】的账户档案里",IF($A1603="","※没填日期，这一笔不会进任何月份的报表",IF(AND($G1603&lt;&gt;"",$H1603&lt;&gt;""),"※收入和支出不能同时填",IF(AND(N($G1603)=0,N($H1603)=0),"※收入和支出都没填",IF($E1603="","※没填收支类别，分类报表会漏掉这一笔",IF(ISNA(MATCH($E1603,类别表,0)),"※收支类别不在【参数设置】的清单里",IF($J1603="","△"&amp;$D1603&amp;" 还没填汇率，去【月度汇率】补上就自动算了",IF(YEAR($A1603)&lt;&gt;管理年度,"△不是管理年度的单据，年报里看不到",IF(AND($F1603="内部转账",$Q1603=""),"△内部转账建议在「往来单位」写上对方账户",IF($M1603&lt;0,"△这一笔之后该账户余额成负数了，核一下","")))))))))))</f>
        <v/>
      </c>
    </row>
    <row r="1604" ht="16.5" spans="1:19">
      <c r="A1604" s="45"/>
      <c r="B1604" s="46"/>
      <c r="C1604" s="12" t="str">
        <f>IF($B1604="","",IFERROR(INDEX(账户银行,MATCH($B1604,账户名,0)),""))</f>
        <v/>
      </c>
      <c r="D1604" s="12" t="str">
        <f>IF($B1604="","",IFERROR(INDEX(账户币种,MATCH($B1604,账户名,0)),""))</f>
        <v/>
      </c>
      <c r="E1604" s="47"/>
      <c r="F1604" s="12" t="str">
        <f>IF($E1604="","",IFERROR(INDEX(类别属性,MATCH($E1604,类别表,0)),""))</f>
        <v/>
      </c>
      <c r="G1604" s="48"/>
      <c r="H1604" s="48"/>
      <c r="I1604" s="49"/>
      <c r="J1604" s="24" t="str">
        <f>IF(OR($A1604="",$B1604=""),"",IF($I1604&lt;&gt;"",$I1604,IF($D1604=本位币,1,IFERROR(LOOKUP(2,1/((汇率月份&lt;=$A1604)*(INDEX(记账汇率区,0,MATCH($D1604,汇率币种头,0))&lt;&gt;"")),INDEX(记账汇率区,0,MATCH($D1604,汇率币种头,0))),""))))</f>
        <v/>
      </c>
      <c r="K1604" s="23" t="str">
        <f t="shared" si="48"/>
        <v/>
      </c>
      <c r="L1604" s="23" t="str">
        <f t="shared" si="49"/>
        <v/>
      </c>
      <c r="M1604" s="23" t="str">
        <f>IF($B1604="","",ROUND(SUMIF(账户名,$B1604,账户期初)+SUMIFS($K$6:K1604,$B$6:B1604,$B1604),2))</f>
        <v/>
      </c>
      <c r="N1604" s="23" t="str">
        <f>IF($B1604="","",IFERROR(ROUND(INDEX(账户期初本位,MATCH($B1604,账户名,0))+SUMIFS($L$6:L1604,$B$6:B1604,$B1604),2),""))</f>
        <v/>
      </c>
      <c r="O1604" s="46"/>
      <c r="P1604" s="47"/>
      <c r="Q1604" s="46"/>
      <c r="R1604" s="46"/>
      <c r="S1604" s="6" t="str">
        <f>IF($B1604="","",IF(ISNA(MATCH($B1604,账户名,0)),"※这个账户不在【参数设置】的账户档案里",IF($A1604="","※没填日期，这一笔不会进任何月份的报表",IF(AND($G1604&lt;&gt;"",$H1604&lt;&gt;""),"※收入和支出不能同时填",IF(AND(N($G1604)=0,N($H1604)=0),"※收入和支出都没填",IF($E1604="","※没填收支类别，分类报表会漏掉这一笔",IF(ISNA(MATCH($E1604,类别表,0)),"※收支类别不在【参数设置】的清单里",IF($J1604="","△"&amp;$D1604&amp;" 还没填汇率，去【月度汇率】补上就自动算了",IF(YEAR($A1604)&lt;&gt;管理年度,"△不是管理年度的单据，年报里看不到",IF(AND($F1604="内部转账",$Q1604=""),"△内部转账建议在「往来单位」写上对方账户",IF($M1604&lt;0,"△这一笔之后该账户余额成负数了，核一下","")))))))))))</f>
        <v/>
      </c>
    </row>
    <row r="1605" ht="16.5" spans="1:19">
      <c r="A1605" s="45"/>
      <c r="B1605" s="46"/>
      <c r="C1605" s="12" t="str">
        <f>IF($B1605="","",IFERROR(INDEX(账户银行,MATCH($B1605,账户名,0)),""))</f>
        <v/>
      </c>
      <c r="D1605" s="12" t="str">
        <f>IF($B1605="","",IFERROR(INDEX(账户币种,MATCH($B1605,账户名,0)),""))</f>
        <v/>
      </c>
      <c r="E1605" s="47"/>
      <c r="F1605" s="12" t="str">
        <f>IF($E1605="","",IFERROR(INDEX(类别属性,MATCH($E1605,类别表,0)),""))</f>
        <v/>
      </c>
      <c r="G1605" s="48"/>
      <c r="H1605" s="48"/>
      <c r="I1605" s="49"/>
      <c r="J1605" s="24" t="str">
        <f>IF(OR($A1605="",$B1605=""),"",IF($I1605&lt;&gt;"",$I1605,IF($D1605=本位币,1,IFERROR(LOOKUP(2,1/((汇率月份&lt;=$A1605)*(INDEX(记账汇率区,0,MATCH($D1605,汇率币种头,0))&lt;&gt;"")),INDEX(记账汇率区,0,MATCH($D1605,汇率币种头,0))),""))))</f>
        <v/>
      </c>
      <c r="K1605" s="23" t="str">
        <f t="shared" si="48"/>
        <v/>
      </c>
      <c r="L1605" s="23" t="str">
        <f t="shared" si="49"/>
        <v/>
      </c>
      <c r="M1605" s="23" t="str">
        <f>IF($B1605="","",ROUND(SUMIF(账户名,$B1605,账户期初)+SUMIFS($K$6:K1605,$B$6:B1605,$B1605),2))</f>
        <v/>
      </c>
      <c r="N1605" s="23" t="str">
        <f>IF($B1605="","",IFERROR(ROUND(INDEX(账户期初本位,MATCH($B1605,账户名,0))+SUMIFS($L$6:L1605,$B$6:B1605,$B1605),2),""))</f>
        <v/>
      </c>
      <c r="O1605" s="46"/>
      <c r="P1605" s="47"/>
      <c r="Q1605" s="46"/>
      <c r="R1605" s="46"/>
      <c r="S1605" s="6" t="str">
        <f>IF($B1605="","",IF(ISNA(MATCH($B1605,账户名,0)),"※这个账户不在【参数设置】的账户档案里",IF($A1605="","※没填日期，这一笔不会进任何月份的报表",IF(AND($G1605&lt;&gt;"",$H1605&lt;&gt;""),"※收入和支出不能同时填",IF(AND(N($G1605)=0,N($H1605)=0),"※收入和支出都没填",IF($E1605="","※没填收支类别，分类报表会漏掉这一笔",IF(ISNA(MATCH($E1605,类别表,0)),"※收支类别不在【参数设置】的清单里",IF($J1605="","△"&amp;$D1605&amp;" 还没填汇率，去【月度汇率】补上就自动算了",IF(YEAR($A1605)&lt;&gt;管理年度,"△不是管理年度的单据，年报里看不到",IF(AND($F1605="内部转账",$Q1605=""),"△内部转账建议在「往来单位」写上对方账户",IF($M1605&lt;0,"△这一笔之后该账户余额成负数了，核一下","")))))))))))</f>
        <v/>
      </c>
    </row>
    <row r="1606" ht="16.5" spans="1:19">
      <c r="A1606" s="45"/>
      <c r="B1606" s="46"/>
      <c r="C1606" s="12" t="str">
        <f>IF($B1606="","",IFERROR(INDEX(账户银行,MATCH($B1606,账户名,0)),""))</f>
        <v/>
      </c>
      <c r="D1606" s="12" t="str">
        <f>IF($B1606="","",IFERROR(INDEX(账户币种,MATCH($B1606,账户名,0)),""))</f>
        <v/>
      </c>
      <c r="E1606" s="47"/>
      <c r="F1606" s="12" t="str">
        <f>IF($E1606="","",IFERROR(INDEX(类别属性,MATCH($E1606,类别表,0)),""))</f>
        <v/>
      </c>
      <c r="G1606" s="48"/>
      <c r="H1606" s="48"/>
      <c r="I1606" s="49"/>
      <c r="J1606" s="24" t="str">
        <f>IF(OR($A1606="",$B1606=""),"",IF($I1606&lt;&gt;"",$I1606,IF($D1606=本位币,1,IFERROR(LOOKUP(2,1/((汇率月份&lt;=$A1606)*(INDEX(记账汇率区,0,MATCH($D1606,汇率币种头,0))&lt;&gt;"")),INDEX(记账汇率区,0,MATCH($D1606,汇率币种头,0))),""))))</f>
        <v/>
      </c>
      <c r="K1606" s="23" t="str">
        <f t="shared" ref="K1606:K1669" si="50">IF(AND($G1606="",$H1606=""),"",ROUND(N($G1606)-N($H1606),2))</f>
        <v/>
      </c>
      <c r="L1606" s="23" t="str">
        <f t="shared" ref="L1606:L1669" si="51">IF(OR($K1606="",$J1606=""),"",ROUND($K1606*$J1606,2))</f>
        <v/>
      </c>
      <c r="M1606" s="23" t="str">
        <f>IF($B1606="","",ROUND(SUMIF(账户名,$B1606,账户期初)+SUMIFS($K$6:K1606,$B$6:B1606,$B1606),2))</f>
        <v/>
      </c>
      <c r="N1606" s="23" t="str">
        <f>IF($B1606="","",IFERROR(ROUND(INDEX(账户期初本位,MATCH($B1606,账户名,0))+SUMIFS($L$6:L1606,$B$6:B1606,$B1606),2),""))</f>
        <v/>
      </c>
      <c r="O1606" s="46"/>
      <c r="P1606" s="47"/>
      <c r="Q1606" s="46"/>
      <c r="R1606" s="46"/>
      <c r="S1606" s="6" t="str">
        <f>IF($B1606="","",IF(ISNA(MATCH($B1606,账户名,0)),"※这个账户不在【参数设置】的账户档案里",IF($A1606="","※没填日期，这一笔不会进任何月份的报表",IF(AND($G1606&lt;&gt;"",$H1606&lt;&gt;""),"※收入和支出不能同时填",IF(AND(N($G1606)=0,N($H1606)=0),"※收入和支出都没填",IF($E1606="","※没填收支类别，分类报表会漏掉这一笔",IF(ISNA(MATCH($E1606,类别表,0)),"※收支类别不在【参数设置】的清单里",IF($J1606="","△"&amp;$D1606&amp;" 还没填汇率，去【月度汇率】补上就自动算了",IF(YEAR($A1606)&lt;&gt;管理年度,"△不是管理年度的单据，年报里看不到",IF(AND($F1606="内部转账",$Q1606=""),"△内部转账建议在「往来单位」写上对方账户",IF($M1606&lt;0,"△这一笔之后该账户余额成负数了，核一下","")))))))))))</f>
        <v/>
      </c>
    </row>
    <row r="1607" ht="16.5" spans="1:19">
      <c r="A1607" s="45"/>
      <c r="B1607" s="46"/>
      <c r="C1607" s="12" t="str">
        <f>IF($B1607="","",IFERROR(INDEX(账户银行,MATCH($B1607,账户名,0)),""))</f>
        <v/>
      </c>
      <c r="D1607" s="12" t="str">
        <f>IF($B1607="","",IFERROR(INDEX(账户币种,MATCH($B1607,账户名,0)),""))</f>
        <v/>
      </c>
      <c r="E1607" s="47"/>
      <c r="F1607" s="12" t="str">
        <f>IF($E1607="","",IFERROR(INDEX(类别属性,MATCH($E1607,类别表,0)),""))</f>
        <v/>
      </c>
      <c r="G1607" s="48"/>
      <c r="H1607" s="48"/>
      <c r="I1607" s="49"/>
      <c r="J1607" s="24" t="str">
        <f>IF(OR($A1607="",$B1607=""),"",IF($I1607&lt;&gt;"",$I1607,IF($D1607=本位币,1,IFERROR(LOOKUP(2,1/((汇率月份&lt;=$A1607)*(INDEX(记账汇率区,0,MATCH($D1607,汇率币种头,0))&lt;&gt;"")),INDEX(记账汇率区,0,MATCH($D1607,汇率币种头,0))),""))))</f>
        <v/>
      </c>
      <c r="K1607" s="23" t="str">
        <f t="shared" si="50"/>
        <v/>
      </c>
      <c r="L1607" s="23" t="str">
        <f t="shared" si="51"/>
        <v/>
      </c>
      <c r="M1607" s="23" t="str">
        <f>IF($B1607="","",ROUND(SUMIF(账户名,$B1607,账户期初)+SUMIFS($K$6:K1607,$B$6:B1607,$B1607),2))</f>
        <v/>
      </c>
      <c r="N1607" s="23" t="str">
        <f>IF($B1607="","",IFERROR(ROUND(INDEX(账户期初本位,MATCH($B1607,账户名,0))+SUMIFS($L$6:L1607,$B$6:B1607,$B1607),2),""))</f>
        <v/>
      </c>
      <c r="O1607" s="46"/>
      <c r="P1607" s="47"/>
      <c r="Q1607" s="46"/>
      <c r="R1607" s="46"/>
      <c r="S1607" s="6" t="str">
        <f>IF($B1607="","",IF(ISNA(MATCH($B1607,账户名,0)),"※这个账户不在【参数设置】的账户档案里",IF($A1607="","※没填日期，这一笔不会进任何月份的报表",IF(AND($G1607&lt;&gt;"",$H1607&lt;&gt;""),"※收入和支出不能同时填",IF(AND(N($G1607)=0,N($H1607)=0),"※收入和支出都没填",IF($E1607="","※没填收支类别，分类报表会漏掉这一笔",IF(ISNA(MATCH($E1607,类别表,0)),"※收支类别不在【参数设置】的清单里",IF($J1607="","△"&amp;$D1607&amp;" 还没填汇率，去【月度汇率】补上就自动算了",IF(YEAR($A1607)&lt;&gt;管理年度,"△不是管理年度的单据，年报里看不到",IF(AND($F1607="内部转账",$Q1607=""),"△内部转账建议在「往来单位」写上对方账户",IF($M1607&lt;0,"△这一笔之后该账户余额成负数了，核一下","")))))))))))</f>
        <v/>
      </c>
    </row>
    <row r="1608" ht="16.5" spans="1:19">
      <c r="A1608" s="45"/>
      <c r="B1608" s="46"/>
      <c r="C1608" s="12" t="str">
        <f>IF($B1608="","",IFERROR(INDEX(账户银行,MATCH($B1608,账户名,0)),""))</f>
        <v/>
      </c>
      <c r="D1608" s="12" t="str">
        <f>IF($B1608="","",IFERROR(INDEX(账户币种,MATCH($B1608,账户名,0)),""))</f>
        <v/>
      </c>
      <c r="E1608" s="47"/>
      <c r="F1608" s="12" t="str">
        <f>IF($E1608="","",IFERROR(INDEX(类别属性,MATCH($E1608,类别表,0)),""))</f>
        <v/>
      </c>
      <c r="G1608" s="48"/>
      <c r="H1608" s="48"/>
      <c r="I1608" s="49"/>
      <c r="J1608" s="24" t="str">
        <f>IF(OR($A1608="",$B1608=""),"",IF($I1608&lt;&gt;"",$I1608,IF($D1608=本位币,1,IFERROR(LOOKUP(2,1/((汇率月份&lt;=$A1608)*(INDEX(记账汇率区,0,MATCH($D1608,汇率币种头,0))&lt;&gt;"")),INDEX(记账汇率区,0,MATCH($D1608,汇率币种头,0))),""))))</f>
        <v/>
      </c>
      <c r="K1608" s="23" t="str">
        <f t="shared" si="50"/>
        <v/>
      </c>
      <c r="L1608" s="23" t="str">
        <f t="shared" si="51"/>
        <v/>
      </c>
      <c r="M1608" s="23" t="str">
        <f>IF($B1608="","",ROUND(SUMIF(账户名,$B1608,账户期初)+SUMIFS($K$6:K1608,$B$6:B1608,$B1608),2))</f>
        <v/>
      </c>
      <c r="N1608" s="23" t="str">
        <f>IF($B1608="","",IFERROR(ROUND(INDEX(账户期初本位,MATCH($B1608,账户名,0))+SUMIFS($L$6:L1608,$B$6:B1608,$B1608),2),""))</f>
        <v/>
      </c>
      <c r="O1608" s="46"/>
      <c r="P1608" s="47"/>
      <c r="Q1608" s="46"/>
      <c r="R1608" s="46"/>
      <c r="S1608" s="6" t="str">
        <f>IF($B1608="","",IF(ISNA(MATCH($B1608,账户名,0)),"※这个账户不在【参数设置】的账户档案里",IF($A1608="","※没填日期，这一笔不会进任何月份的报表",IF(AND($G1608&lt;&gt;"",$H1608&lt;&gt;""),"※收入和支出不能同时填",IF(AND(N($G1608)=0,N($H1608)=0),"※收入和支出都没填",IF($E1608="","※没填收支类别，分类报表会漏掉这一笔",IF(ISNA(MATCH($E1608,类别表,0)),"※收支类别不在【参数设置】的清单里",IF($J1608="","△"&amp;$D1608&amp;" 还没填汇率，去【月度汇率】补上就自动算了",IF(YEAR($A1608)&lt;&gt;管理年度,"△不是管理年度的单据，年报里看不到",IF(AND($F1608="内部转账",$Q1608=""),"△内部转账建议在「往来单位」写上对方账户",IF($M1608&lt;0,"△这一笔之后该账户余额成负数了，核一下","")))))))))))</f>
        <v/>
      </c>
    </row>
    <row r="1609" ht="16.5" spans="1:19">
      <c r="A1609" s="45"/>
      <c r="B1609" s="46"/>
      <c r="C1609" s="12" t="str">
        <f>IF($B1609="","",IFERROR(INDEX(账户银行,MATCH($B1609,账户名,0)),""))</f>
        <v/>
      </c>
      <c r="D1609" s="12" t="str">
        <f>IF($B1609="","",IFERROR(INDEX(账户币种,MATCH($B1609,账户名,0)),""))</f>
        <v/>
      </c>
      <c r="E1609" s="47"/>
      <c r="F1609" s="12" t="str">
        <f>IF($E1609="","",IFERROR(INDEX(类别属性,MATCH($E1609,类别表,0)),""))</f>
        <v/>
      </c>
      <c r="G1609" s="48"/>
      <c r="H1609" s="48"/>
      <c r="I1609" s="49"/>
      <c r="J1609" s="24" t="str">
        <f>IF(OR($A1609="",$B1609=""),"",IF($I1609&lt;&gt;"",$I1609,IF($D1609=本位币,1,IFERROR(LOOKUP(2,1/((汇率月份&lt;=$A1609)*(INDEX(记账汇率区,0,MATCH($D1609,汇率币种头,0))&lt;&gt;"")),INDEX(记账汇率区,0,MATCH($D1609,汇率币种头,0))),""))))</f>
        <v/>
      </c>
      <c r="K1609" s="23" t="str">
        <f t="shared" si="50"/>
        <v/>
      </c>
      <c r="L1609" s="23" t="str">
        <f t="shared" si="51"/>
        <v/>
      </c>
      <c r="M1609" s="23" t="str">
        <f>IF($B1609="","",ROUND(SUMIF(账户名,$B1609,账户期初)+SUMIFS($K$6:K1609,$B$6:B1609,$B1609),2))</f>
        <v/>
      </c>
      <c r="N1609" s="23" t="str">
        <f>IF($B1609="","",IFERROR(ROUND(INDEX(账户期初本位,MATCH($B1609,账户名,0))+SUMIFS($L$6:L1609,$B$6:B1609,$B1609),2),""))</f>
        <v/>
      </c>
      <c r="O1609" s="46"/>
      <c r="P1609" s="47"/>
      <c r="Q1609" s="46"/>
      <c r="R1609" s="46"/>
      <c r="S1609" s="6" t="str">
        <f>IF($B1609="","",IF(ISNA(MATCH($B1609,账户名,0)),"※这个账户不在【参数设置】的账户档案里",IF($A1609="","※没填日期，这一笔不会进任何月份的报表",IF(AND($G1609&lt;&gt;"",$H1609&lt;&gt;""),"※收入和支出不能同时填",IF(AND(N($G1609)=0,N($H1609)=0),"※收入和支出都没填",IF($E1609="","※没填收支类别，分类报表会漏掉这一笔",IF(ISNA(MATCH($E1609,类别表,0)),"※收支类别不在【参数设置】的清单里",IF($J1609="","△"&amp;$D1609&amp;" 还没填汇率，去【月度汇率】补上就自动算了",IF(YEAR($A1609)&lt;&gt;管理年度,"△不是管理年度的单据，年报里看不到",IF(AND($F1609="内部转账",$Q1609=""),"△内部转账建议在「往来单位」写上对方账户",IF($M1609&lt;0,"△这一笔之后该账户余额成负数了，核一下","")))))))))))</f>
        <v/>
      </c>
    </row>
    <row r="1610" ht="16.5" spans="1:19">
      <c r="A1610" s="45"/>
      <c r="B1610" s="46"/>
      <c r="C1610" s="12" t="str">
        <f>IF($B1610="","",IFERROR(INDEX(账户银行,MATCH($B1610,账户名,0)),""))</f>
        <v/>
      </c>
      <c r="D1610" s="12" t="str">
        <f>IF($B1610="","",IFERROR(INDEX(账户币种,MATCH($B1610,账户名,0)),""))</f>
        <v/>
      </c>
      <c r="E1610" s="47"/>
      <c r="F1610" s="12" t="str">
        <f>IF($E1610="","",IFERROR(INDEX(类别属性,MATCH($E1610,类别表,0)),""))</f>
        <v/>
      </c>
      <c r="G1610" s="48"/>
      <c r="H1610" s="48"/>
      <c r="I1610" s="49"/>
      <c r="J1610" s="24" t="str">
        <f>IF(OR($A1610="",$B1610=""),"",IF($I1610&lt;&gt;"",$I1610,IF($D1610=本位币,1,IFERROR(LOOKUP(2,1/((汇率月份&lt;=$A1610)*(INDEX(记账汇率区,0,MATCH($D1610,汇率币种头,0))&lt;&gt;"")),INDEX(记账汇率区,0,MATCH($D1610,汇率币种头,0))),""))))</f>
        <v/>
      </c>
      <c r="K1610" s="23" t="str">
        <f t="shared" si="50"/>
        <v/>
      </c>
      <c r="L1610" s="23" t="str">
        <f t="shared" si="51"/>
        <v/>
      </c>
      <c r="M1610" s="23" t="str">
        <f>IF($B1610="","",ROUND(SUMIF(账户名,$B1610,账户期初)+SUMIFS($K$6:K1610,$B$6:B1610,$B1610),2))</f>
        <v/>
      </c>
      <c r="N1610" s="23" t="str">
        <f>IF($B1610="","",IFERROR(ROUND(INDEX(账户期初本位,MATCH($B1610,账户名,0))+SUMIFS($L$6:L1610,$B$6:B1610,$B1610),2),""))</f>
        <v/>
      </c>
      <c r="O1610" s="46"/>
      <c r="P1610" s="47"/>
      <c r="Q1610" s="46"/>
      <c r="R1610" s="46"/>
      <c r="S1610" s="6" t="str">
        <f>IF($B1610="","",IF(ISNA(MATCH($B1610,账户名,0)),"※这个账户不在【参数设置】的账户档案里",IF($A1610="","※没填日期，这一笔不会进任何月份的报表",IF(AND($G1610&lt;&gt;"",$H1610&lt;&gt;""),"※收入和支出不能同时填",IF(AND(N($G1610)=0,N($H1610)=0),"※收入和支出都没填",IF($E1610="","※没填收支类别，分类报表会漏掉这一笔",IF(ISNA(MATCH($E1610,类别表,0)),"※收支类别不在【参数设置】的清单里",IF($J1610="","△"&amp;$D1610&amp;" 还没填汇率，去【月度汇率】补上就自动算了",IF(YEAR($A1610)&lt;&gt;管理年度,"△不是管理年度的单据，年报里看不到",IF(AND($F1610="内部转账",$Q1610=""),"△内部转账建议在「往来单位」写上对方账户",IF($M1610&lt;0,"△这一笔之后该账户余额成负数了，核一下","")))))))))))</f>
        <v/>
      </c>
    </row>
    <row r="1611" ht="16.5" spans="1:19">
      <c r="A1611" s="45"/>
      <c r="B1611" s="46"/>
      <c r="C1611" s="12" t="str">
        <f>IF($B1611="","",IFERROR(INDEX(账户银行,MATCH($B1611,账户名,0)),""))</f>
        <v/>
      </c>
      <c r="D1611" s="12" t="str">
        <f>IF($B1611="","",IFERROR(INDEX(账户币种,MATCH($B1611,账户名,0)),""))</f>
        <v/>
      </c>
      <c r="E1611" s="47"/>
      <c r="F1611" s="12" t="str">
        <f>IF($E1611="","",IFERROR(INDEX(类别属性,MATCH($E1611,类别表,0)),""))</f>
        <v/>
      </c>
      <c r="G1611" s="48"/>
      <c r="H1611" s="48"/>
      <c r="I1611" s="49"/>
      <c r="J1611" s="24" t="str">
        <f>IF(OR($A1611="",$B1611=""),"",IF($I1611&lt;&gt;"",$I1611,IF($D1611=本位币,1,IFERROR(LOOKUP(2,1/((汇率月份&lt;=$A1611)*(INDEX(记账汇率区,0,MATCH($D1611,汇率币种头,0))&lt;&gt;"")),INDEX(记账汇率区,0,MATCH($D1611,汇率币种头,0))),""))))</f>
        <v/>
      </c>
      <c r="K1611" s="23" t="str">
        <f t="shared" si="50"/>
        <v/>
      </c>
      <c r="L1611" s="23" t="str">
        <f t="shared" si="51"/>
        <v/>
      </c>
      <c r="M1611" s="23" t="str">
        <f>IF($B1611="","",ROUND(SUMIF(账户名,$B1611,账户期初)+SUMIFS($K$6:K1611,$B$6:B1611,$B1611),2))</f>
        <v/>
      </c>
      <c r="N1611" s="23" t="str">
        <f>IF($B1611="","",IFERROR(ROUND(INDEX(账户期初本位,MATCH($B1611,账户名,0))+SUMIFS($L$6:L1611,$B$6:B1611,$B1611),2),""))</f>
        <v/>
      </c>
      <c r="O1611" s="46"/>
      <c r="P1611" s="47"/>
      <c r="Q1611" s="46"/>
      <c r="R1611" s="46"/>
      <c r="S1611" s="6" t="str">
        <f>IF($B1611="","",IF(ISNA(MATCH($B1611,账户名,0)),"※这个账户不在【参数设置】的账户档案里",IF($A1611="","※没填日期，这一笔不会进任何月份的报表",IF(AND($G1611&lt;&gt;"",$H1611&lt;&gt;""),"※收入和支出不能同时填",IF(AND(N($G1611)=0,N($H1611)=0),"※收入和支出都没填",IF($E1611="","※没填收支类别，分类报表会漏掉这一笔",IF(ISNA(MATCH($E1611,类别表,0)),"※收支类别不在【参数设置】的清单里",IF($J1611="","△"&amp;$D1611&amp;" 还没填汇率，去【月度汇率】补上就自动算了",IF(YEAR($A1611)&lt;&gt;管理年度,"△不是管理年度的单据，年报里看不到",IF(AND($F1611="内部转账",$Q1611=""),"△内部转账建议在「往来单位」写上对方账户",IF($M1611&lt;0,"△这一笔之后该账户余额成负数了，核一下","")))))))))))</f>
        <v/>
      </c>
    </row>
    <row r="1612" ht="16.5" spans="1:19">
      <c r="A1612" s="45"/>
      <c r="B1612" s="46"/>
      <c r="C1612" s="12" t="str">
        <f>IF($B1612="","",IFERROR(INDEX(账户银行,MATCH($B1612,账户名,0)),""))</f>
        <v/>
      </c>
      <c r="D1612" s="12" t="str">
        <f>IF($B1612="","",IFERROR(INDEX(账户币种,MATCH($B1612,账户名,0)),""))</f>
        <v/>
      </c>
      <c r="E1612" s="47"/>
      <c r="F1612" s="12" t="str">
        <f>IF($E1612="","",IFERROR(INDEX(类别属性,MATCH($E1612,类别表,0)),""))</f>
        <v/>
      </c>
      <c r="G1612" s="48"/>
      <c r="H1612" s="48"/>
      <c r="I1612" s="49"/>
      <c r="J1612" s="24" t="str">
        <f>IF(OR($A1612="",$B1612=""),"",IF($I1612&lt;&gt;"",$I1612,IF($D1612=本位币,1,IFERROR(LOOKUP(2,1/((汇率月份&lt;=$A1612)*(INDEX(记账汇率区,0,MATCH($D1612,汇率币种头,0))&lt;&gt;"")),INDEX(记账汇率区,0,MATCH($D1612,汇率币种头,0))),""))))</f>
        <v/>
      </c>
      <c r="K1612" s="23" t="str">
        <f t="shared" si="50"/>
        <v/>
      </c>
      <c r="L1612" s="23" t="str">
        <f t="shared" si="51"/>
        <v/>
      </c>
      <c r="M1612" s="23" t="str">
        <f>IF($B1612="","",ROUND(SUMIF(账户名,$B1612,账户期初)+SUMIFS($K$6:K1612,$B$6:B1612,$B1612),2))</f>
        <v/>
      </c>
      <c r="N1612" s="23" t="str">
        <f>IF($B1612="","",IFERROR(ROUND(INDEX(账户期初本位,MATCH($B1612,账户名,0))+SUMIFS($L$6:L1612,$B$6:B1612,$B1612),2),""))</f>
        <v/>
      </c>
      <c r="O1612" s="46"/>
      <c r="P1612" s="47"/>
      <c r="Q1612" s="46"/>
      <c r="R1612" s="46"/>
      <c r="S1612" s="6" t="str">
        <f>IF($B1612="","",IF(ISNA(MATCH($B1612,账户名,0)),"※这个账户不在【参数设置】的账户档案里",IF($A1612="","※没填日期，这一笔不会进任何月份的报表",IF(AND($G1612&lt;&gt;"",$H1612&lt;&gt;""),"※收入和支出不能同时填",IF(AND(N($G1612)=0,N($H1612)=0),"※收入和支出都没填",IF($E1612="","※没填收支类别，分类报表会漏掉这一笔",IF(ISNA(MATCH($E1612,类别表,0)),"※收支类别不在【参数设置】的清单里",IF($J1612="","△"&amp;$D1612&amp;" 还没填汇率，去【月度汇率】补上就自动算了",IF(YEAR($A1612)&lt;&gt;管理年度,"△不是管理年度的单据，年报里看不到",IF(AND($F1612="内部转账",$Q1612=""),"△内部转账建议在「往来单位」写上对方账户",IF($M1612&lt;0,"△这一笔之后该账户余额成负数了，核一下","")))))))))))</f>
        <v/>
      </c>
    </row>
    <row r="1613" ht="16.5" spans="1:19">
      <c r="A1613" s="45"/>
      <c r="B1613" s="46"/>
      <c r="C1613" s="12" t="str">
        <f>IF($B1613="","",IFERROR(INDEX(账户银行,MATCH($B1613,账户名,0)),""))</f>
        <v/>
      </c>
      <c r="D1613" s="12" t="str">
        <f>IF($B1613="","",IFERROR(INDEX(账户币种,MATCH($B1613,账户名,0)),""))</f>
        <v/>
      </c>
      <c r="E1613" s="47"/>
      <c r="F1613" s="12" t="str">
        <f>IF($E1613="","",IFERROR(INDEX(类别属性,MATCH($E1613,类别表,0)),""))</f>
        <v/>
      </c>
      <c r="G1613" s="48"/>
      <c r="H1613" s="48"/>
      <c r="I1613" s="49"/>
      <c r="J1613" s="24" t="str">
        <f>IF(OR($A1613="",$B1613=""),"",IF($I1613&lt;&gt;"",$I1613,IF($D1613=本位币,1,IFERROR(LOOKUP(2,1/((汇率月份&lt;=$A1613)*(INDEX(记账汇率区,0,MATCH($D1613,汇率币种头,0))&lt;&gt;"")),INDEX(记账汇率区,0,MATCH($D1613,汇率币种头,0))),""))))</f>
        <v/>
      </c>
      <c r="K1613" s="23" t="str">
        <f t="shared" si="50"/>
        <v/>
      </c>
      <c r="L1613" s="23" t="str">
        <f t="shared" si="51"/>
        <v/>
      </c>
      <c r="M1613" s="23" t="str">
        <f>IF($B1613="","",ROUND(SUMIF(账户名,$B1613,账户期初)+SUMIFS($K$6:K1613,$B$6:B1613,$B1613),2))</f>
        <v/>
      </c>
      <c r="N1613" s="23" t="str">
        <f>IF($B1613="","",IFERROR(ROUND(INDEX(账户期初本位,MATCH($B1613,账户名,0))+SUMIFS($L$6:L1613,$B$6:B1613,$B1613),2),""))</f>
        <v/>
      </c>
      <c r="O1613" s="46"/>
      <c r="P1613" s="47"/>
      <c r="Q1613" s="46"/>
      <c r="R1613" s="46"/>
      <c r="S1613" s="6" t="str">
        <f>IF($B1613="","",IF(ISNA(MATCH($B1613,账户名,0)),"※这个账户不在【参数设置】的账户档案里",IF($A1613="","※没填日期，这一笔不会进任何月份的报表",IF(AND($G1613&lt;&gt;"",$H1613&lt;&gt;""),"※收入和支出不能同时填",IF(AND(N($G1613)=0,N($H1613)=0),"※收入和支出都没填",IF($E1613="","※没填收支类别，分类报表会漏掉这一笔",IF(ISNA(MATCH($E1613,类别表,0)),"※收支类别不在【参数设置】的清单里",IF($J1613="","△"&amp;$D1613&amp;" 还没填汇率，去【月度汇率】补上就自动算了",IF(YEAR($A1613)&lt;&gt;管理年度,"△不是管理年度的单据，年报里看不到",IF(AND($F1613="内部转账",$Q1613=""),"△内部转账建议在「往来单位」写上对方账户",IF($M1613&lt;0,"△这一笔之后该账户余额成负数了，核一下","")))))))))))</f>
        <v/>
      </c>
    </row>
    <row r="1614" ht="16.5" spans="1:19">
      <c r="A1614" s="45"/>
      <c r="B1614" s="46"/>
      <c r="C1614" s="12" t="str">
        <f>IF($B1614="","",IFERROR(INDEX(账户银行,MATCH($B1614,账户名,0)),""))</f>
        <v/>
      </c>
      <c r="D1614" s="12" t="str">
        <f>IF($B1614="","",IFERROR(INDEX(账户币种,MATCH($B1614,账户名,0)),""))</f>
        <v/>
      </c>
      <c r="E1614" s="47"/>
      <c r="F1614" s="12" t="str">
        <f>IF($E1614="","",IFERROR(INDEX(类别属性,MATCH($E1614,类别表,0)),""))</f>
        <v/>
      </c>
      <c r="G1614" s="48"/>
      <c r="H1614" s="48"/>
      <c r="I1614" s="49"/>
      <c r="J1614" s="24" t="str">
        <f>IF(OR($A1614="",$B1614=""),"",IF($I1614&lt;&gt;"",$I1614,IF($D1614=本位币,1,IFERROR(LOOKUP(2,1/((汇率月份&lt;=$A1614)*(INDEX(记账汇率区,0,MATCH($D1614,汇率币种头,0))&lt;&gt;"")),INDEX(记账汇率区,0,MATCH($D1614,汇率币种头,0))),""))))</f>
        <v/>
      </c>
      <c r="K1614" s="23" t="str">
        <f t="shared" si="50"/>
        <v/>
      </c>
      <c r="L1614" s="23" t="str">
        <f t="shared" si="51"/>
        <v/>
      </c>
      <c r="M1614" s="23" t="str">
        <f>IF($B1614="","",ROUND(SUMIF(账户名,$B1614,账户期初)+SUMIFS($K$6:K1614,$B$6:B1614,$B1614),2))</f>
        <v/>
      </c>
      <c r="N1614" s="23" t="str">
        <f>IF($B1614="","",IFERROR(ROUND(INDEX(账户期初本位,MATCH($B1614,账户名,0))+SUMIFS($L$6:L1614,$B$6:B1614,$B1614),2),""))</f>
        <v/>
      </c>
      <c r="O1614" s="46"/>
      <c r="P1614" s="47"/>
      <c r="Q1614" s="46"/>
      <c r="R1614" s="46"/>
      <c r="S1614" s="6" t="str">
        <f>IF($B1614="","",IF(ISNA(MATCH($B1614,账户名,0)),"※这个账户不在【参数设置】的账户档案里",IF($A1614="","※没填日期，这一笔不会进任何月份的报表",IF(AND($G1614&lt;&gt;"",$H1614&lt;&gt;""),"※收入和支出不能同时填",IF(AND(N($G1614)=0,N($H1614)=0),"※收入和支出都没填",IF($E1614="","※没填收支类别，分类报表会漏掉这一笔",IF(ISNA(MATCH($E1614,类别表,0)),"※收支类别不在【参数设置】的清单里",IF($J1614="","△"&amp;$D1614&amp;" 还没填汇率，去【月度汇率】补上就自动算了",IF(YEAR($A1614)&lt;&gt;管理年度,"△不是管理年度的单据，年报里看不到",IF(AND($F1614="内部转账",$Q1614=""),"△内部转账建议在「往来单位」写上对方账户",IF($M1614&lt;0,"△这一笔之后该账户余额成负数了，核一下","")))))))))))</f>
        <v/>
      </c>
    </row>
    <row r="1615" ht="16.5" spans="1:19">
      <c r="A1615" s="45"/>
      <c r="B1615" s="46"/>
      <c r="C1615" s="12" t="str">
        <f>IF($B1615="","",IFERROR(INDEX(账户银行,MATCH($B1615,账户名,0)),""))</f>
        <v/>
      </c>
      <c r="D1615" s="12" t="str">
        <f>IF($B1615="","",IFERROR(INDEX(账户币种,MATCH($B1615,账户名,0)),""))</f>
        <v/>
      </c>
      <c r="E1615" s="47"/>
      <c r="F1615" s="12" t="str">
        <f>IF($E1615="","",IFERROR(INDEX(类别属性,MATCH($E1615,类别表,0)),""))</f>
        <v/>
      </c>
      <c r="G1615" s="48"/>
      <c r="H1615" s="48"/>
      <c r="I1615" s="49"/>
      <c r="J1615" s="24" t="str">
        <f>IF(OR($A1615="",$B1615=""),"",IF($I1615&lt;&gt;"",$I1615,IF($D1615=本位币,1,IFERROR(LOOKUP(2,1/((汇率月份&lt;=$A1615)*(INDEX(记账汇率区,0,MATCH($D1615,汇率币种头,0))&lt;&gt;"")),INDEX(记账汇率区,0,MATCH($D1615,汇率币种头,0))),""))))</f>
        <v/>
      </c>
      <c r="K1615" s="23" t="str">
        <f t="shared" si="50"/>
        <v/>
      </c>
      <c r="L1615" s="23" t="str">
        <f t="shared" si="51"/>
        <v/>
      </c>
      <c r="M1615" s="23" t="str">
        <f>IF($B1615="","",ROUND(SUMIF(账户名,$B1615,账户期初)+SUMIFS($K$6:K1615,$B$6:B1615,$B1615),2))</f>
        <v/>
      </c>
      <c r="N1615" s="23" t="str">
        <f>IF($B1615="","",IFERROR(ROUND(INDEX(账户期初本位,MATCH($B1615,账户名,0))+SUMIFS($L$6:L1615,$B$6:B1615,$B1615),2),""))</f>
        <v/>
      </c>
      <c r="O1615" s="46"/>
      <c r="P1615" s="47"/>
      <c r="Q1615" s="46"/>
      <c r="R1615" s="46"/>
      <c r="S1615" s="6" t="str">
        <f>IF($B1615="","",IF(ISNA(MATCH($B1615,账户名,0)),"※这个账户不在【参数设置】的账户档案里",IF($A1615="","※没填日期，这一笔不会进任何月份的报表",IF(AND($G1615&lt;&gt;"",$H1615&lt;&gt;""),"※收入和支出不能同时填",IF(AND(N($G1615)=0,N($H1615)=0),"※收入和支出都没填",IF($E1615="","※没填收支类别，分类报表会漏掉这一笔",IF(ISNA(MATCH($E1615,类别表,0)),"※收支类别不在【参数设置】的清单里",IF($J1615="","△"&amp;$D1615&amp;" 还没填汇率，去【月度汇率】补上就自动算了",IF(YEAR($A1615)&lt;&gt;管理年度,"△不是管理年度的单据，年报里看不到",IF(AND($F1615="内部转账",$Q1615=""),"△内部转账建议在「往来单位」写上对方账户",IF($M1615&lt;0,"△这一笔之后该账户余额成负数了，核一下","")))))))))))</f>
        <v/>
      </c>
    </row>
    <row r="1616" ht="16.5" spans="1:19">
      <c r="A1616" s="45"/>
      <c r="B1616" s="46"/>
      <c r="C1616" s="12" t="str">
        <f>IF($B1616="","",IFERROR(INDEX(账户银行,MATCH($B1616,账户名,0)),""))</f>
        <v/>
      </c>
      <c r="D1616" s="12" t="str">
        <f>IF($B1616="","",IFERROR(INDEX(账户币种,MATCH($B1616,账户名,0)),""))</f>
        <v/>
      </c>
      <c r="E1616" s="47"/>
      <c r="F1616" s="12" t="str">
        <f>IF($E1616="","",IFERROR(INDEX(类别属性,MATCH($E1616,类别表,0)),""))</f>
        <v/>
      </c>
      <c r="G1616" s="48"/>
      <c r="H1616" s="48"/>
      <c r="I1616" s="49"/>
      <c r="J1616" s="24" t="str">
        <f>IF(OR($A1616="",$B1616=""),"",IF($I1616&lt;&gt;"",$I1616,IF($D1616=本位币,1,IFERROR(LOOKUP(2,1/((汇率月份&lt;=$A1616)*(INDEX(记账汇率区,0,MATCH($D1616,汇率币种头,0))&lt;&gt;"")),INDEX(记账汇率区,0,MATCH($D1616,汇率币种头,0))),""))))</f>
        <v/>
      </c>
      <c r="K1616" s="23" t="str">
        <f t="shared" si="50"/>
        <v/>
      </c>
      <c r="L1616" s="23" t="str">
        <f t="shared" si="51"/>
        <v/>
      </c>
      <c r="M1616" s="23" t="str">
        <f>IF($B1616="","",ROUND(SUMIF(账户名,$B1616,账户期初)+SUMIFS($K$6:K1616,$B$6:B1616,$B1616),2))</f>
        <v/>
      </c>
      <c r="N1616" s="23" t="str">
        <f>IF($B1616="","",IFERROR(ROUND(INDEX(账户期初本位,MATCH($B1616,账户名,0))+SUMIFS($L$6:L1616,$B$6:B1616,$B1616),2),""))</f>
        <v/>
      </c>
      <c r="O1616" s="46"/>
      <c r="P1616" s="47"/>
      <c r="Q1616" s="46"/>
      <c r="R1616" s="46"/>
      <c r="S1616" s="6" t="str">
        <f>IF($B1616="","",IF(ISNA(MATCH($B1616,账户名,0)),"※这个账户不在【参数设置】的账户档案里",IF($A1616="","※没填日期，这一笔不会进任何月份的报表",IF(AND($G1616&lt;&gt;"",$H1616&lt;&gt;""),"※收入和支出不能同时填",IF(AND(N($G1616)=0,N($H1616)=0),"※收入和支出都没填",IF($E1616="","※没填收支类别，分类报表会漏掉这一笔",IF(ISNA(MATCH($E1616,类别表,0)),"※收支类别不在【参数设置】的清单里",IF($J1616="","△"&amp;$D1616&amp;" 还没填汇率，去【月度汇率】补上就自动算了",IF(YEAR($A1616)&lt;&gt;管理年度,"△不是管理年度的单据，年报里看不到",IF(AND($F1616="内部转账",$Q1616=""),"△内部转账建议在「往来单位」写上对方账户",IF($M1616&lt;0,"△这一笔之后该账户余额成负数了，核一下","")))))))))))</f>
        <v/>
      </c>
    </row>
    <row r="1617" ht="16.5" spans="1:19">
      <c r="A1617" s="45"/>
      <c r="B1617" s="46"/>
      <c r="C1617" s="12" t="str">
        <f>IF($B1617="","",IFERROR(INDEX(账户银行,MATCH($B1617,账户名,0)),""))</f>
        <v/>
      </c>
      <c r="D1617" s="12" t="str">
        <f>IF($B1617="","",IFERROR(INDEX(账户币种,MATCH($B1617,账户名,0)),""))</f>
        <v/>
      </c>
      <c r="E1617" s="47"/>
      <c r="F1617" s="12" t="str">
        <f>IF($E1617="","",IFERROR(INDEX(类别属性,MATCH($E1617,类别表,0)),""))</f>
        <v/>
      </c>
      <c r="G1617" s="48"/>
      <c r="H1617" s="48"/>
      <c r="I1617" s="49"/>
      <c r="J1617" s="24" t="str">
        <f>IF(OR($A1617="",$B1617=""),"",IF($I1617&lt;&gt;"",$I1617,IF($D1617=本位币,1,IFERROR(LOOKUP(2,1/((汇率月份&lt;=$A1617)*(INDEX(记账汇率区,0,MATCH($D1617,汇率币种头,0))&lt;&gt;"")),INDEX(记账汇率区,0,MATCH($D1617,汇率币种头,0))),""))))</f>
        <v/>
      </c>
      <c r="K1617" s="23" t="str">
        <f t="shared" si="50"/>
        <v/>
      </c>
      <c r="L1617" s="23" t="str">
        <f t="shared" si="51"/>
        <v/>
      </c>
      <c r="M1617" s="23" t="str">
        <f>IF($B1617="","",ROUND(SUMIF(账户名,$B1617,账户期初)+SUMIFS($K$6:K1617,$B$6:B1617,$B1617),2))</f>
        <v/>
      </c>
      <c r="N1617" s="23" t="str">
        <f>IF($B1617="","",IFERROR(ROUND(INDEX(账户期初本位,MATCH($B1617,账户名,0))+SUMIFS($L$6:L1617,$B$6:B1617,$B1617),2),""))</f>
        <v/>
      </c>
      <c r="O1617" s="46"/>
      <c r="P1617" s="47"/>
      <c r="Q1617" s="46"/>
      <c r="R1617" s="46"/>
      <c r="S1617" s="6" t="str">
        <f>IF($B1617="","",IF(ISNA(MATCH($B1617,账户名,0)),"※这个账户不在【参数设置】的账户档案里",IF($A1617="","※没填日期，这一笔不会进任何月份的报表",IF(AND($G1617&lt;&gt;"",$H1617&lt;&gt;""),"※收入和支出不能同时填",IF(AND(N($G1617)=0,N($H1617)=0),"※收入和支出都没填",IF($E1617="","※没填收支类别，分类报表会漏掉这一笔",IF(ISNA(MATCH($E1617,类别表,0)),"※收支类别不在【参数设置】的清单里",IF($J1617="","△"&amp;$D1617&amp;" 还没填汇率，去【月度汇率】补上就自动算了",IF(YEAR($A1617)&lt;&gt;管理年度,"△不是管理年度的单据，年报里看不到",IF(AND($F1617="内部转账",$Q1617=""),"△内部转账建议在「往来单位」写上对方账户",IF($M1617&lt;0,"△这一笔之后该账户余额成负数了，核一下","")))))))))))</f>
        <v/>
      </c>
    </row>
    <row r="1618" ht="16.5" spans="1:19">
      <c r="A1618" s="45"/>
      <c r="B1618" s="46"/>
      <c r="C1618" s="12" t="str">
        <f>IF($B1618="","",IFERROR(INDEX(账户银行,MATCH($B1618,账户名,0)),""))</f>
        <v/>
      </c>
      <c r="D1618" s="12" t="str">
        <f>IF($B1618="","",IFERROR(INDEX(账户币种,MATCH($B1618,账户名,0)),""))</f>
        <v/>
      </c>
      <c r="E1618" s="47"/>
      <c r="F1618" s="12" t="str">
        <f>IF($E1618="","",IFERROR(INDEX(类别属性,MATCH($E1618,类别表,0)),""))</f>
        <v/>
      </c>
      <c r="G1618" s="48"/>
      <c r="H1618" s="48"/>
      <c r="I1618" s="49"/>
      <c r="J1618" s="24" t="str">
        <f>IF(OR($A1618="",$B1618=""),"",IF($I1618&lt;&gt;"",$I1618,IF($D1618=本位币,1,IFERROR(LOOKUP(2,1/((汇率月份&lt;=$A1618)*(INDEX(记账汇率区,0,MATCH($D1618,汇率币种头,0))&lt;&gt;"")),INDEX(记账汇率区,0,MATCH($D1618,汇率币种头,0))),""))))</f>
        <v/>
      </c>
      <c r="K1618" s="23" t="str">
        <f t="shared" si="50"/>
        <v/>
      </c>
      <c r="L1618" s="23" t="str">
        <f t="shared" si="51"/>
        <v/>
      </c>
      <c r="M1618" s="23" t="str">
        <f>IF($B1618="","",ROUND(SUMIF(账户名,$B1618,账户期初)+SUMIFS($K$6:K1618,$B$6:B1618,$B1618),2))</f>
        <v/>
      </c>
      <c r="N1618" s="23" t="str">
        <f>IF($B1618="","",IFERROR(ROUND(INDEX(账户期初本位,MATCH($B1618,账户名,0))+SUMIFS($L$6:L1618,$B$6:B1618,$B1618),2),""))</f>
        <v/>
      </c>
      <c r="O1618" s="46"/>
      <c r="P1618" s="47"/>
      <c r="Q1618" s="46"/>
      <c r="R1618" s="46"/>
      <c r="S1618" s="6" t="str">
        <f>IF($B1618="","",IF(ISNA(MATCH($B1618,账户名,0)),"※这个账户不在【参数设置】的账户档案里",IF($A1618="","※没填日期，这一笔不会进任何月份的报表",IF(AND($G1618&lt;&gt;"",$H1618&lt;&gt;""),"※收入和支出不能同时填",IF(AND(N($G1618)=0,N($H1618)=0),"※收入和支出都没填",IF($E1618="","※没填收支类别，分类报表会漏掉这一笔",IF(ISNA(MATCH($E1618,类别表,0)),"※收支类别不在【参数设置】的清单里",IF($J1618="","△"&amp;$D1618&amp;" 还没填汇率，去【月度汇率】补上就自动算了",IF(YEAR($A1618)&lt;&gt;管理年度,"△不是管理年度的单据，年报里看不到",IF(AND($F1618="内部转账",$Q1618=""),"△内部转账建议在「往来单位」写上对方账户",IF($M1618&lt;0,"△这一笔之后该账户余额成负数了，核一下","")))))))))))</f>
        <v/>
      </c>
    </row>
    <row r="1619" ht="16.5" spans="1:19">
      <c r="A1619" s="45"/>
      <c r="B1619" s="46"/>
      <c r="C1619" s="12" t="str">
        <f>IF($B1619="","",IFERROR(INDEX(账户银行,MATCH($B1619,账户名,0)),""))</f>
        <v/>
      </c>
      <c r="D1619" s="12" t="str">
        <f>IF($B1619="","",IFERROR(INDEX(账户币种,MATCH($B1619,账户名,0)),""))</f>
        <v/>
      </c>
      <c r="E1619" s="47"/>
      <c r="F1619" s="12" t="str">
        <f>IF($E1619="","",IFERROR(INDEX(类别属性,MATCH($E1619,类别表,0)),""))</f>
        <v/>
      </c>
      <c r="G1619" s="48"/>
      <c r="H1619" s="48"/>
      <c r="I1619" s="49"/>
      <c r="J1619" s="24" t="str">
        <f>IF(OR($A1619="",$B1619=""),"",IF($I1619&lt;&gt;"",$I1619,IF($D1619=本位币,1,IFERROR(LOOKUP(2,1/((汇率月份&lt;=$A1619)*(INDEX(记账汇率区,0,MATCH($D1619,汇率币种头,0))&lt;&gt;"")),INDEX(记账汇率区,0,MATCH($D1619,汇率币种头,0))),""))))</f>
        <v/>
      </c>
      <c r="K1619" s="23" t="str">
        <f t="shared" si="50"/>
        <v/>
      </c>
      <c r="L1619" s="23" t="str">
        <f t="shared" si="51"/>
        <v/>
      </c>
      <c r="M1619" s="23" t="str">
        <f>IF($B1619="","",ROUND(SUMIF(账户名,$B1619,账户期初)+SUMIFS($K$6:K1619,$B$6:B1619,$B1619),2))</f>
        <v/>
      </c>
      <c r="N1619" s="23" t="str">
        <f>IF($B1619="","",IFERROR(ROUND(INDEX(账户期初本位,MATCH($B1619,账户名,0))+SUMIFS($L$6:L1619,$B$6:B1619,$B1619),2),""))</f>
        <v/>
      </c>
      <c r="O1619" s="46"/>
      <c r="P1619" s="47"/>
      <c r="Q1619" s="46"/>
      <c r="R1619" s="46"/>
      <c r="S1619" s="6" t="str">
        <f>IF($B1619="","",IF(ISNA(MATCH($B1619,账户名,0)),"※这个账户不在【参数设置】的账户档案里",IF($A1619="","※没填日期，这一笔不会进任何月份的报表",IF(AND($G1619&lt;&gt;"",$H1619&lt;&gt;""),"※收入和支出不能同时填",IF(AND(N($G1619)=0,N($H1619)=0),"※收入和支出都没填",IF($E1619="","※没填收支类别，分类报表会漏掉这一笔",IF(ISNA(MATCH($E1619,类别表,0)),"※收支类别不在【参数设置】的清单里",IF($J1619="","△"&amp;$D1619&amp;" 还没填汇率，去【月度汇率】补上就自动算了",IF(YEAR($A1619)&lt;&gt;管理年度,"△不是管理年度的单据，年报里看不到",IF(AND($F1619="内部转账",$Q1619=""),"△内部转账建议在「往来单位」写上对方账户",IF($M1619&lt;0,"△这一笔之后该账户余额成负数了，核一下","")))))))))))</f>
        <v/>
      </c>
    </row>
    <row r="1620" ht="16.5" spans="1:19">
      <c r="A1620" s="45"/>
      <c r="B1620" s="46"/>
      <c r="C1620" s="12" t="str">
        <f>IF($B1620="","",IFERROR(INDEX(账户银行,MATCH($B1620,账户名,0)),""))</f>
        <v/>
      </c>
      <c r="D1620" s="12" t="str">
        <f>IF($B1620="","",IFERROR(INDEX(账户币种,MATCH($B1620,账户名,0)),""))</f>
        <v/>
      </c>
      <c r="E1620" s="47"/>
      <c r="F1620" s="12" t="str">
        <f>IF($E1620="","",IFERROR(INDEX(类别属性,MATCH($E1620,类别表,0)),""))</f>
        <v/>
      </c>
      <c r="G1620" s="48"/>
      <c r="H1620" s="48"/>
      <c r="I1620" s="49"/>
      <c r="J1620" s="24" t="str">
        <f>IF(OR($A1620="",$B1620=""),"",IF($I1620&lt;&gt;"",$I1620,IF($D1620=本位币,1,IFERROR(LOOKUP(2,1/((汇率月份&lt;=$A1620)*(INDEX(记账汇率区,0,MATCH($D1620,汇率币种头,0))&lt;&gt;"")),INDEX(记账汇率区,0,MATCH($D1620,汇率币种头,0))),""))))</f>
        <v/>
      </c>
      <c r="K1620" s="23" t="str">
        <f t="shared" si="50"/>
        <v/>
      </c>
      <c r="L1620" s="23" t="str">
        <f t="shared" si="51"/>
        <v/>
      </c>
      <c r="M1620" s="23" t="str">
        <f>IF($B1620="","",ROUND(SUMIF(账户名,$B1620,账户期初)+SUMIFS($K$6:K1620,$B$6:B1620,$B1620),2))</f>
        <v/>
      </c>
      <c r="N1620" s="23" t="str">
        <f>IF($B1620="","",IFERROR(ROUND(INDEX(账户期初本位,MATCH($B1620,账户名,0))+SUMIFS($L$6:L1620,$B$6:B1620,$B1620),2),""))</f>
        <v/>
      </c>
      <c r="O1620" s="46"/>
      <c r="P1620" s="47"/>
      <c r="Q1620" s="46"/>
      <c r="R1620" s="46"/>
      <c r="S1620" s="6" t="str">
        <f>IF($B1620="","",IF(ISNA(MATCH($B1620,账户名,0)),"※这个账户不在【参数设置】的账户档案里",IF($A1620="","※没填日期，这一笔不会进任何月份的报表",IF(AND($G1620&lt;&gt;"",$H1620&lt;&gt;""),"※收入和支出不能同时填",IF(AND(N($G1620)=0,N($H1620)=0),"※收入和支出都没填",IF($E1620="","※没填收支类别，分类报表会漏掉这一笔",IF(ISNA(MATCH($E1620,类别表,0)),"※收支类别不在【参数设置】的清单里",IF($J1620="","△"&amp;$D1620&amp;" 还没填汇率，去【月度汇率】补上就自动算了",IF(YEAR($A1620)&lt;&gt;管理年度,"△不是管理年度的单据，年报里看不到",IF(AND($F1620="内部转账",$Q1620=""),"△内部转账建议在「往来单位」写上对方账户",IF($M1620&lt;0,"△这一笔之后该账户余额成负数了，核一下","")))))))))))</f>
        <v/>
      </c>
    </row>
    <row r="1621" ht="16.5" spans="1:19">
      <c r="A1621" s="45"/>
      <c r="B1621" s="46"/>
      <c r="C1621" s="12" t="str">
        <f>IF($B1621="","",IFERROR(INDEX(账户银行,MATCH($B1621,账户名,0)),""))</f>
        <v/>
      </c>
      <c r="D1621" s="12" t="str">
        <f>IF($B1621="","",IFERROR(INDEX(账户币种,MATCH($B1621,账户名,0)),""))</f>
        <v/>
      </c>
      <c r="E1621" s="47"/>
      <c r="F1621" s="12" t="str">
        <f>IF($E1621="","",IFERROR(INDEX(类别属性,MATCH($E1621,类别表,0)),""))</f>
        <v/>
      </c>
      <c r="G1621" s="48"/>
      <c r="H1621" s="48"/>
      <c r="I1621" s="49"/>
      <c r="J1621" s="24" t="str">
        <f>IF(OR($A1621="",$B1621=""),"",IF($I1621&lt;&gt;"",$I1621,IF($D1621=本位币,1,IFERROR(LOOKUP(2,1/((汇率月份&lt;=$A1621)*(INDEX(记账汇率区,0,MATCH($D1621,汇率币种头,0))&lt;&gt;"")),INDEX(记账汇率区,0,MATCH($D1621,汇率币种头,0))),""))))</f>
        <v/>
      </c>
      <c r="K1621" s="23" t="str">
        <f t="shared" si="50"/>
        <v/>
      </c>
      <c r="L1621" s="23" t="str">
        <f t="shared" si="51"/>
        <v/>
      </c>
      <c r="M1621" s="23" t="str">
        <f>IF($B1621="","",ROUND(SUMIF(账户名,$B1621,账户期初)+SUMIFS($K$6:K1621,$B$6:B1621,$B1621),2))</f>
        <v/>
      </c>
      <c r="N1621" s="23" t="str">
        <f>IF($B1621="","",IFERROR(ROUND(INDEX(账户期初本位,MATCH($B1621,账户名,0))+SUMIFS($L$6:L1621,$B$6:B1621,$B1621),2),""))</f>
        <v/>
      </c>
      <c r="O1621" s="46"/>
      <c r="P1621" s="47"/>
      <c r="Q1621" s="46"/>
      <c r="R1621" s="46"/>
      <c r="S1621" s="6" t="str">
        <f>IF($B1621="","",IF(ISNA(MATCH($B1621,账户名,0)),"※这个账户不在【参数设置】的账户档案里",IF($A1621="","※没填日期，这一笔不会进任何月份的报表",IF(AND($G1621&lt;&gt;"",$H1621&lt;&gt;""),"※收入和支出不能同时填",IF(AND(N($G1621)=0,N($H1621)=0),"※收入和支出都没填",IF($E1621="","※没填收支类别，分类报表会漏掉这一笔",IF(ISNA(MATCH($E1621,类别表,0)),"※收支类别不在【参数设置】的清单里",IF($J1621="","△"&amp;$D1621&amp;" 还没填汇率，去【月度汇率】补上就自动算了",IF(YEAR($A1621)&lt;&gt;管理年度,"△不是管理年度的单据，年报里看不到",IF(AND($F1621="内部转账",$Q1621=""),"△内部转账建议在「往来单位」写上对方账户",IF($M1621&lt;0,"△这一笔之后该账户余额成负数了，核一下","")))))))))))</f>
        <v/>
      </c>
    </row>
    <row r="1622" ht="16.5" spans="1:19">
      <c r="A1622" s="45"/>
      <c r="B1622" s="46"/>
      <c r="C1622" s="12" t="str">
        <f>IF($B1622="","",IFERROR(INDEX(账户银行,MATCH($B1622,账户名,0)),""))</f>
        <v/>
      </c>
      <c r="D1622" s="12" t="str">
        <f>IF($B1622="","",IFERROR(INDEX(账户币种,MATCH($B1622,账户名,0)),""))</f>
        <v/>
      </c>
      <c r="E1622" s="47"/>
      <c r="F1622" s="12" t="str">
        <f>IF($E1622="","",IFERROR(INDEX(类别属性,MATCH($E1622,类别表,0)),""))</f>
        <v/>
      </c>
      <c r="G1622" s="48"/>
      <c r="H1622" s="48"/>
      <c r="I1622" s="49"/>
      <c r="J1622" s="24" t="str">
        <f>IF(OR($A1622="",$B1622=""),"",IF($I1622&lt;&gt;"",$I1622,IF($D1622=本位币,1,IFERROR(LOOKUP(2,1/((汇率月份&lt;=$A1622)*(INDEX(记账汇率区,0,MATCH($D1622,汇率币种头,0))&lt;&gt;"")),INDEX(记账汇率区,0,MATCH($D1622,汇率币种头,0))),""))))</f>
        <v/>
      </c>
      <c r="K1622" s="23" t="str">
        <f t="shared" si="50"/>
        <v/>
      </c>
      <c r="L1622" s="23" t="str">
        <f t="shared" si="51"/>
        <v/>
      </c>
      <c r="M1622" s="23" t="str">
        <f>IF($B1622="","",ROUND(SUMIF(账户名,$B1622,账户期初)+SUMIFS($K$6:K1622,$B$6:B1622,$B1622),2))</f>
        <v/>
      </c>
      <c r="N1622" s="23" t="str">
        <f>IF($B1622="","",IFERROR(ROUND(INDEX(账户期初本位,MATCH($B1622,账户名,0))+SUMIFS($L$6:L1622,$B$6:B1622,$B1622),2),""))</f>
        <v/>
      </c>
      <c r="O1622" s="46"/>
      <c r="P1622" s="47"/>
      <c r="Q1622" s="46"/>
      <c r="R1622" s="46"/>
      <c r="S1622" s="6" t="str">
        <f>IF($B1622="","",IF(ISNA(MATCH($B1622,账户名,0)),"※这个账户不在【参数设置】的账户档案里",IF($A1622="","※没填日期，这一笔不会进任何月份的报表",IF(AND($G1622&lt;&gt;"",$H1622&lt;&gt;""),"※收入和支出不能同时填",IF(AND(N($G1622)=0,N($H1622)=0),"※收入和支出都没填",IF($E1622="","※没填收支类别，分类报表会漏掉这一笔",IF(ISNA(MATCH($E1622,类别表,0)),"※收支类别不在【参数设置】的清单里",IF($J1622="","△"&amp;$D1622&amp;" 还没填汇率，去【月度汇率】补上就自动算了",IF(YEAR($A1622)&lt;&gt;管理年度,"△不是管理年度的单据，年报里看不到",IF(AND($F1622="内部转账",$Q1622=""),"△内部转账建议在「往来单位」写上对方账户",IF($M1622&lt;0,"△这一笔之后该账户余额成负数了，核一下","")))))))))))</f>
        <v/>
      </c>
    </row>
    <row r="1623" ht="16.5" spans="1:19">
      <c r="A1623" s="45"/>
      <c r="B1623" s="46"/>
      <c r="C1623" s="12" t="str">
        <f>IF($B1623="","",IFERROR(INDEX(账户银行,MATCH($B1623,账户名,0)),""))</f>
        <v/>
      </c>
      <c r="D1623" s="12" t="str">
        <f>IF($B1623="","",IFERROR(INDEX(账户币种,MATCH($B1623,账户名,0)),""))</f>
        <v/>
      </c>
      <c r="E1623" s="47"/>
      <c r="F1623" s="12" t="str">
        <f>IF($E1623="","",IFERROR(INDEX(类别属性,MATCH($E1623,类别表,0)),""))</f>
        <v/>
      </c>
      <c r="G1623" s="48"/>
      <c r="H1623" s="48"/>
      <c r="I1623" s="49"/>
      <c r="J1623" s="24" t="str">
        <f>IF(OR($A1623="",$B1623=""),"",IF($I1623&lt;&gt;"",$I1623,IF($D1623=本位币,1,IFERROR(LOOKUP(2,1/((汇率月份&lt;=$A1623)*(INDEX(记账汇率区,0,MATCH($D1623,汇率币种头,0))&lt;&gt;"")),INDEX(记账汇率区,0,MATCH($D1623,汇率币种头,0))),""))))</f>
        <v/>
      </c>
      <c r="K1623" s="23" t="str">
        <f t="shared" si="50"/>
        <v/>
      </c>
      <c r="L1623" s="23" t="str">
        <f t="shared" si="51"/>
        <v/>
      </c>
      <c r="M1623" s="23" t="str">
        <f>IF($B1623="","",ROUND(SUMIF(账户名,$B1623,账户期初)+SUMIFS($K$6:K1623,$B$6:B1623,$B1623),2))</f>
        <v/>
      </c>
      <c r="N1623" s="23" t="str">
        <f>IF($B1623="","",IFERROR(ROUND(INDEX(账户期初本位,MATCH($B1623,账户名,0))+SUMIFS($L$6:L1623,$B$6:B1623,$B1623),2),""))</f>
        <v/>
      </c>
      <c r="O1623" s="46"/>
      <c r="P1623" s="47"/>
      <c r="Q1623" s="46"/>
      <c r="R1623" s="46"/>
      <c r="S1623" s="6" t="str">
        <f>IF($B1623="","",IF(ISNA(MATCH($B1623,账户名,0)),"※这个账户不在【参数设置】的账户档案里",IF($A1623="","※没填日期，这一笔不会进任何月份的报表",IF(AND($G1623&lt;&gt;"",$H1623&lt;&gt;""),"※收入和支出不能同时填",IF(AND(N($G1623)=0,N($H1623)=0),"※收入和支出都没填",IF($E1623="","※没填收支类别，分类报表会漏掉这一笔",IF(ISNA(MATCH($E1623,类别表,0)),"※收支类别不在【参数设置】的清单里",IF($J1623="","△"&amp;$D1623&amp;" 还没填汇率，去【月度汇率】补上就自动算了",IF(YEAR($A1623)&lt;&gt;管理年度,"△不是管理年度的单据，年报里看不到",IF(AND($F1623="内部转账",$Q1623=""),"△内部转账建议在「往来单位」写上对方账户",IF($M1623&lt;0,"△这一笔之后该账户余额成负数了，核一下","")))))))))))</f>
        <v/>
      </c>
    </row>
    <row r="1624" ht="16.5" spans="1:19">
      <c r="A1624" s="45"/>
      <c r="B1624" s="46"/>
      <c r="C1624" s="12" t="str">
        <f>IF($B1624="","",IFERROR(INDEX(账户银行,MATCH($B1624,账户名,0)),""))</f>
        <v/>
      </c>
      <c r="D1624" s="12" t="str">
        <f>IF($B1624="","",IFERROR(INDEX(账户币种,MATCH($B1624,账户名,0)),""))</f>
        <v/>
      </c>
      <c r="E1624" s="47"/>
      <c r="F1624" s="12" t="str">
        <f>IF($E1624="","",IFERROR(INDEX(类别属性,MATCH($E1624,类别表,0)),""))</f>
        <v/>
      </c>
      <c r="G1624" s="48"/>
      <c r="H1624" s="48"/>
      <c r="I1624" s="49"/>
      <c r="J1624" s="24" t="str">
        <f>IF(OR($A1624="",$B1624=""),"",IF($I1624&lt;&gt;"",$I1624,IF($D1624=本位币,1,IFERROR(LOOKUP(2,1/((汇率月份&lt;=$A1624)*(INDEX(记账汇率区,0,MATCH($D1624,汇率币种头,0))&lt;&gt;"")),INDEX(记账汇率区,0,MATCH($D1624,汇率币种头,0))),""))))</f>
        <v/>
      </c>
      <c r="K1624" s="23" t="str">
        <f t="shared" si="50"/>
        <v/>
      </c>
      <c r="L1624" s="23" t="str">
        <f t="shared" si="51"/>
        <v/>
      </c>
      <c r="M1624" s="23" t="str">
        <f>IF($B1624="","",ROUND(SUMIF(账户名,$B1624,账户期初)+SUMIFS($K$6:K1624,$B$6:B1624,$B1624),2))</f>
        <v/>
      </c>
      <c r="N1624" s="23" t="str">
        <f>IF($B1624="","",IFERROR(ROUND(INDEX(账户期初本位,MATCH($B1624,账户名,0))+SUMIFS($L$6:L1624,$B$6:B1624,$B1624),2),""))</f>
        <v/>
      </c>
      <c r="O1624" s="46"/>
      <c r="P1624" s="47"/>
      <c r="Q1624" s="46"/>
      <c r="R1624" s="46"/>
      <c r="S1624" s="6" t="str">
        <f>IF($B1624="","",IF(ISNA(MATCH($B1624,账户名,0)),"※这个账户不在【参数设置】的账户档案里",IF($A1624="","※没填日期，这一笔不会进任何月份的报表",IF(AND($G1624&lt;&gt;"",$H1624&lt;&gt;""),"※收入和支出不能同时填",IF(AND(N($G1624)=0,N($H1624)=0),"※收入和支出都没填",IF($E1624="","※没填收支类别，分类报表会漏掉这一笔",IF(ISNA(MATCH($E1624,类别表,0)),"※收支类别不在【参数设置】的清单里",IF($J1624="","△"&amp;$D1624&amp;" 还没填汇率，去【月度汇率】补上就自动算了",IF(YEAR($A1624)&lt;&gt;管理年度,"△不是管理年度的单据，年报里看不到",IF(AND($F1624="内部转账",$Q1624=""),"△内部转账建议在「往来单位」写上对方账户",IF($M1624&lt;0,"△这一笔之后该账户余额成负数了，核一下","")))))))))))</f>
        <v/>
      </c>
    </row>
    <row r="1625" ht="16.5" spans="1:19">
      <c r="A1625" s="45"/>
      <c r="B1625" s="46"/>
      <c r="C1625" s="12" t="str">
        <f>IF($B1625="","",IFERROR(INDEX(账户银行,MATCH($B1625,账户名,0)),""))</f>
        <v/>
      </c>
      <c r="D1625" s="12" t="str">
        <f>IF($B1625="","",IFERROR(INDEX(账户币种,MATCH($B1625,账户名,0)),""))</f>
        <v/>
      </c>
      <c r="E1625" s="47"/>
      <c r="F1625" s="12" t="str">
        <f>IF($E1625="","",IFERROR(INDEX(类别属性,MATCH($E1625,类别表,0)),""))</f>
        <v/>
      </c>
      <c r="G1625" s="48"/>
      <c r="H1625" s="48"/>
      <c r="I1625" s="49"/>
      <c r="J1625" s="24" t="str">
        <f>IF(OR($A1625="",$B1625=""),"",IF($I1625&lt;&gt;"",$I1625,IF($D1625=本位币,1,IFERROR(LOOKUP(2,1/((汇率月份&lt;=$A1625)*(INDEX(记账汇率区,0,MATCH($D1625,汇率币种头,0))&lt;&gt;"")),INDEX(记账汇率区,0,MATCH($D1625,汇率币种头,0))),""))))</f>
        <v/>
      </c>
      <c r="K1625" s="23" t="str">
        <f t="shared" si="50"/>
        <v/>
      </c>
      <c r="L1625" s="23" t="str">
        <f t="shared" si="51"/>
        <v/>
      </c>
      <c r="M1625" s="23" t="str">
        <f>IF($B1625="","",ROUND(SUMIF(账户名,$B1625,账户期初)+SUMIFS($K$6:K1625,$B$6:B1625,$B1625),2))</f>
        <v/>
      </c>
      <c r="N1625" s="23" t="str">
        <f>IF($B1625="","",IFERROR(ROUND(INDEX(账户期初本位,MATCH($B1625,账户名,0))+SUMIFS($L$6:L1625,$B$6:B1625,$B1625),2),""))</f>
        <v/>
      </c>
      <c r="O1625" s="46"/>
      <c r="P1625" s="47"/>
      <c r="Q1625" s="46"/>
      <c r="R1625" s="46"/>
      <c r="S1625" s="6" t="str">
        <f>IF($B1625="","",IF(ISNA(MATCH($B1625,账户名,0)),"※这个账户不在【参数设置】的账户档案里",IF($A1625="","※没填日期，这一笔不会进任何月份的报表",IF(AND($G1625&lt;&gt;"",$H1625&lt;&gt;""),"※收入和支出不能同时填",IF(AND(N($G1625)=0,N($H1625)=0),"※收入和支出都没填",IF($E1625="","※没填收支类别，分类报表会漏掉这一笔",IF(ISNA(MATCH($E1625,类别表,0)),"※收支类别不在【参数设置】的清单里",IF($J1625="","△"&amp;$D1625&amp;" 还没填汇率，去【月度汇率】补上就自动算了",IF(YEAR($A1625)&lt;&gt;管理年度,"△不是管理年度的单据，年报里看不到",IF(AND($F1625="内部转账",$Q1625=""),"△内部转账建议在「往来单位」写上对方账户",IF($M1625&lt;0,"△这一笔之后该账户余额成负数了，核一下","")))))))))))</f>
        <v/>
      </c>
    </row>
    <row r="1626" ht="16.5" spans="1:19">
      <c r="A1626" s="45"/>
      <c r="B1626" s="46"/>
      <c r="C1626" s="12" t="str">
        <f>IF($B1626="","",IFERROR(INDEX(账户银行,MATCH($B1626,账户名,0)),""))</f>
        <v/>
      </c>
      <c r="D1626" s="12" t="str">
        <f>IF($B1626="","",IFERROR(INDEX(账户币种,MATCH($B1626,账户名,0)),""))</f>
        <v/>
      </c>
      <c r="E1626" s="47"/>
      <c r="F1626" s="12" t="str">
        <f>IF($E1626="","",IFERROR(INDEX(类别属性,MATCH($E1626,类别表,0)),""))</f>
        <v/>
      </c>
      <c r="G1626" s="48"/>
      <c r="H1626" s="48"/>
      <c r="I1626" s="49"/>
      <c r="J1626" s="24" t="str">
        <f>IF(OR($A1626="",$B1626=""),"",IF($I1626&lt;&gt;"",$I1626,IF($D1626=本位币,1,IFERROR(LOOKUP(2,1/((汇率月份&lt;=$A1626)*(INDEX(记账汇率区,0,MATCH($D1626,汇率币种头,0))&lt;&gt;"")),INDEX(记账汇率区,0,MATCH($D1626,汇率币种头,0))),""))))</f>
        <v/>
      </c>
      <c r="K1626" s="23" t="str">
        <f t="shared" si="50"/>
        <v/>
      </c>
      <c r="L1626" s="23" t="str">
        <f t="shared" si="51"/>
        <v/>
      </c>
      <c r="M1626" s="23" t="str">
        <f>IF($B1626="","",ROUND(SUMIF(账户名,$B1626,账户期初)+SUMIFS($K$6:K1626,$B$6:B1626,$B1626),2))</f>
        <v/>
      </c>
      <c r="N1626" s="23" t="str">
        <f>IF($B1626="","",IFERROR(ROUND(INDEX(账户期初本位,MATCH($B1626,账户名,0))+SUMIFS($L$6:L1626,$B$6:B1626,$B1626),2),""))</f>
        <v/>
      </c>
      <c r="O1626" s="46"/>
      <c r="P1626" s="47"/>
      <c r="Q1626" s="46"/>
      <c r="R1626" s="46"/>
      <c r="S1626" s="6" t="str">
        <f>IF($B1626="","",IF(ISNA(MATCH($B1626,账户名,0)),"※这个账户不在【参数设置】的账户档案里",IF($A1626="","※没填日期，这一笔不会进任何月份的报表",IF(AND($G1626&lt;&gt;"",$H1626&lt;&gt;""),"※收入和支出不能同时填",IF(AND(N($G1626)=0,N($H1626)=0),"※收入和支出都没填",IF($E1626="","※没填收支类别，分类报表会漏掉这一笔",IF(ISNA(MATCH($E1626,类别表,0)),"※收支类别不在【参数设置】的清单里",IF($J1626="","△"&amp;$D1626&amp;" 还没填汇率，去【月度汇率】补上就自动算了",IF(YEAR($A1626)&lt;&gt;管理年度,"△不是管理年度的单据，年报里看不到",IF(AND($F1626="内部转账",$Q1626=""),"△内部转账建议在「往来单位」写上对方账户",IF($M1626&lt;0,"△这一笔之后该账户余额成负数了，核一下","")))))))))))</f>
        <v/>
      </c>
    </row>
    <row r="1627" ht="16.5" spans="1:19">
      <c r="A1627" s="45"/>
      <c r="B1627" s="46"/>
      <c r="C1627" s="12" t="str">
        <f>IF($B1627="","",IFERROR(INDEX(账户银行,MATCH($B1627,账户名,0)),""))</f>
        <v/>
      </c>
      <c r="D1627" s="12" t="str">
        <f>IF($B1627="","",IFERROR(INDEX(账户币种,MATCH($B1627,账户名,0)),""))</f>
        <v/>
      </c>
      <c r="E1627" s="47"/>
      <c r="F1627" s="12" t="str">
        <f>IF($E1627="","",IFERROR(INDEX(类别属性,MATCH($E1627,类别表,0)),""))</f>
        <v/>
      </c>
      <c r="G1627" s="48"/>
      <c r="H1627" s="48"/>
      <c r="I1627" s="49"/>
      <c r="J1627" s="24" t="str">
        <f>IF(OR($A1627="",$B1627=""),"",IF($I1627&lt;&gt;"",$I1627,IF($D1627=本位币,1,IFERROR(LOOKUP(2,1/((汇率月份&lt;=$A1627)*(INDEX(记账汇率区,0,MATCH($D1627,汇率币种头,0))&lt;&gt;"")),INDEX(记账汇率区,0,MATCH($D1627,汇率币种头,0))),""))))</f>
        <v/>
      </c>
      <c r="K1627" s="23" t="str">
        <f t="shared" si="50"/>
        <v/>
      </c>
      <c r="L1627" s="23" t="str">
        <f t="shared" si="51"/>
        <v/>
      </c>
      <c r="M1627" s="23" t="str">
        <f>IF($B1627="","",ROUND(SUMIF(账户名,$B1627,账户期初)+SUMIFS($K$6:K1627,$B$6:B1627,$B1627),2))</f>
        <v/>
      </c>
      <c r="N1627" s="23" t="str">
        <f>IF($B1627="","",IFERROR(ROUND(INDEX(账户期初本位,MATCH($B1627,账户名,0))+SUMIFS($L$6:L1627,$B$6:B1627,$B1627),2),""))</f>
        <v/>
      </c>
      <c r="O1627" s="46"/>
      <c r="P1627" s="47"/>
      <c r="Q1627" s="46"/>
      <c r="R1627" s="46"/>
      <c r="S1627" s="6" t="str">
        <f>IF($B1627="","",IF(ISNA(MATCH($B1627,账户名,0)),"※这个账户不在【参数设置】的账户档案里",IF($A1627="","※没填日期，这一笔不会进任何月份的报表",IF(AND($G1627&lt;&gt;"",$H1627&lt;&gt;""),"※收入和支出不能同时填",IF(AND(N($G1627)=0,N($H1627)=0),"※收入和支出都没填",IF($E1627="","※没填收支类别，分类报表会漏掉这一笔",IF(ISNA(MATCH($E1627,类别表,0)),"※收支类别不在【参数设置】的清单里",IF($J1627="","△"&amp;$D1627&amp;" 还没填汇率，去【月度汇率】补上就自动算了",IF(YEAR($A1627)&lt;&gt;管理年度,"△不是管理年度的单据，年报里看不到",IF(AND($F1627="内部转账",$Q1627=""),"△内部转账建议在「往来单位」写上对方账户",IF($M1627&lt;0,"△这一笔之后该账户余额成负数了，核一下","")))))))))))</f>
        <v/>
      </c>
    </row>
    <row r="1628" ht="16.5" spans="1:19">
      <c r="A1628" s="45"/>
      <c r="B1628" s="46"/>
      <c r="C1628" s="12" t="str">
        <f>IF($B1628="","",IFERROR(INDEX(账户银行,MATCH($B1628,账户名,0)),""))</f>
        <v/>
      </c>
      <c r="D1628" s="12" t="str">
        <f>IF($B1628="","",IFERROR(INDEX(账户币种,MATCH($B1628,账户名,0)),""))</f>
        <v/>
      </c>
      <c r="E1628" s="47"/>
      <c r="F1628" s="12" t="str">
        <f>IF($E1628="","",IFERROR(INDEX(类别属性,MATCH($E1628,类别表,0)),""))</f>
        <v/>
      </c>
      <c r="G1628" s="48"/>
      <c r="H1628" s="48"/>
      <c r="I1628" s="49"/>
      <c r="J1628" s="24" t="str">
        <f>IF(OR($A1628="",$B1628=""),"",IF($I1628&lt;&gt;"",$I1628,IF($D1628=本位币,1,IFERROR(LOOKUP(2,1/((汇率月份&lt;=$A1628)*(INDEX(记账汇率区,0,MATCH($D1628,汇率币种头,0))&lt;&gt;"")),INDEX(记账汇率区,0,MATCH($D1628,汇率币种头,0))),""))))</f>
        <v/>
      </c>
      <c r="K1628" s="23" t="str">
        <f t="shared" si="50"/>
        <v/>
      </c>
      <c r="L1628" s="23" t="str">
        <f t="shared" si="51"/>
        <v/>
      </c>
      <c r="M1628" s="23" t="str">
        <f>IF($B1628="","",ROUND(SUMIF(账户名,$B1628,账户期初)+SUMIFS($K$6:K1628,$B$6:B1628,$B1628),2))</f>
        <v/>
      </c>
      <c r="N1628" s="23" t="str">
        <f>IF($B1628="","",IFERROR(ROUND(INDEX(账户期初本位,MATCH($B1628,账户名,0))+SUMIFS($L$6:L1628,$B$6:B1628,$B1628),2),""))</f>
        <v/>
      </c>
      <c r="O1628" s="46"/>
      <c r="P1628" s="47"/>
      <c r="Q1628" s="46"/>
      <c r="R1628" s="46"/>
      <c r="S1628" s="6" t="str">
        <f>IF($B1628="","",IF(ISNA(MATCH($B1628,账户名,0)),"※这个账户不在【参数设置】的账户档案里",IF($A1628="","※没填日期，这一笔不会进任何月份的报表",IF(AND($G1628&lt;&gt;"",$H1628&lt;&gt;""),"※收入和支出不能同时填",IF(AND(N($G1628)=0,N($H1628)=0),"※收入和支出都没填",IF($E1628="","※没填收支类别，分类报表会漏掉这一笔",IF(ISNA(MATCH($E1628,类别表,0)),"※收支类别不在【参数设置】的清单里",IF($J1628="","△"&amp;$D1628&amp;" 还没填汇率，去【月度汇率】补上就自动算了",IF(YEAR($A1628)&lt;&gt;管理年度,"△不是管理年度的单据，年报里看不到",IF(AND($F1628="内部转账",$Q1628=""),"△内部转账建议在「往来单位」写上对方账户",IF($M1628&lt;0,"△这一笔之后该账户余额成负数了，核一下","")))))))))))</f>
        <v/>
      </c>
    </row>
    <row r="1629" ht="16.5" spans="1:19">
      <c r="A1629" s="45"/>
      <c r="B1629" s="46"/>
      <c r="C1629" s="12" t="str">
        <f>IF($B1629="","",IFERROR(INDEX(账户银行,MATCH($B1629,账户名,0)),""))</f>
        <v/>
      </c>
      <c r="D1629" s="12" t="str">
        <f>IF($B1629="","",IFERROR(INDEX(账户币种,MATCH($B1629,账户名,0)),""))</f>
        <v/>
      </c>
      <c r="E1629" s="47"/>
      <c r="F1629" s="12" t="str">
        <f>IF($E1629="","",IFERROR(INDEX(类别属性,MATCH($E1629,类别表,0)),""))</f>
        <v/>
      </c>
      <c r="G1629" s="48"/>
      <c r="H1629" s="48"/>
      <c r="I1629" s="49"/>
      <c r="J1629" s="24" t="str">
        <f>IF(OR($A1629="",$B1629=""),"",IF($I1629&lt;&gt;"",$I1629,IF($D1629=本位币,1,IFERROR(LOOKUP(2,1/((汇率月份&lt;=$A1629)*(INDEX(记账汇率区,0,MATCH($D1629,汇率币种头,0))&lt;&gt;"")),INDEX(记账汇率区,0,MATCH($D1629,汇率币种头,0))),""))))</f>
        <v/>
      </c>
      <c r="K1629" s="23" t="str">
        <f t="shared" si="50"/>
        <v/>
      </c>
      <c r="L1629" s="23" t="str">
        <f t="shared" si="51"/>
        <v/>
      </c>
      <c r="M1629" s="23" t="str">
        <f>IF($B1629="","",ROUND(SUMIF(账户名,$B1629,账户期初)+SUMIFS($K$6:K1629,$B$6:B1629,$B1629),2))</f>
        <v/>
      </c>
      <c r="N1629" s="23" t="str">
        <f>IF($B1629="","",IFERROR(ROUND(INDEX(账户期初本位,MATCH($B1629,账户名,0))+SUMIFS($L$6:L1629,$B$6:B1629,$B1629),2),""))</f>
        <v/>
      </c>
      <c r="O1629" s="46"/>
      <c r="P1629" s="47"/>
      <c r="Q1629" s="46"/>
      <c r="R1629" s="46"/>
      <c r="S1629" s="6" t="str">
        <f>IF($B1629="","",IF(ISNA(MATCH($B1629,账户名,0)),"※这个账户不在【参数设置】的账户档案里",IF($A1629="","※没填日期，这一笔不会进任何月份的报表",IF(AND($G1629&lt;&gt;"",$H1629&lt;&gt;""),"※收入和支出不能同时填",IF(AND(N($G1629)=0,N($H1629)=0),"※收入和支出都没填",IF($E1629="","※没填收支类别，分类报表会漏掉这一笔",IF(ISNA(MATCH($E1629,类别表,0)),"※收支类别不在【参数设置】的清单里",IF($J1629="","△"&amp;$D1629&amp;" 还没填汇率，去【月度汇率】补上就自动算了",IF(YEAR($A1629)&lt;&gt;管理年度,"△不是管理年度的单据，年报里看不到",IF(AND($F1629="内部转账",$Q1629=""),"△内部转账建议在「往来单位」写上对方账户",IF($M1629&lt;0,"△这一笔之后该账户余额成负数了，核一下","")))))))))))</f>
        <v/>
      </c>
    </row>
    <row r="1630" ht="16.5" spans="1:19">
      <c r="A1630" s="45"/>
      <c r="B1630" s="46"/>
      <c r="C1630" s="12" t="str">
        <f>IF($B1630="","",IFERROR(INDEX(账户银行,MATCH($B1630,账户名,0)),""))</f>
        <v/>
      </c>
      <c r="D1630" s="12" t="str">
        <f>IF($B1630="","",IFERROR(INDEX(账户币种,MATCH($B1630,账户名,0)),""))</f>
        <v/>
      </c>
      <c r="E1630" s="47"/>
      <c r="F1630" s="12" t="str">
        <f>IF($E1630="","",IFERROR(INDEX(类别属性,MATCH($E1630,类别表,0)),""))</f>
        <v/>
      </c>
      <c r="G1630" s="48"/>
      <c r="H1630" s="48"/>
      <c r="I1630" s="49"/>
      <c r="J1630" s="24" t="str">
        <f>IF(OR($A1630="",$B1630=""),"",IF($I1630&lt;&gt;"",$I1630,IF($D1630=本位币,1,IFERROR(LOOKUP(2,1/((汇率月份&lt;=$A1630)*(INDEX(记账汇率区,0,MATCH($D1630,汇率币种头,0))&lt;&gt;"")),INDEX(记账汇率区,0,MATCH($D1630,汇率币种头,0))),""))))</f>
        <v/>
      </c>
      <c r="K1630" s="23" t="str">
        <f t="shared" si="50"/>
        <v/>
      </c>
      <c r="L1630" s="23" t="str">
        <f t="shared" si="51"/>
        <v/>
      </c>
      <c r="M1630" s="23" t="str">
        <f>IF($B1630="","",ROUND(SUMIF(账户名,$B1630,账户期初)+SUMIFS($K$6:K1630,$B$6:B1630,$B1630),2))</f>
        <v/>
      </c>
      <c r="N1630" s="23" t="str">
        <f>IF($B1630="","",IFERROR(ROUND(INDEX(账户期初本位,MATCH($B1630,账户名,0))+SUMIFS($L$6:L1630,$B$6:B1630,$B1630),2),""))</f>
        <v/>
      </c>
      <c r="O1630" s="46"/>
      <c r="P1630" s="47"/>
      <c r="Q1630" s="46"/>
      <c r="R1630" s="46"/>
      <c r="S1630" s="6" t="str">
        <f>IF($B1630="","",IF(ISNA(MATCH($B1630,账户名,0)),"※这个账户不在【参数设置】的账户档案里",IF($A1630="","※没填日期，这一笔不会进任何月份的报表",IF(AND($G1630&lt;&gt;"",$H1630&lt;&gt;""),"※收入和支出不能同时填",IF(AND(N($G1630)=0,N($H1630)=0),"※收入和支出都没填",IF($E1630="","※没填收支类别，分类报表会漏掉这一笔",IF(ISNA(MATCH($E1630,类别表,0)),"※收支类别不在【参数设置】的清单里",IF($J1630="","△"&amp;$D1630&amp;" 还没填汇率，去【月度汇率】补上就自动算了",IF(YEAR($A1630)&lt;&gt;管理年度,"△不是管理年度的单据，年报里看不到",IF(AND($F1630="内部转账",$Q1630=""),"△内部转账建议在「往来单位」写上对方账户",IF($M1630&lt;0,"△这一笔之后该账户余额成负数了，核一下","")))))))))))</f>
        <v/>
      </c>
    </row>
    <row r="1631" ht="16.5" spans="1:19">
      <c r="A1631" s="45"/>
      <c r="B1631" s="46"/>
      <c r="C1631" s="12" t="str">
        <f>IF($B1631="","",IFERROR(INDEX(账户银行,MATCH($B1631,账户名,0)),""))</f>
        <v/>
      </c>
      <c r="D1631" s="12" t="str">
        <f>IF($B1631="","",IFERROR(INDEX(账户币种,MATCH($B1631,账户名,0)),""))</f>
        <v/>
      </c>
      <c r="E1631" s="47"/>
      <c r="F1631" s="12" t="str">
        <f>IF($E1631="","",IFERROR(INDEX(类别属性,MATCH($E1631,类别表,0)),""))</f>
        <v/>
      </c>
      <c r="G1631" s="48"/>
      <c r="H1631" s="48"/>
      <c r="I1631" s="49"/>
      <c r="J1631" s="24" t="str">
        <f>IF(OR($A1631="",$B1631=""),"",IF($I1631&lt;&gt;"",$I1631,IF($D1631=本位币,1,IFERROR(LOOKUP(2,1/((汇率月份&lt;=$A1631)*(INDEX(记账汇率区,0,MATCH($D1631,汇率币种头,0))&lt;&gt;"")),INDEX(记账汇率区,0,MATCH($D1631,汇率币种头,0))),""))))</f>
        <v/>
      </c>
      <c r="K1631" s="23" t="str">
        <f t="shared" si="50"/>
        <v/>
      </c>
      <c r="L1631" s="23" t="str">
        <f t="shared" si="51"/>
        <v/>
      </c>
      <c r="M1631" s="23" t="str">
        <f>IF($B1631="","",ROUND(SUMIF(账户名,$B1631,账户期初)+SUMIFS($K$6:K1631,$B$6:B1631,$B1631),2))</f>
        <v/>
      </c>
      <c r="N1631" s="23" t="str">
        <f>IF($B1631="","",IFERROR(ROUND(INDEX(账户期初本位,MATCH($B1631,账户名,0))+SUMIFS($L$6:L1631,$B$6:B1631,$B1631),2),""))</f>
        <v/>
      </c>
      <c r="O1631" s="46"/>
      <c r="P1631" s="47"/>
      <c r="Q1631" s="46"/>
      <c r="R1631" s="46"/>
      <c r="S1631" s="6" t="str">
        <f>IF($B1631="","",IF(ISNA(MATCH($B1631,账户名,0)),"※这个账户不在【参数设置】的账户档案里",IF($A1631="","※没填日期，这一笔不会进任何月份的报表",IF(AND($G1631&lt;&gt;"",$H1631&lt;&gt;""),"※收入和支出不能同时填",IF(AND(N($G1631)=0,N($H1631)=0),"※收入和支出都没填",IF($E1631="","※没填收支类别，分类报表会漏掉这一笔",IF(ISNA(MATCH($E1631,类别表,0)),"※收支类别不在【参数设置】的清单里",IF($J1631="","△"&amp;$D1631&amp;" 还没填汇率，去【月度汇率】补上就自动算了",IF(YEAR($A1631)&lt;&gt;管理年度,"△不是管理年度的单据，年报里看不到",IF(AND($F1631="内部转账",$Q1631=""),"△内部转账建议在「往来单位」写上对方账户",IF($M1631&lt;0,"△这一笔之后该账户余额成负数了，核一下","")))))))))))</f>
        <v/>
      </c>
    </row>
    <row r="1632" ht="16.5" spans="1:19">
      <c r="A1632" s="45"/>
      <c r="B1632" s="46"/>
      <c r="C1632" s="12" t="str">
        <f>IF($B1632="","",IFERROR(INDEX(账户银行,MATCH($B1632,账户名,0)),""))</f>
        <v/>
      </c>
      <c r="D1632" s="12" t="str">
        <f>IF($B1632="","",IFERROR(INDEX(账户币种,MATCH($B1632,账户名,0)),""))</f>
        <v/>
      </c>
      <c r="E1632" s="47"/>
      <c r="F1632" s="12" t="str">
        <f>IF($E1632="","",IFERROR(INDEX(类别属性,MATCH($E1632,类别表,0)),""))</f>
        <v/>
      </c>
      <c r="G1632" s="48"/>
      <c r="H1632" s="48"/>
      <c r="I1632" s="49"/>
      <c r="J1632" s="24" t="str">
        <f>IF(OR($A1632="",$B1632=""),"",IF($I1632&lt;&gt;"",$I1632,IF($D1632=本位币,1,IFERROR(LOOKUP(2,1/((汇率月份&lt;=$A1632)*(INDEX(记账汇率区,0,MATCH($D1632,汇率币种头,0))&lt;&gt;"")),INDEX(记账汇率区,0,MATCH($D1632,汇率币种头,0))),""))))</f>
        <v/>
      </c>
      <c r="K1632" s="23" t="str">
        <f t="shared" si="50"/>
        <v/>
      </c>
      <c r="L1632" s="23" t="str">
        <f t="shared" si="51"/>
        <v/>
      </c>
      <c r="M1632" s="23" t="str">
        <f>IF($B1632="","",ROUND(SUMIF(账户名,$B1632,账户期初)+SUMIFS($K$6:K1632,$B$6:B1632,$B1632),2))</f>
        <v/>
      </c>
      <c r="N1632" s="23" t="str">
        <f>IF($B1632="","",IFERROR(ROUND(INDEX(账户期初本位,MATCH($B1632,账户名,0))+SUMIFS($L$6:L1632,$B$6:B1632,$B1632),2),""))</f>
        <v/>
      </c>
      <c r="O1632" s="46"/>
      <c r="P1632" s="47"/>
      <c r="Q1632" s="46"/>
      <c r="R1632" s="46"/>
      <c r="S1632" s="6" t="str">
        <f>IF($B1632="","",IF(ISNA(MATCH($B1632,账户名,0)),"※这个账户不在【参数设置】的账户档案里",IF($A1632="","※没填日期，这一笔不会进任何月份的报表",IF(AND($G1632&lt;&gt;"",$H1632&lt;&gt;""),"※收入和支出不能同时填",IF(AND(N($G1632)=0,N($H1632)=0),"※收入和支出都没填",IF($E1632="","※没填收支类别，分类报表会漏掉这一笔",IF(ISNA(MATCH($E1632,类别表,0)),"※收支类别不在【参数设置】的清单里",IF($J1632="","△"&amp;$D1632&amp;" 还没填汇率，去【月度汇率】补上就自动算了",IF(YEAR($A1632)&lt;&gt;管理年度,"△不是管理年度的单据，年报里看不到",IF(AND($F1632="内部转账",$Q1632=""),"△内部转账建议在「往来单位」写上对方账户",IF($M1632&lt;0,"△这一笔之后该账户余额成负数了，核一下","")))))))))))</f>
        <v/>
      </c>
    </row>
    <row r="1633" ht="16.5" spans="1:19">
      <c r="A1633" s="45"/>
      <c r="B1633" s="46"/>
      <c r="C1633" s="12" t="str">
        <f>IF($B1633="","",IFERROR(INDEX(账户银行,MATCH($B1633,账户名,0)),""))</f>
        <v/>
      </c>
      <c r="D1633" s="12" t="str">
        <f>IF($B1633="","",IFERROR(INDEX(账户币种,MATCH($B1633,账户名,0)),""))</f>
        <v/>
      </c>
      <c r="E1633" s="47"/>
      <c r="F1633" s="12" t="str">
        <f>IF($E1633="","",IFERROR(INDEX(类别属性,MATCH($E1633,类别表,0)),""))</f>
        <v/>
      </c>
      <c r="G1633" s="48"/>
      <c r="H1633" s="48"/>
      <c r="I1633" s="49"/>
      <c r="J1633" s="24" t="str">
        <f>IF(OR($A1633="",$B1633=""),"",IF($I1633&lt;&gt;"",$I1633,IF($D1633=本位币,1,IFERROR(LOOKUP(2,1/((汇率月份&lt;=$A1633)*(INDEX(记账汇率区,0,MATCH($D1633,汇率币种头,0))&lt;&gt;"")),INDEX(记账汇率区,0,MATCH($D1633,汇率币种头,0))),""))))</f>
        <v/>
      </c>
      <c r="K1633" s="23" t="str">
        <f t="shared" si="50"/>
        <v/>
      </c>
      <c r="L1633" s="23" t="str">
        <f t="shared" si="51"/>
        <v/>
      </c>
      <c r="M1633" s="23" t="str">
        <f>IF($B1633="","",ROUND(SUMIF(账户名,$B1633,账户期初)+SUMIFS($K$6:K1633,$B$6:B1633,$B1633),2))</f>
        <v/>
      </c>
      <c r="N1633" s="23" t="str">
        <f>IF($B1633="","",IFERROR(ROUND(INDEX(账户期初本位,MATCH($B1633,账户名,0))+SUMIFS($L$6:L1633,$B$6:B1633,$B1633),2),""))</f>
        <v/>
      </c>
      <c r="O1633" s="46"/>
      <c r="P1633" s="47"/>
      <c r="Q1633" s="46"/>
      <c r="R1633" s="46"/>
      <c r="S1633" s="6" t="str">
        <f>IF($B1633="","",IF(ISNA(MATCH($B1633,账户名,0)),"※这个账户不在【参数设置】的账户档案里",IF($A1633="","※没填日期，这一笔不会进任何月份的报表",IF(AND($G1633&lt;&gt;"",$H1633&lt;&gt;""),"※收入和支出不能同时填",IF(AND(N($G1633)=0,N($H1633)=0),"※收入和支出都没填",IF($E1633="","※没填收支类别，分类报表会漏掉这一笔",IF(ISNA(MATCH($E1633,类别表,0)),"※收支类别不在【参数设置】的清单里",IF($J1633="","△"&amp;$D1633&amp;" 还没填汇率，去【月度汇率】补上就自动算了",IF(YEAR($A1633)&lt;&gt;管理年度,"△不是管理年度的单据，年报里看不到",IF(AND($F1633="内部转账",$Q1633=""),"△内部转账建议在「往来单位」写上对方账户",IF($M1633&lt;0,"△这一笔之后该账户余额成负数了，核一下","")))))))))))</f>
        <v/>
      </c>
    </row>
    <row r="1634" ht="16.5" spans="1:19">
      <c r="A1634" s="45"/>
      <c r="B1634" s="46"/>
      <c r="C1634" s="12" t="str">
        <f>IF($B1634="","",IFERROR(INDEX(账户银行,MATCH($B1634,账户名,0)),""))</f>
        <v/>
      </c>
      <c r="D1634" s="12" t="str">
        <f>IF($B1634="","",IFERROR(INDEX(账户币种,MATCH($B1634,账户名,0)),""))</f>
        <v/>
      </c>
      <c r="E1634" s="47"/>
      <c r="F1634" s="12" t="str">
        <f>IF($E1634="","",IFERROR(INDEX(类别属性,MATCH($E1634,类别表,0)),""))</f>
        <v/>
      </c>
      <c r="G1634" s="48"/>
      <c r="H1634" s="48"/>
      <c r="I1634" s="49"/>
      <c r="J1634" s="24" t="str">
        <f>IF(OR($A1634="",$B1634=""),"",IF($I1634&lt;&gt;"",$I1634,IF($D1634=本位币,1,IFERROR(LOOKUP(2,1/((汇率月份&lt;=$A1634)*(INDEX(记账汇率区,0,MATCH($D1634,汇率币种头,0))&lt;&gt;"")),INDEX(记账汇率区,0,MATCH($D1634,汇率币种头,0))),""))))</f>
        <v/>
      </c>
      <c r="K1634" s="23" t="str">
        <f t="shared" si="50"/>
        <v/>
      </c>
      <c r="L1634" s="23" t="str">
        <f t="shared" si="51"/>
        <v/>
      </c>
      <c r="M1634" s="23" t="str">
        <f>IF($B1634="","",ROUND(SUMIF(账户名,$B1634,账户期初)+SUMIFS($K$6:K1634,$B$6:B1634,$B1634),2))</f>
        <v/>
      </c>
      <c r="N1634" s="23" t="str">
        <f>IF($B1634="","",IFERROR(ROUND(INDEX(账户期初本位,MATCH($B1634,账户名,0))+SUMIFS($L$6:L1634,$B$6:B1634,$B1634),2),""))</f>
        <v/>
      </c>
      <c r="O1634" s="46"/>
      <c r="P1634" s="47"/>
      <c r="Q1634" s="46"/>
      <c r="R1634" s="46"/>
      <c r="S1634" s="6" t="str">
        <f>IF($B1634="","",IF(ISNA(MATCH($B1634,账户名,0)),"※这个账户不在【参数设置】的账户档案里",IF($A1634="","※没填日期，这一笔不会进任何月份的报表",IF(AND($G1634&lt;&gt;"",$H1634&lt;&gt;""),"※收入和支出不能同时填",IF(AND(N($G1634)=0,N($H1634)=0),"※收入和支出都没填",IF($E1634="","※没填收支类别，分类报表会漏掉这一笔",IF(ISNA(MATCH($E1634,类别表,0)),"※收支类别不在【参数设置】的清单里",IF($J1634="","△"&amp;$D1634&amp;" 还没填汇率，去【月度汇率】补上就自动算了",IF(YEAR($A1634)&lt;&gt;管理年度,"△不是管理年度的单据，年报里看不到",IF(AND($F1634="内部转账",$Q1634=""),"△内部转账建议在「往来单位」写上对方账户",IF($M1634&lt;0,"△这一笔之后该账户余额成负数了，核一下","")))))))))))</f>
        <v/>
      </c>
    </row>
    <row r="1635" ht="16.5" spans="1:19">
      <c r="A1635" s="45"/>
      <c r="B1635" s="46"/>
      <c r="C1635" s="12" t="str">
        <f>IF($B1635="","",IFERROR(INDEX(账户银行,MATCH($B1635,账户名,0)),""))</f>
        <v/>
      </c>
      <c r="D1635" s="12" t="str">
        <f>IF($B1635="","",IFERROR(INDEX(账户币种,MATCH($B1635,账户名,0)),""))</f>
        <v/>
      </c>
      <c r="E1635" s="47"/>
      <c r="F1635" s="12" t="str">
        <f>IF($E1635="","",IFERROR(INDEX(类别属性,MATCH($E1635,类别表,0)),""))</f>
        <v/>
      </c>
      <c r="G1635" s="48"/>
      <c r="H1635" s="48"/>
      <c r="I1635" s="49"/>
      <c r="J1635" s="24" t="str">
        <f>IF(OR($A1635="",$B1635=""),"",IF($I1635&lt;&gt;"",$I1635,IF($D1635=本位币,1,IFERROR(LOOKUP(2,1/((汇率月份&lt;=$A1635)*(INDEX(记账汇率区,0,MATCH($D1635,汇率币种头,0))&lt;&gt;"")),INDEX(记账汇率区,0,MATCH($D1635,汇率币种头,0))),""))))</f>
        <v/>
      </c>
      <c r="K1635" s="23" t="str">
        <f t="shared" si="50"/>
        <v/>
      </c>
      <c r="L1635" s="23" t="str">
        <f t="shared" si="51"/>
        <v/>
      </c>
      <c r="M1635" s="23" t="str">
        <f>IF($B1635="","",ROUND(SUMIF(账户名,$B1635,账户期初)+SUMIFS($K$6:K1635,$B$6:B1635,$B1635),2))</f>
        <v/>
      </c>
      <c r="N1635" s="23" t="str">
        <f>IF($B1635="","",IFERROR(ROUND(INDEX(账户期初本位,MATCH($B1635,账户名,0))+SUMIFS($L$6:L1635,$B$6:B1635,$B1635),2),""))</f>
        <v/>
      </c>
      <c r="O1635" s="46"/>
      <c r="P1635" s="47"/>
      <c r="Q1635" s="46"/>
      <c r="R1635" s="46"/>
      <c r="S1635" s="6" t="str">
        <f>IF($B1635="","",IF(ISNA(MATCH($B1635,账户名,0)),"※这个账户不在【参数设置】的账户档案里",IF($A1635="","※没填日期，这一笔不会进任何月份的报表",IF(AND($G1635&lt;&gt;"",$H1635&lt;&gt;""),"※收入和支出不能同时填",IF(AND(N($G1635)=0,N($H1635)=0),"※收入和支出都没填",IF($E1635="","※没填收支类别，分类报表会漏掉这一笔",IF(ISNA(MATCH($E1635,类别表,0)),"※收支类别不在【参数设置】的清单里",IF($J1635="","△"&amp;$D1635&amp;" 还没填汇率，去【月度汇率】补上就自动算了",IF(YEAR($A1635)&lt;&gt;管理年度,"△不是管理年度的单据，年报里看不到",IF(AND($F1635="内部转账",$Q1635=""),"△内部转账建议在「往来单位」写上对方账户",IF($M1635&lt;0,"△这一笔之后该账户余额成负数了，核一下","")))))))))))</f>
        <v/>
      </c>
    </row>
    <row r="1636" ht="16.5" spans="1:19">
      <c r="A1636" s="45"/>
      <c r="B1636" s="46"/>
      <c r="C1636" s="12" t="str">
        <f>IF($B1636="","",IFERROR(INDEX(账户银行,MATCH($B1636,账户名,0)),""))</f>
        <v/>
      </c>
      <c r="D1636" s="12" t="str">
        <f>IF($B1636="","",IFERROR(INDEX(账户币种,MATCH($B1636,账户名,0)),""))</f>
        <v/>
      </c>
      <c r="E1636" s="47"/>
      <c r="F1636" s="12" t="str">
        <f>IF($E1636="","",IFERROR(INDEX(类别属性,MATCH($E1636,类别表,0)),""))</f>
        <v/>
      </c>
      <c r="G1636" s="48"/>
      <c r="H1636" s="48"/>
      <c r="I1636" s="49"/>
      <c r="J1636" s="24" t="str">
        <f>IF(OR($A1636="",$B1636=""),"",IF($I1636&lt;&gt;"",$I1636,IF($D1636=本位币,1,IFERROR(LOOKUP(2,1/((汇率月份&lt;=$A1636)*(INDEX(记账汇率区,0,MATCH($D1636,汇率币种头,0))&lt;&gt;"")),INDEX(记账汇率区,0,MATCH($D1636,汇率币种头,0))),""))))</f>
        <v/>
      </c>
      <c r="K1636" s="23" t="str">
        <f t="shared" si="50"/>
        <v/>
      </c>
      <c r="L1636" s="23" t="str">
        <f t="shared" si="51"/>
        <v/>
      </c>
      <c r="M1636" s="23" t="str">
        <f>IF($B1636="","",ROUND(SUMIF(账户名,$B1636,账户期初)+SUMIFS($K$6:K1636,$B$6:B1636,$B1636),2))</f>
        <v/>
      </c>
      <c r="N1636" s="23" t="str">
        <f>IF($B1636="","",IFERROR(ROUND(INDEX(账户期初本位,MATCH($B1636,账户名,0))+SUMIFS($L$6:L1636,$B$6:B1636,$B1636),2),""))</f>
        <v/>
      </c>
      <c r="O1636" s="46"/>
      <c r="P1636" s="47"/>
      <c r="Q1636" s="46"/>
      <c r="R1636" s="46"/>
      <c r="S1636" s="6" t="str">
        <f>IF($B1636="","",IF(ISNA(MATCH($B1636,账户名,0)),"※这个账户不在【参数设置】的账户档案里",IF($A1636="","※没填日期，这一笔不会进任何月份的报表",IF(AND($G1636&lt;&gt;"",$H1636&lt;&gt;""),"※收入和支出不能同时填",IF(AND(N($G1636)=0,N($H1636)=0),"※收入和支出都没填",IF($E1636="","※没填收支类别，分类报表会漏掉这一笔",IF(ISNA(MATCH($E1636,类别表,0)),"※收支类别不在【参数设置】的清单里",IF($J1636="","△"&amp;$D1636&amp;" 还没填汇率，去【月度汇率】补上就自动算了",IF(YEAR($A1636)&lt;&gt;管理年度,"△不是管理年度的单据，年报里看不到",IF(AND($F1636="内部转账",$Q1636=""),"△内部转账建议在「往来单位」写上对方账户",IF($M1636&lt;0,"△这一笔之后该账户余额成负数了，核一下","")))))))))))</f>
        <v/>
      </c>
    </row>
    <row r="1637" ht="16.5" spans="1:19">
      <c r="A1637" s="45"/>
      <c r="B1637" s="46"/>
      <c r="C1637" s="12" t="str">
        <f>IF($B1637="","",IFERROR(INDEX(账户银行,MATCH($B1637,账户名,0)),""))</f>
        <v/>
      </c>
      <c r="D1637" s="12" t="str">
        <f>IF($B1637="","",IFERROR(INDEX(账户币种,MATCH($B1637,账户名,0)),""))</f>
        <v/>
      </c>
      <c r="E1637" s="47"/>
      <c r="F1637" s="12" t="str">
        <f>IF($E1637="","",IFERROR(INDEX(类别属性,MATCH($E1637,类别表,0)),""))</f>
        <v/>
      </c>
      <c r="G1637" s="48"/>
      <c r="H1637" s="48"/>
      <c r="I1637" s="49"/>
      <c r="J1637" s="24" t="str">
        <f>IF(OR($A1637="",$B1637=""),"",IF($I1637&lt;&gt;"",$I1637,IF($D1637=本位币,1,IFERROR(LOOKUP(2,1/((汇率月份&lt;=$A1637)*(INDEX(记账汇率区,0,MATCH($D1637,汇率币种头,0))&lt;&gt;"")),INDEX(记账汇率区,0,MATCH($D1637,汇率币种头,0))),""))))</f>
        <v/>
      </c>
      <c r="K1637" s="23" t="str">
        <f t="shared" si="50"/>
        <v/>
      </c>
      <c r="L1637" s="23" t="str">
        <f t="shared" si="51"/>
        <v/>
      </c>
      <c r="M1637" s="23" t="str">
        <f>IF($B1637="","",ROUND(SUMIF(账户名,$B1637,账户期初)+SUMIFS($K$6:K1637,$B$6:B1637,$B1637),2))</f>
        <v/>
      </c>
      <c r="N1637" s="23" t="str">
        <f>IF($B1637="","",IFERROR(ROUND(INDEX(账户期初本位,MATCH($B1637,账户名,0))+SUMIFS($L$6:L1637,$B$6:B1637,$B1637),2),""))</f>
        <v/>
      </c>
      <c r="O1637" s="46"/>
      <c r="P1637" s="47"/>
      <c r="Q1637" s="46"/>
      <c r="R1637" s="46"/>
      <c r="S1637" s="6" t="str">
        <f>IF($B1637="","",IF(ISNA(MATCH($B1637,账户名,0)),"※这个账户不在【参数设置】的账户档案里",IF($A1637="","※没填日期，这一笔不会进任何月份的报表",IF(AND($G1637&lt;&gt;"",$H1637&lt;&gt;""),"※收入和支出不能同时填",IF(AND(N($G1637)=0,N($H1637)=0),"※收入和支出都没填",IF($E1637="","※没填收支类别，分类报表会漏掉这一笔",IF(ISNA(MATCH($E1637,类别表,0)),"※收支类别不在【参数设置】的清单里",IF($J1637="","△"&amp;$D1637&amp;" 还没填汇率，去【月度汇率】补上就自动算了",IF(YEAR($A1637)&lt;&gt;管理年度,"△不是管理年度的单据，年报里看不到",IF(AND($F1637="内部转账",$Q1637=""),"△内部转账建议在「往来单位」写上对方账户",IF($M1637&lt;0,"△这一笔之后该账户余额成负数了，核一下","")))))))))))</f>
        <v/>
      </c>
    </row>
    <row r="1638" ht="16.5" spans="1:19">
      <c r="A1638" s="45"/>
      <c r="B1638" s="46"/>
      <c r="C1638" s="12" t="str">
        <f>IF($B1638="","",IFERROR(INDEX(账户银行,MATCH($B1638,账户名,0)),""))</f>
        <v/>
      </c>
      <c r="D1638" s="12" t="str">
        <f>IF($B1638="","",IFERROR(INDEX(账户币种,MATCH($B1638,账户名,0)),""))</f>
        <v/>
      </c>
      <c r="E1638" s="47"/>
      <c r="F1638" s="12" t="str">
        <f>IF($E1638="","",IFERROR(INDEX(类别属性,MATCH($E1638,类别表,0)),""))</f>
        <v/>
      </c>
      <c r="G1638" s="48"/>
      <c r="H1638" s="48"/>
      <c r="I1638" s="49"/>
      <c r="J1638" s="24" t="str">
        <f>IF(OR($A1638="",$B1638=""),"",IF($I1638&lt;&gt;"",$I1638,IF($D1638=本位币,1,IFERROR(LOOKUP(2,1/((汇率月份&lt;=$A1638)*(INDEX(记账汇率区,0,MATCH($D1638,汇率币种头,0))&lt;&gt;"")),INDEX(记账汇率区,0,MATCH($D1638,汇率币种头,0))),""))))</f>
        <v/>
      </c>
      <c r="K1638" s="23" t="str">
        <f t="shared" si="50"/>
        <v/>
      </c>
      <c r="L1638" s="23" t="str">
        <f t="shared" si="51"/>
        <v/>
      </c>
      <c r="M1638" s="23" t="str">
        <f>IF($B1638="","",ROUND(SUMIF(账户名,$B1638,账户期初)+SUMIFS($K$6:K1638,$B$6:B1638,$B1638),2))</f>
        <v/>
      </c>
      <c r="N1638" s="23" t="str">
        <f>IF($B1638="","",IFERROR(ROUND(INDEX(账户期初本位,MATCH($B1638,账户名,0))+SUMIFS($L$6:L1638,$B$6:B1638,$B1638),2),""))</f>
        <v/>
      </c>
      <c r="O1638" s="46"/>
      <c r="P1638" s="47"/>
      <c r="Q1638" s="46"/>
      <c r="R1638" s="46"/>
      <c r="S1638" s="6" t="str">
        <f>IF($B1638="","",IF(ISNA(MATCH($B1638,账户名,0)),"※这个账户不在【参数设置】的账户档案里",IF($A1638="","※没填日期，这一笔不会进任何月份的报表",IF(AND($G1638&lt;&gt;"",$H1638&lt;&gt;""),"※收入和支出不能同时填",IF(AND(N($G1638)=0,N($H1638)=0),"※收入和支出都没填",IF($E1638="","※没填收支类别，分类报表会漏掉这一笔",IF(ISNA(MATCH($E1638,类别表,0)),"※收支类别不在【参数设置】的清单里",IF($J1638="","△"&amp;$D1638&amp;" 还没填汇率，去【月度汇率】补上就自动算了",IF(YEAR($A1638)&lt;&gt;管理年度,"△不是管理年度的单据，年报里看不到",IF(AND($F1638="内部转账",$Q1638=""),"△内部转账建议在「往来单位」写上对方账户",IF($M1638&lt;0,"△这一笔之后该账户余额成负数了，核一下","")))))))))))</f>
        <v/>
      </c>
    </row>
    <row r="1639" ht="16.5" spans="1:19">
      <c r="A1639" s="45"/>
      <c r="B1639" s="46"/>
      <c r="C1639" s="12" t="str">
        <f>IF($B1639="","",IFERROR(INDEX(账户银行,MATCH($B1639,账户名,0)),""))</f>
        <v/>
      </c>
      <c r="D1639" s="12" t="str">
        <f>IF($B1639="","",IFERROR(INDEX(账户币种,MATCH($B1639,账户名,0)),""))</f>
        <v/>
      </c>
      <c r="E1639" s="47"/>
      <c r="F1639" s="12" t="str">
        <f>IF($E1639="","",IFERROR(INDEX(类别属性,MATCH($E1639,类别表,0)),""))</f>
        <v/>
      </c>
      <c r="G1639" s="48"/>
      <c r="H1639" s="48"/>
      <c r="I1639" s="49"/>
      <c r="J1639" s="24" t="str">
        <f>IF(OR($A1639="",$B1639=""),"",IF($I1639&lt;&gt;"",$I1639,IF($D1639=本位币,1,IFERROR(LOOKUP(2,1/((汇率月份&lt;=$A1639)*(INDEX(记账汇率区,0,MATCH($D1639,汇率币种头,0))&lt;&gt;"")),INDEX(记账汇率区,0,MATCH($D1639,汇率币种头,0))),""))))</f>
        <v/>
      </c>
      <c r="K1639" s="23" t="str">
        <f t="shared" si="50"/>
        <v/>
      </c>
      <c r="L1639" s="23" t="str">
        <f t="shared" si="51"/>
        <v/>
      </c>
      <c r="M1639" s="23" t="str">
        <f>IF($B1639="","",ROUND(SUMIF(账户名,$B1639,账户期初)+SUMIFS($K$6:K1639,$B$6:B1639,$B1639),2))</f>
        <v/>
      </c>
      <c r="N1639" s="23" t="str">
        <f>IF($B1639="","",IFERROR(ROUND(INDEX(账户期初本位,MATCH($B1639,账户名,0))+SUMIFS($L$6:L1639,$B$6:B1639,$B1639),2),""))</f>
        <v/>
      </c>
      <c r="O1639" s="46"/>
      <c r="P1639" s="47"/>
      <c r="Q1639" s="46"/>
      <c r="R1639" s="46"/>
      <c r="S1639" s="6" t="str">
        <f>IF($B1639="","",IF(ISNA(MATCH($B1639,账户名,0)),"※这个账户不在【参数设置】的账户档案里",IF($A1639="","※没填日期，这一笔不会进任何月份的报表",IF(AND($G1639&lt;&gt;"",$H1639&lt;&gt;""),"※收入和支出不能同时填",IF(AND(N($G1639)=0,N($H1639)=0),"※收入和支出都没填",IF($E1639="","※没填收支类别，分类报表会漏掉这一笔",IF(ISNA(MATCH($E1639,类别表,0)),"※收支类别不在【参数设置】的清单里",IF($J1639="","△"&amp;$D1639&amp;" 还没填汇率，去【月度汇率】补上就自动算了",IF(YEAR($A1639)&lt;&gt;管理年度,"△不是管理年度的单据，年报里看不到",IF(AND($F1639="内部转账",$Q1639=""),"△内部转账建议在「往来单位」写上对方账户",IF($M1639&lt;0,"△这一笔之后该账户余额成负数了，核一下","")))))))))))</f>
        <v/>
      </c>
    </row>
    <row r="1640" ht="16.5" spans="1:19">
      <c r="A1640" s="45"/>
      <c r="B1640" s="46"/>
      <c r="C1640" s="12" t="str">
        <f>IF($B1640="","",IFERROR(INDEX(账户银行,MATCH($B1640,账户名,0)),""))</f>
        <v/>
      </c>
      <c r="D1640" s="12" t="str">
        <f>IF($B1640="","",IFERROR(INDEX(账户币种,MATCH($B1640,账户名,0)),""))</f>
        <v/>
      </c>
      <c r="E1640" s="47"/>
      <c r="F1640" s="12" t="str">
        <f>IF($E1640="","",IFERROR(INDEX(类别属性,MATCH($E1640,类别表,0)),""))</f>
        <v/>
      </c>
      <c r="G1640" s="48"/>
      <c r="H1640" s="48"/>
      <c r="I1640" s="49"/>
      <c r="J1640" s="24" t="str">
        <f>IF(OR($A1640="",$B1640=""),"",IF($I1640&lt;&gt;"",$I1640,IF($D1640=本位币,1,IFERROR(LOOKUP(2,1/((汇率月份&lt;=$A1640)*(INDEX(记账汇率区,0,MATCH($D1640,汇率币种头,0))&lt;&gt;"")),INDEX(记账汇率区,0,MATCH($D1640,汇率币种头,0))),""))))</f>
        <v/>
      </c>
      <c r="K1640" s="23" t="str">
        <f t="shared" si="50"/>
        <v/>
      </c>
      <c r="L1640" s="23" t="str">
        <f t="shared" si="51"/>
        <v/>
      </c>
      <c r="M1640" s="23" t="str">
        <f>IF($B1640="","",ROUND(SUMIF(账户名,$B1640,账户期初)+SUMIFS($K$6:K1640,$B$6:B1640,$B1640),2))</f>
        <v/>
      </c>
      <c r="N1640" s="23" t="str">
        <f>IF($B1640="","",IFERROR(ROUND(INDEX(账户期初本位,MATCH($B1640,账户名,0))+SUMIFS($L$6:L1640,$B$6:B1640,$B1640),2),""))</f>
        <v/>
      </c>
      <c r="O1640" s="46"/>
      <c r="P1640" s="47"/>
      <c r="Q1640" s="46"/>
      <c r="R1640" s="46"/>
      <c r="S1640" s="6" t="str">
        <f>IF($B1640="","",IF(ISNA(MATCH($B1640,账户名,0)),"※这个账户不在【参数设置】的账户档案里",IF($A1640="","※没填日期，这一笔不会进任何月份的报表",IF(AND($G1640&lt;&gt;"",$H1640&lt;&gt;""),"※收入和支出不能同时填",IF(AND(N($G1640)=0,N($H1640)=0),"※收入和支出都没填",IF($E1640="","※没填收支类别，分类报表会漏掉这一笔",IF(ISNA(MATCH($E1640,类别表,0)),"※收支类别不在【参数设置】的清单里",IF($J1640="","△"&amp;$D1640&amp;" 还没填汇率，去【月度汇率】补上就自动算了",IF(YEAR($A1640)&lt;&gt;管理年度,"△不是管理年度的单据，年报里看不到",IF(AND($F1640="内部转账",$Q1640=""),"△内部转账建议在「往来单位」写上对方账户",IF($M1640&lt;0,"△这一笔之后该账户余额成负数了，核一下","")))))))))))</f>
        <v/>
      </c>
    </row>
    <row r="1641" ht="16.5" spans="1:19">
      <c r="A1641" s="45"/>
      <c r="B1641" s="46"/>
      <c r="C1641" s="12" t="str">
        <f>IF($B1641="","",IFERROR(INDEX(账户银行,MATCH($B1641,账户名,0)),""))</f>
        <v/>
      </c>
      <c r="D1641" s="12" t="str">
        <f>IF($B1641="","",IFERROR(INDEX(账户币种,MATCH($B1641,账户名,0)),""))</f>
        <v/>
      </c>
      <c r="E1641" s="47"/>
      <c r="F1641" s="12" t="str">
        <f>IF($E1641="","",IFERROR(INDEX(类别属性,MATCH($E1641,类别表,0)),""))</f>
        <v/>
      </c>
      <c r="G1641" s="48"/>
      <c r="H1641" s="48"/>
      <c r="I1641" s="49"/>
      <c r="J1641" s="24" t="str">
        <f>IF(OR($A1641="",$B1641=""),"",IF($I1641&lt;&gt;"",$I1641,IF($D1641=本位币,1,IFERROR(LOOKUP(2,1/((汇率月份&lt;=$A1641)*(INDEX(记账汇率区,0,MATCH($D1641,汇率币种头,0))&lt;&gt;"")),INDEX(记账汇率区,0,MATCH($D1641,汇率币种头,0))),""))))</f>
        <v/>
      </c>
      <c r="K1641" s="23" t="str">
        <f t="shared" si="50"/>
        <v/>
      </c>
      <c r="L1641" s="23" t="str">
        <f t="shared" si="51"/>
        <v/>
      </c>
      <c r="M1641" s="23" t="str">
        <f>IF($B1641="","",ROUND(SUMIF(账户名,$B1641,账户期初)+SUMIFS($K$6:K1641,$B$6:B1641,$B1641),2))</f>
        <v/>
      </c>
      <c r="N1641" s="23" t="str">
        <f>IF($B1641="","",IFERROR(ROUND(INDEX(账户期初本位,MATCH($B1641,账户名,0))+SUMIFS($L$6:L1641,$B$6:B1641,$B1641),2),""))</f>
        <v/>
      </c>
      <c r="O1641" s="46"/>
      <c r="P1641" s="47"/>
      <c r="Q1641" s="46"/>
      <c r="R1641" s="46"/>
      <c r="S1641" s="6" t="str">
        <f>IF($B1641="","",IF(ISNA(MATCH($B1641,账户名,0)),"※这个账户不在【参数设置】的账户档案里",IF($A1641="","※没填日期，这一笔不会进任何月份的报表",IF(AND($G1641&lt;&gt;"",$H1641&lt;&gt;""),"※收入和支出不能同时填",IF(AND(N($G1641)=0,N($H1641)=0),"※收入和支出都没填",IF($E1641="","※没填收支类别，分类报表会漏掉这一笔",IF(ISNA(MATCH($E1641,类别表,0)),"※收支类别不在【参数设置】的清单里",IF($J1641="","△"&amp;$D1641&amp;" 还没填汇率，去【月度汇率】补上就自动算了",IF(YEAR($A1641)&lt;&gt;管理年度,"△不是管理年度的单据，年报里看不到",IF(AND($F1641="内部转账",$Q1641=""),"△内部转账建议在「往来单位」写上对方账户",IF($M1641&lt;0,"△这一笔之后该账户余额成负数了，核一下","")))))))))))</f>
        <v/>
      </c>
    </row>
    <row r="1642" ht="16.5" spans="1:19">
      <c r="A1642" s="45"/>
      <c r="B1642" s="46"/>
      <c r="C1642" s="12" t="str">
        <f>IF($B1642="","",IFERROR(INDEX(账户银行,MATCH($B1642,账户名,0)),""))</f>
        <v/>
      </c>
      <c r="D1642" s="12" t="str">
        <f>IF($B1642="","",IFERROR(INDEX(账户币种,MATCH($B1642,账户名,0)),""))</f>
        <v/>
      </c>
      <c r="E1642" s="47"/>
      <c r="F1642" s="12" t="str">
        <f>IF($E1642="","",IFERROR(INDEX(类别属性,MATCH($E1642,类别表,0)),""))</f>
        <v/>
      </c>
      <c r="G1642" s="48"/>
      <c r="H1642" s="48"/>
      <c r="I1642" s="49"/>
      <c r="J1642" s="24" t="str">
        <f>IF(OR($A1642="",$B1642=""),"",IF($I1642&lt;&gt;"",$I1642,IF($D1642=本位币,1,IFERROR(LOOKUP(2,1/((汇率月份&lt;=$A1642)*(INDEX(记账汇率区,0,MATCH($D1642,汇率币种头,0))&lt;&gt;"")),INDEX(记账汇率区,0,MATCH($D1642,汇率币种头,0))),""))))</f>
        <v/>
      </c>
      <c r="K1642" s="23" t="str">
        <f t="shared" si="50"/>
        <v/>
      </c>
      <c r="L1642" s="23" t="str">
        <f t="shared" si="51"/>
        <v/>
      </c>
      <c r="M1642" s="23" t="str">
        <f>IF($B1642="","",ROUND(SUMIF(账户名,$B1642,账户期初)+SUMIFS($K$6:K1642,$B$6:B1642,$B1642),2))</f>
        <v/>
      </c>
      <c r="N1642" s="23" t="str">
        <f>IF($B1642="","",IFERROR(ROUND(INDEX(账户期初本位,MATCH($B1642,账户名,0))+SUMIFS($L$6:L1642,$B$6:B1642,$B1642),2),""))</f>
        <v/>
      </c>
      <c r="O1642" s="46"/>
      <c r="P1642" s="47"/>
      <c r="Q1642" s="46"/>
      <c r="R1642" s="46"/>
      <c r="S1642" s="6" t="str">
        <f>IF($B1642="","",IF(ISNA(MATCH($B1642,账户名,0)),"※这个账户不在【参数设置】的账户档案里",IF($A1642="","※没填日期，这一笔不会进任何月份的报表",IF(AND($G1642&lt;&gt;"",$H1642&lt;&gt;""),"※收入和支出不能同时填",IF(AND(N($G1642)=0,N($H1642)=0),"※收入和支出都没填",IF($E1642="","※没填收支类别，分类报表会漏掉这一笔",IF(ISNA(MATCH($E1642,类别表,0)),"※收支类别不在【参数设置】的清单里",IF($J1642="","△"&amp;$D1642&amp;" 还没填汇率，去【月度汇率】补上就自动算了",IF(YEAR($A1642)&lt;&gt;管理年度,"△不是管理年度的单据，年报里看不到",IF(AND($F1642="内部转账",$Q1642=""),"△内部转账建议在「往来单位」写上对方账户",IF($M1642&lt;0,"△这一笔之后该账户余额成负数了，核一下","")))))))))))</f>
        <v/>
      </c>
    </row>
    <row r="1643" ht="16.5" spans="1:19">
      <c r="A1643" s="45"/>
      <c r="B1643" s="46"/>
      <c r="C1643" s="12" t="str">
        <f>IF($B1643="","",IFERROR(INDEX(账户银行,MATCH($B1643,账户名,0)),""))</f>
        <v/>
      </c>
      <c r="D1643" s="12" t="str">
        <f>IF($B1643="","",IFERROR(INDEX(账户币种,MATCH($B1643,账户名,0)),""))</f>
        <v/>
      </c>
      <c r="E1643" s="47"/>
      <c r="F1643" s="12" t="str">
        <f>IF($E1643="","",IFERROR(INDEX(类别属性,MATCH($E1643,类别表,0)),""))</f>
        <v/>
      </c>
      <c r="G1643" s="48"/>
      <c r="H1643" s="48"/>
      <c r="I1643" s="49"/>
      <c r="J1643" s="24" t="str">
        <f>IF(OR($A1643="",$B1643=""),"",IF($I1643&lt;&gt;"",$I1643,IF($D1643=本位币,1,IFERROR(LOOKUP(2,1/((汇率月份&lt;=$A1643)*(INDEX(记账汇率区,0,MATCH($D1643,汇率币种头,0))&lt;&gt;"")),INDEX(记账汇率区,0,MATCH($D1643,汇率币种头,0))),""))))</f>
        <v/>
      </c>
      <c r="K1643" s="23" t="str">
        <f t="shared" si="50"/>
        <v/>
      </c>
      <c r="L1643" s="23" t="str">
        <f t="shared" si="51"/>
        <v/>
      </c>
      <c r="M1643" s="23" t="str">
        <f>IF($B1643="","",ROUND(SUMIF(账户名,$B1643,账户期初)+SUMIFS($K$6:K1643,$B$6:B1643,$B1643),2))</f>
        <v/>
      </c>
      <c r="N1643" s="23" t="str">
        <f>IF($B1643="","",IFERROR(ROUND(INDEX(账户期初本位,MATCH($B1643,账户名,0))+SUMIFS($L$6:L1643,$B$6:B1643,$B1643),2),""))</f>
        <v/>
      </c>
      <c r="O1643" s="46"/>
      <c r="P1643" s="47"/>
      <c r="Q1643" s="46"/>
      <c r="R1643" s="46"/>
      <c r="S1643" s="6" t="str">
        <f>IF($B1643="","",IF(ISNA(MATCH($B1643,账户名,0)),"※这个账户不在【参数设置】的账户档案里",IF($A1643="","※没填日期，这一笔不会进任何月份的报表",IF(AND($G1643&lt;&gt;"",$H1643&lt;&gt;""),"※收入和支出不能同时填",IF(AND(N($G1643)=0,N($H1643)=0),"※收入和支出都没填",IF($E1643="","※没填收支类别，分类报表会漏掉这一笔",IF(ISNA(MATCH($E1643,类别表,0)),"※收支类别不在【参数设置】的清单里",IF($J1643="","△"&amp;$D1643&amp;" 还没填汇率，去【月度汇率】补上就自动算了",IF(YEAR($A1643)&lt;&gt;管理年度,"△不是管理年度的单据，年报里看不到",IF(AND($F1643="内部转账",$Q1643=""),"△内部转账建议在「往来单位」写上对方账户",IF($M1643&lt;0,"△这一笔之后该账户余额成负数了，核一下","")))))))))))</f>
        <v/>
      </c>
    </row>
    <row r="1644" ht="16.5" spans="1:19">
      <c r="A1644" s="45"/>
      <c r="B1644" s="46"/>
      <c r="C1644" s="12" t="str">
        <f>IF($B1644="","",IFERROR(INDEX(账户银行,MATCH($B1644,账户名,0)),""))</f>
        <v/>
      </c>
      <c r="D1644" s="12" t="str">
        <f>IF($B1644="","",IFERROR(INDEX(账户币种,MATCH($B1644,账户名,0)),""))</f>
        <v/>
      </c>
      <c r="E1644" s="47"/>
      <c r="F1644" s="12" t="str">
        <f>IF($E1644="","",IFERROR(INDEX(类别属性,MATCH($E1644,类别表,0)),""))</f>
        <v/>
      </c>
      <c r="G1644" s="48"/>
      <c r="H1644" s="48"/>
      <c r="I1644" s="49"/>
      <c r="J1644" s="24" t="str">
        <f>IF(OR($A1644="",$B1644=""),"",IF($I1644&lt;&gt;"",$I1644,IF($D1644=本位币,1,IFERROR(LOOKUP(2,1/((汇率月份&lt;=$A1644)*(INDEX(记账汇率区,0,MATCH($D1644,汇率币种头,0))&lt;&gt;"")),INDEX(记账汇率区,0,MATCH($D1644,汇率币种头,0))),""))))</f>
        <v/>
      </c>
      <c r="K1644" s="23" t="str">
        <f t="shared" si="50"/>
        <v/>
      </c>
      <c r="L1644" s="23" t="str">
        <f t="shared" si="51"/>
        <v/>
      </c>
      <c r="M1644" s="23" t="str">
        <f>IF($B1644="","",ROUND(SUMIF(账户名,$B1644,账户期初)+SUMIFS($K$6:K1644,$B$6:B1644,$B1644),2))</f>
        <v/>
      </c>
      <c r="N1644" s="23" t="str">
        <f>IF($B1644="","",IFERROR(ROUND(INDEX(账户期初本位,MATCH($B1644,账户名,0))+SUMIFS($L$6:L1644,$B$6:B1644,$B1644),2),""))</f>
        <v/>
      </c>
      <c r="O1644" s="46"/>
      <c r="P1644" s="47"/>
      <c r="Q1644" s="46"/>
      <c r="R1644" s="46"/>
      <c r="S1644" s="6" t="str">
        <f>IF($B1644="","",IF(ISNA(MATCH($B1644,账户名,0)),"※这个账户不在【参数设置】的账户档案里",IF($A1644="","※没填日期，这一笔不会进任何月份的报表",IF(AND($G1644&lt;&gt;"",$H1644&lt;&gt;""),"※收入和支出不能同时填",IF(AND(N($G1644)=0,N($H1644)=0),"※收入和支出都没填",IF($E1644="","※没填收支类别，分类报表会漏掉这一笔",IF(ISNA(MATCH($E1644,类别表,0)),"※收支类别不在【参数设置】的清单里",IF($J1644="","△"&amp;$D1644&amp;" 还没填汇率，去【月度汇率】补上就自动算了",IF(YEAR($A1644)&lt;&gt;管理年度,"△不是管理年度的单据，年报里看不到",IF(AND($F1644="内部转账",$Q1644=""),"△内部转账建议在「往来单位」写上对方账户",IF($M1644&lt;0,"△这一笔之后该账户余额成负数了，核一下","")))))))))))</f>
        <v/>
      </c>
    </row>
    <row r="1645" ht="16.5" spans="1:19">
      <c r="A1645" s="45"/>
      <c r="B1645" s="46"/>
      <c r="C1645" s="12" t="str">
        <f>IF($B1645="","",IFERROR(INDEX(账户银行,MATCH($B1645,账户名,0)),""))</f>
        <v/>
      </c>
      <c r="D1645" s="12" t="str">
        <f>IF($B1645="","",IFERROR(INDEX(账户币种,MATCH($B1645,账户名,0)),""))</f>
        <v/>
      </c>
      <c r="E1645" s="47"/>
      <c r="F1645" s="12" t="str">
        <f>IF($E1645="","",IFERROR(INDEX(类别属性,MATCH($E1645,类别表,0)),""))</f>
        <v/>
      </c>
      <c r="G1645" s="48"/>
      <c r="H1645" s="48"/>
      <c r="I1645" s="49"/>
      <c r="J1645" s="24" t="str">
        <f>IF(OR($A1645="",$B1645=""),"",IF($I1645&lt;&gt;"",$I1645,IF($D1645=本位币,1,IFERROR(LOOKUP(2,1/((汇率月份&lt;=$A1645)*(INDEX(记账汇率区,0,MATCH($D1645,汇率币种头,0))&lt;&gt;"")),INDEX(记账汇率区,0,MATCH($D1645,汇率币种头,0))),""))))</f>
        <v/>
      </c>
      <c r="K1645" s="23" t="str">
        <f t="shared" si="50"/>
        <v/>
      </c>
      <c r="L1645" s="23" t="str">
        <f t="shared" si="51"/>
        <v/>
      </c>
      <c r="M1645" s="23" t="str">
        <f>IF($B1645="","",ROUND(SUMIF(账户名,$B1645,账户期初)+SUMIFS($K$6:K1645,$B$6:B1645,$B1645),2))</f>
        <v/>
      </c>
      <c r="N1645" s="23" t="str">
        <f>IF($B1645="","",IFERROR(ROUND(INDEX(账户期初本位,MATCH($B1645,账户名,0))+SUMIFS($L$6:L1645,$B$6:B1645,$B1645),2),""))</f>
        <v/>
      </c>
      <c r="O1645" s="46"/>
      <c r="P1645" s="47"/>
      <c r="Q1645" s="46"/>
      <c r="R1645" s="46"/>
      <c r="S1645" s="6" t="str">
        <f>IF($B1645="","",IF(ISNA(MATCH($B1645,账户名,0)),"※这个账户不在【参数设置】的账户档案里",IF($A1645="","※没填日期，这一笔不会进任何月份的报表",IF(AND($G1645&lt;&gt;"",$H1645&lt;&gt;""),"※收入和支出不能同时填",IF(AND(N($G1645)=0,N($H1645)=0),"※收入和支出都没填",IF($E1645="","※没填收支类别，分类报表会漏掉这一笔",IF(ISNA(MATCH($E1645,类别表,0)),"※收支类别不在【参数设置】的清单里",IF($J1645="","△"&amp;$D1645&amp;" 还没填汇率，去【月度汇率】补上就自动算了",IF(YEAR($A1645)&lt;&gt;管理年度,"△不是管理年度的单据，年报里看不到",IF(AND($F1645="内部转账",$Q1645=""),"△内部转账建议在「往来单位」写上对方账户",IF($M1645&lt;0,"△这一笔之后该账户余额成负数了，核一下","")))))))))))</f>
        <v/>
      </c>
    </row>
    <row r="1646" ht="16.5" spans="1:19">
      <c r="A1646" s="45"/>
      <c r="B1646" s="46"/>
      <c r="C1646" s="12" t="str">
        <f>IF($B1646="","",IFERROR(INDEX(账户银行,MATCH($B1646,账户名,0)),""))</f>
        <v/>
      </c>
      <c r="D1646" s="12" t="str">
        <f>IF($B1646="","",IFERROR(INDEX(账户币种,MATCH($B1646,账户名,0)),""))</f>
        <v/>
      </c>
      <c r="E1646" s="47"/>
      <c r="F1646" s="12" t="str">
        <f>IF($E1646="","",IFERROR(INDEX(类别属性,MATCH($E1646,类别表,0)),""))</f>
        <v/>
      </c>
      <c r="G1646" s="48"/>
      <c r="H1646" s="48"/>
      <c r="I1646" s="49"/>
      <c r="J1646" s="24" t="str">
        <f>IF(OR($A1646="",$B1646=""),"",IF($I1646&lt;&gt;"",$I1646,IF($D1646=本位币,1,IFERROR(LOOKUP(2,1/((汇率月份&lt;=$A1646)*(INDEX(记账汇率区,0,MATCH($D1646,汇率币种头,0))&lt;&gt;"")),INDEX(记账汇率区,0,MATCH($D1646,汇率币种头,0))),""))))</f>
        <v/>
      </c>
      <c r="K1646" s="23" t="str">
        <f t="shared" si="50"/>
        <v/>
      </c>
      <c r="L1646" s="23" t="str">
        <f t="shared" si="51"/>
        <v/>
      </c>
      <c r="M1646" s="23" t="str">
        <f>IF($B1646="","",ROUND(SUMIF(账户名,$B1646,账户期初)+SUMIFS($K$6:K1646,$B$6:B1646,$B1646),2))</f>
        <v/>
      </c>
      <c r="N1646" s="23" t="str">
        <f>IF($B1646="","",IFERROR(ROUND(INDEX(账户期初本位,MATCH($B1646,账户名,0))+SUMIFS($L$6:L1646,$B$6:B1646,$B1646),2),""))</f>
        <v/>
      </c>
      <c r="O1646" s="46"/>
      <c r="P1646" s="47"/>
      <c r="Q1646" s="46"/>
      <c r="R1646" s="46"/>
      <c r="S1646" s="6" t="str">
        <f>IF($B1646="","",IF(ISNA(MATCH($B1646,账户名,0)),"※这个账户不在【参数设置】的账户档案里",IF($A1646="","※没填日期，这一笔不会进任何月份的报表",IF(AND($G1646&lt;&gt;"",$H1646&lt;&gt;""),"※收入和支出不能同时填",IF(AND(N($G1646)=0,N($H1646)=0),"※收入和支出都没填",IF($E1646="","※没填收支类别，分类报表会漏掉这一笔",IF(ISNA(MATCH($E1646,类别表,0)),"※收支类别不在【参数设置】的清单里",IF($J1646="","△"&amp;$D1646&amp;" 还没填汇率，去【月度汇率】补上就自动算了",IF(YEAR($A1646)&lt;&gt;管理年度,"△不是管理年度的单据，年报里看不到",IF(AND($F1646="内部转账",$Q1646=""),"△内部转账建议在「往来单位」写上对方账户",IF($M1646&lt;0,"△这一笔之后该账户余额成负数了，核一下","")))))))))))</f>
        <v/>
      </c>
    </row>
    <row r="1647" ht="16.5" spans="1:19">
      <c r="A1647" s="45"/>
      <c r="B1647" s="46"/>
      <c r="C1647" s="12" t="str">
        <f>IF($B1647="","",IFERROR(INDEX(账户银行,MATCH($B1647,账户名,0)),""))</f>
        <v/>
      </c>
      <c r="D1647" s="12" t="str">
        <f>IF($B1647="","",IFERROR(INDEX(账户币种,MATCH($B1647,账户名,0)),""))</f>
        <v/>
      </c>
      <c r="E1647" s="47"/>
      <c r="F1647" s="12" t="str">
        <f>IF($E1647="","",IFERROR(INDEX(类别属性,MATCH($E1647,类别表,0)),""))</f>
        <v/>
      </c>
      <c r="G1647" s="48"/>
      <c r="H1647" s="48"/>
      <c r="I1647" s="49"/>
      <c r="J1647" s="24" t="str">
        <f>IF(OR($A1647="",$B1647=""),"",IF($I1647&lt;&gt;"",$I1647,IF($D1647=本位币,1,IFERROR(LOOKUP(2,1/((汇率月份&lt;=$A1647)*(INDEX(记账汇率区,0,MATCH($D1647,汇率币种头,0))&lt;&gt;"")),INDEX(记账汇率区,0,MATCH($D1647,汇率币种头,0))),""))))</f>
        <v/>
      </c>
      <c r="K1647" s="23" t="str">
        <f t="shared" si="50"/>
        <v/>
      </c>
      <c r="L1647" s="23" t="str">
        <f t="shared" si="51"/>
        <v/>
      </c>
      <c r="M1647" s="23" t="str">
        <f>IF($B1647="","",ROUND(SUMIF(账户名,$B1647,账户期初)+SUMIFS($K$6:K1647,$B$6:B1647,$B1647),2))</f>
        <v/>
      </c>
      <c r="N1647" s="23" t="str">
        <f>IF($B1647="","",IFERROR(ROUND(INDEX(账户期初本位,MATCH($B1647,账户名,0))+SUMIFS($L$6:L1647,$B$6:B1647,$B1647),2),""))</f>
        <v/>
      </c>
      <c r="O1647" s="46"/>
      <c r="P1647" s="47"/>
      <c r="Q1647" s="46"/>
      <c r="R1647" s="46"/>
      <c r="S1647" s="6" t="str">
        <f>IF($B1647="","",IF(ISNA(MATCH($B1647,账户名,0)),"※这个账户不在【参数设置】的账户档案里",IF($A1647="","※没填日期，这一笔不会进任何月份的报表",IF(AND($G1647&lt;&gt;"",$H1647&lt;&gt;""),"※收入和支出不能同时填",IF(AND(N($G1647)=0,N($H1647)=0),"※收入和支出都没填",IF($E1647="","※没填收支类别，分类报表会漏掉这一笔",IF(ISNA(MATCH($E1647,类别表,0)),"※收支类别不在【参数设置】的清单里",IF($J1647="","△"&amp;$D1647&amp;" 还没填汇率，去【月度汇率】补上就自动算了",IF(YEAR($A1647)&lt;&gt;管理年度,"△不是管理年度的单据，年报里看不到",IF(AND($F1647="内部转账",$Q1647=""),"△内部转账建议在「往来单位」写上对方账户",IF($M1647&lt;0,"△这一笔之后该账户余额成负数了，核一下","")))))))))))</f>
        <v/>
      </c>
    </row>
    <row r="1648" ht="16.5" spans="1:19">
      <c r="A1648" s="45"/>
      <c r="B1648" s="46"/>
      <c r="C1648" s="12" t="str">
        <f>IF($B1648="","",IFERROR(INDEX(账户银行,MATCH($B1648,账户名,0)),""))</f>
        <v/>
      </c>
      <c r="D1648" s="12" t="str">
        <f>IF($B1648="","",IFERROR(INDEX(账户币种,MATCH($B1648,账户名,0)),""))</f>
        <v/>
      </c>
      <c r="E1648" s="47"/>
      <c r="F1648" s="12" t="str">
        <f>IF($E1648="","",IFERROR(INDEX(类别属性,MATCH($E1648,类别表,0)),""))</f>
        <v/>
      </c>
      <c r="G1648" s="48"/>
      <c r="H1648" s="48"/>
      <c r="I1648" s="49"/>
      <c r="J1648" s="24" t="str">
        <f>IF(OR($A1648="",$B1648=""),"",IF($I1648&lt;&gt;"",$I1648,IF($D1648=本位币,1,IFERROR(LOOKUP(2,1/((汇率月份&lt;=$A1648)*(INDEX(记账汇率区,0,MATCH($D1648,汇率币种头,0))&lt;&gt;"")),INDEX(记账汇率区,0,MATCH($D1648,汇率币种头,0))),""))))</f>
        <v/>
      </c>
      <c r="K1648" s="23" t="str">
        <f t="shared" si="50"/>
        <v/>
      </c>
      <c r="L1648" s="23" t="str">
        <f t="shared" si="51"/>
        <v/>
      </c>
      <c r="M1648" s="23" t="str">
        <f>IF($B1648="","",ROUND(SUMIF(账户名,$B1648,账户期初)+SUMIFS($K$6:K1648,$B$6:B1648,$B1648),2))</f>
        <v/>
      </c>
      <c r="N1648" s="23" t="str">
        <f>IF($B1648="","",IFERROR(ROUND(INDEX(账户期初本位,MATCH($B1648,账户名,0))+SUMIFS($L$6:L1648,$B$6:B1648,$B1648),2),""))</f>
        <v/>
      </c>
      <c r="O1648" s="46"/>
      <c r="P1648" s="47"/>
      <c r="Q1648" s="46"/>
      <c r="R1648" s="46"/>
      <c r="S1648" s="6" t="str">
        <f>IF($B1648="","",IF(ISNA(MATCH($B1648,账户名,0)),"※这个账户不在【参数设置】的账户档案里",IF($A1648="","※没填日期，这一笔不会进任何月份的报表",IF(AND($G1648&lt;&gt;"",$H1648&lt;&gt;""),"※收入和支出不能同时填",IF(AND(N($G1648)=0,N($H1648)=0),"※收入和支出都没填",IF($E1648="","※没填收支类别，分类报表会漏掉这一笔",IF(ISNA(MATCH($E1648,类别表,0)),"※收支类别不在【参数设置】的清单里",IF($J1648="","△"&amp;$D1648&amp;" 还没填汇率，去【月度汇率】补上就自动算了",IF(YEAR($A1648)&lt;&gt;管理年度,"△不是管理年度的单据，年报里看不到",IF(AND($F1648="内部转账",$Q1648=""),"△内部转账建议在「往来单位」写上对方账户",IF($M1648&lt;0,"△这一笔之后该账户余额成负数了，核一下","")))))))))))</f>
        <v/>
      </c>
    </row>
    <row r="1649" ht="16.5" spans="1:19">
      <c r="A1649" s="45"/>
      <c r="B1649" s="46"/>
      <c r="C1649" s="12" t="str">
        <f>IF($B1649="","",IFERROR(INDEX(账户银行,MATCH($B1649,账户名,0)),""))</f>
        <v/>
      </c>
      <c r="D1649" s="12" t="str">
        <f>IF($B1649="","",IFERROR(INDEX(账户币种,MATCH($B1649,账户名,0)),""))</f>
        <v/>
      </c>
      <c r="E1649" s="47"/>
      <c r="F1649" s="12" t="str">
        <f>IF($E1649="","",IFERROR(INDEX(类别属性,MATCH($E1649,类别表,0)),""))</f>
        <v/>
      </c>
      <c r="G1649" s="48"/>
      <c r="H1649" s="48"/>
      <c r="I1649" s="49"/>
      <c r="J1649" s="24" t="str">
        <f>IF(OR($A1649="",$B1649=""),"",IF($I1649&lt;&gt;"",$I1649,IF($D1649=本位币,1,IFERROR(LOOKUP(2,1/((汇率月份&lt;=$A1649)*(INDEX(记账汇率区,0,MATCH($D1649,汇率币种头,0))&lt;&gt;"")),INDEX(记账汇率区,0,MATCH($D1649,汇率币种头,0))),""))))</f>
        <v/>
      </c>
      <c r="K1649" s="23" t="str">
        <f t="shared" si="50"/>
        <v/>
      </c>
      <c r="L1649" s="23" t="str">
        <f t="shared" si="51"/>
        <v/>
      </c>
      <c r="M1649" s="23" t="str">
        <f>IF($B1649="","",ROUND(SUMIF(账户名,$B1649,账户期初)+SUMIFS($K$6:K1649,$B$6:B1649,$B1649),2))</f>
        <v/>
      </c>
      <c r="N1649" s="23" t="str">
        <f>IF($B1649="","",IFERROR(ROUND(INDEX(账户期初本位,MATCH($B1649,账户名,0))+SUMIFS($L$6:L1649,$B$6:B1649,$B1649),2),""))</f>
        <v/>
      </c>
      <c r="O1649" s="46"/>
      <c r="P1649" s="47"/>
      <c r="Q1649" s="46"/>
      <c r="R1649" s="46"/>
      <c r="S1649" s="6" t="str">
        <f>IF($B1649="","",IF(ISNA(MATCH($B1649,账户名,0)),"※这个账户不在【参数设置】的账户档案里",IF($A1649="","※没填日期，这一笔不会进任何月份的报表",IF(AND($G1649&lt;&gt;"",$H1649&lt;&gt;""),"※收入和支出不能同时填",IF(AND(N($G1649)=0,N($H1649)=0),"※收入和支出都没填",IF($E1649="","※没填收支类别，分类报表会漏掉这一笔",IF(ISNA(MATCH($E1649,类别表,0)),"※收支类别不在【参数设置】的清单里",IF($J1649="","△"&amp;$D1649&amp;" 还没填汇率，去【月度汇率】补上就自动算了",IF(YEAR($A1649)&lt;&gt;管理年度,"△不是管理年度的单据，年报里看不到",IF(AND($F1649="内部转账",$Q1649=""),"△内部转账建议在「往来单位」写上对方账户",IF($M1649&lt;0,"△这一笔之后该账户余额成负数了，核一下","")))))))))))</f>
        <v/>
      </c>
    </row>
    <row r="1650" ht="16.5" spans="1:19">
      <c r="A1650" s="45"/>
      <c r="B1650" s="46"/>
      <c r="C1650" s="12" t="str">
        <f>IF($B1650="","",IFERROR(INDEX(账户银行,MATCH($B1650,账户名,0)),""))</f>
        <v/>
      </c>
      <c r="D1650" s="12" t="str">
        <f>IF($B1650="","",IFERROR(INDEX(账户币种,MATCH($B1650,账户名,0)),""))</f>
        <v/>
      </c>
      <c r="E1650" s="47"/>
      <c r="F1650" s="12" t="str">
        <f>IF($E1650="","",IFERROR(INDEX(类别属性,MATCH($E1650,类别表,0)),""))</f>
        <v/>
      </c>
      <c r="G1650" s="48"/>
      <c r="H1650" s="48"/>
      <c r="I1650" s="49"/>
      <c r="J1650" s="24" t="str">
        <f>IF(OR($A1650="",$B1650=""),"",IF($I1650&lt;&gt;"",$I1650,IF($D1650=本位币,1,IFERROR(LOOKUP(2,1/((汇率月份&lt;=$A1650)*(INDEX(记账汇率区,0,MATCH($D1650,汇率币种头,0))&lt;&gt;"")),INDEX(记账汇率区,0,MATCH($D1650,汇率币种头,0))),""))))</f>
        <v/>
      </c>
      <c r="K1650" s="23" t="str">
        <f t="shared" si="50"/>
        <v/>
      </c>
      <c r="L1650" s="23" t="str">
        <f t="shared" si="51"/>
        <v/>
      </c>
      <c r="M1650" s="23" t="str">
        <f>IF($B1650="","",ROUND(SUMIF(账户名,$B1650,账户期初)+SUMIFS($K$6:K1650,$B$6:B1650,$B1650),2))</f>
        <v/>
      </c>
      <c r="N1650" s="23" t="str">
        <f>IF($B1650="","",IFERROR(ROUND(INDEX(账户期初本位,MATCH($B1650,账户名,0))+SUMIFS($L$6:L1650,$B$6:B1650,$B1650),2),""))</f>
        <v/>
      </c>
      <c r="O1650" s="46"/>
      <c r="P1650" s="47"/>
      <c r="Q1650" s="46"/>
      <c r="R1650" s="46"/>
      <c r="S1650" s="6" t="str">
        <f>IF($B1650="","",IF(ISNA(MATCH($B1650,账户名,0)),"※这个账户不在【参数设置】的账户档案里",IF($A1650="","※没填日期，这一笔不会进任何月份的报表",IF(AND($G1650&lt;&gt;"",$H1650&lt;&gt;""),"※收入和支出不能同时填",IF(AND(N($G1650)=0,N($H1650)=0),"※收入和支出都没填",IF($E1650="","※没填收支类别，分类报表会漏掉这一笔",IF(ISNA(MATCH($E1650,类别表,0)),"※收支类别不在【参数设置】的清单里",IF($J1650="","△"&amp;$D1650&amp;" 还没填汇率，去【月度汇率】补上就自动算了",IF(YEAR($A1650)&lt;&gt;管理年度,"△不是管理年度的单据，年报里看不到",IF(AND($F1650="内部转账",$Q1650=""),"△内部转账建议在「往来单位」写上对方账户",IF($M1650&lt;0,"△这一笔之后该账户余额成负数了，核一下","")))))))))))</f>
        <v/>
      </c>
    </row>
    <row r="1651" ht="16.5" spans="1:19">
      <c r="A1651" s="45"/>
      <c r="B1651" s="46"/>
      <c r="C1651" s="12" t="str">
        <f>IF($B1651="","",IFERROR(INDEX(账户银行,MATCH($B1651,账户名,0)),""))</f>
        <v/>
      </c>
      <c r="D1651" s="12" t="str">
        <f>IF($B1651="","",IFERROR(INDEX(账户币种,MATCH($B1651,账户名,0)),""))</f>
        <v/>
      </c>
      <c r="E1651" s="47"/>
      <c r="F1651" s="12" t="str">
        <f>IF($E1651="","",IFERROR(INDEX(类别属性,MATCH($E1651,类别表,0)),""))</f>
        <v/>
      </c>
      <c r="G1651" s="48"/>
      <c r="H1651" s="48"/>
      <c r="I1651" s="49"/>
      <c r="J1651" s="24" t="str">
        <f>IF(OR($A1651="",$B1651=""),"",IF($I1651&lt;&gt;"",$I1651,IF($D1651=本位币,1,IFERROR(LOOKUP(2,1/((汇率月份&lt;=$A1651)*(INDEX(记账汇率区,0,MATCH($D1651,汇率币种头,0))&lt;&gt;"")),INDEX(记账汇率区,0,MATCH($D1651,汇率币种头,0))),""))))</f>
        <v/>
      </c>
      <c r="K1651" s="23" t="str">
        <f t="shared" si="50"/>
        <v/>
      </c>
      <c r="L1651" s="23" t="str">
        <f t="shared" si="51"/>
        <v/>
      </c>
      <c r="M1651" s="23" t="str">
        <f>IF($B1651="","",ROUND(SUMIF(账户名,$B1651,账户期初)+SUMIFS($K$6:K1651,$B$6:B1651,$B1651),2))</f>
        <v/>
      </c>
      <c r="N1651" s="23" t="str">
        <f>IF($B1651="","",IFERROR(ROUND(INDEX(账户期初本位,MATCH($B1651,账户名,0))+SUMIFS($L$6:L1651,$B$6:B1651,$B1651),2),""))</f>
        <v/>
      </c>
      <c r="O1651" s="46"/>
      <c r="P1651" s="47"/>
      <c r="Q1651" s="46"/>
      <c r="R1651" s="46"/>
      <c r="S1651" s="6" t="str">
        <f>IF($B1651="","",IF(ISNA(MATCH($B1651,账户名,0)),"※这个账户不在【参数设置】的账户档案里",IF($A1651="","※没填日期，这一笔不会进任何月份的报表",IF(AND($G1651&lt;&gt;"",$H1651&lt;&gt;""),"※收入和支出不能同时填",IF(AND(N($G1651)=0,N($H1651)=0),"※收入和支出都没填",IF($E1651="","※没填收支类别，分类报表会漏掉这一笔",IF(ISNA(MATCH($E1651,类别表,0)),"※收支类别不在【参数设置】的清单里",IF($J1651="","△"&amp;$D1651&amp;" 还没填汇率，去【月度汇率】补上就自动算了",IF(YEAR($A1651)&lt;&gt;管理年度,"△不是管理年度的单据，年报里看不到",IF(AND($F1651="内部转账",$Q1651=""),"△内部转账建议在「往来单位」写上对方账户",IF($M1651&lt;0,"△这一笔之后该账户余额成负数了，核一下","")))))))))))</f>
        <v/>
      </c>
    </row>
    <row r="1652" ht="16.5" spans="1:19">
      <c r="A1652" s="45"/>
      <c r="B1652" s="46"/>
      <c r="C1652" s="12" t="str">
        <f>IF($B1652="","",IFERROR(INDEX(账户银行,MATCH($B1652,账户名,0)),""))</f>
        <v/>
      </c>
      <c r="D1652" s="12" t="str">
        <f>IF($B1652="","",IFERROR(INDEX(账户币种,MATCH($B1652,账户名,0)),""))</f>
        <v/>
      </c>
      <c r="E1652" s="47"/>
      <c r="F1652" s="12" t="str">
        <f>IF($E1652="","",IFERROR(INDEX(类别属性,MATCH($E1652,类别表,0)),""))</f>
        <v/>
      </c>
      <c r="G1652" s="48"/>
      <c r="H1652" s="48"/>
      <c r="I1652" s="49"/>
      <c r="J1652" s="24" t="str">
        <f>IF(OR($A1652="",$B1652=""),"",IF($I1652&lt;&gt;"",$I1652,IF($D1652=本位币,1,IFERROR(LOOKUP(2,1/((汇率月份&lt;=$A1652)*(INDEX(记账汇率区,0,MATCH($D1652,汇率币种头,0))&lt;&gt;"")),INDEX(记账汇率区,0,MATCH($D1652,汇率币种头,0))),""))))</f>
        <v/>
      </c>
      <c r="K1652" s="23" t="str">
        <f t="shared" si="50"/>
        <v/>
      </c>
      <c r="L1652" s="23" t="str">
        <f t="shared" si="51"/>
        <v/>
      </c>
      <c r="M1652" s="23" t="str">
        <f>IF($B1652="","",ROUND(SUMIF(账户名,$B1652,账户期初)+SUMIFS($K$6:K1652,$B$6:B1652,$B1652),2))</f>
        <v/>
      </c>
      <c r="N1652" s="23" t="str">
        <f>IF($B1652="","",IFERROR(ROUND(INDEX(账户期初本位,MATCH($B1652,账户名,0))+SUMIFS($L$6:L1652,$B$6:B1652,$B1652),2),""))</f>
        <v/>
      </c>
      <c r="O1652" s="46"/>
      <c r="P1652" s="47"/>
      <c r="Q1652" s="46"/>
      <c r="R1652" s="46"/>
      <c r="S1652" s="6" t="str">
        <f>IF($B1652="","",IF(ISNA(MATCH($B1652,账户名,0)),"※这个账户不在【参数设置】的账户档案里",IF($A1652="","※没填日期，这一笔不会进任何月份的报表",IF(AND($G1652&lt;&gt;"",$H1652&lt;&gt;""),"※收入和支出不能同时填",IF(AND(N($G1652)=0,N($H1652)=0),"※收入和支出都没填",IF($E1652="","※没填收支类别，分类报表会漏掉这一笔",IF(ISNA(MATCH($E1652,类别表,0)),"※收支类别不在【参数设置】的清单里",IF($J1652="","△"&amp;$D1652&amp;" 还没填汇率，去【月度汇率】补上就自动算了",IF(YEAR($A1652)&lt;&gt;管理年度,"△不是管理年度的单据，年报里看不到",IF(AND($F1652="内部转账",$Q1652=""),"△内部转账建议在「往来单位」写上对方账户",IF($M1652&lt;0,"△这一笔之后该账户余额成负数了，核一下","")))))))))))</f>
        <v/>
      </c>
    </row>
    <row r="1653" ht="16.5" spans="1:19">
      <c r="A1653" s="45"/>
      <c r="B1653" s="46"/>
      <c r="C1653" s="12" t="str">
        <f>IF($B1653="","",IFERROR(INDEX(账户银行,MATCH($B1653,账户名,0)),""))</f>
        <v/>
      </c>
      <c r="D1653" s="12" t="str">
        <f>IF($B1653="","",IFERROR(INDEX(账户币种,MATCH($B1653,账户名,0)),""))</f>
        <v/>
      </c>
      <c r="E1653" s="47"/>
      <c r="F1653" s="12" t="str">
        <f>IF($E1653="","",IFERROR(INDEX(类别属性,MATCH($E1653,类别表,0)),""))</f>
        <v/>
      </c>
      <c r="G1653" s="48"/>
      <c r="H1653" s="48"/>
      <c r="I1653" s="49"/>
      <c r="J1653" s="24" t="str">
        <f>IF(OR($A1653="",$B1653=""),"",IF($I1653&lt;&gt;"",$I1653,IF($D1653=本位币,1,IFERROR(LOOKUP(2,1/((汇率月份&lt;=$A1653)*(INDEX(记账汇率区,0,MATCH($D1653,汇率币种头,0))&lt;&gt;"")),INDEX(记账汇率区,0,MATCH($D1653,汇率币种头,0))),""))))</f>
        <v/>
      </c>
      <c r="K1653" s="23" t="str">
        <f t="shared" si="50"/>
        <v/>
      </c>
      <c r="L1653" s="23" t="str">
        <f t="shared" si="51"/>
        <v/>
      </c>
      <c r="M1653" s="23" t="str">
        <f>IF($B1653="","",ROUND(SUMIF(账户名,$B1653,账户期初)+SUMIFS($K$6:K1653,$B$6:B1653,$B1653),2))</f>
        <v/>
      </c>
      <c r="N1653" s="23" t="str">
        <f>IF($B1653="","",IFERROR(ROUND(INDEX(账户期初本位,MATCH($B1653,账户名,0))+SUMIFS($L$6:L1653,$B$6:B1653,$B1653),2),""))</f>
        <v/>
      </c>
      <c r="O1653" s="46"/>
      <c r="P1653" s="47"/>
      <c r="Q1653" s="46"/>
      <c r="R1653" s="46"/>
      <c r="S1653" s="6" t="str">
        <f>IF($B1653="","",IF(ISNA(MATCH($B1653,账户名,0)),"※这个账户不在【参数设置】的账户档案里",IF($A1653="","※没填日期，这一笔不会进任何月份的报表",IF(AND($G1653&lt;&gt;"",$H1653&lt;&gt;""),"※收入和支出不能同时填",IF(AND(N($G1653)=0,N($H1653)=0),"※收入和支出都没填",IF($E1653="","※没填收支类别，分类报表会漏掉这一笔",IF(ISNA(MATCH($E1653,类别表,0)),"※收支类别不在【参数设置】的清单里",IF($J1653="","△"&amp;$D1653&amp;" 还没填汇率，去【月度汇率】补上就自动算了",IF(YEAR($A1653)&lt;&gt;管理年度,"△不是管理年度的单据，年报里看不到",IF(AND($F1653="内部转账",$Q1653=""),"△内部转账建议在「往来单位」写上对方账户",IF($M1653&lt;0,"△这一笔之后该账户余额成负数了，核一下","")))))))))))</f>
        <v/>
      </c>
    </row>
    <row r="1654" ht="16.5" spans="1:19">
      <c r="A1654" s="45"/>
      <c r="B1654" s="46"/>
      <c r="C1654" s="12" t="str">
        <f>IF($B1654="","",IFERROR(INDEX(账户银行,MATCH($B1654,账户名,0)),""))</f>
        <v/>
      </c>
      <c r="D1654" s="12" t="str">
        <f>IF($B1654="","",IFERROR(INDEX(账户币种,MATCH($B1654,账户名,0)),""))</f>
        <v/>
      </c>
      <c r="E1654" s="47"/>
      <c r="F1654" s="12" t="str">
        <f>IF($E1654="","",IFERROR(INDEX(类别属性,MATCH($E1654,类别表,0)),""))</f>
        <v/>
      </c>
      <c r="G1654" s="48"/>
      <c r="H1654" s="48"/>
      <c r="I1654" s="49"/>
      <c r="J1654" s="24" t="str">
        <f>IF(OR($A1654="",$B1654=""),"",IF($I1654&lt;&gt;"",$I1654,IF($D1654=本位币,1,IFERROR(LOOKUP(2,1/((汇率月份&lt;=$A1654)*(INDEX(记账汇率区,0,MATCH($D1654,汇率币种头,0))&lt;&gt;"")),INDEX(记账汇率区,0,MATCH($D1654,汇率币种头,0))),""))))</f>
        <v/>
      </c>
      <c r="K1654" s="23" t="str">
        <f t="shared" si="50"/>
        <v/>
      </c>
      <c r="L1654" s="23" t="str">
        <f t="shared" si="51"/>
        <v/>
      </c>
      <c r="M1654" s="23" t="str">
        <f>IF($B1654="","",ROUND(SUMIF(账户名,$B1654,账户期初)+SUMIFS($K$6:K1654,$B$6:B1654,$B1654),2))</f>
        <v/>
      </c>
      <c r="N1654" s="23" t="str">
        <f>IF($B1654="","",IFERROR(ROUND(INDEX(账户期初本位,MATCH($B1654,账户名,0))+SUMIFS($L$6:L1654,$B$6:B1654,$B1654),2),""))</f>
        <v/>
      </c>
      <c r="O1654" s="46"/>
      <c r="P1654" s="47"/>
      <c r="Q1654" s="46"/>
      <c r="R1654" s="46"/>
      <c r="S1654" s="6" t="str">
        <f>IF($B1654="","",IF(ISNA(MATCH($B1654,账户名,0)),"※这个账户不在【参数设置】的账户档案里",IF($A1654="","※没填日期，这一笔不会进任何月份的报表",IF(AND($G1654&lt;&gt;"",$H1654&lt;&gt;""),"※收入和支出不能同时填",IF(AND(N($G1654)=0,N($H1654)=0),"※收入和支出都没填",IF($E1654="","※没填收支类别，分类报表会漏掉这一笔",IF(ISNA(MATCH($E1654,类别表,0)),"※收支类别不在【参数设置】的清单里",IF($J1654="","△"&amp;$D1654&amp;" 还没填汇率，去【月度汇率】补上就自动算了",IF(YEAR($A1654)&lt;&gt;管理年度,"△不是管理年度的单据，年报里看不到",IF(AND($F1654="内部转账",$Q1654=""),"△内部转账建议在「往来单位」写上对方账户",IF($M1654&lt;0,"△这一笔之后该账户余额成负数了，核一下","")))))))))))</f>
        <v/>
      </c>
    </row>
    <row r="1655" ht="16.5" spans="1:19">
      <c r="A1655" s="45"/>
      <c r="B1655" s="46"/>
      <c r="C1655" s="12" t="str">
        <f>IF($B1655="","",IFERROR(INDEX(账户银行,MATCH($B1655,账户名,0)),""))</f>
        <v/>
      </c>
      <c r="D1655" s="12" t="str">
        <f>IF($B1655="","",IFERROR(INDEX(账户币种,MATCH($B1655,账户名,0)),""))</f>
        <v/>
      </c>
      <c r="E1655" s="47"/>
      <c r="F1655" s="12" t="str">
        <f>IF($E1655="","",IFERROR(INDEX(类别属性,MATCH($E1655,类别表,0)),""))</f>
        <v/>
      </c>
      <c r="G1655" s="48"/>
      <c r="H1655" s="48"/>
      <c r="I1655" s="49"/>
      <c r="J1655" s="24" t="str">
        <f>IF(OR($A1655="",$B1655=""),"",IF($I1655&lt;&gt;"",$I1655,IF($D1655=本位币,1,IFERROR(LOOKUP(2,1/((汇率月份&lt;=$A1655)*(INDEX(记账汇率区,0,MATCH($D1655,汇率币种头,0))&lt;&gt;"")),INDEX(记账汇率区,0,MATCH($D1655,汇率币种头,0))),""))))</f>
        <v/>
      </c>
      <c r="K1655" s="23" t="str">
        <f t="shared" si="50"/>
        <v/>
      </c>
      <c r="L1655" s="23" t="str">
        <f t="shared" si="51"/>
        <v/>
      </c>
      <c r="M1655" s="23" t="str">
        <f>IF($B1655="","",ROUND(SUMIF(账户名,$B1655,账户期初)+SUMIFS($K$6:K1655,$B$6:B1655,$B1655),2))</f>
        <v/>
      </c>
      <c r="N1655" s="23" t="str">
        <f>IF($B1655="","",IFERROR(ROUND(INDEX(账户期初本位,MATCH($B1655,账户名,0))+SUMIFS($L$6:L1655,$B$6:B1655,$B1655),2),""))</f>
        <v/>
      </c>
      <c r="O1655" s="46"/>
      <c r="P1655" s="47"/>
      <c r="Q1655" s="46"/>
      <c r="R1655" s="46"/>
      <c r="S1655" s="6" t="str">
        <f>IF($B1655="","",IF(ISNA(MATCH($B1655,账户名,0)),"※这个账户不在【参数设置】的账户档案里",IF($A1655="","※没填日期，这一笔不会进任何月份的报表",IF(AND($G1655&lt;&gt;"",$H1655&lt;&gt;""),"※收入和支出不能同时填",IF(AND(N($G1655)=0,N($H1655)=0),"※收入和支出都没填",IF($E1655="","※没填收支类别，分类报表会漏掉这一笔",IF(ISNA(MATCH($E1655,类别表,0)),"※收支类别不在【参数设置】的清单里",IF($J1655="","△"&amp;$D1655&amp;" 还没填汇率，去【月度汇率】补上就自动算了",IF(YEAR($A1655)&lt;&gt;管理年度,"△不是管理年度的单据，年报里看不到",IF(AND($F1655="内部转账",$Q1655=""),"△内部转账建议在「往来单位」写上对方账户",IF($M1655&lt;0,"△这一笔之后该账户余额成负数了，核一下","")))))))))))</f>
        <v/>
      </c>
    </row>
    <row r="1656" ht="16.5" spans="1:19">
      <c r="A1656" s="45"/>
      <c r="B1656" s="46"/>
      <c r="C1656" s="12" t="str">
        <f>IF($B1656="","",IFERROR(INDEX(账户银行,MATCH($B1656,账户名,0)),""))</f>
        <v/>
      </c>
      <c r="D1656" s="12" t="str">
        <f>IF($B1656="","",IFERROR(INDEX(账户币种,MATCH($B1656,账户名,0)),""))</f>
        <v/>
      </c>
      <c r="E1656" s="47"/>
      <c r="F1656" s="12" t="str">
        <f>IF($E1656="","",IFERROR(INDEX(类别属性,MATCH($E1656,类别表,0)),""))</f>
        <v/>
      </c>
      <c r="G1656" s="48"/>
      <c r="H1656" s="48"/>
      <c r="I1656" s="49"/>
      <c r="J1656" s="24" t="str">
        <f>IF(OR($A1656="",$B1656=""),"",IF($I1656&lt;&gt;"",$I1656,IF($D1656=本位币,1,IFERROR(LOOKUP(2,1/((汇率月份&lt;=$A1656)*(INDEX(记账汇率区,0,MATCH($D1656,汇率币种头,0))&lt;&gt;"")),INDEX(记账汇率区,0,MATCH($D1656,汇率币种头,0))),""))))</f>
        <v/>
      </c>
      <c r="K1656" s="23" t="str">
        <f t="shared" si="50"/>
        <v/>
      </c>
      <c r="L1656" s="23" t="str">
        <f t="shared" si="51"/>
        <v/>
      </c>
      <c r="M1656" s="23" t="str">
        <f>IF($B1656="","",ROUND(SUMIF(账户名,$B1656,账户期初)+SUMIFS($K$6:K1656,$B$6:B1656,$B1656),2))</f>
        <v/>
      </c>
      <c r="N1656" s="23" t="str">
        <f>IF($B1656="","",IFERROR(ROUND(INDEX(账户期初本位,MATCH($B1656,账户名,0))+SUMIFS($L$6:L1656,$B$6:B1656,$B1656),2),""))</f>
        <v/>
      </c>
      <c r="O1656" s="46"/>
      <c r="P1656" s="47"/>
      <c r="Q1656" s="46"/>
      <c r="R1656" s="46"/>
      <c r="S1656" s="6" t="str">
        <f>IF($B1656="","",IF(ISNA(MATCH($B1656,账户名,0)),"※这个账户不在【参数设置】的账户档案里",IF($A1656="","※没填日期，这一笔不会进任何月份的报表",IF(AND($G1656&lt;&gt;"",$H1656&lt;&gt;""),"※收入和支出不能同时填",IF(AND(N($G1656)=0,N($H1656)=0),"※收入和支出都没填",IF($E1656="","※没填收支类别，分类报表会漏掉这一笔",IF(ISNA(MATCH($E1656,类别表,0)),"※收支类别不在【参数设置】的清单里",IF($J1656="","△"&amp;$D1656&amp;" 还没填汇率，去【月度汇率】补上就自动算了",IF(YEAR($A1656)&lt;&gt;管理年度,"△不是管理年度的单据，年报里看不到",IF(AND($F1656="内部转账",$Q1656=""),"△内部转账建议在「往来单位」写上对方账户",IF($M1656&lt;0,"△这一笔之后该账户余额成负数了，核一下","")))))))))))</f>
        <v/>
      </c>
    </row>
    <row r="1657" ht="16.5" spans="1:19">
      <c r="A1657" s="45"/>
      <c r="B1657" s="46"/>
      <c r="C1657" s="12" t="str">
        <f>IF($B1657="","",IFERROR(INDEX(账户银行,MATCH($B1657,账户名,0)),""))</f>
        <v/>
      </c>
      <c r="D1657" s="12" t="str">
        <f>IF($B1657="","",IFERROR(INDEX(账户币种,MATCH($B1657,账户名,0)),""))</f>
        <v/>
      </c>
      <c r="E1657" s="47"/>
      <c r="F1657" s="12" t="str">
        <f>IF($E1657="","",IFERROR(INDEX(类别属性,MATCH($E1657,类别表,0)),""))</f>
        <v/>
      </c>
      <c r="G1657" s="48"/>
      <c r="H1657" s="48"/>
      <c r="I1657" s="49"/>
      <c r="J1657" s="24" t="str">
        <f>IF(OR($A1657="",$B1657=""),"",IF($I1657&lt;&gt;"",$I1657,IF($D1657=本位币,1,IFERROR(LOOKUP(2,1/((汇率月份&lt;=$A1657)*(INDEX(记账汇率区,0,MATCH($D1657,汇率币种头,0))&lt;&gt;"")),INDEX(记账汇率区,0,MATCH($D1657,汇率币种头,0))),""))))</f>
        <v/>
      </c>
      <c r="K1657" s="23" t="str">
        <f t="shared" si="50"/>
        <v/>
      </c>
      <c r="L1657" s="23" t="str">
        <f t="shared" si="51"/>
        <v/>
      </c>
      <c r="M1657" s="23" t="str">
        <f>IF($B1657="","",ROUND(SUMIF(账户名,$B1657,账户期初)+SUMIFS($K$6:K1657,$B$6:B1657,$B1657),2))</f>
        <v/>
      </c>
      <c r="N1657" s="23" t="str">
        <f>IF($B1657="","",IFERROR(ROUND(INDEX(账户期初本位,MATCH($B1657,账户名,0))+SUMIFS($L$6:L1657,$B$6:B1657,$B1657),2),""))</f>
        <v/>
      </c>
      <c r="O1657" s="46"/>
      <c r="P1657" s="47"/>
      <c r="Q1657" s="46"/>
      <c r="R1657" s="46"/>
      <c r="S1657" s="6" t="str">
        <f>IF($B1657="","",IF(ISNA(MATCH($B1657,账户名,0)),"※这个账户不在【参数设置】的账户档案里",IF($A1657="","※没填日期，这一笔不会进任何月份的报表",IF(AND($G1657&lt;&gt;"",$H1657&lt;&gt;""),"※收入和支出不能同时填",IF(AND(N($G1657)=0,N($H1657)=0),"※收入和支出都没填",IF($E1657="","※没填收支类别，分类报表会漏掉这一笔",IF(ISNA(MATCH($E1657,类别表,0)),"※收支类别不在【参数设置】的清单里",IF($J1657="","△"&amp;$D1657&amp;" 还没填汇率，去【月度汇率】补上就自动算了",IF(YEAR($A1657)&lt;&gt;管理年度,"△不是管理年度的单据，年报里看不到",IF(AND($F1657="内部转账",$Q1657=""),"△内部转账建议在「往来单位」写上对方账户",IF($M1657&lt;0,"△这一笔之后该账户余额成负数了，核一下","")))))))))))</f>
        <v/>
      </c>
    </row>
    <row r="1658" ht="16.5" spans="1:19">
      <c r="A1658" s="45"/>
      <c r="B1658" s="46"/>
      <c r="C1658" s="12" t="str">
        <f>IF($B1658="","",IFERROR(INDEX(账户银行,MATCH($B1658,账户名,0)),""))</f>
        <v/>
      </c>
      <c r="D1658" s="12" t="str">
        <f>IF($B1658="","",IFERROR(INDEX(账户币种,MATCH($B1658,账户名,0)),""))</f>
        <v/>
      </c>
      <c r="E1658" s="47"/>
      <c r="F1658" s="12" t="str">
        <f>IF($E1658="","",IFERROR(INDEX(类别属性,MATCH($E1658,类别表,0)),""))</f>
        <v/>
      </c>
      <c r="G1658" s="48"/>
      <c r="H1658" s="48"/>
      <c r="I1658" s="49"/>
      <c r="J1658" s="24" t="str">
        <f>IF(OR($A1658="",$B1658=""),"",IF($I1658&lt;&gt;"",$I1658,IF($D1658=本位币,1,IFERROR(LOOKUP(2,1/((汇率月份&lt;=$A1658)*(INDEX(记账汇率区,0,MATCH($D1658,汇率币种头,0))&lt;&gt;"")),INDEX(记账汇率区,0,MATCH($D1658,汇率币种头,0))),""))))</f>
        <v/>
      </c>
      <c r="K1658" s="23" t="str">
        <f t="shared" si="50"/>
        <v/>
      </c>
      <c r="L1658" s="23" t="str">
        <f t="shared" si="51"/>
        <v/>
      </c>
      <c r="M1658" s="23" t="str">
        <f>IF($B1658="","",ROUND(SUMIF(账户名,$B1658,账户期初)+SUMIFS($K$6:K1658,$B$6:B1658,$B1658),2))</f>
        <v/>
      </c>
      <c r="N1658" s="23" t="str">
        <f>IF($B1658="","",IFERROR(ROUND(INDEX(账户期初本位,MATCH($B1658,账户名,0))+SUMIFS($L$6:L1658,$B$6:B1658,$B1658),2),""))</f>
        <v/>
      </c>
      <c r="O1658" s="46"/>
      <c r="P1658" s="47"/>
      <c r="Q1658" s="46"/>
      <c r="R1658" s="46"/>
      <c r="S1658" s="6" t="str">
        <f>IF($B1658="","",IF(ISNA(MATCH($B1658,账户名,0)),"※这个账户不在【参数设置】的账户档案里",IF($A1658="","※没填日期，这一笔不会进任何月份的报表",IF(AND($G1658&lt;&gt;"",$H1658&lt;&gt;""),"※收入和支出不能同时填",IF(AND(N($G1658)=0,N($H1658)=0),"※收入和支出都没填",IF($E1658="","※没填收支类别，分类报表会漏掉这一笔",IF(ISNA(MATCH($E1658,类别表,0)),"※收支类别不在【参数设置】的清单里",IF($J1658="","△"&amp;$D1658&amp;" 还没填汇率，去【月度汇率】补上就自动算了",IF(YEAR($A1658)&lt;&gt;管理年度,"△不是管理年度的单据，年报里看不到",IF(AND($F1658="内部转账",$Q1658=""),"△内部转账建议在「往来单位」写上对方账户",IF($M1658&lt;0,"△这一笔之后该账户余额成负数了，核一下","")))))))))))</f>
        <v/>
      </c>
    </row>
    <row r="1659" ht="16.5" spans="1:19">
      <c r="A1659" s="45"/>
      <c r="B1659" s="46"/>
      <c r="C1659" s="12" t="str">
        <f>IF($B1659="","",IFERROR(INDEX(账户银行,MATCH($B1659,账户名,0)),""))</f>
        <v/>
      </c>
      <c r="D1659" s="12" t="str">
        <f>IF($B1659="","",IFERROR(INDEX(账户币种,MATCH($B1659,账户名,0)),""))</f>
        <v/>
      </c>
      <c r="E1659" s="47"/>
      <c r="F1659" s="12" t="str">
        <f>IF($E1659="","",IFERROR(INDEX(类别属性,MATCH($E1659,类别表,0)),""))</f>
        <v/>
      </c>
      <c r="G1659" s="48"/>
      <c r="H1659" s="48"/>
      <c r="I1659" s="49"/>
      <c r="J1659" s="24" t="str">
        <f>IF(OR($A1659="",$B1659=""),"",IF($I1659&lt;&gt;"",$I1659,IF($D1659=本位币,1,IFERROR(LOOKUP(2,1/((汇率月份&lt;=$A1659)*(INDEX(记账汇率区,0,MATCH($D1659,汇率币种头,0))&lt;&gt;"")),INDEX(记账汇率区,0,MATCH($D1659,汇率币种头,0))),""))))</f>
        <v/>
      </c>
      <c r="K1659" s="23" t="str">
        <f t="shared" si="50"/>
        <v/>
      </c>
      <c r="L1659" s="23" t="str">
        <f t="shared" si="51"/>
        <v/>
      </c>
      <c r="M1659" s="23" t="str">
        <f>IF($B1659="","",ROUND(SUMIF(账户名,$B1659,账户期初)+SUMIFS($K$6:K1659,$B$6:B1659,$B1659),2))</f>
        <v/>
      </c>
      <c r="N1659" s="23" t="str">
        <f>IF($B1659="","",IFERROR(ROUND(INDEX(账户期初本位,MATCH($B1659,账户名,0))+SUMIFS($L$6:L1659,$B$6:B1659,$B1659),2),""))</f>
        <v/>
      </c>
      <c r="O1659" s="46"/>
      <c r="P1659" s="47"/>
      <c r="Q1659" s="46"/>
      <c r="R1659" s="46"/>
      <c r="S1659" s="6" t="str">
        <f>IF($B1659="","",IF(ISNA(MATCH($B1659,账户名,0)),"※这个账户不在【参数设置】的账户档案里",IF($A1659="","※没填日期，这一笔不会进任何月份的报表",IF(AND($G1659&lt;&gt;"",$H1659&lt;&gt;""),"※收入和支出不能同时填",IF(AND(N($G1659)=0,N($H1659)=0),"※收入和支出都没填",IF($E1659="","※没填收支类别，分类报表会漏掉这一笔",IF(ISNA(MATCH($E1659,类别表,0)),"※收支类别不在【参数设置】的清单里",IF($J1659="","△"&amp;$D1659&amp;" 还没填汇率，去【月度汇率】补上就自动算了",IF(YEAR($A1659)&lt;&gt;管理年度,"△不是管理年度的单据，年报里看不到",IF(AND($F1659="内部转账",$Q1659=""),"△内部转账建议在「往来单位」写上对方账户",IF($M1659&lt;0,"△这一笔之后该账户余额成负数了，核一下","")))))))))))</f>
        <v/>
      </c>
    </row>
    <row r="1660" ht="16.5" spans="1:19">
      <c r="A1660" s="45"/>
      <c r="B1660" s="46"/>
      <c r="C1660" s="12" t="str">
        <f>IF($B1660="","",IFERROR(INDEX(账户银行,MATCH($B1660,账户名,0)),""))</f>
        <v/>
      </c>
      <c r="D1660" s="12" t="str">
        <f>IF($B1660="","",IFERROR(INDEX(账户币种,MATCH($B1660,账户名,0)),""))</f>
        <v/>
      </c>
      <c r="E1660" s="47"/>
      <c r="F1660" s="12" t="str">
        <f>IF($E1660="","",IFERROR(INDEX(类别属性,MATCH($E1660,类别表,0)),""))</f>
        <v/>
      </c>
      <c r="G1660" s="48"/>
      <c r="H1660" s="48"/>
      <c r="I1660" s="49"/>
      <c r="J1660" s="24" t="str">
        <f>IF(OR($A1660="",$B1660=""),"",IF($I1660&lt;&gt;"",$I1660,IF($D1660=本位币,1,IFERROR(LOOKUP(2,1/((汇率月份&lt;=$A1660)*(INDEX(记账汇率区,0,MATCH($D1660,汇率币种头,0))&lt;&gt;"")),INDEX(记账汇率区,0,MATCH($D1660,汇率币种头,0))),""))))</f>
        <v/>
      </c>
      <c r="K1660" s="23" t="str">
        <f t="shared" si="50"/>
        <v/>
      </c>
      <c r="L1660" s="23" t="str">
        <f t="shared" si="51"/>
        <v/>
      </c>
      <c r="M1660" s="23" t="str">
        <f>IF($B1660="","",ROUND(SUMIF(账户名,$B1660,账户期初)+SUMIFS($K$6:K1660,$B$6:B1660,$B1660),2))</f>
        <v/>
      </c>
      <c r="N1660" s="23" t="str">
        <f>IF($B1660="","",IFERROR(ROUND(INDEX(账户期初本位,MATCH($B1660,账户名,0))+SUMIFS($L$6:L1660,$B$6:B1660,$B1660),2),""))</f>
        <v/>
      </c>
      <c r="O1660" s="46"/>
      <c r="P1660" s="47"/>
      <c r="Q1660" s="46"/>
      <c r="R1660" s="46"/>
      <c r="S1660" s="6" t="str">
        <f>IF($B1660="","",IF(ISNA(MATCH($B1660,账户名,0)),"※这个账户不在【参数设置】的账户档案里",IF($A1660="","※没填日期，这一笔不会进任何月份的报表",IF(AND($G1660&lt;&gt;"",$H1660&lt;&gt;""),"※收入和支出不能同时填",IF(AND(N($G1660)=0,N($H1660)=0),"※收入和支出都没填",IF($E1660="","※没填收支类别，分类报表会漏掉这一笔",IF(ISNA(MATCH($E1660,类别表,0)),"※收支类别不在【参数设置】的清单里",IF($J1660="","△"&amp;$D1660&amp;" 还没填汇率，去【月度汇率】补上就自动算了",IF(YEAR($A1660)&lt;&gt;管理年度,"△不是管理年度的单据，年报里看不到",IF(AND($F1660="内部转账",$Q1660=""),"△内部转账建议在「往来单位」写上对方账户",IF($M1660&lt;0,"△这一笔之后该账户余额成负数了，核一下","")))))))))))</f>
        <v/>
      </c>
    </row>
    <row r="1661" ht="16.5" spans="1:19">
      <c r="A1661" s="45"/>
      <c r="B1661" s="46"/>
      <c r="C1661" s="12" t="str">
        <f>IF($B1661="","",IFERROR(INDEX(账户银行,MATCH($B1661,账户名,0)),""))</f>
        <v/>
      </c>
      <c r="D1661" s="12" t="str">
        <f>IF($B1661="","",IFERROR(INDEX(账户币种,MATCH($B1661,账户名,0)),""))</f>
        <v/>
      </c>
      <c r="E1661" s="47"/>
      <c r="F1661" s="12" t="str">
        <f>IF($E1661="","",IFERROR(INDEX(类别属性,MATCH($E1661,类别表,0)),""))</f>
        <v/>
      </c>
      <c r="G1661" s="48"/>
      <c r="H1661" s="48"/>
      <c r="I1661" s="49"/>
      <c r="J1661" s="24" t="str">
        <f>IF(OR($A1661="",$B1661=""),"",IF($I1661&lt;&gt;"",$I1661,IF($D1661=本位币,1,IFERROR(LOOKUP(2,1/((汇率月份&lt;=$A1661)*(INDEX(记账汇率区,0,MATCH($D1661,汇率币种头,0))&lt;&gt;"")),INDEX(记账汇率区,0,MATCH($D1661,汇率币种头,0))),""))))</f>
        <v/>
      </c>
      <c r="K1661" s="23" t="str">
        <f t="shared" si="50"/>
        <v/>
      </c>
      <c r="L1661" s="23" t="str">
        <f t="shared" si="51"/>
        <v/>
      </c>
      <c r="M1661" s="23" t="str">
        <f>IF($B1661="","",ROUND(SUMIF(账户名,$B1661,账户期初)+SUMIFS($K$6:K1661,$B$6:B1661,$B1661),2))</f>
        <v/>
      </c>
      <c r="N1661" s="23" t="str">
        <f>IF($B1661="","",IFERROR(ROUND(INDEX(账户期初本位,MATCH($B1661,账户名,0))+SUMIFS($L$6:L1661,$B$6:B1661,$B1661),2),""))</f>
        <v/>
      </c>
      <c r="O1661" s="46"/>
      <c r="P1661" s="47"/>
      <c r="Q1661" s="46"/>
      <c r="R1661" s="46"/>
      <c r="S1661" s="6" t="str">
        <f>IF($B1661="","",IF(ISNA(MATCH($B1661,账户名,0)),"※这个账户不在【参数设置】的账户档案里",IF($A1661="","※没填日期，这一笔不会进任何月份的报表",IF(AND($G1661&lt;&gt;"",$H1661&lt;&gt;""),"※收入和支出不能同时填",IF(AND(N($G1661)=0,N($H1661)=0),"※收入和支出都没填",IF($E1661="","※没填收支类别，分类报表会漏掉这一笔",IF(ISNA(MATCH($E1661,类别表,0)),"※收支类别不在【参数设置】的清单里",IF($J1661="","△"&amp;$D1661&amp;" 还没填汇率，去【月度汇率】补上就自动算了",IF(YEAR($A1661)&lt;&gt;管理年度,"△不是管理年度的单据，年报里看不到",IF(AND($F1661="内部转账",$Q1661=""),"△内部转账建议在「往来单位」写上对方账户",IF($M1661&lt;0,"△这一笔之后该账户余额成负数了，核一下","")))))))))))</f>
        <v/>
      </c>
    </row>
    <row r="1662" ht="16.5" spans="1:19">
      <c r="A1662" s="45"/>
      <c r="B1662" s="46"/>
      <c r="C1662" s="12" t="str">
        <f>IF($B1662="","",IFERROR(INDEX(账户银行,MATCH($B1662,账户名,0)),""))</f>
        <v/>
      </c>
      <c r="D1662" s="12" t="str">
        <f>IF($B1662="","",IFERROR(INDEX(账户币种,MATCH($B1662,账户名,0)),""))</f>
        <v/>
      </c>
      <c r="E1662" s="47"/>
      <c r="F1662" s="12" t="str">
        <f>IF($E1662="","",IFERROR(INDEX(类别属性,MATCH($E1662,类别表,0)),""))</f>
        <v/>
      </c>
      <c r="G1662" s="48"/>
      <c r="H1662" s="48"/>
      <c r="I1662" s="49"/>
      <c r="J1662" s="24" t="str">
        <f>IF(OR($A1662="",$B1662=""),"",IF($I1662&lt;&gt;"",$I1662,IF($D1662=本位币,1,IFERROR(LOOKUP(2,1/((汇率月份&lt;=$A1662)*(INDEX(记账汇率区,0,MATCH($D1662,汇率币种头,0))&lt;&gt;"")),INDEX(记账汇率区,0,MATCH($D1662,汇率币种头,0))),""))))</f>
        <v/>
      </c>
      <c r="K1662" s="23" t="str">
        <f t="shared" si="50"/>
        <v/>
      </c>
      <c r="L1662" s="23" t="str">
        <f t="shared" si="51"/>
        <v/>
      </c>
      <c r="M1662" s="23" t="str">
        <f>IF($B1662="","",ROUND(SUMIF(账户名,$B1662,账户期初)+SUMIFS($K$6:K1662,$B$6:B1662,$B1662),2))</f>
        <v/>
      </c>
      <c r="N1662" s="23" t="str">
        <f>IF($B1662="","",IFERROR(ROUND(INDEX(账户期初本位,MATCH($B1662,账户名,0))+SUMIFS($L$6:L1662,$B$6:B1662,$B1662),2),""))</f>
        <v/>
      </c>
      <c r="O1662" s="46"/>
      <c r="P1662" s="47"/>
      <c r="Q1662" s="46"/>
      <c r="R1662" s="46"/>
      <c r="S1662" s="6" t="str">
        <f>IF($B1662="","",IF(ISNA(MATCH($B1662,账户名,0)),"※这个账户不在【参数设置】的账户档案里",IF($A1662="","※没填日期，这一笔不会进任何月份的报表",IF(AND($G1662&lt;&gt;"",$H1662&lt;&gt;""),"※收入和支出不能同时填",IF(AND(N($G1662)=0,N($H1662)=0),"※收入和支出都没填",IF($E1662="","※没填收支类别，分类报表会漏掉这一笔",IF(ISNA(MATCH($E1662,类别表,0)),"※收支类别不在【参数设置】的清单里",IF($J1662="","△"&amp;$D1662&amp;" 还没填汇率，去【月度汇率】补上就自动算了",IF(YEAR($A1662)&lt;&gt;管理年度,"△不是管理年度的单据，年报里看不到",IF(AND($F1662="内部转账",$Q1662=""),"△内部转账建议在「往来单位」写上对方账户",IF($M1662&lt;0,"△这一笔之后该账户余额成负数了，核一下","")))))))))))</f>
        <v/>
      </c>
    </row>
    <row r="1663" ht="16.5" spans="1:19">
      <c r="A1663" s="45"/>
      <c r="B1663" s="46"/>
      <c r="C1663" s="12" t="str">
        <f>IF($B1663="","",IFERROR(INDEX(账户银行,MATCH($B1663,账户名,0)),""))</f>
        <v/>
      </c>
      <c r="D1663" s="12" t="str">
        <f>IF($B1663="","",IFERROR(INDEX(账户币种,MATCH($B1663,账户名,0)),""))</f>
        <v/>
      </c>
      <c r="E1663" s="47"/>
      <c r="F1663" s="12" t="str">
        <f>IF($E1663="","",IFERROR(INDEX(类别属性,MATCH($E1663,类别表,0)),""))</f>
        <v/>
      </c>
      <c r="G1663" s="48"/>
      <c r="H1663" s="48"/>
      <c r="I1663" s="49"/>
      <c r="J1663" s="24" t="str">
        <f>IF(OR($A1663="",$B1663=""),"",IF($I1663&lt;&gt;"",$I1663,IF($D1663=本位币,1,IFERROR(LOOKUP(2,1/((汇率月份&lt;=$A1663)*(INDEX(记账汇率区,0,MATCH($D1663,汇率币种头,0))&lt;&gt;"")),INDEX(记账汇率区,0,MATCH($D1663,汇率币种头,0))),""))))</f>
        <v/>
      </c>
      <c r="K1663" s="23" t="str">
        <f t="shared" si="50"/>
        <v/>
      </c>
      <c r="L1663" s="23" t="str">
        <f t="shared" si="51"/>
        <v/>
      </c>
      <c r="M1663" s="23" t="str">
        <f>IF($B1663="","",ROUND(SUMIF(账户名,$B1663,账户期初)+SUMIFS($K$6:K1663,$B$6:B1663,$B1663),2))</f>
        <v/>
      </c>
      <c r="N1663" s="23" t="str">
        <f>IF($B1663="","",IFERROR(ROUND(INDEX(账户期初本位,MATCH($B1663,账户名,0))+SUMIFS($L$6:L1663,$B$6:B1663,$B1663),2),""))</f>
        <v/>
      </c>
      <c r="O1663" s="46"/>
      <c r="P1663" s="47"/>
      <c r="Q1663" s="46"/>
      <c r="R1663" s="46"/>
      <c r="S1663" s="6" t="str">
        <f>IF($B1663="","",IF(ISNA(MATCH($B1663,账户名,0)),"※这个账户不在【参数设置】的账户档案里",IF($A1663="","※没填日期，这一笔不会进任何月份的报表",IF(AND($G1663&lt;&gt;"",$H1663&lt;&gt;""),"※收入和支出不能同时填",IF(AND(N($G1663)=0,N($H1663)=0),"※收入和支出都没填",IF($E1663="","※没填收支类别，分类报表会漏掉这一笔",IF(ISNA(MATCH($E1663,类别表,0)),"※收支类别不在【参数设置】的清单里",IF($J1663="","△"&amp;$D1663&amp;" 还没填汇率，去【月度汇率】补上就自动算了",IF(YEAR($A1663)&lt;&gt;管理年度,"△不是管理年度的单据，年报里看不到",IF(AND($F1663="内部转账",$Q1663=""),"△内部转账建议在「往来单位」写上对方账户",IF($M1663&lt;0,"△这一笔之后该账户余额成负数了，核一下","")))))))))))</f>
        <v/>
      </c>
    </row>
    <row r="1664" ht="16.5" spans="1:19">
      <c r="A1664" s="45"/>
      <c r="B1664" s="46"/>
      <c r="C1664" s="12" t="str">
        <f>IF($B1664="","",IFERROR(INDEX(账户银行,MATCH($B1664,账户名,0)),""))</f>
        <v/>
      </c>
      <c r="D1664" s="12" t="str">
        <f>IF($B1664="","",IFERROR(INDEX(账户币种,MATCH($B1664,账户名,0)),""))</f>
        <v/>
      </c>
      <c r="E1664" s="47"/>
      <c r="F1664" s="12" t="str">
        <f>IF($E1664="","",IFERROR(INDEX(类别属性,MATCH($E1664,类别表,0)),""))</f>
        <v/>
      </c>
      <c r="G1664" s="48"/>
      <c r="H1664" s="48"/>
      <c r="I1664" s="49"/>
      <c r="J1664" s="24" t="str">
        <f>IF(OR($A1664="",$B1664=""),"",IF($I1664&lt;&gt;"",$I1664,IF($D1664=本位币,1,IFERROR(LOOKUP(2,1/((汇率月份&lt;=$A1664)*(INDEX(记账汇率区,0,MATCH($D1664,汇率币种头,0))&lt;&gt;"")),INDEX(记账汇率区,0,MATCH($D1664,汇率币种头,0))),""))))</f>
        <v/>
      </c>
      <c r="K1664" s="23" t="str">
        <f t="shared" si="50"/>
        <v/>
      </c>
      <c r="L1664" s="23" t="str">
        <f t="shared" si="51"/>
        <v/>
      </c>
      <c r="M1664" s="23" t="str">
        <f>IF($B1664="","",ROUND(SUMIF(账户名,$B1664,账户期初)+SUMIFS($K$6:K1664,$B$6:B1664,$B1664),2))</f>
        <v/>
      </c>
      <c r="N1664" s="23" t="str">
        <f>IF($B1664="","",IFERROR(ROUND(INDEX(账户期初本位,MATCH($B1664,账户名,0))+SUMIFS($L$6:L1664,$B$6:B1664,$B1664),2),""))</f>
        <v/>
      </c>
      <c r="O1664" s="46"/>
      <c r="P1664" s="47"/>
      <c r="Q1664" s="46"/>
      <c r="R1664" s="46"/>
      <c r="S1664" s="6" t="str">
        <f>IF($B1664="","",IF(ISNA(MATCH($B1664,账户名,0)),"※这个账户不在【参数设置】的账户档案里",IF($A1664="","※没填日期，这一笔不会进任何月份的报表",IF(AND($G1664&lt;&gt;"",$H1664&lt;&gt;""),"※收入和支出不能同时填",IF(AND(N($G1664)=0,N($H1664)=0),"※收入和支出都没填",IF($E1664="","※没填收支类别，分类报表会漏掉这一笔",IF(ISNA(MATCH($E1664,类别表,0)),"※收支类别不在【参数设置】的清单里",IF($J1664="","△"&amp;$D1664&amp;" 还没填汇率，去【月度汇率】补上就自动算了",IF(YEAR($A1664)&lt;&gt;管理年度,"△不是管理年度的单据，年报里看不到",IF(AND($F1664="内部转账",$Q1664=""),"△内部转账建议在「往来单位」写上对方账户",IF($M1664&lt;0,"△这一笔之后该账户余额成负数了，核一下","")))))))))))</f>
        <v/>
      </c>
    </row>
    <row r="1665" ht="16.5" spans="1:19">
      <c r="A1665" s="45"/>
      <c r="B1665" s="46"/>
      <c r="C1665" s="12" t="str">
        <f>IF($B1665="","",IFERROR(INDEX(账户银行,MATCH($B1665,账户名,0)),""))</f>
        <v/>
      </c>
      <c r="D1665" s="12" t="str">
        <f>IF($B1665="","",IFERROR(INDEX(账户币种,MATCH($B1665,账户名,0)),""))</f>
        <v/>
      </c>
      <c r="E1665" s="47"/>
      <c r="F1665" s="12" t="str">
        <f>IF($E1665="","",IFERROR(INDEX(类别属性,MATCH($E1665,类别表,0)),""))</f>
        <v/>
      </c>
      <c r="G1665" s="48"/>
      <c r="H1665" s="48"/>
      <c r="I1665" s="49"/>
      <c r="J1665" s="24" t="str">
        <f>IF(OR($A1665="",$B1665=""),"",IF($I1665&lt;&gt;"",$I1665,IF($D1665=本位币,1,IFERROR(LOOKUP(2,1/((汇率月份&lt;=$A1665)*(INDEX(记账汇率区,0,MATCH($D1665,汇率币种头,0))&lt;&gt;"")),INDEX(记账汇率区,0,MATCH($D1665,汇率币种头,0))),""))))</f>
        <v/>
      </c>
      <c r="K1665" s="23" t="str">
        <f t="shared" si="50"/>
        <v/>
      </c>
      <c r="L1665" s="23" t="str">
        <f t="shared" si="51"/>
        <v/>
      </c>
      <c r="M1665" s="23" t="str">
        <f>IF($B1665="","",ROUND(SUMIF(账户名,$B1665,账户期初)+SUMIFS($K$6:K1665,$B$6:B1665,$B1665),2))</f>
        <v/>
      </c>
      <c r="N1665" s="23" t="str">
        <f>IF($B1665="","",IFERROR(ROUND(INDEX(账户期初本位,MATCH($B1665,账户名,0))+SUMIFS($L$6:L1665,$B$6:B1665,$B1665),2),""))</f>
        <v/>
      </c>
      <c r="O1665" s="46"/>
      <c r="P1665" s="47"/>
      <c r="Q1665" s="46"/>
      <c r="R1665" s="46"/>
      <c r="S1665" s="6" t="str">
        <f>IF($B1665="","",IF(ISNA(MATCH($B1665,账户名,0)),"※这个账户不在【参数设置】的账户档案里",IF($A1665="","※没填日期，这一笔不会进任何月份的报表",IF(AND($G1665&lt;&gt;"",$H1665&lt;&gt;""),"※收入和支出不能同时填",IF(AND(N($G1665)=0,N($H1665)=0),"※收入和支出都没填",IF($E1665="","※没填收支类别，分类报表会漏掉这一笔",IF(ISNA(MATCH($E1665,类别表,0)),"※收支类别不在【参数设置】的清单里",IF($J1665="","△"&amp;$D1665&amp;" 还没填汇率，去【月度汇率】补上就自动算了",IF(YEAR($A1665)&lt;&gt;管理年度,"△不是管理年度的单据，年报里看不到",IF(AND($F1665="内部转账",$Q1665=""),"△内部转账建议在「往来单位」写上对方账户",IF($M1665&lt;0,"△这一笔之后该账户余额成负数了，核一下","")))))))))))</f>
        <v/>
      </c>
    </row>
    <row r="1666" ht="16.5" spans="1:19">
      <c r="A1666" s="45"/>
      <c r="B1666" s="46"/>
      <c r="C1666" s="12" t="str">
        <f>IF($B1666="","",IFERROR(INDEX(账户银行,MATCH($B1666,账户名,0)),""))</f>
        <v/>
      </c>
      <c r="D1666" s="12" t="str">
        <f>IF($B1666="","",IFERROR(INDEX(账户币种,MATCH($B1666,账户名,0)),""))</f>
        <v/>
      </c>
      <c r="E1666" s="47"/>
      <c r="F1666" s="12" t="str">
        <f>IF($E1666="","",IFERROR(INDEX(类别属性,MATCH($E1666,类别表,0)),""))</f>
        <v/>
      </c>
      <c r="G1666" s="48"/>
      <c r="H1666" s="48"/>
      <c r="I1666" s="49"/>
      <c r="J1666" s="24" t="str">
        <f>IF(OR($A1666="",$B1666=""),"",IF($I1666&lt;&gt;"",$I1666,IF($D1666=本位币,1,IFERROR(LOOKUP(2,1/((汇率月份&lt;=$A1666)*(INDEX(记账汇率区,0,MATCH($D1666,汇率币种头,0))&lt;&gt;"")),INDEX(记账汇率区,0,MATCH($D1666,汇率币种头,0))),""))))</f>
        <v/>
      </c>
      <c r="K1666" s="23" t="str">
        <f t="shared" si="50"/>
        <v/>
      </c>
      <c r="L1666" s="23" t="str">
        <f t="shared" si="51"/>
        <v/>
      </c>
      <c r="M1666" s="23" t="str">
        <f>IF($B1666="","",ROUND(SUMIF(账户名,$B1666,账户期初)+SUMIFS($K$6:K1666,$B$6:B1666,$B1666),2))</f>
        <v/>
      </c>
      <c r="N1666" s="23" t="str">
        <f>IF($B1666="","",IFERROR(ROUND(INDEX(账户期初本位,MATCH($B1666,账户名,0))+SUMIFS($L$6:L1666,$B$6:B1666,$B1666),2),""))</f>
        <v/>
      </c>
      <c r="O1666" s="46"/>
      <c r="P1666" s="47"/>
      <c r="Q1666" s="46"/>
      <c r="R1666" s="46"/>
      <c r="S1666" s="6" t="str">
        <f>IF($B1666="","",IF(ISNA(MATCH($B1666,账户名,0)),"※这个账户不在【参数设置】的账户档案里",IF($A1666="","※没填日期，这一笔不会进任何月份的报表",IF(AND($G1666&lt;&gt;"",$H1666&lt;&gt;""),"※收入和支出不能同时填",IF(AND(N($G1666)=0,N($H1666)=0),"※收入和支出都没填",IF($E1666="","※没填收支类别，分类报表会漏掉这一笔",IF(ISNA(MATCH($E1666,类别表,0)),"※收支类别不在【参数设置】的清单里",IF($J1666="","△"&amp;$D1666&amp;" 还没填汇率，去【月度汇率】补上就自动算了",IF(YEAR($A1666)&lt;&gt;管理年度,"△不是管理年度的单据，年报里看不到",IF(AND($F1666="内部转账",$Q1666=""),"△内部转账建议在「往来单位」写上对方账户",IF($M1666&lt;0,"△这一笔之后该账户余额成负数了，核一下","")))))))))))</f>
        <v/>
      </c>
    </row>
    <row r="1667" ht="16.5" spans="1:19">
      <c r="A1667" s="45"/>
      <c r="B1667" s="46"/>
      <c r="C1667" s="12" t="str">
        <f>IF($B1667="","",IFERROR(INDEX(账户银行,MATCH($B1667,账户名,0)),""))</f>
        <v/>
      </c>
      <c r="D1667" s="12" t="str">
        <f>IF($B1667="","",IFERROR(INDEX(账户币种,MATCH($B1667,账户名,0)),""))</f>
        <v/>
      </c>
      <c r="E1667" s="47"/>
      <c r="F1667" s="12" t="str">
        <f>IF($E1667="","",IFERROR(INDEX(类别属性,MATCH($E1667,类别表,0)),""))</f>
        <v/>
      </c>
      <c r="G1667" s="48"/>
      <c r="H1667" s="48"/>
      <c r="I1667" s="49"/>
      <c r="J1667" s="24" t="str">
        <f>IF(OR($A1667="",$B1667=""),"",IF($I1667&lt;&gt;"",$I1667,IF($D1667=本位币,1,IFERROR(LOOKUP(2,1/((汇率月份&lt;=$A1667)*(INDEX(记账汇率区,0,MATCH($D1667,汇率币种头,0))&lt;&gt;"")),INDEX(记账汇率区,0,MATCH($D1667,汇率币种头,0))),""))))</f>
        <v/>
      </c>
      <c r="K1667" s="23" t="str">
        <f t="shared" si="50"/>
        <v/>
      </c>
      <c r="L1667" s="23" t="str">
        <f t="shared" si="51"/>
        <v/>
      </c>
      <c r="M1667" s="23" t="str">
        <f>IF($B1667="","",ROUND(SUMIF(账户名,$B1667,账户期初)+SUMIFS($K$6:K1667,$B$6:B1667,$B1667),2))</f>
        <v/>
      </c>
      <c r="N1667" s="23" t="str">
        <f>IF($B1667="","",IFERROR(ROUND(INDEX(账户期初本位,MATCH($B1667,账户名,0))+SUMIFS($L$6:L1667,$B$6:B1667,$B1667),2),""))</f>
        <v/>
      </c>
      <c r="O1667" s="46"/>
      <c r="P1667" s="47"/>
      <c r="Q1667" s="46"/>
      <c r="R1667" s="46"/>
      <c r="S1667" s="6" t="str">
        <f>IF($B1667="","",IF(ISNA(MATCH($B1667,账户名,0)),"※这个账户不在【参数设置】的账户档案里",IF($A1667="","※没填日期，这一笔不会进任何月份的报表",IF(AND($G1667&lt;&gt;"",$H1667&lt;&gt;""),"※收入和支出不能同时填",IF(AND(N($G1667)=0,N($H1667)=0),"※收入和支出都没填",IF($E1667="","※没填收支类别，分类报表会漏掉这一笔",IF(ISNA(MATCH($E1667,类别表,0)),"※收支类别不在【参数设置】的清单里",IF($J1667="","△"&amp;$D1667&amp;" 还没填汇率，去【月度汇率】补上就自动算了",IF(YEAR($A1667)&lt;&gt;管理年度,"△不是管理年度的单据，年报里看不到",IF(AND($F1667="内部转账",$Q1667=""),"△内部转账建议在「往来单位」写上对方账户",IF($M1667&lt;0,"△这一笔之后该账户余额成负数了，核一下","")))))))))))</f>
        <v/>
      </c>
    </row>
    <row r="1668" ht="16.5" spans="1:19">
      <c r="A1668" s="45"/>
      <c r="B1668" s="46"/>
      <c r="C1668" s="12" t="str">
        <f>IF($B1668="","",IFERROR(INDEX(账户银行,MATCH($B1668,账户名,0)),""))</f>
        <v/>
      </c>
      <c r="D1668" s="12" t="str">
        <f>IF($B1668="","",IFERROR(INDEX(账户币种,MATCH($B1668,账户名,0)),""))</f>
        <v/>
      </c>
      <c r="E1668" s="47"/>
      <c r="F1668" s="12" t="str">
        <f>IF($E1668="","",IFERROR(INDEX(类别属性,MATCH($E1668,类别表,0)),""))</f>
        <v/>
      </c>
      <c r="G1668" s="48"/>
      <c r="H1668" s="48"/>
      <c r="I1668" s="49"/>
      <c r="J1668" s="24" t="str">
        <f>IF(OR($A1668="",$B1668=""),"",IF($I1668&lt;&gt;"",$I1668,IF($D1668=本位币,1,IFERROR(LOOKUP(2,1/((汇率月份&lt;=$A1668)*(INDEX(记账汇率区,0,MATCH($D1668,汇率币种头,0))&lt;&gt;"")),INDEX(记账汇率区,0,MATCH($D1668,汇率币种头,0))),""))))</f>
        <v/>
      </c>
      <c r="K1668" s="23" t="str">
        <f t="shared" si="50"/>
        <v/>
      </c>
      <c r="L1668" s="23" t="str">
        <f t="shared" si="51"/>
        <v/>
      </c>
      <c r="M1668" s="23" t="str">
        <f>IF($B1668="","",ROUND(SUMIF(账户名,$B1668,账户期初)+SUMIFS($K$6:K1668,$B$6:B1668,$B1668),2))</f>
        <v/>
      </c>
      <c r="N1668" s="23" t="str">
        <f>IF($B1668="","",IFERROR(ROUND(INDEX(账户期初本位,MATCH($B1668,账户名,0))+SUMIFS($L$6:L1668,$B$6:B1668,$B1668),2),""))</f>
        <v/>
      </c>
      <c r="O1668" s="46"/>
      <c r="P1668" s="47"/>
      <c r="Q1668" s="46"/>
      <c r="R1668" s="46"/>
      <c r="S1668" s="6" t="str">
        <f>IF($B1668="","",IF(ISNA(MATCH($B1668,账户名,0)),"※这个账户不在【参数设置】的账户档案里",IF($A1668="","※没填日期，这一笔不会进任何月份的报表",IF(AND($G1668&lt;&gt;"",$H1668&lt;&gt;""),"※收入和支出不能同时填",IF(AND(N($G1668)=0,N($H1668)=0),"※收入和支出都没填",IF($E1668="","※没填收支类别，分类报表会漏掉这一笔",IF(ISNA(MATCH($E1668,类别表,0)),"※收支类别不在【参数设置】的清单里",IF($J1668="","△"&amp;$D1668&amp;" 还没填汇率，去【月度汇率】补上就自动算了",IF(YEAR($A1668)&lt;&gt;管理年度,"△不是管理年度的单据，年报里看不到",IF(AND($F1668="内部转账",$Q1668=""),"△内部转账建议在「往来单位」写上对方账户",IF($M1668&lt;0,"△这一笔之后该账户余额成负数了，核一下","")))))))))))</f>
        <v/>
      </c>
    </row>
    <row r="1669" ht="16.5" spans="1:19">
      <c r="A1669" s="45"/>
      <c r="B1669" s="46"/>
      <c r="C1669" s="12" t="str">
        <f>IF($B1669="","",IFERROR(INDEX(账户银行,MATCH($B1669,账户名,0)),""))</f>
        <v/>
      </c>
      <c r="D1669" s="12" t="str">
        <f>IF($B1669="","",IFERROR(INDEX(账户币种,MATCH($B1669,账户名,0)),""))</f>
        <v/>
      </c>
      <c r="E1669" s="47"/>
      <c r="F1669" s="12" t="str">
        <f>IF($E1669="","",IFERROR(INDEX(类别属性,MATCH($E1669,类别表,0)),""))</f>
        <v/>
      </c>
      <c r="G1669" s="48"/>
      <c r="H1669" s="48"/>
      <c r="I1669" s="49"/>
      <c r="J1669" s="24" t="str">
        <f>IF(OR($A1669="",$B1669=""),"",IF($I1669&lt;&gt;"",$I1669,IF($D1669=本位币,1,IFERROR(LOOKUP(2,1/((汇率月份&lt;=$A1669)*(INDEX(记账汇率区,0,MATCH($D1669,汇率币种头,0))&lt;&gt;"")),INDEX(记账汇率区,0,MATCH($D1669,汇率币种头,0))),""))))</f>
        <v/>
      </c>
      <c r="K1669" s="23" t="str">
        <f t="shared" si="50"/>
        <v/>
      </c>
      <c r="L1669" s="23" t="str">
        <f t="shared" si="51"/>
        <v/>
      </c>
      <c r="M1669" s="23" t="str">
        <f>IF($B1669="","",ROUND(SUMIF(账户名,$B1669,账户期初)+SUMIFS($K$6:K1669,$B$6:B1669,$B1669),2))</f>
        <v/>
      </c>
      <c r="N1669" s="23" t="str">
        <f>IF($B1669="","",IFERROR(ROUND(INDEX(账户期初本位,MATCH($B1669,账户名,0))+SUMIFS($L$6:L1669,$B$6:B1669,$B1669),2),""))</f>
        <v/>
      </c>
      <c r="O1669" s="46"/>
      <c r="P1669" s="47"/>
      <c r="Q1669" s="46"/>
      <c r="R1669" s="46"/>
      <c r="S1669" s="6" t="str">
        <f>IF($B1669="","",IF(ISNA(MATCH($B1669,账户名,0)),"※这个账户不在【参数设置】的账户档案里",IF($A1669="","※没填日期，这一笔不会进任何月份的报表",IF(AND($G1669&lt;&gt;"",$H1669&lt;&gt;""),"※收入和支出不能同时填",IF(AND(N($G1669)=0,N($H1669)=0),"※收入和支出都没填",IF($E1669="","※没填收支类别，分类报表会漏掉这一笔",IF(ISNA(MATCH($E1669,类别表,0)),"※收支类别不在【参数设置】的清单里",IF($J1669="","△"&amp;$D1669&amp;" 还没填汇率，去【月度汇率】补上就自动算了",IF(YEAR($A1669)&lt;&gt;管理年度,"△不是管理年度的单据，年报里看不到",IF(AND($F1669="内部转账",$Q1669=""),"△内部转账建议在「往来单位」写上对方账户",IF($M1669&lt;0,"△这一笔之后该账户余额成负数了，核一下","")))))))))))</f>
        <v/>
      </c>
    </row>
    <row r="1670" ht="16.5" spans="1:19">
      <c r="A1670" s="45"/>
      <c r="B1670" s="46"/>
      <c r="C1670" s="12" t="str">
        <f>IF($B1670="","",IFERROR(INDEX(账户银行,MATCH($B1670,账户名,0)),""))</f>
        <v/>
      </c>
      <c r="D1670" s="12" t="str">
        <f>IF($B1670="","",IFERROR(INDEX(账户币种,MATCH($B1670,账户名,0)),""))</f>
        <v/>
      </c>
      <c r="E1670" s="47"/>
      <c r="F1670" s="12" t="str">
        <f>IF($E1670="","",IFERROR(INDEX(类别属性,MATCH($E1670,类别表,0)),""))</f>
        <v/>
      </c>
      <c r="G1670" s="48"/>
      <c r="H1670" s="48"/>
      <c r="I1670" s="49"/>
      <c r="J1670" s="24" t="str">
        <f>IF(OR($A1670="",$B1670=""),"",IF($I1670&lt;&gt;"",$I1670,IF($D1670=本位币,1,IFERROR(LOOKUP(2,1/((汇率月份&lt;=$A1670)*(INDEX(记账汇率区,0,MATCH($D1670,汇率币种头,0))&lt;&gt;"")),INDEX(记账汇率区,0,MATCH($D1670,汇率币种头,0))),""))))</f>
        <v/>
      </c>
      <c r="K1670" s="23" t="str">
        <f t="shared" ref="K1670:K1733" si="52">IF(AND($G1670="",$H1670=""),"",ROUND(N($G1670)-N($H1670),2))</f>
        <v/>
      </c>
      <c r="L1670" s="23" t="str">
        <f t="shared" ref="L1670:L1733" si="53">IF(OR($K1670="",$J1670=""),"",ROUND($K1670*$J1670,2))</f>
        <v/>
      </c>
      <c r="M1670" s="23" t="str">
        <f>IF($B1670="","",ROUND(SUMIF(账户名,$B1670,账户期初)+SUMIFS($K$6:K1670,$B$6:B1670,$B1670),2))</f>
        <v/>
      </c>
      <c r="N1670" s="23" t="str">
        <f>IF($B1670="","",IFERROR(ROUND(INDEX(账户期初本位,MATCH($B1670,账户名,0))+SUMIFS($L$6:L1670,$B$6:B1670,$B1670),2),""))</f>
        <v/>
      </c>
      <c r="O1670" s="46"/>
      <c r="P1670" s="47"/>
      <c r="Q1670" s="46"/>
      <c r="R1670" s="46"/>
      <c r="S1670" s="6" t="str">
        <f>IF($B1670="","",IF(ISNA(MATCH($B1670,账户名,0)),"※这个账户不在【参数设置】的账户档案里",IF($A1670="","※没填日期，这一笔不会进任何月份的报表",IF(AND($G1670&lt;&gt;"",$H1670&lt;&gt;""),"※收入和支出不能同时填",IF(AND(N($G1670)=0,N($H1670)=0),"※收入和支出都没填",IF($E1670="","※没填收支类别，分类报表会漏掉这一笔",IF(ISNA(MATCH($E1670,类别表,0)),"※收支类别不在【参数设置】的清单里",IF($J1670="","△"&amp;$D1670&amp;" 还没填汇率，去【月度汇率】补上就自动算了",IF(YEAR($A1670)&lt;&gt;管理年度,"△不是管理年度的单据，年报里看不到",IF(AND($F1670="内部转账",$Q1670=""),"△内部转账建议在「往来单位」写上对方账户",IF($M1670&lt;0,"△这一笔之后该账户余额成负数了，核一下","")))))))))))</f>
        <v/>
      </c>
    </row>
    <row r="1671" ht="16.5" spans="1:19">
      <c r="A1671" s="45"/>
      <c r="B1671" s="46"/>
      <c r="C1671" s="12" t="str">
        <f>IF($B1671="","",IFERROR(INDEX(账户银行,MATCH($B1671,账户名,0)),""))</f>
        <v/>
      </c>
      <c r="D1671" s="12" t="str">
        <f>IF($B1671="","",IFERROR(INDEX(账户币种,MATCH($B1671,账户名,0)),""))</f>
        <v/>
      </c>
      <c r="E1671" s="47"/>
      <c r="F1671" s="12" t="str">
        <f>IF($E1671="","",IFERROR(INDEX(类别属性,MATCH($E1671,类别表,0)),""))</f>
        <v/>
      </c>
      <c r="G1671" s="48"/>
      <c r="H1671" s="48"/>
      <c r="I1671" s="49"/>
      <c r="J1671" s="24" t="str">
        <f>IF(OR($A1671="",$B1671=""),"",IF($I1671&lt;&gt;"",$I1671,IF($D1671=本位币,1,IFERROR(LOOKUP(2,1/((汇率月份&lt;=$A1671)*(INDEX(记账汇率区,0,MATCH($D1671,汇率币种头,0))&lt;&gt;"")),INDEX(记账汇率区,0,MATCH($D1671,汇率币种头,0))),""))))</f>
        <v/>
      </c>
      <c r="K1671" s="23" t="str">
        <f t="shared" si="52"/>
        <v/>
      </c>
      <c r="L1671" s="23" t="str">
        <f t="shared" si="53"/>
        <v/>
      </c>
      <c r="M1671" s="23" t="str">
        <f>IF($B1671="","",ROUND(SUMIF(账户名,$B1671,账户期初)+SUMIFS($K$6:K1671,$B$6:B1671,$B1671),2))</f>
        <v/>
      </c>
      <c r="N1671" s="23" t="str">
        <f>IF($B1671="","",IFERROR(ROUND(INDEX(账户期初本位,MATCH($B1671,账户名,0))+SUMIFS($L$6:L1671,$B$6:B1671,$B1671),2),""))</f>
        <v/>
      </c>
      <c r="O1671" s="46"/>
      <c r="P1671" s="47"/>
      <c r="Q1671" s="46"/>
      <c r="R1671" s="46"/>
      <c r="S1671" s="6" t="str">
        <f>IF($B1671="","",IF(ISNA(MATCH($B1671,账户名,0)),"※这个账户不在【参数设置】的账户档案里",IF($A1671="","※没填日期，这一笔不会进任何月份的报表",IF(AND($G1671&lt;&gt;"",$H1671&lt;&gt;""),"※收入和支出不能同时填",IF(AND(N($G1671)=0,N($H1671)=0),"※收入和支出都没填",IF($E1671="","※没填收支类别，分类报表会漏掉这一笔",IF(ISNA(MATCH($E1671,类别表,0)),"※收支类别不在【参数设置】的清单里",IF($J1671="","△"&amp;$D1671&amp;" 还没填汇率，去【月度汇率】补上就自动算了",IF(YEAR($A1671)&lt;&gt;管理年度,"△不是管理年度的单据，年报里看不到",IF(AND($F1671="内部转账",$Q1671=""),"△内部转账建议在「往来单位」写上对方账户",IF($M1671&lt;0,"△这一笔之后该账户余额成负数了，核一下","")))))))))))</f>
        <v/>
      </c>
    </row>
    <row r="1672" ht="16.5" spans="1:19">
      <c r="A1672" s="45"/>
      <c r="B1672" s="46"/>
      <c r="C1672" s="12" t="str">
        <f>IF($B1672="","",IFERROR(INDEX(账户银行,MATCH($B1672,账户名,0)),""))</f>
        <v/>
      </c>
      <c r="D1672" s="12" t="str">
        <f>IF($B1672="","",IFERROR(INDEX(账户币种,MATCH($B1672,账户名,0)),""))</f>
        <v/>
      </c>
      <c r="E1672" s="47"/>
      <c r="F1672" s="12" t="str">
        <f>IF($E1672="","",IFERROR(INDEX(类别属性,MATCH($E1672,类别表,0)),""))</f>
        <v/>
      </c>
      <c r="G1672" s="48"/>
      <c r="H1672" s="48"/>
      <c r="I1672" s="49"/>
      <c r="J1672" s="24" t="str">
        <f>IF(OR($A1672="",$B1672=""),"",IF($I1672&lt;&gt;"",$I1672,IF($D1672=本位币,1,IFERROR(LOOKUP(2,1/((汇率月份&lt;=$A1672)*(INDEX(记账汇率区,0,MATCH($D1672,汇率币种头,0))&lt;&gt;"")),INDEX(记账汇率区,0,MATCH($D1672,汇率币种头,0))),""))))</f>
        <v/>
      </c>
      <c r="K1672" s="23" t="str">
        <f t="shared" si="52"/>
        <v/>
      </c>
      <c r="L1672" s="23" t="str">
        <f t="shared" si="53"/>
        <v/>
      </c>
      <c r="M1672" s="23" t="str">
        <f>IF($B1672="","",ROUND(SUMIF(账户名,$B1672,账户期初)+SUMIFS($K$6:K1672,$B$6:B1672,$B1672),2))</f>
        <v/>
      </c>
      <c r="N1672" s="23" t="str">
        <f>IF($B1672="","",IFERROR(ROUND(INDEX(账户期初本位,MATCH($B1672,账户名,0))+SUMIFS($L$6:L1672,$B$6:B1672,$B1672),2),""))</f>
        <v/>
      </c>
      <c r="O1672" s="46"/>
      <c r="P1672" s="47"/>
      <c r="Q1672" s="46"/>
      <c r="R1672" s="46"/>
      <c r="S1672" s="6" t="str">
        <f>IF($B1672="","",IF(ISNA(MATCH($B1672,账户名,0)),"※这个账户不在【参数设置】的账户档案里",IF($A1672="","※没填日期，这一笔不会进任何月份的报表",IF(AND($G1672&lt;&gt;"",$H1672&lt;&gt;""),"※收入和支出不能同时填",IF(AND(N($G1672)=0,N($H1672)=0),"※收入和支出都没填",IF($E1672="","※没填收支类别，分类报表会漏掉这一笔",IF(ISNA(MATCH($E1672,类别表,0)),"※收支类别不在【参数设置】的清单里",IF($J1672="","△"&amp;$D1672&amp;" 还没填汇率，去【月度汇率】补上就自动算了",IF(YEAR($A1672)&lt;&gt;管理年度,"△不是管理年度的单据，年报里看不到",IF(AND($F1672="内部转账",$Q1672=""),"△内部转账建议在「往来单位」写上对方账户",IF($M1672&lt;0,"△这一笔之后该账户余额成负数了，核一下","")))))))))))</f>
        <v/>
      </c>
    </row>
    <row r="1673" ht="16.5" spans="1:19">
      <c r="A1673" s="45"/>
      <c r="B1673" s="46"/>
      <c r="C1673" s="12" t="str">
        <f>IF($B1673="","",IFERROR(INDEX(账户银行,MATCH($B1673,账户名,0)),""))</f>
        <v/>
      </c>
      <c r="D1673" s="12" t="str">
        <f>IF($B1673="","",IFERROR(INDEX(账户币种,MATCH($B1673,账户名,0)),""))</f>
        <v/>
      </c>
      <c r="E1673" s="47"/>
      <c r="F1673" s="12" t="str">
        <f>IF($E1673="","",IFERROR(INDEX(类别属性,MATCH($E1673,类别表,0)),""))</f>
        <v/>
      </c>
      <c r="G1673" s="48"/>
      <c r="H1673" s="48"/>
      <c r="I1673" s="49"/>
      <c r="J1673" s="24" t="str">
        <f>IF(OR($A1673="",$B1673=""),"",IF($I1673&lt;&gt;"",$I1673,IF($D1673=本位币,1,IFERROR(LOOKUP(2,1/((汇率月份&lt;=$A1673)*(INDEX(记账汇率区,0,MATCH($D1673,汇率币种头,0))&lt;&gt;"")),INDEX(记账汇率区,0,MATCH($D1673,汇率币种头,0))),""))))</f>
        <v/>
      </c>
      <c r="K1673" s="23" t="str">
        <f t="shared" si="52"/>
        <v/>
      </c>
      <c r="L1673" s="23" t="str">
        <f t="shared" si="53"/>
        <v/>
      </c>
      <c r="M1673" s="23" t="str">
        <f>IF($B1673="","",ROUND(SUMIF(账户名,$B1673,账户期初)+SUMIFS($K$6:K1673,$B$6:B1673,$B1673),2))</f>
        <v/>
      </c>
      <c r="N1673" s="23" t="str">
        <f>IF($B1673="","",IFERROR(ROUND(INDEX(账户期初本位,MATCH($B1673,账户名,0))+SUMIFS($L$6:L1673,$B$6:B1673,$B1673),2),""))</f>
        <v/>
      </c>
      <c r="O1673" s="46"/>
      <c r="P1673" s="47"/>
      <c r="Q1673" s="46"/>
      <c r="R1673" s="46"/>
      <c r="S1673" s="6" t="str">
        <f>IF($B1673="","",IF(ISNA(MATCH($B1673,账户名,0)),"※这个账户不在【参数设置】的账户档案里",IF($A1673="","※没填日期，这一笔不会进任何月份的报表",IF(AND($G1673&lt;&gt;"",$H1673&lt;&gt;""),"※收入和支出不能同时填",IF(AND(N($G1673)=0,N($H1673)=0),"※收入和支出都没填",IF($E1673="","※没填收支类别，分类报表会漏掉这一笔",IF(ISNA(MATCH($E1673,类别表,0)),"※收支类别不在【参数设置】的清单里",IF($J1673="","△"&amp;$D1673&amp;" 还没填汇率，去【月度汇率】补上就自动算了",IF(YEAR($A1673)&lt;&gt;管理年度,"△不是管理年度的单据，年报里看不到",IF(AND($F1673="内部转账",$Q1673=""),"△内部转账建议在「往来单位」写上对方账户",IF($M1673&lt;0,"△这一笔之后该账户余额成负数了，核一下","")))))))))))</f>
        <v/>
      </c>
    </row>
    <row r="1674" ht="16.5" spans="1:19">
      <c r="A1674" s="45"/>
      <c r="B1674" s="46"/>
      <c r="C1674" s="12" t="str">
        <f>IF($B1674="","",IFERROR(INDEX(账户银行,MATCH($B1674,账户名,0)),""))</f>
        <v/>
      </c>
      <c r="D1674" s="12" t="str">
        <f>IF($B1674="","",IFERROR(INDEX(账户币种,MATCH($B1674,账户名,0)),""))</f>
        <v/>
      </c>
      <c r="E1674" s="47"/>
      <c r="F1674" s="12" t="str">
        <f>IF($E1674="","",IFERROR(INDEX(类别属性,MATCH($E1674,类别表,0)),""))</f>
        <v/>
      </c>
      <c r="G1674" s="48"/>
      <c r="H1674" s="48"/>
      <c r="I1674" s="49"/>
      <c r="J1674" s="24" t="str">
        <f>IF(OR($A1674="",$B1674=""),"",IF($I1674&lt;&gt;"",$I1674,IF($D1674=本位币,1,IFERROR(LOOKUP(2,1/((汇率月份&lt;=$A1674)*(INDEX(记账汇率区,0,MATCH($D1674,汇率币种头,0))&lt;&gt;"")),INDEX(记账汇率区,0,MATCH($D1674,汇率币种头,0))),""))))</f>
        <v/>
      </c>
      <c r="K1674" s="23" t="str">
        <f t="shared" si="52"/>
        <v/>
      </c>
      <c r="L1674" s="23" t="str">
        <f t="shared" si="53"/>
        <v/>
      </c>
      <c r="M1674" s="23" t="str">
        <f>IF($B1674="","",ROUND(SUMIF(账户名,$B1674,账户期初)+SUMIFS($K$6:K1674,$B$6:B1674,$B1674),2))</f>
        <v/>
      </c>
      <c r="N1674" s="23" t="str">
        <f>IF($B1674="","",IFERROR(ROUND(INDEX(账户期初本位,MATCH($B1674,账户名,0))+SUMIFS($L$6:L1674,$B$6:B1674,$B1674),2),""))</f>
        <v/>
      </c>
      <c r="O1674" s="46"/>
      <c r="P1674" s="47"/>
      <c r="Q1674" s="46"/>
      <c r="R1674" s="46"/>
      <c r="S1674" s="6" t="str">
        <f>IF($B1674="","",IF(ISNA(MATCH($B1674,账户名,0)),"※这个账户不在【参数设置】的账户档案里",IF($A1674="","※没填日期，这一笔不会进任何月份的报表",IF(AND($G1674&lt;&gt;"",$H1674&lt;&gt;""),"※收入和支出不能同时填",IF(AND(N($G1674)=0,N($H1674)=0),"※收入和支出都没填",IF($E1674="","※没填收支类别，分类报表会漏掉这一笔",IF(ISNA(MATCH($E1674,类别表,0)),"※收支类别不在【参数设置】的清单里",IF($J1674="","△"&amp;$D1674&amp;" 还没填汇率，去【月度汇率】补上就自动算了",IF(YEAR($A1674)&lt;&gt;管理年度,"△不是管理年度的单据，年报里看不到",IF(AND($F1674="内部转账",$Q1674=""),"△内部转账建议在「往来单位」写上对方账户",IF($M1674&lt;0,"△这一笔之后该账户余额成负数了，核一下","")))))))))))</f>
        <v/>
      </c>
    </row>
    <row r="1675" ht="16.5" spans="1:19">
      <c r="A1675" s="45"/>
      <c r="B1675" s="46"/>
      <c r="C1675" s="12" t="str">
        <f>IF($B1675="","",IFERROR(INDEX(账户银行,MATCH($B1675,账户名,0)),""))</f>
        <v/>
      </c>
      <c r="D1675" s="12" t="str">
        <f>IF($B1675="","",IFERROR(INDEX(账户币种,MATCH($B1675,账户名,0)),""))</f>
        <v/>
      </c>
      <c r="E1675" s="47"/>
      <c r="F1675" s="12" t="str">
        <f>IF($E1675="","",IFERROR(INDEX(类别属性,MATCH($E1675,类别表,0)),""))</f>
        <v/>
      </c>
      <c r="G1675" s="48"/>
      <c r="H1675" s="48"/>
      <c r="I1675" s="49"/>
      <c r="J1675" s="24" t="str">
        <f>IF(OR($A1675="",$B1675=""),"",IF($I1675&lt;&gt;"",$I1675,IF($D1675=本位币,1,IFERROR(LOOKUP(2,1/((汇率月份&lt;=$A1675)*(INDEX(记账汇率区,0,MATCH($D1675,汇率币种头,0))&lt;&gt;"")),INDEX(记账汇率区,0,MATCH($D1675,汇率币种头,0))),""))))</f>
        <v/>
      </c>
      <c r="K1675" s="23" t="str">
        <f t="shared" si="52"/>
        <v/>
      </c>
      <c r="L1675" s="23" t="str">
        <f t="shared" si="53"/>
        <v/>
      </c>
      <c r="M1675" s="23" t="str">
        <f>IF($B1675="","",ROUND(SUMIF(账户名,$B1675,账户期初)+SUMIFS($K$6:K1675,$B$6:B1675,$B1675),2))</f>
        <v/>
      </c>
      <c r="N1675" s="23" t="str">
        <f>IF($B1675="","",IFERROR(ROUND(INDEX(账户期初本位,MATCH($B1675,账户名,0))+SUMIFS($L$6:L1675,$B$6:B1675,$B1675),2),""))</f>
        <v/>
      </c>
      <c r="O1675" s="46"/>
      <c r="P1675" s="47"/>
      <c r="Q1675" s="46"/>
      <c r="R1675" s="46"/>
      <c r="S1675" s="6" t="str">
        <f>IF($B1675="","",IF(ISNA(MATCH($B1675,账户名,0)),"※这个账户不在【参数设置】的账户档案里",IF($A1675="","※没填日期，这一笔不会进任何月份的报表",IF(AND($G1675&lt;&gt;"",$H1675&lt;&gt;""),"※收入和支出不能同时填",IF(AND(N($G1675)=0,N($H1675)=0),"※收入和支出都没填",IF($E1675="","※没填收支类别，分类报表会漏掉这一笔",IF(ISNA(MATCH($E1675,类别表,0)),"※收支类别不在【参数设置】的清单里",IF($J1675="","△"&amp;$D1675&amp;" 还没填汇率，去【月度汇率】补上就自动算了",IF(YEAR($A1675)&lt;&gt;管理年度,"△不是管理年度的单据，年报里看不到",IF(AND($F1675="内部转账",$Q1675=""),"△内部转账建议在「往来单位」写上对方账户",IF($M1675&lt;0,"△这一笔之后该账户余额成负数了，核一下","")))))))))))</f>
        <v/>
      </c>
    </row>
    <row r="1676" ht="16.5" spans="1:19">
      <c r="A1676" s="45"/>
      <c r="B1676" s="46"/>
      <c r="C1676" s="12" t="str">
        <f>IF($B1676="","",IFERROR(INDEX(账户银行,MATCH($B1676,账户名,0)),""))</f>
        <v/>
      </c>
      <c r="D1676" s="12" t="str">
        <f>IF($B1676="","",IFERROR(INDEX(账户币种,MATCH($B1676,账户名,0)),""))</f>
        <v/>
      </c>
      <c r="E1676" s="47"/>
      <c r="F1676" s="12" t="str">
        <f>IF($E1676="","",IFERROR(INDEX(类别属性,MATCH($E1676,类别表,0)),""))</f>
        <v/>
      </c>
      <c r="G1676" s="48"/>
      <c r="H1676" s="48"/>
      <c r="I1676" s="49"/>
      <c r="J1676" s="24" t="str">
        <f>IF(OR($A1676="",$B1676=""),"",IF($I1676&lt;&gt;"",$I1676,IF($D1676=本位币,1,IFERROR(LOOKUP(2,1/((汇率月份&lt;=$A1676)*(INDEX(记账汇率区,0,MATCH($D1676,汇率币种头,0))&lt;&gt;"")),INDEX(记账汇率区,0,MATCH($D1676,汇率币种头,0))),""))))</f>
        <v/>
      </c>
      <c r="K1676" s="23" t="str">
        <f t="shared" si="52"/>
        <v/>
      </c>
      <c r="L1676" s="23" t="str">
        <f t="shared" si="53"/>
        <v/>
      </c>
      <c r="M1676" s="23" t="str">
        <f>IF($B1676="","",ROUND(SUMIF(账户名,$B1676,账户期初)+SUMIFS($K$6:K1676,$B$6:B1676,$B1676),2))</f>
        <v/>
      </c>
      <c r="N1676" s="23" t="str">
        <f>IF($B1676="","",IFERROR(ROUND(INDEX(账户期初本位,MATCH($B1676,账户名,0))+SUMIFS($L$6:L1676,$B$6:B1676,$B1676),2),""))</f>
        <v/>
      </c>
      <c r="O1676" s="46"/>
      <c r="P1676" s="47"/>
      <c r="Q1676" s="46"/>
      <c r="R1676" s="46"/>
      <c r="S1676" s="6" t="str">
        <f>IF($B1676="","",IF(ISNA(MATCH($B1676,账户名,0)),"※这个账户不在【参数设置】的账户档案里",IF($A1676="","※没填日期，这一笔不会进任何月份的报表",IF(AND($G1676&lt;&gt;"",$H1676&lt;&gt;""),"※收入和支出不能同时填",IF(AND(N($G1676)=0,N($H1676)=0),"※收入和支出都没填",IF($E1676="","※没填收支类别，分类报表会漏掉这一笔",IF(ISNA(MATCH($E1676,类别表,0)),"※收支类别不在【参数设置】的清单里",IF($J1676="","△"&amp;$D1676&amp;" 还没填汇率，去【月度汇率】补上就自动算了",IF(YEAR($A1676)&lt;&gt;管理年度,"△不是管理年度的单据，年报里看不到",IF(AND($F1676="内部转账",$Q1676=""),"△内部转账建议在「往来单位」写上对方账户",IF($M1676&lt;0,"△这一笔之后该账户余额成负数了，核一下","")))))))))))</f>
        <v/>
      </c>
    </row>
    <row r="1677" ht="16.5" spans="1:19">
      <c r="A1677" s="45"/>
      <c r="B1677" s="46"/>
      <c r="C1677" s="12" t="str">
        <f>IF($B1677="","",IFERROR(INDEX(账户银行,MATCH($B1677,账户名,0)),""))</f>
        <v/>
      </c>
      <c r="D1677" s="12" t="str">
        <f>IF($B1677="","",IFERROR(INDEX(账户币种,MATCH($B1677,账户名,0)),""))</f>
        <v/>
      </c>
      <c r="E1677" s="47"/>
      <c r="F1677" s="12" t="str">
        <f>IF($E1677="","",IFERROR(INDEX(类别属性,MATCH($E1677,类别表,0)),""))</f>
        <v/>
      </c>
      <c r="G1677" s="48"/>
      <c r="H1677" s="48"/>
      <c r="I1677" s="49"/>
      <c r="J1677" s="24" t="str">
        <f>IF(OR($A1677="",$B1677=""),"",IF($I1677&lt;&gt;"",$I1677,IF($D1677=本位币,1,IFERROR(LOOKUP(2,1/((汇率月份&lt;=$A1677)*(INDEX(记账汇率区,0,MATCH($D1677,汇率币种头,0))&lt;&gt;"")),INDEX(记账汇率区,0,MATCH($D1677,汇率币种头,0))),""))))</f>
        <v/>
      </c>
      <c r="K1677" s="23" t="str">
        <f t="shared" si="52"/>
        <v/>
      </c>
      <c r="L1677" s="23" t="str">
        <f t="shared" si="53"/>
        <v/>
      </c>
      <c r="M1677" s="23" t="str">
        <f>IF($B1677="","",ROUND(SUMIF(账户名,$B1677,账户期初)+SUMIFS($K$6:K1677,$B$6:B1677,$B1677),2))</f>
        <v/>
      </c>
      <c r="N1677" s="23" t="str">
        <f>IF($B1677="","",IFERROR(ROUND(INDEX(账户期初本位,MATCH($B1677,账户名,0))+SUMIFS($L$6:L1677,$B$6:B1677,$B1677),2),""))</f>
        <v/>
      </c>
      <c r="O1677" s="46"/>
      <c r="P1677" s="47"/>
      <c r="Q1677" s="46"/>
      <c r="R1677" s="46"/>
      <c r="S1677" s="6" t="str">
        <f>IF($B1677="","",IF(ISNA(MATCH($B1677,账户名,0)),"※这个账户不在【参数设置】的账户档案里",IF($A1677="","※没填日期，这一笔不会进任何月份的报表",IF(AND($G1677&lt;&gt;"",$H1677&lt;&gt;""),"※收入和支出不能同时填",IF(AND(N($G1677)=0,N($H1677)=0),"※收入和支出都没填",IF($E1677="","※没填收支类别，分类报表会漏掉这一笔",IF(ISNA(MATCH($E1677,类别表,0)),"※收支类别不在【参数设置】的清单里",IF($J1677="","△"&amp;$D1677&amp;" 还没填汇率，去【月度汇率】补上就自动算了",IF(YEAR($A1677)&lt;&gt;管理年度,"△不是管理年度的单据，年报里看不到",IF(AND($F1677="内部转账",$Q1677=""),"△内部转账建议在「往来单位」写上对方账户",IF($M1677&lt;0,"△这一笔之后该账户余额成负数了，核一下","")))))))))))</f>
        <v/>
      </c>
    </row>
    <row r="1678" ht="16.5" spans="1:19">
      <c r="A1678" s="45"/>
      <c r="B1678" s="46"/>
      <c r="C1678" s="12" t="str">
        <f>IF($B1678="","",IFERROR(INDEX(账户银行,MATCH($B1678,账户名,0)),""))</f>
        <v/>
      </c>
      <c r="D1678" s="12" t="str">
        <f>IF($B1678="","",IFERROR(INDEX(账户币种,MATCH($B1678,账户名,0)),""))</f>
        <v/>
      </c>
      <c r="E1678" s="47"/>
      <c r="F1678" s="12" t="str">
        <f>IF($E1678="","",IFERROR(INDEX(类别属性,MATCH($E1678,类别表,0)),""))</f>
        <v/>
      </c>
      <c r="G1678" s="48"/>
      <c r="H1678" s="48"/>
      <c r="I1678" s="49"/>
      <c r="J1678" s="24" t="str">
        <f>IF(OR($A1678="",$B1678=""),"",IF($I1678&lt;&gt;"",$I1678,IF($D1678=本位币,1,IFERROR(LOOKUP(2,1/((汇率月份&lt;=$A1678)*(INDEX(记账汇率区,0,MATCH($D1678,汇率币种头,0))&lt;&gt;"")),INDEX(记账汇率区,0,MATCH($D1678,汇率币种头,0))),""))))</f>
        <v/>
      </c>
      <c r="K1678" s="23" t="str">
        <f t="shared" si="52"/>
        <v/>
      </c>
      <c r="L1678" s="23" t="str">
        <f t="shared" si="53"/>
        <v/>
      </c>
      <c r="M1678" s="23" t="str">
        <f>IF($B1678="","",ROUND(SUMIF(账户名,$B1678,账户期初)+SUMIFS($K$6:K1678,$B$6:B1678,$B1678),2))</f>
        <v/>
      </c>
      <c r="N1678" s="23" t="str">
        <f>IF($B1678="","",IFERROR(ROUND(INDEX(账户期初本位,MATCH($B1678,账户名,0))+SUMIFS($L$6:L1678,$B$6:B1678,$B1678),2),""))</f>
        <v/>
      </c>
      <c r="O1678" s="46"/>
      <c r="P1678" s="47"/>
      <c r="Q1678" s="46"/>
      <c r="R1678" s="46"/>
      <c r="S1678" s="6" t="str">
        <f>IF($B1678="","",IF(ISNA(MATCH($B1678,账户名,0)),"※这个账户不在【参数设置】的账户档案里",IF($A1678="","※没填日期，这一笔不会进任何月份的报表",IF(AND($G1678&lt;&gt;"",$H1678&lt;&gt;""),"※收入和支出不能同时填",IF(AND(N($G1678)=0,N($H1678)=0),"※收入和支出都没填",IF($E1678="","※没填收支类别，分类报表会漏掉这一笔",IF(ISNA(MATCH($E1678,类别表,0)),"※收支类别不在【参数设置】的清单里",IF($J1678="","△"&amp;$D1678&amp;" 还没填汇率，去【月度汇率】补上就自动算了",IF(YEAR($A1678)&lt;&gt;管理年度,"△不是管理年度的单据，年报里看不到",IF(AND($F1678="内部转账",$Q1678=""),"△内部转账建议在「往来单位」写上对方账户",IF($M1678&lt;0,"△这一笔之后该账户余额成负数了，核一下","")))))))))))</f>
        <v/>
      </c>
    </row>
    <row r="1679" ht="16.5" spans="1:19">
      <c r="A1679" s="45"/>
      <c r="B1679" s="46"/>
      <c r="C1679" s="12" t="str">
        <f>IF($B1679="","",IFERROR(INDEX(账户银行,MATCH($B1679,账户名,0)),""))</f>
        <v/>
      </c>
      <c r="D1679" s="12" t="str">
        <f>IF($B1679="","",IFERROR(INDEX(账户币种,MATCH($B1679,账户名,0)),""))</f>
        <v/>
      </c>
      <c r="E1679" s="47"/>
      <c r="F1679" s="12" t="str">
        <f>IF($E1679="","",IFERROR(INDEX(类别属性,MATCH($E1679,类别表,0)),""))</f>
        <v/>
      </c>
      <c r="G1679" s="48"/>
      <c r="H1679" s="48"/>
      <c r="I1679" s="49"/>
      <c r="J1679" s="24" t="str">
        <f>IF(OR($A1679="",$B1679=""),"",IF($I1679&lt;&gt;"",$I1679,IF($D1679=本位币,1,IFERROR(LOOKUP(2,1/((汇率月份&lt;=$A1679)*(INDEX(记账汇率区,0,MATCH($D1679,汇率币种头,0))&lt;&gt;"")),INDEX(记账汇率区,0,MATCH($D1679,汇率币种头,0))),""))))</f>
        <v/>
      </c>
      <c r="K1679" s="23" t="str">
        <f t="shared" si="52"/>
        <v/>
      </c>
      <c r="L1679" s="23" t="str">
        <f t="shared" si="53"/>
        <v/>
      </c>
      <c r="M1679" s="23" t="str">
        <f>IF($B1679="","",ROUND(SUMIF(账户名,$B1679,账户期初)+SUMIFS($K$6:K1679,$B$6:B1679,$B1679),2))</f>
        <v/>
      </c>
      <c r="N1679" s="23" t="str">
        <f>IF($B1679="","",IFERROR(ROUND(INDEX(账户期初本位,MATCH($B1679,账户名,0))+SUMIFS($L$6:L1679,$B$6:B1679,$B1679),2),""))</f>
        <v/>
      </c>
      <c r="O1679" s="46"/>
      <c r="P1679" s="47"/>
      <c r="Q1679" s="46"/>
      <c r="R1679" s="46"/>
      <c r="S1679" s="6" t="str">
        <f>IF($B1679="","",IF(ISNA(MATCH($B1679,账户名,0)),"※这个账户不在【参数设置】的账户档案里",IF($A1679="","※没填日期，这一笔不会进任何月份的报表",IF(AND($G1679&lt;&gt;"",$H1679&lt;&gt;""),"※收入和支出不能同时填",IF(AND(N($G1679)=0,N($H1679)=0),"※收入和支出都没填",IF($E1679="","※没填收支类别，分类报表会漏掉这一笔",IF(ISNA(MATCH($E1679,类别表,0)),"※收支类别不在【参数设置】的清单里",IF($J1679="","△"&amp;$D1679&amp;" 还没填汇率，去【月度汇率】补上就自动算了",IF(YEAR($A1679)&lt;&gt;管理年度,"△不是管理年度的单据，年报里看不到",IF(AND($F1679="内部转账",$Q1679=""),"△内部转账建议在「往来单位」写上对方账户",IF($M1679&lt;0,"△这一笔之后该账户余额成负数了，核一下","")))))))))))</f>
        <v/>
      </c>
    </row>
    <row r="1680" ht="16.5" spans="1:19">
      <c r="A1680" s="45"/>
      <c r="B1680" s="46"/>
      <c r="C1680" s="12" t="str">
        <f>IF($B1680="","",IFERROR(INDEX(账户银行,MATCH($B1680,账户名,0)),""))</f>
        <v/>
      </c>
      <c r="D1680" s="12" t="str">
        <f>IF($B1680="","",IFERROR(INDEX(账户币种,MATCH($B1680,账户名,0)),""))</f>
        <v/>
      </c>
      <c r="E1680" s="47"/>
      <c r="F1680" s="12" t="str">
        <f>IF($E1680="","",IFERROR(INDEX(类别属性,MATCH($E1680,类别表,0)),""))</f>
        <v/>
      </c>
      <c r="G1680" s="48"/>
      <c r="H1680" s="48"/>
      <c r="I1680" s="49"/>
      <c r="J1680" s="24" t="str">
        <f>IF(OR($A1680="",$B1680=""),"",IF($I1680&lt;&gt;"",$I1680,IF($D1680=本位币,1,IFERROR(LOOKUP(2,1/((汇率月份&lt;=$A1680)*(INDEX(记账汇率区,0,MATCH($D1680,汇率币种头,0))&lt;&gt;"")),INDEX(记账汇率区,0,MATCH($D1680,汇率币种头,0))),""))))</f>
        <v/>
      </c>
      <c r="K1680" s="23" t="str">
        <f t="shared" si="52"/>
        <v/>
      </c>
      <c r="L1680" s="23" t="str">
        <f t="shared" si="53"/>
        <v/>
      </c>
      <c r="M1680" s="23" t="str">
        <f>IF($B1680="","",ROUND(SUMIF(账户名,$B1680,账户期初)+SUMIFS($K$6:K1680,$B$6:B1680,$B1680),2))</f>
        <v/>
      </c>
      <c r="N1680" s="23" t="str">
        <f>IF($B1680="","",IFERROR(ROUND(INDEX(账户期初本位,MATCH($B1680,账户名,0))+SUMIFS($L$6:L1680,$B$6:B1680,$B1680),2),""))</f>
        <v/>
      </c>
      <c r="O1680" s="46"/>
      <c r="P1680" s="47"/>
      <c r="Q1680" s="46"/>
      <c r="R1680" s="46"/>
      <c r="S1680" s="6" t="str">
        <f>IF($B1680="","",IF(ISNA(MATCH($B1680,账户名,0)),"※这个账户不在【参数设置】的账户档案里",IF($A1680="","※没填日期，这一笔不会进任何月份的报表",IF(AND($G1680&lt;&gt;"",$H1680&lt;&gt;""),"※收入和支出不能同时填",IF(AND(N($G1680)=0,N($H1680)=0),"※收入和支出都没填",IF($E1680="","※没填收支类别，分类报表会漏掉这一笔",IF(ISNA(MATCH($E1680,类别表,0)),"※收支类别不在【参数设置】的清单里",IF($J1680="","△"&amp;$D1680&amp;" 还没填汇率，去【月度汇率】补上就自动算了",IF(YEAR($A1680)&lt;&gt;管理年度,"△不是管理年度的单据，年报里看不到",IF(AND($F1680="内部转账",$Q1680=""),"△内部转账建议在「往来单位」写上对方账户",IF($M1680&lt;0,"△这一笔之后该账户余额成负数了，核一下","")))))))))))</f>
        <v/>
      </c>
    </row>
    <row r="1681" ht="16.5" spans="1:19">
      <c r="A1681" s="45"/>
      <c r="B1681" s="46"/>
      <c r="C1681" s="12" t="str">
        <f>IF($B1681="","",IFERROR(INDEX(账户银行,MATCH($B1681,账户名,0)),""))</f>
        <v/>
      </c>
      <c r="D1681" s="12" t="str">
        <f>IF($B1681="","",IFERROR(INDEX(账户币种,MATCH($B1681,账户名,0)),""))</f>
        <v/>
      </c>
      <c r="E1681" s="47"/>
      <c r="F1681" s="12" t="str">
        <f>IF($E1681="","",IFERROR(INDEX(类别属性,MATCH($E1681,类别表,0)),""))</f>
        <v/>
      </c>
      <c r="G1681" s="48"/>
      <c r="H1681" s="48"/>
      <c r="I1681" s="49"/>
      <c r="J1681" s="24" t="str">
        <f>IF(OR($A1681="",$B1681=""),"",IF($I1681&lt;&gt;"",$I1681,IF($D1681=本位币,1,IFERROR(LOOKUP(2,1/((汇率月份&lt;=$A1681)*(INDEX(记账汇率区,0,MATCH($D1681,汇率币种头,0))&lt;&gt;"")),INDEX(记账汇率区,0,MATCH($D1681,汇率币种头,0))),""))))</f>
        <v/>
      </c>
      <c r="K1681" s="23" t="str">
        <f t="shared" si="52"/>
        <v/>
      </c>
      <c r="L1681" s="23" t="str">
        <f t="shared" si="53"/>
        <v/>
      </c>
      <c r="M1681" s="23" t="str">
        <f>IF($B1681="","",ROUND(SUMIF(账户名,$B1681,账户期初)+SUMIFS($K$6:K1681,$B$6:B1681,$B1681),2))</f>
        <v/>
      </c>
      <c r="N1681" s="23" t="str">
        <f>IF($B1681="","",IFERROR(ROUND(INDEX(账户期初本位,MATCH($B1681,账户名,0))+SUMIFS($L$6:L1681,$B$6:B1681,$B1681),2),""))</f>
        <v/>
      </c>
      <c r="O1681" s="46"/>
      <c r="P1681" s="47"/>
      <c r="Q1681" s="46"/>
      <c r="R1681" s="46"/>
      <c r="S1681" s="6" t="str">
        <f>IF($B1681="","",IF(ISNA(MATCH($B1681,账户名,0)),"※这个账户不在【参数设置】的账户档案里",IF($A1681="","※没填日期，这一笔不会进任何月份的报表",IF(AND($G1681&lt;&gt;"",$H1681&lt;&gt;""),"※收入和支出不能同时填",IF(AND(N($G1681)=0,N($H1681)=0),"※收入和支出都没填",IF($E1681="","※没填收支类别，分类报表会漏掉这一笔",IF(ISNA(MATCH($E1681,类别表,0)),"※收支类别不在【参数设置】的清单里",IF($J1681="","△"&amp;$D1681&amp;" 还没填汇率，去【月度汇率】补上就自动算了",IF(YEAR($A1681)&lt;&gt;管理年度,"△不是管理年度的单据，年报里看不到",IF(AND($F1681="内部转账",$Q1681=""),"△内部转账建议在「往来单位」写上对方账户",IF($M1681&lt;0,"△这一笔之后该账户余额成负数了，核一下","")))))))))))</f>
        <v/>
      </c>
    </row>
    <row r="1682" ht="16.5" spans="1:19">
      <c r="A1682" s="45"/>
      <c r="B1682" s="46"/>
      <c r="C1682" s="12" t="str">
        <f>IF($B1682="","",IFERROR(INDEX(账户银行,MATCH($B1682,账户名,0)),""))</f>
        <v/>
      </c>
      <c r="D1682" s="12" t="str">
        <f>IF($B1682="","",IFERROR(INDEX(账户币种,MATCH($B1682,账户名,0)),""))</f>
        <v/>
      </c>
      <c r="E1682" s="47"/>
      <c r="F1682" s="12" t="str">
        <f>IF($E1682="","",IFERROR(INDEX(类别属性,MATCH($E1682,类别表,0)),""))</f>
        <v/>
      </c>
      <c r="G1682" s="48"/>
      <c r="H1682" s="48"/>
      <c r="I1682" s="49"/>
      <c r="J1682" s="24" t="str">
        <f>IF(OR($A1682="",$B1682=""),"",IF($I1682&lt;&gt;"",$I1682,IF($D1682=本位币,1,IFERROR(LOOKUP(2,1/((汇率月份&lt;=$A1682)*(INDEX(记账汇率区,0,MATCH($D1682,汇率币种头,0))&lt;&gt;"")),INDEX(记账汇率区,0,MATCH($D1682,汇率币种头,0))),""))))</f>
        <v/>
      </c>
      <c r="K1682" s="23" t="str">
        <f t="shared" si="52"/>
        <v/>
      </c>
      <c r="L1682" s="23" t="str">
        <f t="shared" si="53"/>
        <v/>
      </c>
      <c r="M1682" s="23" t="str">
        <f>IF($B1682="","",ROUND(SUMIF(账户名,$B1682,账户期初)+SUMIFS($K$6:K1682,$B$6:B1682,$B1682),2))</f>
        <v/>
      </c>
      <c r="N1682" s="23" t="str">
        <f>IF($B1682="","",IFERROR(ROUND(INDEX(账户期初本位,MATCH($B1682,账户名,0))+SUMIFS($L$6:L1682,$B$6:B1682,$B1682),2),""))</f>
        <v/>
      </c>
      <c r="O1682" s="46"/>
      <c r="P1682" s="47"/>
      <c r="Q1682" s="46"/>
      <c r="R1682" s="46"/>
      <c r="S1682" s="6" t="str">
        <f>IF($B1682="","",IF(ISNA(MATCH($B1682,账户名,0)),"※这个账户不在【参数设置】的账户档案里",IF($A1682="","※没填日期，这一笔不会进任何月份的报表",IF(AND($G1682&lt;&gt;"",$H1682&lt;&gt;""),"※收入和支出不能同时填",IF(AND(N($G1682)=0,N($H1682)=0),"※收入和支出都没填",IF($E1682="","※没填收支类别，分类报表会漏掉这一笔",IF(ISNA(MATCH($E1682,类别表,0)),"※收支类别不在【参数设置】的清单里",IF($J1682="","△"&amp;$D1682&amp;" 还没填汇率，去【月度汇率】补上就自动算了",IF(YEAR($A1682)&lt;&gt;管理年度,"△不是管理年度的单据，年报里看不到",IF(AND($F1682="内部转账",$Q1682=""),"△内部转账建议在「往来单位」写上对方账户",IF($M1682&lt;0,"△这一笔之后该账户余额成负数了，核一下","")))))))))))</f>
        <v/>
      </c>
    </row>
    <row r="1683" ht="16.5" spans="1:19">
      <c r="A1683" s="45"/>
      <c r="B1683" s="46"/>
      <c r="C1683" s="12" t="str">
        <f>IF($B1683="","",IFERROR(INDEX(账户银行,MATCH($B1683,账户名,0)),""))</f>
        <v/>
      </c>
      <c r="D1683" s="12" t="str">
        <f>IF($B1683="","",IFERROR(INDEX(账户币种,MATCH($B1683,账户名,0)),""))</f>
        <v/>
      </c>
      <c r="E1683" s="47"/>
      <c r="F1683" s="12" t="str">
        <f>IF($E1683="","",IFERROR(INDEX(类别属性,MATCH($E1683,类别表,0)),""))</f>
        <v/>
      </c>
      <c r="G1683" s="48"/>
      <c r="H1683" s="48"/>
      <c r="I1683" s="49"/>
      <c r="J1683" s="24" t="str">
        <f>IF(OR($A1683="",$B1683=""),"",IF($I1683&lt;&gt;"",$I1683,IF($D1683=本位币,1,IFERROR(LOOKUP(2,1/((汇率月份&lt;=$A1683)*(INDEX(记账汇率区,0,MATCH($D1683,汇率币种头,0))&lt;&gt;"")),INDEX(记账汇率区,0,MATCH($D1683,汇率币种头,0))),""))))</f>
        <v/>
      </c>
      <c r="K1683" s="23" t="str">
        <f t="shared" si="52"/>
        <v/>
      </c>
      <c r="L1683" s="23" t="str">
        <f t="shared" si="53"/>
        <v/>
      </c>
      <c r="M1683" s="23" t="str">
        <f>IF($B1683="","",ROUND(SUMIF(账户名,$B1683,账户期初)+SUMIFS($K$6:K1683,$B$6:B1683,$B1683),2))</f>
        <v/>
      </c>
      <c r="N1683" s="23" t="str">
        <f>IF($B1683="","",IFERROR(ROUND(INDEX(账户期初本位,MATCH($B1683,账户名,0))+SUMIFS($L$6:L1683,$B$6:B1683,$B1683),2),""))</f>
        <v/>
      </c>
      <c r="O1683" s="46"/>
      <c r="P1683" s="47"/>
      <c r="Q1683" s="46"/>
      <c r="R1683" s="46"/>
      <c r="S1683" s="6" t="str">
        <f>IF($B1683="","",IF(ISNA(MATCH($B1683,账户名,0)),"※这个账户不在【参数设置】的账户档案里",IF($A1683="","※没填日期，这一笔不会进任何月份的报表",IF(AND($G1683&lt;&gt;"",$H1683&lt;&gt;""),"※收入和支出不能同时填",IF(AND(N($G1683)=0,N($H1683)=0),"※收入和支出都没填",IF($E1683="","※没填收支类别，分类报表会漏掉这一笔",IF(ISNA(MATCH($E1683,类别表,0)),"※收支类别不在【参数设置】的清单里",IF($J1683="","△"&amp;$D1683&amp;" 还没填汇率，去【月度汇率】补上就自动算了",IF(YEAR($A1683)&lt;&gt;管理年度,"△不是管理年度的单据，年报里看不到",IF(AND($F1683="内部转账",$Q1683=""),"△内部转账建议在「往来单位」写上对方账户",IF($M1683&lt;0,"△这一笔之后该账户余额成负数了，核一下","")))))))))))</f>
        <v/>
      </c>
    </row>
    <row r="1684" ht="16.5" spans="1:19">
      <c r="A1684" s="45"/>
      <c r="B1684" s="46"/>
      <c r="C1684" s="12" t="str">
        <f>IF($B1684="","",IFERROR(INDEX(账户银行,MATCH($B1684,账户名,0)),""))</f>
        <v/>
      </c>
      <c r="D1684" s="12" t="str">
        <f>IF($B1684="","",IFERROR(INDEX(账户币种,MATCH($B1684,账户名,0)),""))</f>
        <v/>
      </c>
      <c r="E1684" s="47"/>
      <c r="F1684" s="12" t="str">
        <f>IF($E1684="","",IFERROR(INDEX(类别属性,MATCH($E1684,类别表,0)),""))</f>
        <v/>
      </c>
      <c r="G1684" s="48"/>
      <c r="H1684" s="48"/>
      <c r="I1684" s="49"/>
      <c r="J1684" s="24" t="str">
        <f>IF(OR($A1684="",$B1684=""),"",IF($I1684&lt;&gt;"",$I1684,IF($D1684=本位币,1,IFERROR(LOOKUP(2,1/((汇率月份&lt;=$A1684)*(INDEX(记账汇率区,0,MATCH($D1684,汇率币种头,0))&lt;&gt;"")),INDEX(记账汇率区,0,MATCH($D1684,汇率币种头,0))),""))))</f>
        <v/>
      </c>
      <c r="K1684" s="23" t="str">
        <f t="shared" si="52"/>
        <v/>
      </c>
      <c r="L1684" s="23" t="str">
        <f t="shared" si="53"/>
        <v/>
      </c>
      <c r="M1684" s="23" t="str">
        <f>IF($B1684="","",ROUND(SUMIF(账户名,$B1684,账户期初)+SUMIFS($K$6:K1684,$B$6:B1684,$B1684),2))</f>
        <v/>
      </c>
      <c r="N1684" s="23" t="str">
        <f>IF($B1684="","",IFERROR(ROUND(INDEX(账户期初本位,MATCH($B1684,账户名,0))+SUMIFS($L$6:L1684,$B$6:B1684,$B1684),2),""))</f>
        <v/>
      </c>
      <c r="O1684" s="46"/>
      <c r="P1684" s="47"/>
      <c r="Q1684" s="46"/>
      <c r="R1684" s="46"/>
      <c r="S1684" s="6" t="str">
        <f>IF($B1684="","",IF(ISNA(MATCH($B1684,账户名,0)),"※这个账户不在【参数设置】的账户档案里",IF($A1684="","※没填日期，这一笔不会进任何月份的报表",IF(AND($G1684&lt;&gt;"",$H1684&lt;&gt;""),"※收入和支出不能同时填",IF(AND(N($G1684)=0,N($H1684)=0),"※收入和支出都没填",IF($E1684="","※没填收支类别，分类报表会漏掉这一笔",IF(ISNA(MATCH($E1684,类别表,0)),"※收支类别不在【参数设置】的清单里",IF($J1684="","△"&amp;$D1684&amp;" 还没填汇率，去【月度汇率】补上就自动算了",IF(YEAR($A1684)&lt;&gt;管理年度,"△不是管理年度的单据，年报里看不到",IF(AND($F1684="内部转账",$Q1684=""),"△内部转账建议在「往来单位」写上对方账户",IF($M1684&lt;0,"△这一笔之后该账户余额成负数了，核一下","")))))))))))</f>
        <v/>
      </c>
    </row>
    <row r="1685" ht="16.5" spans="1:19">
      <c r="A1685" s="45"/>
      <c r="B1685" s="46"/>
      <c r="C1685" s="12" t="str">
        <f>IF($B1685="","",IFERROR(INDEX(账户银行,MATCH($B1685,账户名,0)),""))</f>
        <v/>
      </c>
      <c r="D1685" s="12" t="str">
        <f>IF($B1685="","",IFERROR(INDEX(账户币种,MATCH($B1685,账户名,0)),""))</f>
        <v/>
      </c>
      <c r="E1685" s="47"/>
      <c r="F1685" s="12" t="str">
        <f>IF($E1685="","",IFERROR(INDEX(类别属性,MATCH($E1685,类别表,0)),""))</f>
        <v/>
      </c>
      <c r="G1685" s="48"/>
      <c r="H1685" s="48"/>
      <c r="I1685" s="49"/>
      <c r="J1685" s="24" t="str">
        <f>IF(OR($A1685="",$B1685=""),"",IF($I1685&lt;&gt;"",$I1685,IF($D1685=本位币,1,IFERROR(LOOKUP(2,1/((汇率月份&lt;=$A1685)*(INDEX(记账汇率区,0,MATCH($D1685,汇率币种头,0))&lt;&gt;"")),INDEX(记账汇率区,0,MATCH($D1685,汇率币种头,0))),""))))</f>
        <v/>
      </c>
      <c r="K1685" s="23" t="str">
        <f t="shared" si="52"/>
        <v/>
      </c>
      <c r="L1685" s="23" t="str">
        <f t="shared" si="53"/>
        <v/>
      </c>
      <c r="M1685" s="23" t="str">
        <f>IF($B1685="","",ROUND(SUMIF(账户名,$B1685,账户期初)+SUMIFS($K$6:K1685,$B$6:B1685,$B1685),2))</f>
        <v/>
      </c>
      <c r="N1685" s="23" t="str">
        <f>IF($B1685="","",IFERROR(ROUND(INDEX(账户期初本位,MATCH($B1685,账户名,0))+SUMIFS($L$6:L1685,$B$6:B1685,$B1685),2),""))</f>
        <v/>
      </c>
      <c r="O1685" s="46"/>
      <c r="P1685" s="47"/>
      <c r="Q1685" s="46"/>
      <c r="R1685" s="46"/>
      <c r="S1685" s="6" t="str">
        <f>IF($B1685="","",IF(ISNA(MATCH($B1685,账户名,0)),"※这个账户不在【参数设置】的账户档案里",IF($A1685="","※没填日期，这一笔不会进任何月份的报表",IF(AND($G1685&lt;&gt;"",$H1685&lt;&gt;""),"※收入和支出不能同时填",IF(AND(N($G1685)=0,N($H1685)=0),"※收入和支出都没填",IF($E1685="","※没填收支类别，分类报表会漏掉这一笔",IF(ISNA(MATCH($E1685,类别表,0)),"※收支类别不在【参数设置】的清单里",IF($J1685="","△"&amp;$D1685&amp;" 还没填汇率，去【月度汇率】补上就自动算了",IF(YEAR($A1685)&lt;&gt;管理年度,"△不是管理年度的单据，年报里看不到",IF(AND($F1685="内部转账",$Q1685=""),"△内部转账建议在「往来单位」写上对方账户",IF($M1685&lt;0,"△这一笔之后该账户余额成负数了，核一下","")))))))))))</f>
        <v/>
      </c>
    </row>
    <row r="1686" ht="16.5" spans="1:19">
      <c r="A1686" s="45"/>
      <c r="B1686" s="46"/>
      <c r="C1686" s="12" t="str">
        <f>IF($B1686="","",IFERROR(INDEX(账户银行,MATCH($B1686,账户名,0)),""))</f>
        <v/>
      </c>
      <c r="D1686" s="12" t="str">
        <f>IF($B1686="","",IFERROR(INDEX(账户币种,MATCH($B1686,账户名,0)),""))</f>
        <v/>
      </c>
      <c r="E1686" s="47"/>
      <c r="F1686" s="12" t="str">
        <f>IF($E1686="","",IFERROR(INDEX(类别属性,MATCH($E1686,类别表,0)),""))</f>
        <v/>
      </c>
      <c r="G1686" s="48"/>
      <c r="H1686" s="48"/>
      <c r="I1686" s="49"/>
      <c r="J1686" s="24" t="str">
        <f>IF(OR($A1686="",$B1686=""),"",IF($I1686&lt;&gt;"",$I1686,IF($D1686=本位币,1,IFERROR(LOOKUP(2,1/((汇率月份&lt;=$A1686)*(INDEX(记账汇率区,0,MATCH($D1686,汇率币种头,0))&lt;&gt;"")),INDEX(记账汇率区,0,MATCH($D1686,汇率币种头,0))),""))))</f>
        <v/>
      </c>
      <c r="K1686" s="23" t="str">
        <f t="shared" si="52"/>
        <v/>
      </c>
      <c r="L1686" s="23" t="str">
        <f t="shared" si="53"/>
        <v/>
      </c>
      <c r="M1686" s="23" t="str">
        <f>IF($B1686="","",ROUND(SUMIF(账户名,$B1686,账户期初)+SUMIFS($K$6:K1686,$B$6:B1686,$B1686),2))</f>
        <v/>
      </c>
      <c r="N1686" s="23" t="str">
        <f>IF($B1686="","",IFERROR(ROUND(INDEX(账户期初本位,MATCH($B1686,账户名,0))+SUMIFS($L$6:L1686,$B$6:B1686,$B1686),2),""))</f>
        <v/>
      </c>
      <c r="O1686" s="46"/>
      <c r="P1686" s="47"/>
      <c r="Q1686" s="46"/>
      <c r="R1686" s="46"/>
      <c r="S1686" s="6" t="str">
        <f>IF($B1686="","",IF(ISNA(MATCH($B1686,账户名,0)),"※这个账户不在【参数设置】的账户档案里",IF($A1686="","※没填日期，这一笔不会进任何月份的报表",IF(AND($G1686&lt;&gt;"",$H1686&lt;&gt;""),"※收入和支出不能同时填",IF(AND(N($G1686)=0,N($H1686)=0),"※收入和支出都没填",IF($E1686="","※没填收支类别，分类报表会漏掉这一笔",IF(ISNA(MATCH($E1686,类别表,0)),"※收支类别不在【参数设置】的清单里",IF($J1686="","△"&amp;$D1686&amp;" 还没填汇率，去【月度汇率】补上就自动算了",IF(YEAR($A1686)&lt;&gt;管理年度,"△不是管理年度的单据，年报里看不到",IF(AND($F1686="内部转账",$Q1686=""),"△内部转账建议在「往来单位」写上对方账户",IF($M1686&lt;0,"△这一笔之后该账户余额成负数了，核一下","")))))))))))</f>
        <v/>
      </c>
    </row>
    <row r="1687" ht="16.5" spans="1:19">
      <c r="A1687" s="45"/>
      <c r="B1687" s="46"/>
      <c r="C1687" s="12" t="str">
        <f>IF($B1687="","",IFERROR(INDEX(账户银行,MATCH($B1687,账户名,0)),""))</f>
        <v/>
      </c>
      <c r="D1687" s="12" t="str">
        <f>IF($B1687="","",IFERROR(INDEX(账户币种,MATCH($B1687,账户名,0)),""))</f>
        <v/>
      </c>
      <c r="E1687" s="47"/>
      <c r="F1687" s="12" t="str">
        <f>IF($E1687="","",IFERROR(INDEX(类别属性,MATCH($E1687,类别表,0)),""))</f>
        <v/>
      </c>
      <c r="G1687" s="48"/>
      <c r="H1687" s="48"/>
      <c r="I1687" s="49"/>
      <c r="J1687" s="24" t="str">
        <f>IF(OR($A1687="",$B1687=""),"",IF($I1687&lt;&gt;"",$I1687,IF($D1687=本位币,1,IFERROR(LOOKUP(2,1/((汇率月份&lt;=$A1687)*(INDEX(记账汇率区,0,MATCH($D1687,汇率币种头,0))&lt;&gt;"")),INDEX(记账汇率区,0,MATCH($D1687,汇率币种头,0))),""))))</f>
        <v/>
      </c>
      <c r="K1687" s="23" t="str">
        <f t="shared" si="52"/>
        <v/>
      </c>
      <c r="L1687" s="23" t="str">
        <f t="shared" si="53"/>
        <v/>
      </c>
      <c r="M1687" s="23" t="str">
        <f>IF($B1687="","",ROUND(SUMIF(账户名,$B1687,账户期初)+SUMIFS($K$6:K1687,$B$6:B1687,$B1687),2))</f>
        <v/>
      </c>
      <c r="N1687" s="23" t="str">
        <f>IF($B1687="","",IFERROR(ROUND(INDEX(账户期初本位,MATCH($B1687,账户名,0))+SUMIFS($L$6:L1687,$B$6:B1687,$B1687),2),""))</f>
        <v/>
      </c>
      <c r="O1687" s="46"/>
      <c r="P1687" s="47"/>
      <c r="Q1687" s="46"/>
      <c r="R1687" s="46"/>
      <c r="S1687" s="6" t="str">
        <f>IF($B1687="","",IF(ISNA(MATCH($B1687,账户名,0)),"※这个账户不在【参数设置】的账户档案里",IF($A1687="","※没填日期，这一笔不会进任何月份的报表",IF(AND($G1687&lt;&gt;"",$H1687&lt;&gt;""),"※收入和支出不能同时填",IF(AND(N($G1687)=0,N($H1687)=0),"※收入和支出都没填",IF($E1687="","※没填收支类别，分类报表会漏掉这一笔",IF(ISNA(MATCH($E1687,类别表,0)),"※收支类别不在【参数设置】的清单里",IF($J1687="","△"&amp;$D1687&amp;" 还没填汇率，去【月度汇率】补上就自动算了",IF(YEAR($A1687)&lt;&gt;管理年度,"△不是管理年度的单据，年报里看不到",IF(AND($F1687="内部转账",$Q1687=""),"△内部转账建议在「往来单位」写上对方账户",IF($M1687&lt;0,"△这一笔之后该账户余额成负数了，核一下","")))))))))))</f>
        <v/>
      </c>
    </row>
    <row r="1688" ht="16.5" spans="1:19">
      <c r="A1688" s="45"/>
      <c r="B1688" s="46"/>
      <c r="C1688" s="12" t="str">
        <f>IF($B1688="","",IFERROR(INDEX(账户银行,MATCH($B1688,账户名,0)),""))</f>
        <v/>
      </c>
      <c r="D1688" s="12" t="str">
        <f>IF($B1688="","",IFERROR(INDEX(账户币种,MATCH($B1688,账户名,0)),""))</f>
        <v/>
      </c>
      <c r="E1688" s="47"/>
      <c r="F1688" s="12" t="str">
        <f>IF($E1688="","",IFERROR(INDEX(类别属性,MATCH($E1688,类别表,0)),""))</f>
        <v/>
      </c>
      <c r="G1688" s="48"/>
      <c r="H1688" s="48"/>
      <c r="I1688" s="49"/>
      <c r="J1688" s="24" t="str">
        <f>IF(OR($A1688="",$B1688=""),"",IF($I1688&lt;&gt;"",$I1688,IF($D1688=本位币,1,IFERROR(LOOKUP(2,1/((汇率月份&lt;=$A1688)*(INDEX(记账汇率区,0,MATCH($D1688,汇率币种头,0))&lt;&gt;"")),INDEX(记账汇率区,0,MATCH($D1688,汇率币种头,0))),""))))</f>
        <v/>
      </c>
      <c r="K1688" s="23" t="str">
        <f t="shared" si="52"/>
        <v/>
      </c>
      <c r="L1688" s="23" t="str">
        <f t="shared" si="53"/>
        <v/>
      </c>
      <c r="M1688" s="23" t="str">
        <f>IF($B1688="","",ROUND(SUMIF(账户名,$B1688,账户期初)+SUMIFS($K$6:K1688,$B$6:B1688,$B1688),2))</f>
        <v/>
      </c>
      <c r="N1688" s="23" t="str">
        <f>IF($B1688="","",IFERROR(ROUND(INDEX(账户期初本位,MATCH($B1688,账户名,0))+SUMIFS($L$6:L1688,$B$6:B1688,$B1688),2),""))</f>
        <v/>
      </c>
      <c r="O1688" s="46"/>
      <c r="P1688" s="47"/>
      <c r="Q1688" s="46"/>
      <c r="R1688" s="46"/>
      <c r="S1688" s="6" t="str">
        <f>IF($B1688="","",IF(ISNA(MATCH($B1688,账户名,0)),"※这个账户不在【参数设置】的账户档案里",IF($A1688="","※没填日期，这一笔不会进任何月份的报表",IF(AND($G1688&lt;&gt;"",$H1688&lt;&gt;""),"※收入和支出不能同时填",IF(AND(N($G1688)=0,N($H1688)=0),"※收入和支出都没填",IF($E1688="","※没填收支类别，分类报表会漏掉这一笔",IF(ISNA(MATCH($E1688,类别表,0)),"※收支类别不在【参数设置】的清单里",IF($J1688="","△"&amp;$D1688&amp;" 还没填汇率，去【月度汇率】补上就自动算了",IF(YEAR($A1688)&lt;&gt;管理年度,"△不是管理年度的单据，年报里看不到",IF(AND($F1688="内部转账",$Q1688=""),"△内部转账建议在「往来单位」写上对方账户",IF($M1688&lt;0,"△这一笔之后该账户余额成负数了，核一下","")))))))))))</f>
        <v/>
      </c>
    </row>
    <row r="1689" ht="16.5" spans="1:19">
      <c r="A1689" s="45"/>
      <c r="B1689" s="46"/>
      <c r="C1689" s="12" t="str">
        <f>IF($B1689="","",IFERROR(INDEX(账户银行,MATCH($B1689,账户名,0)),""))</f>
        <v/>
      </c>
      <c r="D1689" s="12" t="str">
        <f>IF($B1689="","",IFERROR(INDEX(账户币种,MATCH($B1689,账户名,0)),""))</f>
        <v/>
      </c>
      <c r="E1689" s="47"/>
      <c r="F1689" s="12" t="str">
        <f>IF($E1689="","",IFERROR(INDEX(类别属性,MATCH($E1689,类别表,0)),""))</f>
        <v/>
      </c>
      <c r="G1689" s="48"/>
      <c r="H1689" s="48"/>
      <c r="I1689" s="49"/>
      <c r="J1689" s="24" t="str">
        <f>IF(OR($A1689="",$B1689=""),"",IF($I1689&lt;&gt;"",$I1689,IF($D1689=本位币,1,IFERROR(LOOKUP(2,1/((汇率月份&lt;=$A1689)*(INDEX(记账汇率区,0,MATCH($D1689,汇率币种头,0))&lt;&gt;"")),INDEX(记账汇率区,0,MATCH($D1689,汇率币种头,0))),""))))</f>
        <v/>
      </c>
      <c r="K1689" s="23" t="str">
        <f t="shared" si="52"/>
        <v/>
      </c>
      <c r="L1689" s="23" t="str">
        <f t="shared" si="53"/>
        <v/>
      </c>
      <c r="M1689" s="23" t="str">
        <f>IF($B1689="","",ROUND(SUMIF(账户名,$B1689,账户期初)+SUMIFS($K$6:K1689,$B$6:B1689,$B1689),2))</f>
        <v/>
      </c>
      <c r="N1689" s="23" t="str">
        <f>IF($B1689="","",IFERROR(ROUND(INDEX(账户期初本位,MATCH($B1689,账户名,0))+SUMIFS($L$6:L1689,$B$6:B1689,$B1689),2),""))</f>
        <v/>
      </c>
      <c r="O1689" s="46"/>
      <c r="P1689" s="47"/>
      <c r="Q1689" s="46"/>
      <c r="R1689" s="46"/>
      <c r="S1689" s="6" t="str">
        <f>IF($B1689="","",IF(ISNA(MATCH($B1689,账户名,0)),"※这个账户不在【参数设置】的账户档案里",IF($A1689="","※没填日期，这一笔不会进任何月份的报表",IF(AND($G1689&lt;&gt;"",$H1689&lt;&gt;""),"※收入和支出不能同时填",IF(AND(N($G1689)=0,N($H1689)=0),"※收入和支出都没填",IF($E1689="","※没填收支类别，分类报表会漏掉这一笔",IF(ISNA(MATCH($E1689,类别表,0)),"※收支类别不在【参数设置】的清单里",IF($J1689="","△"&amp;$D1689&amp;" 还没填汇率，去【月度汇率】补上就自动算了",IF(YEAR($A1689)&lt;&gt;管理年度,"△不是管理年度的单据，年报里看不到",IF(AND($F1689="内部转账",$Q1689=""),"△内部转账建议在「往来单位」写上对方账户",IF($M1689&lt;0,"△这一笔之后该账户余额成负数了，核一下","")))))))))))</f>
        <v/>
      </c>
    </row>
    <row r="1690" ht="16.5" spans="1:19">
      <c r="A1690" s="45"/>
      <c r="B1690" s="46"/>
      <c r="C1690" s="12" t="str">
        <f>IF($B1690="","",IFERROR(INDEX(账户银行,MATCH($B1690,账户名,0)),""))</f>
        <v/>
      </c>
      <c r="D1690" s="12" t="str">
        <f>IF($B1690="","",IFERROR(INDEX(账户币种,MATCH($B1690,账户名,0)),""))</f>
        <v/>
      </c>
      <c r="E1690" s="47"/>
      <c r="F1690" s="12" t="str">
        <f>IF($E1690="","",IFERROR(INDEX(类别属性,MATCH($E1690,类别表,0)),""))</f>
        <v/>
      </c>
      <c r="G1690" s="48"/>
      <c r="H1690" s="48"/>
      <c r="I1690" s="49"/>
      <c r="J1690" s="24" t="str">
        <f>IF(OR($A1690="",$B1690=""),"",IF($I1690&lt;&gt;"",$I1690,IF($D1690=本位币,1,IFERROR(LOOKUP(2,1/((汇率月份&lt;=$A1690)*(INDEX(记账汇率区,0,MATCH($D1690,汇率币种头,0))&lt;&gt;"")),INDEX(记账汇率区,0,MATCH($D1690,汇率币种头,0))),""))))</f>
        <v/>
      </c>
      <c r="K1690" s="23" t="str">
        <f t="shared" si="52"/>
        <v/>
      </c>
      <c r="L1690" s="23" t="str">
        <f t="shared" si="53"/>
        <v/>
      </c>
      <c r="M1690" s="23" t="str">
        <f>IF($B1690="","",ROUND(SUMIF(账户名,$B1690,账户期初)+SUMIFS($K$6:K1690,$B$6:B1690,$B1690),2))</f>
        <v/>
      </c>
      <c r="N1690" s="23" t="str">
        <f>IF($B1690="","",IFERROR(ROUND(INDEX(账户期初本位,MATCH($B1690,账户名,0))+SUMIFS($L$6:L1690,$B$6:B1690,$B1690),2),""))</f>
        <v/>
      </c>
      <c r="O1690" s="46"/>
      <c r="P1690" s="47"/>
      <c r="Q1690" s="46"/>
      <c r="R1690" s="46"/>
      <c r="S1690" s="6" t="str">
        <f>IF($B1690="","",IF(ISNA(MATCH($B1690,账户名,0)),"※这个账户不在【参数设置】的账户档案里",IF($A1690="","※没填日期，这一笔不会进任何月份的报表",IF(AND($G1690&lt;&gt;"",$H1690&lt;&gt;""),"※收入和支出不能同时填",IF(AND(N($G1690)=0,N($H1690)=0),"※收入和支出都没填",IF($E1690="","※没填收支类别，分类报表会漏掉这一笔",IF(ISNA(MATCH($E1690,类别表,0)),"※收支类别不在【参数设置】的清单里",IF($J1690="","△"&amp;$D1690&amp;" 还没填汇率，去【月度汇率】补上就自动算了",IF(YEAR($A1690)&lt;&gt;管理年度,"△不是管理年度的单据，年报里看不到",IF(AND($F1690="内部转账",$Q1690=""),"△内部转账建议在「往来单位」写上对方账户",IF($M1690&lt;0,"△这一笔之后该账户余额成负数了，核一下","")))))))))))</f>
        <v/>
      </c>
    </row>
    <row r="1691" ht="16.5" spans="1:19">
      <c r="A1691" s="45"/>
      <c r="B1691" s="46"/>
      <c r="C1691" s="12" t="str">
        <f>IF($B1691="","",IFERROR(INDEX(账户银行,MATCH($B1691,账户名,0)),""))</f>
        <v/>
      </c>
      <c r="D1691" s="12" t="str">
        <f>IF($B1691="","",IFERROR(INDEX(账户币种,MATCH($B1691,账户名,0)),""))</f>
        <v/>
      </c>
      <c r="E1691" s="47"/>
      <c r="F1691" s="12" t="str">
        <f>IF($E1691="","",IFERROR(INDEX(类别属性,MATCH($E1691,类别表,0)),""))</f>
        <v/>
      </c>
      <c r="G1691" s="48"/>
      <c r="H1691" s="48"/>
      <c r="I1691" s="49"/>
      <c r="J1691" s="24" t="str">
        <f>IF(OR($A1691="",$B1691=""),"",IF($I1691&lt;&gt;"",$I1691,IF($D1691=本位币,1,IFERROR(LOOKUP(2,1/((汇率月份&lt;=$A1691)*(INDEX(记账汇率区,0,MATCH($D1691,汇率币种头,0))&lt;&gt;"")),INDEX(记账汇率区,0,MATCH($D1691,汇率币种头,0))),""))))</f>
        <v/>
      </c>
      <c r="K1691" s="23" t="str">
        <f t="shared" si="52"/>
        <v/>
      </c>
      <c r="L1691" s="23" t="str">
        <f t="shared" si="53"/>
        <v/>
      </c>
      <c r="M1691" s="23" t="str">
        <f>IF($B1691="","",ROUND(SUMIF(账户名,$B1691,账户期初)+SUMIFS($K$6:K1691,$B$6:B1691,$B1691),2))</f>
        <v/>
      </c>
      <c r="N1691" s="23" t="str">
        <f>IF($B1691="","",IFERROR(ROUND(INDEX(账户期初本位,MATCH($B1691,账户名,0))+SUMIFS($L$6:L1691,$B$6:B1691,$B1691),2),""))</f>
        <v/>
      </c>
      <c r="O1691" s="46"/>
      <c r="P1691" s="47"/>
      <c r="Q1691" s="46"/>
      <c r="R1691" s="46"/>
      <c r="S1691" s="6" t="str">
        <f>IF($B1691="","",IF(ISNA(MATCH($B1691,账户名,0)),"※这个账户不在【参数设置】的账户档案里",IF($A1691="","※没填日期，这一笔不会进任何月份的报表",IF(AND($G1691&lt;&gt;"",$H1691&lt;&gt;""),"※收入和支出不能同时填",IF(AND(N($G1691)=0,N($H1691)=0),"※收入和支出都没填",IF($E1691="","※没填收支类别，分类报表会漏掉这一笔",IF(ISNA(MATCH($E1691,类别表,0)),"※收支类别不在【参数设置】的清单里",IF($J1691="","△"&amp;$D1691&amp;" 还没填汇率，去【月度汇率】补上就自动算了",IF(YEAR($A1691)&lt;&gt;管理年度,"△不是管理年度的单据，年报里看不到",IF(AND($F1691="内部转账",$Q1691=""),"△内部转账建议在「往来单位」写上对方账户",IF($M1691&lt;0,"△这一笔之后该账户余额成负数了，核一下","")))))))))))</f>
        <v/>
      </c>
    </row>
    <row r="1692" ht="16.5" spans="1:19">
      <c r="A1692" s="45"/>
      <c r="B1692" s="46"/>
      <c r="C1692" s="12" t="str">
        <f>IF($B1692="","",IFERROR(INDEX(账户银行,MATCH($B1692,账户名,0)),""))</f>
        <v/>
      </c>
      <c r="D1692" s="12" t="str">
        <f>IF($B1692="","",IFERROR(INDEX(账户币种,MATCH($B1692,账户名,0)),""))</f>
        <v/>
      </c>
      <c r="E1692" s="47"/>
      <c r="F1692" s="12" t="str">
        <f>IF($E1692="","",IFERROR(INDEX(类别属性,MATCH($E1692,类别表,0)),""))</f>
        <v/>
      </c>
      <c r="G1692" s="48"/>
      <c r="H1692" s="48"/>
      <c r="I1692" s="49"/>
      <c r="J1692" s="24" t="str">
        <f>IF(OR($A1692="",$B1692=""),"",IF($I1692&lt;&gt;"",$I1692,IF($D1692=本位币,1,IFERROR(LOOKUP(2,1/((汇率月份&lt;=$A1692)*(INDEX(记账汇率区,0,MATCH($D1692,汇率币种头,0))&lt;&gt;"")),INDEX(记账汇率区,0,MATCH($D1692,汇率币种头,0))),""))))</f>
        <v/>
      </c>
      <c r="K1692" s="23" t="str">
        <f t="shared" si="52"/>
        <v/>
      </c>
      <c r="L1692" s="23" t="str">
        <f t="shared" si="53"/>
        <v/>
      </c>
      <c r="M1692" s="23" t="str">
        <f>IF($B1692="","",ROUND(SUMIF(账户名,$B1692,账户期初)+SUMIFS($K$6:K1692,$B$6:B1692,$B1692),2))</f>
        <v/>
      </c>
      <c r="N1692" s="23" t="str">
        <f>IF($B1692="","",IFERROR(ROUND(INDEX(账户期初本位,MATCH($B1692,账户名,0))+SUMIFS($L$6:L1692,$B$6:B1692,$B1692),2),""))</f>
        <v/>
      </c>
      <c r="O1692" s="46"/>
      <c r="P1692" s="47"/>
      <c r="Q1692" s="46"/>
      <c r="R1692" s="46"/>
      <c r="S1692" s="6" t="str">
        <f>IF($B1692="","",IF(ISNA(MATCH($B1692,账户名,0)),"※这个账户不在【参数设置】的账户档案里",IF($A1692="","※没填日期，这一笔不会进任何月份的报表",IF(AND($G1692&lt;&gt;"",$H1692&lt;&gt;""),"※收入和支出不能同时填",IF(AND(N($G1692)=0,N($H1692)=0),"※收入和支出都没填",IF($E1692="","※没填收支类别，分类报表会漏掉这一笔",IF(ISNA(MATCH($E1692,类别表,0)),"※收支类别不在【参数设置】的清单里",IF($J1692="","△"&amp;$D1692&amp;" 还没填汇率，去【月度汇率】补上就自动算了",IF(YEAR($A1692)&lt;&gt;管理年度,"△不是管理年度的单据，年报里看不到",IF(AND($F1692="内部转账",$Q1692=""),"△内部转账建议在「往来单位」写上对方账户",IF($M1692&lt;0,"△这一笔之后该账户余额成负数了，核一下","")))))))))))</f>
        <v/>
      </c>
    </row>
    <row r="1693" ht="16.5" spans="1:19">
      <c r="A1693" s="45"/>
      <c r="B1693" s="46"/>
      <c r="C1693" s="12" t="str">
        <f>IF($B1693="","",IFERROR(INDEX(账户银行,MATCH($B1693,账户名,0)),""))</f>
        <v/>
      </c>
      <c r="D1693" s="12" t="str">
        <f>IF($B1693="","",IFERROR(INDEX(账户币种,MATCH($B1693,账户名,0)),""))</f>
        <v/>
      </c>
      <c r="E1693" s="47"/>
      <c r="F1693" s="12" t="str">
        <f>IF($E1693="","",IFERROR(INDEX(类别属性,MATCH($E1693,类别表,0)),""))</f>
        <v/>
      </c>
      <c r="G1693" s="48"/>
      <c r="H1693" s="48"/>
      <c r="I1693" s="49"/>
      <c r="J1693" s="24" t="str">
        <f>IF(OR($A1693="",$B1693=""),"",IF($I1693&lt;&gt;"",$I1693,IF($D1693=本位币,1,IFERROR(LOOKUP(2,1/((汇率月份&lt;=$A1693)*(INDEX(记账汇率区,0,MATCH($D1693,汇率币种头,0))&lt;&gt;"")),INDEX(记账汇率区,0,MATCH($D1693,汇率币种头,0))),""))))</f>
        <v/>
      </c>
      <c r="K1693" s="23" t="str">
        <f t="shared" si="52"/>
        <v/>
      </c>
      <c r="L1693" s="23" t="str">
        <f t="shared" si="53"/>
        <v/>
      </c>
      <c r="M1693" s="23" t="str">
        <f>IF($B1693="","",ROUND(SUMIF(账户名,$B1693,账户期初)+SUMIFS($K$6:K1693,$B$6:B1693,$B1693),2))</f>
        <v/>
      </c>
      <c r="N1693" s="23" t="str">
        <f>IF($B1693="","",IFERROR(ROUND(INDEX(账户期初本位,MATCH($B1693,账户名,0))+SUMIFS($L$6:L1693,$B$6:B1693,$B1693),2),""))</f>
        <v/>
      </c>
      <c r="O1693" s="46"/>
      <c r="P1693" s="47"/>
      <c r="Q1693" s="46"/>
      <c r="R1693" s="46"/>
      <c r="S1693" s="6" t="str">
        <f>IF($B1693="","",IF(ISNA(MATCH($B1693,账户名,0)),"※这个账户不在【参数设置】的账户档案里",IF($A1693="","※没填日期，这一笔不会进任何月份的报表",IF(AND($G1693&lt;&gt;"",$H1693&lt;&gt;""),"※收入和支出不能同时填",IF(AND(N($G1693)=0,N($H1693)=0),"※收入和支出都没填",IF($E1693="","※没填收支类别，分类报表会漏掉这一笔",IF(ISNA(MATCH($E1693,类别表,0)),"※收支类别不在【参数设置】的清单里",IF($J1693="","△"&amp;$D1693&amp;" 还没填汇率，去【月度汇率】补上就自动算了",IF(YEAR($A1693)&lt;&gt;管理年度,"△不是管理年度的单据，年报里看不到",IF(AND($F1693="内部转账",$Q1693=""),"△内部转账建议在「往来单位」写上对方账户",IF($M1693&lt;0,"△这一笔之后该账户余额成负数了，核一下","")))))))))))</f>
        <v/>
      </c>
    </row>
    <row r="1694" ht="16.5" spans="1:19">
      <c r="A1694" s="45"/>
      <c r="B1694" s="46"/>
      <c r="C1694" s="12" t="str">
        <f>IF($B1694="","",IFERROR(INDEX(账户银行,MATCH($B1694,账户名,0)),""))</f>
        <v/>
      </c>
      <c r="D1694" s="12" t="str">
        <f>IF($B1694="","",IFERROR(INDEX(账户币种,MATCH($B1694,账户名,0)),""))</f>
        <v/>
      </c>
      <c r="E1694" s="47"/>
      <c r="F1694" s="12" t="str">
        <f>IF($E1694="","",IFERROR(INDEX(类别属性,MATCH($E1694,类别表,0)),""))</f>
        <v/>
      </c>
      <c r="G1694" s="48"/>
      <c r="H1694" s="48"/>
      <c r="I1694" s="49"/>
      <c r="J1694" s="24" t="str">
        <f>IF(OR($A1694="",$B1694=""),"",IF($I1694&lt;&gt;"",$I1694,IF($D1694=本位币,1,IFERROR(LOOKUP(2,1/((汇率月份&lt;=$A1694)*(INDEX(记账汇率区,0,MATCH($D1694,汇率币种头,0))&lt;&gt;"")),INDEX(记账汇率区,0,MATCH($D1694,汇率币种头,0))),""))))</f>
        <v/>
      </c>
      <c r="K1694" s="23" t="str">
        <f t="shared" si="52"/>
        <v/>
      </c>
      <c r="L1694" s="23" t="str">
        <f t="shared" si="53"/>
        <v/>
      </c>
      <c r="M1694" s="23" t="str">
        <f>IF($B1694="","",ROUND(SUMIF(账户名,$B1694,账户期初)+SUMIFS($K$6:K1694,$B$6:B1694,$B1694),2))</f>
        <v/>
      </c>
      <c r="N1694" s="23" t="str">
        <f>IF($B1694="","",IFERROR(ROUND(INDEX(账户期初本位,MATCH($B1694,账户名,0))+SUMIFS($L$6:L1694,$B$6:B1694,$B1694),2),""))</f>
        <v/>
      </c>
      <c r="O1694" s="46"/>
      <c r="P1694" s="47"/>
      <c r="Q1694" s="46"/>
      <c r="R1694" s="46"/>
      <c r="S1694" s="6" t="str">
        <f>IF($B1694="","",IF(ISNA(MATCH($B1694,账户名,0)),"※这个账户不在【参数设置】的账户档案里",IF($A1694="","※没填日期，这一笔不会进任何月份的报表",IF(AND($G1694&lt;&gt;"",$H1694&lt;&gt;""),"※收入和支出不能同时填",IF(AND(N($G1694)=0,N($H1694)=0),"※收入和支出都没填",IF($E1694="","※没填收支类别，分类报表会漏掉这一笔",IF(ISNA(MATCH($E1694,类别表,0)),"※收支类别不在【参数设置】的清单里",IF($J1694="","△"&amp;$D1694&amp;" 还没填汇率，去【月度汇率】补上就自动算了",IF(YEAR($A1694)&lt;&gt;管理年度,"△不是管理年度的单据，年报里看不到",IF(AND($F1694="内部转账",$Q1694=""),"△内部转账建议在「往来单位」写上对方账户",IF($M1694&lt;0,"△这一笔之后该账户余额成负数了，核一下","")))))))))))</f>
        <v/>
      </c>
    </row>
    <row r="1695" ht="16.5" spans="1:19">
      <c r="A1695" s="45"/>
      <c r="B1695" s="46"/>
      <c r="C1695" s="12" t="str">
        <f>IF($B1695="","",IFERROR(INDEX(账户银行,MATCH($B1695,账户名,0)),""))</f>
        <v/>
      </c>
      <c r="D1695" s="12" t="str">
        <f>IF($B1695="","",IFERROR(INDEX(账户币种,MATCH($B1695,账户名,0)),""))</f>
        <v/>
      </c>
      <c r="E1695" s="47"/>
      <c r="F1695" s="12" t="str">
        <f>IF($E1695="","",IFERROR(INDEX(类别属性,MATCH($E1695,类别表,0)),""))</f>
        <v/>
      </c>
      <c r="G1695" s="48"/>
      <c r="H1695" s="48"/>
      <c r="I1695" s="49"/>
      <c r="J1695" s="24" t="str">
        <f>IF(OR($A1695="",$B1695=""),"",IF($I1695&lt;&gt;"",$I1695,IF($D1695=本位币,1,IFERROR(LOOKUP(2,1/((汇率月份&lt;=$A1695)*(INDEX(记账汇率区,0,MATCH($D1695,汇率币种头,0))&lt;&gt;"")),INDEX(记账汇率区,0,MATCH($D1695,汇率币种头,0))),""))))</f>
        <v/>
      </c>
      <c r="K1695" s="23" t="str">
        <f t="shared" si="52"/>
        <v/>
      </c>
      <c r="L1695" s="23" t="str">
        <f t="shared" si="53"/>
        <v/>
      </c>
      <c r="M1695" s="23" t="str">
        <f>IF($B1695="","",ROUND(SUMIF(账户名,$B1695,账户期初)+SUMIFS($K$6:K1695,$B$6:B1695,$B1695),2))</f>
        <v/>
      </c>
      <c r="N1695" s="23" t="str">
        <f>IF($B1695="","",IFERROR(ROUND(INDEX(账户期初本位,MATCH($B1695,账户名,0))+SUMIFS($L$6:L1695,$B$6:B1695,$B1695),2),""))</f>
        <v/>
      </c>
      <c r="O1695" s="46"/>
      <c r="P1695" s="47"/>
      <c r="Q1695" s="46"/>
      <c r="R1695" s="46"/>
      <c r="S1695" s="6" t="str">
        <f>IF($B1695="","",IF(ISNA(MATCH($B1695,账户名,0)),"※这个账户不在【参数设置】的账户档案里",IF($A1695="","※没填日期，这一笔不会进任何月份的报表",IF(AND($G1695&lt;&gt;"",$H1695&lt;&gt;""),"※收入和支出不能同时填",IF(AND(N($G1695)=0,N($H1695)=0),"※收入和支出都没填",IF($E1695="","※没填收支类别，分类报表会漏掉这一笔",IF(ISNA(MATCH($E1695,类别表,0)),"※收支类别不在【参数设置】的清单里",IF($J1695="","△"&amp;$D1695&amp;" 还没填汇率，去【月度汇率】补上就自动算了",IF(YEAR($A1695)&lt;&gt;管理年度,"△不是管理年度的单据，年报里看不到",IF(AND($F1695="内部转账",$Q1695=""),"△内部转账建议在「往来单位」写上对方账户",IF($M1695&lt;0,"△这一笔之后该账户余额成负数了，核一下","")))))))))))</f>
        <v/>
      </c>
    </row>
    <row r="1696" ht="16.5" spans="1:19">
      <c r="A1696" s="45"/>
      <c r="B1696" s="46"/>
      <c r="C1696" s="12" t="str">
        <f>IF($B1696="","",IFERROR(INDEX(账户银行,MATCH($B1696,账户名,0)),""))</f>
        <v/>
      </c>
      <c r="D1696" s="12" t="str">
        <f>IF($B1696="","",IFERROR(INDEX(账户币种,MATCH($B1696,账户名,0)),""))</f>
        <v/>
      </c>
      <c r="E1696" s="47"/>
      <c r="F1696" s="12" t="str">
        <f>IF($E1696="","",IFERROR(INDEX(类别属性,MATCH($E1696,类别表,0)),""))</f>
        <v/>
      </c>
      <c r="G1696" s="48"/>
      <c r="H1696" s="48"/>
      <c r="I1696" s="49"/>
      <c r="J1696" s="24" t="str">
        <f>IF(OR($A1696="",$B1696=""),"",IF($I1696&lt;&gt;"",$I1696,IF($D1696=本位币,1,IFERROR(LOOKUP(2,1/((汇率月份&lt;=$A1696)*(INDEX(记账汇率区,0,MATCH($D1696,汇率币种头,0))&lt;&gt;"")),INDEX(记账汇率区,0,MATCH($D1696,汇率币种头,0))),""))))</f>
        <v/>
      </c>
      <c r="K1696" s="23" t="str">
        <f t="shared" si="52"/>
        <v/>
      </c>
      <c r="L1696" s="23" t="str">
        <f t="shared" si="53"/>
        <v/>
      </c>
      <c r="M1696" s="23" t="str">
        <f>IF($B1696="","",ROUND(SUMIF(账户名,$B1696,账户期初)+SUMIFS($K$6:K1696,$B$6:B1696,$B1696),2))</f>
        <v/>
      </c>
      <c r="N1696" s="23" t="str">
        <f>IF($B1696="","",IFERROR(ROUND(INDEX(账户期初本位,MATCH($B1696,账户名,0))+SUMIFS($L$6:L1696,$B$6:B1696,$B1696),2),""))</f>
        <v/>
      </c>
      <c r="O1696" s="46"/>
      <c r="P1696" s="47"/>
      <c r="Q1696" s="46"/>
      <c r="R1696" s="46"/>
      <c r="S1696" s="6" t="str">
        <f>IF($B1696="","",IF(ISNA(MATCH($B1696,账户名,0)),"※这个账户不在【参数设置】的账户档案里",IF($A1696="","※没填日期，这一笔不会进任何月份的报表",IF(AND($G1696&lt;&gt;"",$H1696&lt;&gt;""),"※收入和支出不能同时填",IF(AND(N($G1696)=0,N($H1696)=0),"※收入和支出都没填",IF($E1696="","※没填收支类别，分类报表会漏掉这一笔",IF(ISNA(MATCH($E1696,类别表,0)),"※收支类别不在【参数设置】的清单里",IF($J1696="","△"&amp;$D1696&amp;" 还没填汇率，去【月度汇率】补上就自动算了",IF(YEAR($A1696)&lt;&gt;管理年度,"△不是管理年度的单据，年报里看不到",IF(AND($F1696="内部转账",$Q1696=""),"△内部转账建议在「往来单位」写上对方账户",IF($M1696&lt;0,"△这一笔之后该账户余额成负数了，核一下","")))))))))))</f>
        <v/>
      </c>
    </row>
    <row r="1697" ht="16.5" spans="1:19">
      <c r="A1697" s="45"/>
      <c r="B1697" s="46"/>
      <c r="C1697" s="12" t="str">
        <f>IF($B1697="","",IFERROR(INDEX(账户银行,MATCH($B1697,账户名,0)),""))</f>
        <v/>
      </c>
      <c r="D1697" s="12" t="str">
        <f>IF($B1697="","",IFERROR(INDEX(账户币种,MATCH($B1697,账户名,0)),""))</f>
        <v/>
      </c>
      <c r="E1697" s="47"/>
      <c r="F1697" s="12" t="str">
        <f>IF($E1697="","",IFERROR(INDEX(类别属性,MATCH($E1697,类别表,0)),""))</f>
        <v/>
      </c>
      <c r="G1697" s="48"/>
      <c r="H1697" s="48"/>
      <c r="I1697" s="49"/>
      <c r="J1697" s="24" t="str">
        <f>IF(OR($A1697="",$B1697=""),"",IF($I1697&lt;&gt;"",$I1697,IF($D1697=本位币,1,IFERROR(LOOKUP(2,1/((汇率月份&lt;=$A1697)*(INDEX(记账汇率区,0,MATCH($D1697,汇率币种头,0))&lt;&gt;"")),INDEX(记账汇率区,0,MATCH($D1697,汇率币种头,0))),""))))</f>
        <v/>
      </c>
      <c r="K1697" s="23" t="str">
        <f t="shared" si="52"/>
        <v/>
      </c>
      <c r="L1697" s="23" t="str">
        <f t="shared" si="53"/>
        <v/>
      </c>
      <c r="M1697" s="23" t="str">
        <f>IF($B1697="","",ROUND(SUMIF(账户名,$B1697,账户期初)+SUMIFS($K$6:K1697,$B$6:B1697,$B1697),2))</f>
        <v/>
      </c>
      <c r="N1697" s="23" t="str">
        <f>IF($B1697="","",IFERROR(ROUND(INDEX(账户期初本位,MATCH($B1697,账户名,0))+SUMIFS($L$6:L1697,$B$6:B1697,$B1697),2),""))</f>
        <v/>
      </c>
      <c r="O1697" s="46"/>
      <c r="P1697" s="47"/>
      <c r="Q1697" s="46"/>
      <c r="R1697" s="46"/>
      <c r="S1697" s="6" t="str">
        <f>IF($B1697="","",IF(ISNA(MATCH($B1697,账户名,0)),"※这个账户不在【参数设置】的账户档案里",IF($A1697="","※没填日期，这一笔不会进任何月份的报表",IF(AND($G1697&lt;&gt;"",$H1697&lt;&gt;""),"※收入和支出不能同时填",IF(AND(N($G1697)=0,N($H1697)=0),"※收入和支出都没填",IF($E1697="","※没填收支类别，分类报表会漏掉这一笔",IF(ISNA(MATCH($E1697,类别表,0)),"※收支类别不在【参数设置】的清单里",IF($J1697="","△"&amp;$D1697&amp;" 还没填汇率，去【月度汇率】补上就自动算了",IF(YEAR($A1697)&lt;&gt;管理年度,"△不是管理年度的单据，年报里看不到",IF(AND($F1697="内部转账",$Q1697=""),"△内部转账建议在「往来单位」写上对方账户",IF($M1697&lt;0,"△这一笔之后该账户余额成负数了，核一下","")))))))))))</f>
        <v/>
      </c>
    </row>
    <row r="1698" ht="16.5" spans="1:19">
      <c r="A1698" s="45"/>
      <c r="B1698" s="46"/>
      <c r="C1698" s="12" t="str">
        <f>IF($B1698="","",IFERROR(INDEX(账户银行,MATCH($B1698,账户名,0)),""))</f>
        <v/>
      </c>
      <c r="D1698" s="12" t="str">
        <f>IF($B1698="","",IFERROR(INDEX(账户币种,MATCH($B1698,账户名,0)),""))</f>
        <v/>
      </c>
      <c r="E1698" s="47"/>
      <c r="F1698" s="12" t="str">
        <f>IF($E1698="","",IFERROR(INDEX(类别属性,MATCH($E1698,类别表,0)),""))</f>
        <v/>
      </c>
      <c r="G1698" s="48"/>
      <c r="H1698" s="48"/>
      <c r="I1698" s="49"/>
      <c r="J1698" s="24" t="str">
        <f>IF(OR($A1698="",$B1698=""),"",IF($I1698&lt;&gt;"",$I1698,IF($D1698=本位币,1,IFERROR(LOOKUP(2,1/((汇率月份&lt;=$A1698)*(INDEX(记账汇率区,0,MATCH($D1698,汇率币种头,0))&lt;&gt;"")),INDEX(记账汇率区,0,MATCH($D1698,汇率币种头,0))),""))))</f>
        <v/>
      </c>
      <c r="K1698" s="23" t="str">
        <f t="shared" si="52"/>
        <v/>
      </c>
      <c r="L1698" s="23" t="str">
        <f t="shared" si="53"/>
        <v/>
      </c>
      <c r="M1698" s="23" t="str">
        <f>IF($B1698="","",ROUND(SUMIF(账户名,$B1698,账户期初)+SUMIFS($K$6:K1698,$B$6:B1698,$B1698),2))</f>
        <v/>
      </c>
      <c r="N1698" s="23" t="str">
        <f>IF($B1698="","",IFERROR(ROUND(INDEX(账户期初本位,MATCH($B1698,账户名,0))+SUMIFS($L$6:L1698,$B$6:B1698,$B1698),2),""))</f>
        <v/>
      </c>
      <c r="O1698" s="46"/>
      <c r="P1698" s="47"/>
      <c r="Q1698" s="46"/>
      <c r="R1698" s="46"/>
      <c r="S1698" s="6" t="str">
        <f>IF($B1698="","",IF(ISNA(MATCH($B1698,账户名,0)),"※这个账户不在【参数设置】的账户档案里",IF($A1698="","※没填日期，这一笔不会进任何月份的报表",IF(AND($G1698&lt;&gt;"",$H1698&lt;&gt;""),"※收入和支出不能同时填",IF(AND(N($G1698)=0,N($H1698)=0),"※收入和支出都没填",IF($E1698="","※没填收支类别，分类报表会漏掉这一笔",IF(ISNA(MATCH($E1698,类别表,0)),"※收支类别不在【参数设置】的清单里",IF($J1698="","△"&amp;$D1698&amp;" 还没填汇率，去【月度汇率】补上就自动算了",IF(YEAR($A1698)&lt;&gt;管理年度,"△不是管理年度的单据，年报里看不到",IF(AND($F1698="内部转账",$Q1698=""),"△内部转账建议在「往来单位」写上对方账户",IF($M1698&lt;0,"△这一笔之后该账户余额成负数了，核一下","")))))))))))</f>
        <v/>
      </c>
    </row>
    <row r="1699" ht="16.5" spans="1:19">
      <c r="A1699" s="45"/>
      <c r="B1699" s="46"/>
      <c r="C1699" s="12" t="str">
        <f>IF($B1699="","",IFERROR(INDEX(账户银行,MATCH($B1699,账户名,0)),""))</f>
        <v/>
      </c>
      <c r="D1699" s="12" t="str">
        <f>IF($B1699="","",IFERROR(INDEX(账户币种,MATCH($B1699,账户名,0)),""))</f>
        <v/>
      </c>
      <c r="E1699" s="47"/>
      <c r="F1699" s="12" t="str">
        <f>IF($E1699="","",IFERROR(INDEX(类别属性,MATCH($E1699,类别表,0)),""))</f>
        <v/>
      </c>
      <c r="G1699" s="48"/>
      <c r="H1699" s="48"/>
      <c r="I1699" s="49"/>
      <c r="J1699" s="24" t="str">
        <f>IF(OR($A1699="",$B1699=""),"",IF($I1699&lt;&gt;"",$I1699,IF($D1699=本位币,1,IFERROR(LOOKUP(2,1/((汇率月份&lt;=$A1699)*(INDEX(记账汇率区,0,MATCH($D1699,汇率币种头,0))&lt;&gt;"")),INDEX(记账汇率区,0,MATCH($D1699,汇率币种头,0))),""))))</f>
        <v/>
      </c>
      <c r="K1699" s="23" t="str">
        <f t="shared" si="52"/>
        <v/>
      </c>
      <c r="L1699" s="23" t="str">
        <f t="shared" si="53"/>
        <v/>
      </c>
      <c r="M1699" s="23" t="str">
        <f>IF($B1699="","",ROUND(SUMIF(账户名,$B1699,账户期初)+SUMIFS($K$6:K1699,$B$6:B1699,$B1699),2))</f>
        <v/>
      </c>
      <c r="N1699" s="23" t="str">
        <f>IF($B1699="","",IFERROR(ROUND(INDEX(账户期初本位,MATCH($B1699,账户名,0))+SUMIFS($L$6:L1699,$B$6:B1699,$B1699),2),""))</f>
        <v/>
      </c>
      <c r="O1699" s="46"/>
      <c r="P1699" s="47"/>
      <c r="Q1699" s="46"/>
      <c r="R1699" s="46"/>
      <c r="S1699" s="6" t="str">
        <f>IF($B1699="","",IF(ISNA(MATCH($B1699,账户名,0)),"※这个账户不在【参数设置】的账户档案里",IF($A1699="","※没填日期，这一笔不会进任何月份的报表",IF(AND($G1699&lt;&gt;"",$H1699&lt;&gt;""),"※收入和支出不能同时填",IF(AND(N($G1699)=0,N($H1699)=0),"※收入和支出都没填",IF($E1699="","※没填收支类别，分类报表会漏掉这一笔",IF(ISNA(MATCH($E1699,类别表,0)),"※收支类别不在【参数设置】的清单里",IF($J1699="","△"&amp;$D1699&amp;" 还没填汇率，去【月度汇率】补上就自动算了",IF(YEAR($A1699)&lt;&gt;管理年度,"△不是管理年度的单据，年报里看不到",IF(AND($F1699="内部转账",$Q1699=""),"△内部转账建议在「往来单位」写上对方账户",IF($M1699&lt;0,"△这一笔之后该账户余额成负数了，核一下","")))))))))))</f>
        <v/>
      </c>
    </row>
    <row r="1700" ht="16.5" spans="1:19">
      <c r="A1700" s="45"/>
      <c r="B1700" s="46"/>
      <c r="C1700" s="12" t="str">
        <f>IF($B1700="","",IFERROR(INDEX(账户银行,MATCH($B1700,账户名,0)),""))</f>
        <v/>
      </c>
      <c r="D1700" s="12" t="str">
        <f>IF($B1700="","",IFERROR(INDEX(账户币种,MATCH($B1700,账户名,0)),""))</f>
        <v/>
      </c>
      <c r="E1700" s="47"/>
      <c r="F1700" s="12" t="str">
        <f>IF($E1700="","",IFERROR(INDEX(类别属性,MATCH($E1700,类别表,0)),""))</f>
        <v/>
      </c>
      <c r="G1700" s="48"/>
      <c r="H1700" s="48"/>
      <c r="I1700" s="49"/>
      <c r="J1700" s="24" t="str">
        <f>IF(OR($A1700="",$B1700=""),"",IF($I1700&lt;&gt;"",$I1700,IF($D1700=本位币,1,IFERROR(LOOKUP(2,1/((汇率月份&lt;=$A1700)*(INDEX(记账汇率区,0,MATCH($D1700,汇率币种头,0))&lt;&gt;"")),INDEX(记账汇率区,0,MATCH($D1700,汇率币种头,0))),""))))</f>
        <v/>
      </c>
      <c r="K1700" s="23" t="str">
        <f t="shared" si="52"/>
        <v/>
      </c>
      <c r="L1700" s="23" t="str">
        <f t="shared" si="53"/>
        <v/>
      </c>
      <c r="M1700" s="23" t="str">
        <f>IF($B1700="","",ROUND(SUMIF(账户名,$B1700,账户期初)+SUMIFS($K$6:K1700,$B$6:B1700,$B1700),2))</f>
        <v/>
      </c>
      <c r="N1700" s="23" t="str">
        <f>IF($B1700="","",IFERROR(ROUND(INDEX(账户期初本位,MATCH($B1700,账户名,0))+SUMIFS($L$6:L1700,$B$6:B1700,$B1700),2),""))</f>
        <v/>
      </c>
      <c r="O1700" s="46"/>
      <c r="P1700" s="47"/>
      <c r="Q1700" s="46"/>
      <c r="R1700" s="46"/>
      <c r="S1700" s="6" t="str">
        <f>IF($B1700="","",IF(ISNA(MATCH($B1700,账户名,0)),"※这个账户不在【参数设置】的账户档案里",IF($A1700="","※没填日期，这一笔不会进任何月份的报表",IF(AND($G1700&lt;&gt;"",$H1700&lt;&gt;""),"※收入和支出不能同时填",IF(AND(N($G1700)=0,N($H1700)=0),"※收入和支出都没填",IF($E1700="","※没填收支类别，分类报表会漏掉这一笔",IF(ISNA(MATCH($E1700,类别表,0)),"※收支类别不在【参数设置】的清单里",IF($J1700="","△"&amp;$D1700&amp;" 还没填汇率，去【月度汇率】补上就自动算了",IF(YEAR($A1700)&lt;&gt;管理年度,"△不是管理年度的单据，年报里看不到",IF(AND($F1700="内部转账",$Q1700=""),"△内部转账建议在「往来单位」写上对方账户",IF($M1700&lt;0,"△这一笔之后该账户余额成负数了，核一下","")))))))))))</f>
        <v/>
      </c>
    </row>
    <row r="1701" ht="16.5" spans="1:19">
      <c r="A1701" s="45"/>
      <c r="B1701" s="46"/>
      <c r="C1701" s="12" t="str">
        <f>IF($B1701="","",IFERROR(INDEX(账户银行,MATCH($B1701,账户名,0)),""))</f>
        <v/>
      </c>
      <c r="D1701" s="12" t="str">
        <f>IF($B1701="","",IFERROR(INDEX(账户币种,MATCH($B1701,账户名,0)),""))</f>
        <v/>
      </c>
      <c r="E1701" s="47"/>
      <c r="F1701" s="12" t="str">
        <f>IF($E1701="","",IFERROR(INDEX(类别属性,MATCH($E1701,类别表,0)),""))</f>
        <v/>
      </c>
      <c r="G1701" s="48"/>
      <c r="H1701" s="48"/>
      <c r="I1701" s="49"/>
      <c r="J1701" s="24" t="str">
        <f>IF(OR($A1701="",$B1701=""),"",IF($I1701&lt;&gt;"",$I1701,IF($D1701=本位币,1,IFERROR(LOOKUP(2,1/((汇率月份&lt;=$A1701)*(INDEX(记账汇率区,0,MATCH($D1701,汇率币种头,0))&lt;&gt;"")),INDEX(记账汇率区,0,MATCH($D1701,汇率币种头,0))),""))))</f>
        <v/>
      </c>
      <c r="K1701" s="23" t="str">
        <f t="shared" si="52"/>
        <v/>
      </c>
      <c r="L1701" s="23" t="str">
        <f t="shared" si="53"/>
        <v/>
      </c>
      <c r="M1701" s="23" t="str">
        <f>IF($B1701="","",ROUND(SUMIF(账户名,$B1701,账户期初)+SUMIFS($K$6:K1701,$B$6:B1701,$B1701),2))</f>
        <v/>
      </c>
      <c r="N1701" s="23" t="str">
        <f>IF($B1701="","",IFERROR(ROUND(INDEX(账户期初本位,MATCH($B1701,账户名,0))+SUMIFS($L$6:L1701,$B$6:B1701,$B1701),2),""))</f>
        <v/>
      </c>
      <c r="O1701" s="46"/>
      <c r="P1701" s="47"/>
      <c r="Q1701" s="46"/>
      <c r="R1701" s="46"/>
      <c r="S1701" s="6" t="str">
        <f>IF($B1701="","",IF(ISNA(MATCH($B1701,账户名,0)),"※这个账户不在【参数设置】的账户档案里",IF($A1701="","※没填日期，这一笔不会进任何月份的报表",IF(AND($G1701&lt;&gt;"",$H1701&lt;&gt;""),"※收入和支出不能同时填",IF(AND(N($G1701)=0,N($H1701)=0),"※收入和支出都没填",IF($E1701="","※没填收支类别，分类报表会漏掉这一笔",IF(ISNA(MATCH($E1701,类别表,0)),"※收支类别不在【参数设置】的清单里",IF($J1701="","△"&amp;$D1701&amp;" 还没填汇率，去【月度汇率】补上就自动算了",IF(YEAR($A1701)&lt;&gt;管理年度,"△不是管理年度的单据，年报里看不到",IF(AND($F1701="内部转账",$Q1701=""),"△内部转账建议在「往来单位」写上对方账户",IF($M1701&lt;0,"△这一笔之后该账户余额成负数了，核一下","")))))))))))</f>
        <v/>
      </c>
    </row>
    <row r="1702" ht="16.5" spans="1:19">
      <c r="A1702" s="45"/>
      <c r="B1702" s="46"/>
      <c r="C1702" s="12" t="str">
        <f>IF($B1702="","",IFERROR(INDEX(账户银行,MATCH($B1702,账户名,0)),""))</f>
        <v/>
      </c>
      <c r="D1702" s="12" t="str">
        <f>IF($B1702="","",IFERROR(INDEX(账户币种,MATCH($B1702,账户名,0)),""))</f>
        <v/>
      </c>
      <c r="E1702" s="47"/>
      <c r="F1702" s="12" t="str">
        <f>IF($E1702="","",IFERROR(INDEX(类别属性,MATCH($E1702,类别表,0)),""))</f>
        <v/>
      </c>
      <c r="G1702" s="48"/>
      <c r="H1702" s="48"/>
      <c r="I1702" s="49"/>
      <c r="J1702" s="24" t="str">
        <f>IF(OR($A1702="",$B1702=""),"",IF($I1702&lt;&gt;"",$I1702,IF($D1702=本位币,1,IFERROR(LOOKUP(2,1/((汇率月份&lt;=$A1702)*(INDEX(记账汇率区,0,MATCH($D1702,汇率币种头,0))&lt;&gt;"")),INDEX(记账汇率区,0,MATCH($D1702,汇率币种头,0))),""))))</f>
        <v/>
      </c>
      <c r="K1702" s="23" t="str">
        <f t="shared" si="52"/>
        <v/>
      </c>
      <c r="L1702" s="23" t="str">
        <f t="shared" si="53"/>
        <v/>
      </c>
      <c r="M1702" s="23" t="str">
        <f>IF($B1702="","",ROUND(SUMIF(账户名,$B1702,账户期初)+SUMIFS($K$6:K1702,$B$6:B1702,$B1702),2))</f>
        <v/>
      </c>
      <c r="N1702" s="23" t="str">
        <f>IF($B1702="","",IFERROR(ROUND(INDEX(账户期初本位,MATCH($B1702,账户名,0))+SUMIFS($L$6:L1702,$B$6:B1702,$B1702),2),""))</f>
        <v/>
      </c>
      <c r="O1702" s="46"/>
      <c r="P1702" s="47"/>
      <c r="Q1702" s="46"/>
      <c r="R1702" s="46"/>
      <c r="S1702" s="6" t="str">
        <f>IF($B1702="","",IF(ISNA(MATCH($B1702,账户名,0)),"※这个账户不在【参数设置】的账户档案里",IF($A1702="","※没填日期，这一笔不会进任何月份的报表",IF(AND($G1702&lt;&gt;"",$H1702&lt;&gt;""),"※收入和支出不能同时填",IF(AND(N($G1702)=0,N($H1702)=0),"※收入和支出都没填",IF($E1702="","※没填收支类别，分类报表会漏掉这一笔",IF(ISNA(MATCH($E1702,类别表,0)),"※收支类别不在【参数设置】的清单里",IF($J1702="","△"&amp;$D1702&amp;" 还没填汇率，去【月度汇率】补上就自动算了",IF(YEAR($A1702)&lt;&gt;管理年度,"△不是管理年度的单据，年报里看不到",IF(AND($F1702="内部转账",$Q1702=""),"△内部转账建议在「往来单位」写上对方账户",IF($M1702&lt;0,"△这一笔之后该账户余额成负数了，核一下","")))))))))))</f>
        <v/>
      </c>
    </row>
    <row r="1703" ht="16.5" spans="1:19">
      <c r="A1703" s="45"/>
      <c r="B1703" s="46"/>
      <c r="C1703" s="12" t="str">
        <f>IF($B1703="","",IFERROR(INDEX(账户银行,MATCH($B1703,账户名,0)),""))</f>
        <v/>
      </c>
      <c r="D1703" s="12" t="str">
        <f>IF($B1703="","",IFERROR(INDEX(账户币种,MATCH($B1703,账户名,0)),""))</f>
        <v/>
      </c>
      <c r="E1703" s="47"/>
      <c r="F1703" s="12" t="str">
        <f>IF($E1703="","",IFERROR(INDEX(类别属性,MATCH($E1703,类别表,0)),""))</f>
        <v/>
      </c>
      <c r="G1703" s="48"/>
      <c r="H1703" s="48"/>
      <c r="I1703" s="49"/>
      <c r="J1703" s="24" t="str">
        <f>IF(OR($A1703="",$B1703=""),"",IF($I1703&lt;&gt;"",$I1703,IF($D1703=本位币,1,IFERROR(LOOKUP(2,1/((汇率月份&lt;=$A1703)*(INDEX(记账汇率区,0,MATCH($D1703,汇率币种头,0))&lt;&gt;"")),INDEX(记账汇率区,0,MATCH($D1703,汇率币种头,0))),""))))</f>
        <v/>
      </c>
      <c r="K1703" s="23" t="str">
        <f t="shared" si="52"/>
        <v/>
      </c>
      <c r="L1703" s="23" t="str">
        <f t="shared" si="53"/>
        <v/>
      </c>
      <c r="M1703" s="23" t="str">
        <f>IF($B1703="","",ROUND(SUMIF(账户名,$B1703,账户期初)+SUMIFS($K$6:K1703,$B$6:B1703,$B1703),2))</f>
        <v/>
      </c>
      <c r="N1703" s="23" t="str">
        <f>IF($B1703="","",IFERROR(ROUND(INDEX(账户期初本位,MATCH($B1703,账户名,0))+SUMIFS($L$6:L1703,$B$6:B1703,$B1703),2),""))</f>
        <v/>
      </c>
      <c r="O1703" s="46"/>
      <c r="P1703" s="47"/>
      <c r="Q1703" s="46"/>
      <c r="R1703" s="46"/>
      <c r="S1703" s="6" t="str">
        <f>IF($B1703="","",IF(ISNA(MATCH($B1703,账户名,0)),"※这个账户不在【参数设置】的账户档案里",IF($A1703="","※没填日期，这一笔不会进任何月份的报表",IF(AND($G1703&lt;&gt;"",$H1703&lt;&gt;""),"※收入和支出不能同时填",IF(AND(N($G1703)=0,N($H1703)=0),"※收入和支出都没填",IF($E1703="","※没填收支类别，分类报表会漏掉这一笔",IF(ISNA(MATCH($E1703,类别表,0)),"※收支类别不在【参数设置】的清单里",IF($J1703="","△"&amp;$D1703&amp;" 还没填汇率，去【月度汇率】补上就自动算了",IF(YEAR($A1703)&lt;&gt;管理年度,"△不是管理年度的单据，年报里看不到",IF(AND($F1703="内部转账",$Q1703=""),"△内部转账建议在「往来单位」写上对方账户",IF($M1703&lt;0,"△这一笔之后该账户余额成负数了，核一下","")))))))))))</f>
        <v/>
      </c>
    </row>
    <row r="1704" ht="16.5" spans="1:19">
      <c r="A1704" s="45"/>
      <c r="B1704" s="46"/>
      <c r="C1704" s="12" t="str">
        <f>IF($B1704="","",IFERROR(INDEX(账户银行,MATCH($B1704,账户名,0)),""))</f>
        <v/>
      </c>
      <c r="D1704" s="12" t="str">
        <f>IF($B1704="","",IFERROR(INDEX(账户币种,MATCH($B1704,账户名,0)),""))</f>
        <v/>
      </c>
      <c r="E1704" s="47"/>
      <c r="F1704" s="12" t="str">
        <f>IF($E1704="","",IFERROR(INDEX(类别属性,MATCH($E1704,类别表,0)),""))</f>
        <v/>
      </c>
      <c r="G1704" s="48"/>
      <c r="H1704" s="48"/>
      <c r="I1704" s="49"/>
      <c r="J1704" s="24" t="str">
        <f>IF(OR($A1704="",$B1704=""),"",IF($I1704&lt;&gt;"",$I1704,IF($D1704=本位币,1,IFERROR(LOOKUP(2,1/((汇率月份&lt;=$A1704)*(INDEX(记账汇率区,0,MATCH($D1704,汇率币种头,0))&lt;&gt;"")),INDEX(记账汇率区,0,MATCH($D1704,汇率币种头,0))),""))))</f>
        <v/>
      </c>
      <c r="K1704" s="23" t="str">
        <f t="shared" si="52"/>
        <v/>
      </c>
      <c r="L1704" s="23" t="str">
        <f t="shared" si="53"/>
        <v/>
      </c>
      <c r="M1704" s="23" t="str">
        <f>IF($B1704="","",ROUND(SUMIF(账户名,$B1704,账户期初)+SUMIFS($K$6:K1704,$B$6:B1704,$B1704),2))</f>
        <v/>
      </c>
      <c r="N1704" s="23" t="str">
        <f>IF($B1704="","",IFERROR(ROUND(INDEX(账户期初本位,MATCH($B1704,账户名,0))+SUMIFS($L$6:L1704,$B$6:B1704,$B1704),2),""))</f>
        <v/>
      </c>
      <c r="O1704" s="46"/>
      <c r="P1704" s="47"/>
      <c r="Q1704" s="46"/>
      <c r="R1704" s="46"/>
      <c r="S1704" s="6" t="str">
        <f>IF($B1704="","",IF(ISNA(MATCH($B1704,账户名,0)),"※这个账户不在【参数设置】的账户档案里",IF($A1704="","※没填日期，这一笔不会进任何月份的报表",IF(AND($G1704&lt;&gt;"",$H1704&lt;&gt;""),"※收入和支出不能同时填",IF(AND(N($G1704)=0,N($H1704)=0),"※收入和支出都没填",IF($E1704="","※没填收支类别，分类报表会漏掉这一笔",IF(ISNA(MATCH($E1704,类别表,0)),"※收支类别不在【参数设置】的清单里",IF($J1704="","△"&amp;$D1704&amp;" 还没填汇率，去【月度汇率】补上就自动算了",IF(YEAR($A1704)&lt;&gt;管理年度,"△不是管理年度的单据，年报里看不到",IF(AND($F1704="内部转账",$Q1704=""),"△内部转账建议在「往来单位」写上对方账户",IF($M1704&lt;0,"△这一笔之后该账户余额成负数了，核一下","")))))))))))</f>
        <v/>
      </c>
    </row>
    <row r="1705" ht="16.5" spans="1:19">
      <c r="A1705" s="45"/>
      <c r="B1705" s="46"/>
      <c r="C1705" s="12" t="str">
        <f>IF($B1705="","",IFERROR(INDEX(账户银行,MATCH($B1705,账户名,0)),""))</f>
        <v/>
      </c>
      <c r="D1705" s="12" t="str">
        <f>IF($B1705="","",IFERROR(INDEX(账户币种,MATCH($B1705,账户名,0)),""))</f>
        <v/>
      </c>
      <c r="E1705" s="47"/>
      <c r="F1705" s="12" t="str">
        <f>IF($E1705="","",IFERROR(INDEX(类别属性,MATCH($E1705,类别表,0)),""))</f>
        <v/>
      </c>
      <c r="G1705" s="48"/>
      <c r="H1705" s="48"/>
      <c r="I1705" s="49"/>
      <c r="J1705" s="24" t="str">
        <f>IF(OR($A1705="",$B1705=""),"",IF($I1705&lt;&gt;"",$I1705,IF($D1705=本位币,1,IFERROR(LOOKUP(2,1/((汇率月份&lt;=$A1705)*(INDEX(记账汇率区,0,MATCH($D1705,汇率币种头,0))&lt;&gt;"")),INDEX(记账汇率区,0,MATCH($D1705,汇率币种头,0))),""))))</f>
        <v/>
      </c>
      <c r="K1705" s="23" t="str">
        <f t="shared" si="52"/>
        <v/>
      </c>
      <c r="L1705" s="23" t="str">
        <f t="shared" si="53"/>
        <v/>
      </c>
      <c r="M1705" s="23" t="str">
        <f>IF($B1705="","",ROUND(SUMIF(账户名,$B1705,账户期初)+SUMIFS($K$6:K1705,$B$6:B1705,$B1705),2))</f>
        <v/>
      </c>
      <c r="N1705" s="23" t="str">
        <f>IF($B1705="","",IFERROR(ROUND(INDEX(账户期初本位,MATCH($B1705,账户名,0))+SUMIFS($L$6:L1705,$B$6:B1705,$B1705),2),""))</f>
        <v/>
      </c>
      <c r="O1705" s="46"/>
      <c r="P1705" s="47"/>
      <c r="Q1705" s="46"/>
      <c r="R1705" s="46"/>
      <c r="S1705" s="6" t="str">
        <f>IF($B1705="","",IF(ISNA(MATCH($B1705,账户名,0)),"※这个账户不在【参数设置】的账户档案里",IF($A1705="","※没填日期，这一笔不会进任何月份的报表",IF(AND($G1705&lt;&gt;"",$H1705&lt;&gt;""),"※收入和支出不能同时填",IF(AND(N($G1705)=0,N($H1705)=0),"※收入和支出都没填",IF($E1705="","※没填收支类别，分类报表会漏掉这一笔",IF(ISNA(MATCH($E1705,类别表,0)),"※收支类别不在【参数设置】的清单里",IF($J1705="","△"&amp;$D1705&amp;" 还没填汇率，去【月度汇率】补上就自动算了",IF(YEAR($A1705)&lt;&gt;管理年度,"△不是管理年度的单据，年报里看不到",IF(AND($F1705="内部转账",$Q1705=""),"△内部转账建议在「往来单位」写上对方账户",IF($M1705&lt;0,"△这一笔之后该账户余额成负数了，核一下","")))))))))))</f>
        <v/>
      </c>
    </row>
    <row r="1706" ht="16.5" spans="1:19">
      <c r="A1706" s="45"/>
      <c r="B1706" s="46"/>
      <c r="C1706" s="12" t="str">
        <f>IF($B1706="","",IFERROR(INDEX(账户银行,MATCH($B1706,账户名,0)),""))</f>
        <v/>
      </c>
      <c r="D1706" s="12" t="str">
        <f>IF($B1706="","",IFERROR(INDEX(账户币种,MATCH($B1706,账户名,0)),""))</f>
        <v/>
      </c>
      <c r="E1706" s="47"/>
      <c r="F1706" s="12" t="str">
        <f>IF($E1706="","",IFERROR(INDEX(类别属性,MATCH($E1706,类别表,0)),""))</f>
        <v/>
      </c>
      <c r="G1706" s="48"/>
      <c r="H1706" s="48"/>
      <c r="I1706" s="49"/>
      <c r="J1706" s="24" t="str">
        <f>IF(OR($A1706="",$B1706=""),"",IF($I1706&lt;&gt;"",$I1706,IF($D1706=本位币,1,IFERROR(LOOKUP(2,1/((汇率月份&lt;=$A1706)*(INDEX(记账汇率区,0,MATCH($D1706,汇率币种头,0))&lt;&gt;"")),INDEX(记账汇率区,0,MATCH($D1706,汇率币种头,0))),""))))</f>
        <v/>
      </c>
      <c r="K1706" s="23" t="str">
        <f t="shared" si="52"/>
        <v/>
      </c>
      <c r="L1706" s="23" t="str">
        <f t="shared" si="53"/>
        <v/>
      </c>
      <c r="M1706" s="23" t="str">
        <f>IF($B1706="","",ROUND(SUMIF(账户名,$B1706,账户期初)+SUMIFS($K$6:K1706,$B$6:B1706,$B1706),2))</f>
        <v/>
      </c>
      <c r="N1706" s="23" t="str">
        <f>IF($B1706="","",IFERROR(ROUND(INDEX(账户期初本位,MATCH($B1706,账户名,0))+SUMIFS($L$6:L1706,$B$6:B1706,$B1706),2),""))</f>
        <v/>
      </c>
      <c r="O1706" s="46"/>
      <c r="P1706" s="47"/>
      <c r="Q1706" s="46"/>
      <c r="R1706" s="46"/>
      <c r="S1706" s="6" t="str">
        <f>IF($B1706="","",IF(ISNA(MATCH($B1706,账户名,0)),"※这个账户不在【参数设置】的账户档案里",IF($A1706="","※没填日期，这一笔不会进任何月份的报表",IF(AND($G1706&lt;&gt;"",$H1706&lt;&gt;""),"※收入和支出不能同时填",IF(AND(N($G1706)=0,N($H1706)=0),"※收入和支出都没填",IF($E1706="","※没填收支类别，分类报表会漏掉这一笔",IF(ISNA(MATCH($E1706,类别表,0)),"※收支类别不在【参数设置】的清单里",IF($J1706="","△"&amp;$D1706&amp;" 还没填汇率，去【月度汇率】补上就自动算了",IF(YEAR($A1706)&lt;&gt;管理年度,"△不是管理年度的单据，年报里看不到",IF(AND($F1706="内部转账",$Q1706=""),"△内部转账建议在「往来单位」写上对方账户",IF($M1706&lt;0,"△这一笔之后该账户余额成负数了，核一下","")))))))))))</f>
        <v/>
      </c>
    </row>
    <row r="1707" ht="16.5" spans="1:19">
      <c r="A1707" s="45"/>
      <c r="B1707" s="46"/>
      <c r="C1707" s="12" t="str">
        <f>IF($B1707="","",IFERROR(INDEX(账户银行,MATCH($B1707,账户名,0)),""))</f>
        <v/>
      </c>
      <c r="D1707" s="12" t="str">
        <f>IF($B1707="","",IFERROR(INDEX(账户币种,MATCH($B1707,账户名,0)),""))</f>
        <v/>
      </c>
      <c r="E1707" s="47"/>
      <c r="F1707" s="12" t="str">
        <f>IF($E1707="","",IFERROR(INDEX(类别属性,MATCH($E1707,类别表,0)),""))</f>
        <v/>
      </c>
      <c r="G1707" s="48"/>
      <c r="H1707" s="48"/>
      <c r="I1707" s="49"/>
      <c r="J1707" s="24" t="str">
        <f>IF(OR($A1707="",$B1707=""),"",IF($I1707&lt;&gt;"",$I1707,IF($D1707=本位币,1,IFERROR(LOOKUP(2,1/((汇率月份&lt;=$A1707)*(INDEX(记账汇率区,0,MATCH($D1707,汇率币种头,0))&lt;&gt;"")),INDEX(记账汇率区,0,MATCH($D1707,汇率币种头,0))),""))))</f>
        <v/>
      </c>
      <c r="K1707" s="23" t="str">
        <f t="shared" si="52"/>
        <v/>
      </c>
      <c r="L1707" s="23" t="str">
        <f t="shared" si="53"/>
        <v/>
      </c>
      <c r="M1707" s="23" t="str">
        <f>IF($B1707="","",ROUND(SUMIF(账户名,$B1707,账户期初)+SUMIFS($K$6:K1707,$B$6:B1707,$B1707),2))</f>
        <v/>
      </c>
      <c r="N1707" s="23" t="str">
        <f>IF($B1707="","",IFERROR(ROUND(INDEX(账户期初本位,MATCH($B1707,账户名,0))+SUMIFS($L$6:L1707,$B$6:B1707,$B1707),2),""))</f>
        <v/>
      </c>
      <c r="O1707" s="46"/>
      <c r="P1707" s="47"/>
      <c r="Q1707" s="46"/>
      <c r="R1707" s="46"/>
      <c r="S1707" s="6" t="str">
        <f>IF($B1707="","",IF(ISNA(MATCH($B1707,账户名,0)),"※这个账户不在【参数设置】的账户档案里",IF($A1707="","※没填日期，这一笔不会进任何月份的报表",IF(AND($G1707&lt;&gt;"",$H1707&lt;&gt;""),"※收入和支出不能同时填",IF(AND(N($G1707)=0,N($H1707)=0),"※收入和支出都没填",IF($E1707="","※没填收支类别，分类报表会漏掉这一笔",IF(ISNA(MATCH($E1707,类别表,0)),"※收支类别不在【参数设置】的清单里",IF($J1707="","△"&amp;$D1707&amp;" 还没填汇率，去【月度汇率】补上就自动算了",IF(YEAR($A1707)&lt;&gt;管理年度,"△不是管理年度的单据，年报里看不到",IF(AND($F1707="内部转账",$Q1707=""),"△内部转账建议在「往来单位」写上对方账户",IF($M1707&lt;0,"△这一笔之后该账户余额成负数了，核一下","")))))))))))</f>
        <v/>
      </c>
    </row>
    <row r="1708" ht="16.5" spans="1:19">
      <c r="A1708" s="45"/>
      <c r="B1708" s="46"/>
      <c r="C1708" s="12" t="str">
        <f>IF($B1708="","",IFERROR(INDEX(账户银行,MATCH($B1708,账户名,0)),""))</f>
        <v/>
      </c>
      <c r="D1708" s="12" t="str">
        <f>IF($B1708="","",IFERROR(INDEX(账户币种,MATCH($B1708,账户名,0)),""))</f>
        <v/>
      </c>
      <c r="E1708" s="47"/>
      <c r="F1708" s="12" t="str">
        <f>IF($E1708="","",IFERROR(INDEX(类别属性,MATCH($E1708,类别表,0)),""))</f>
        <v/>
      </c>
      <c r="G1708" s="48"/>
      <c r="H1708" s="48"/>
      <c r="I1708" s="49"/>
      <c r="J1708" s="24" t="str">
        <f>IF(OR($A1708="",$B1708=""),"",IF($I1708&lt;&gt;"",$I1708,IF($D1708=本位币,1,IFERROR(LOOKUP(2,1/((汇率月份&lt;=$A1708)*(INDEX(记账汇率区,0,MATCH($D1708,汇率币种头,0))&lt;&gt;"")),INDEX(记账汇率区,0,MATCH($D1708,汇率币种头,0))),""))))</f>
        <v/>
      </c>
      <c r="K1708" s="23" t="str">
        <f t="shared" si="52"/>
        <v/>
      </c>
      <c r="L1708" s="23" t="str">
        <f t="shared" si="53"/>
        <v/>
      </c>
      <c r="M1708" s="23" t="str">
        <f>IF($B1708="","",ROUND(SUMIF(账户名,$B1708,账户期初)+SUMIFS($K$6:K1708,$B$6:B1708,$B1708),2))</f>
        <v/>
      </c>
      <c r="N1708" s="23" t="str">
        <f>IF($B1708="","",IFERROR(ROUND(INDEX(账户期初本位,MATCH($B1708,账户名,0))+SUMIFS($L$6:L1708,$B$6:B1708,$B1708),2),""))</f>
        <v/>
      </c>
      <c r="O1708" s="46"/>
      <c r="P1708" s="47"/>
      <c r="Q1708" s="46"/>
      <c r="R1708" s="46"/>
      <c r="S1708" s="6" t="str">
        <f>IF($B1708="","",IF(ISNA(MATCH($B1708,账户名,0)),"※这个账户不在【参数设置】的账户档案里",IF($A1708="","※没填日期，这一笔不会进任何月份的报表",IF(AND($G1708&lt;&gt;"",$H1708&lt;&gt;""),"※收入和支出不能同时填",IF(AND(N($G1708)=0,N($H1708)=0),"※收入和支出都没填",IF($E1708="","※没填收支类别，分类报表会漏掉这一笔",IF(ISNA(MATCH($E1708,类别表,0)),"※收支类别不在【参数设置】的清单里",IF($J1708="","△"&amp;$D1708&amp;" 还没填汇率，去【月度汇率】补上就自动算了",IF(YEAR($A1708)&lt;&gt;管理年度,"△不是管理年度的单据，年报里看不到",IF(AND($F1708="内部转账",$Q1708=""),"△内部转账建议在「往来单位」写上对方账户",IF($M1708&lt;0,"△这一笔之后该账户余额成负数了，核一下","")))))))))))</f>
        <v/>
      </c>
    </row>
    <row r="1709" ht="16.5" spans="1:19">
      <c r="A1709" s="45"/>
      <c r="B1709" s="46"/>
      <c r="C1709" s="12" t="str">
        <f>IF($B1709="","",IFERROR(INDEX(账户银行,MATCH($B1709,账户名,0)),""))</f>
        <v/>
      </c>
      <c r="D1709" s="12" t="str">
        <f>IF($B1709="","",IFERROR(INDEX(账户币种,MATCH($B1709,账户名,0)),""))</f>
        <v/>
      </c>
      <c r="E1709" s="47"/>
      <c r="F1709" s="12" t="str">
        <f>IF($E1709="","",IFERROR(INDEX(类别属性,MATCH($E1709,类别表,0)),""))</f>
        <v/>
      </c>
      <c r="G1709" s="48"/>
      <c r="H1709" s="48"/>
      <c r="I1709" s="49"/>
      <c r="J1709" s="24" t="str">
        <f>IF(OR($A1709="",$B1709=""),"",IF($I1709&lt;&gt;"",$I1709,IF($D1709=本位币,1,IFERROR(LOOKUP(2,1/((汇率月份&lt;=$A1709)*(INDEX(记账汇率区,0,MATCH($D1709,汇率币种头,0))&lt;&gt;"")),INDEX(记账汇率区,0,MATCH($D1709,汇率币种头,0))),""))))</f>
        <v/>
      </c>
      <c r="K1709" s="23" t="str">
        <f t="shared" si="52"/>
        <v/>
      </c>
      <c r="L1709" s="23" t="str">
        <f t="shared" si="53"/>
        <v/>
      </c>
      <c r="M1709" s="23" t="str">
        <f>IF($B1709="","",ROUND(SUMIF(账户名,$B1709,账户期初)+SUMIFS($K$6:K1709,$B$6:B1709,$B1709),2))</f>
        <v/>
      </c>
      <c r="N1709" s="23" t="str">
        <f>IF($B1709="","",IFERROR(ROUND(INDEX(账户期初本位,MATCH($B1709,账户名,0))+SUMIFS($L$6:L1709,$B$6:B1709,$B1709),2),""))</f>
        <v/>
      </c>
      <c r="O1709" s="46"/>
      <c r="P1709" s="47"/>
      <c r="Q1709" s="46"/>
      <c r="R1709" s="46"/>
      <c r="S1709" s="6" t="str">
        <f>IF($B1709="","",IF(ISNA(MATCH($B1709,账户名,0)),"※这个账户不在【参数设置】的账户档案里",IF($A1709="","※没填日期，这一笔不会进任何月份的报表",IF(AND($G1709&lt;&gt;"",$H1709&lt;&gt;""),"※收入和支出不能同时填",IF(AND(N($G1709)=0,N($H1709)=0),"※收入和支出都没填",IF($E1709="","※没填收支类别，分类报表会漏掉这一笔",IF(ISNA(MATCH($E1709,类别表,0)),"※收支类别不在【参数设置】的清单里",IF($J1709="","△"&amp;$D1709&amp;" 还没填汇率，去【月度汇率】补上就自动算了",IF(YEAR($A1709)&lt;&gt;管理年度,"△不是管理年度的单据，年报里看不到",IF(AND($F1709="内部转账",$Q1709=""),"△内部转账建议在「往来单位」写上对方账户",IF($M1709&lt;0,"△这一笔之后该账户余额成负数了，核一下","")))))))))))</f>
        <v/>
      </c>
    </row>
    <row r="1710" ht="16.5" spans="1:19">
      <c r="A1710" s="45"/>
      <c r="B1710" s="46"/>
      <c r="C1710" s="12" t="str">
        <f>IF($B1710="","",IFERROR(INDEX(账户银行,MATCH($B1710,账户名,0)),""))</f>
        <v/>
      </c>
      <c r="D1710" s="12" t="str">
        <f>IF($B1710="","",IFERROR(INDEX(账户币种,MATCH($B1710,账户名,0)),""))</f>
        <v/>
      </c>
      <c r="E1710" s="47"/>
      <c r="F1710" s="12" t="str">
        <f>IF($E1710="","",IFERROR(INDEX(类别属性,MATCH($E1710,类别表,0)),""))</f>
        <v/>
      </c>
      <c r="G1710" s="48"/>
      <c r="H1710" s="48"/>
      <c r="I1710" s="49"/>
      <c r="J1710" s="24" t="str">
        <f>IF(OR($A1710="",$B1710=""),"",IF($I1710&lt;&gt;"",$I1710,IF($D1710=本位币,1,IFERROR(LOOKUP(2,1/((汇率月份&lt;=$A1710)*(INDEX(记账汇率区,0,MATCH($D1710,汇率币种头,0))&lt;&gt;"")),INDEX(记账汇率区,0,MATCH($D1710,汇率币种头,0))),""))))</f>
        <v/>
      </c>
      <c r="K1710" s="23" t="str">
        <f t="shared" si="52"/>
        <v/>
      </c>
      <c r="L1710" s="23" t="str">
        <f t="shared" si="53"/>
        <v/>
      </c>
      <c r="M1710" s="23" t="str">
        <f>IF($B1710="","",ROUND(SUMIF(账户名,$B1710,账户期初)+SUMIFS($K$6:K1710,$B$6:B1710,$B1710),2))</f>
        <v/>
      </c>
      <c r="N1710" s="23" t="str">
        <f>IF($B1710="","",IFERROR(ROUND(INDEX(账户期初本位,MATCH($B1710,账户名,0))+SUMIFS($L$6:L1710,$B$6:B1710,$B1710),2),""))</f>
        <v/>
      </c>
      <c r="O1710" s="46"/>
      <c r="P1710" s="47"/>
      <c r="Q1710" s="46"/>
      <c r="R1710" s="46"/>
      <c r="S1710" s="6" t="str">
        <f>IF($B1710="","",IF(ISNA(MATCH($B1710,账户名,0)),"※这个账户不在【参数设置】的账户档案里",IF($A1710="","※没填日期，这一笔不会进任何月份的报表",IF(AND($G1710&lt;&gt;"",$H1710&lt;&gt;""),"※收入和支出不能同时填",IF(AND(N($G1710)=0,N($H1710)=0),"※收入和支出都没填",IF($E1710="","※没填收支类别，分类报表会漏掉这一笔",IF(ISNA(MATCH($E1710,类别表,0)),"※收支类别不在【参数设置】的清单里",IF($J1710="","△"&amp;$D1710&amp;" 还没填汇率，去【月度汇率】补上就自动算了",IF(YEAR($A1710)&lt;&gt;管理年度,"△不是管理年度的单据，年报里看不到",IF(AND($F1710="内部转账",$Q1710=""),"△内部转账建议在「往来单位」写上对方账户",IF($M1710&lt;0,"△这一笔之后该账户余额成负数了，核一下","")))))))))))</f>
        <v/>
      </c>
    </row>
    <row r="1711" ht="16.5" spans="1:19">
      <c r="A1711" s="45"/>
      <c r="B1711" s="46"/>
      <c r="C1711" s="12" t="str">
        <f>IF($B1711="","",IFERROR(INDEX(账户银行,MATCH($B1711,账户名,0)),""))</f>
        <v/>
      </c>
      <c r="D1711" s="12" t="str">
        <f>IF($B1711="","",IFERROR(INDEX(账户币种,MATCH($B1711,账户名,0)),""))</f>
        <v/>
      </c>
      <c r="E1711" s="47"/>
      <c r="F1711" s="12" t="str">
        <f>IF($E1711="","",IFERROR(INDEX(类别属性,MATCH($E1711,类别表,0)),""))</f>
        <v/>
      </c>
      <c r="G1711" s="48"/>
      <c r="H1711" s="48"/>
      <c r="I1711" s="49"/>
      <c r="J1711" s="24" t="str">
        <f>IF(OR($A1711="",$B1711=""),"",IF($I1711&lt;&gt;"",$I1711,IF($D1711=本位币,1,IFERROR(LOOKUP(2,1/((汇率月份&lt;=$A1711)*(INDEX(记账汇率区,0,MATCH($D1711,汇率币种头,0))&lt;&gt;"")),INDEX(记账汇率区,0,MATCH($D1711,汇率币种头,0))),""))))</f>
        <v/>
      </c>
      <c r="K1711" s="23" t="str">
        <f t="shared" si="52"/>
        <v/>
      </c>
      <c r="L1711" s="23" t="str">
        <f t="shared" si="53"/>
        <v/>
      </c>
      <c r="M1711" s="23" t="str">
        <f>IF($B1711="","",ROUND(SUMIF(账户名,$B1711,账户期初)+SUMIFS($K$6:K1711,$B$6:B1711,$B1711),2))</f>
        <v/>
      </c>
      <c r="N1711" s="23" t="str">
        <f>IF($B1711="","",IFERROR(ROUND(INDEX(账户期初本位,MATCH($B1711,账户名,0))+SUMIFS($L$6:L1711,$B$6:B1711,$B1711),2),""))</f>
        <v/>
      </c>
      <c r="O1711" s="46"/>
      <c r="P1711" s="47"/>
      <c r="Q1711" s="46"/>
      <c r="R1711" s="46"/>
      <c r="S1711" s="6" t="str">
        <f>IF($B1711="","",IF(ISNA(MATCH($B1711,账户名,0)),"※这个账户不在【参数设置】的账户档案里",IF($A1711="","※没填日期，这一笔不会进任何月份的报表",IF(AND($G1711&lt;&gt;"",$H1711&lt;&gt;""),"※收入和支出不能同时填",IF(AND(N($G1711)=0,N($H1711)=0),"※收入和支出都没填",IF($E1711="","※没填收支类别，分类报表会漏掉这一笔",IF(ISNA(MATCH($E1711,类别表,0)),"※收支类别不在【参数设置】的清单里",IF($J1711="","△"&amp;$D1711&amp;" 还没填汇率，去【月度汇率】补上就自动算了",IF(YEAR($A1711)&lt;&gt;管理年度,"△不是管理年度的单据，年报里看不到",IF(AND($F1711="内部转账",$Q1711=""),"△内部转账建议在「往来单位」写上对方账户",IF($M1711&lt;0,"△这一笔之后该账户余额成负数了，核一下","")))))))))))</f>
        <v/>
      </c>
    </row>
    <row r="1712" ht="16.5" spans="1:19">
      <c r="A1712" s="45"/>
      <c r="B1712" s="46"/>
      <c r="C1712" s="12" t="str">
        <f>IF($B1712="","",IFERROR(INDEX(账户银行,MATCH($B1712,账户名,0)),""))</f>
        <v/>
      </c>
      <c r="D1712" s="12" t="str">
        <f>IF($B1712="","",IFERROR(INDEX(账户币种,MATCH($B1712,账户名,0)),""))</f>
        <v/>
      </c>
      <c r="E1712" s="47"/>
      <c r="F1712" s="12" t="str">
        <f>IF($E1712="","",IFERROR(INDEX(类别属性,MATCH($E1712,类别表,0)),""))</f>
        <v/>
      </c>
      <c r="G1712" s="48"/>
      <c r="H1712" s="48"/>
      <c r="I1712" s="49"/>
      <c r="J1712" s="24" t="str">
        <f>IF(OR($A1712="",$B1712=""),"",IF($I1712&lt;&gt;"",$I1712,IF($D1712=本位币,1,IFERROR(LOOKUP(2,1/((汇率月份&lt;=$A1712)*(INDEX(记账汇率区,0,MATCH($D1712,汇率币种头,0))&lt;&gt;"")),INDEX(记账汇率区,0,MATCH($D1712,汇率币种头,0))),""))))</f>
        <v/>
      </c>
      <c r="K1712" s="23" t="str">
        <f t="shared" si="52"/>
        <v/>
      </c>
      <c r="L1712" s="23" t="str">
        <f t="shared" si="53"/>
        <v/>
      </c>
      <c r="M1712" s="23" t="str">
        <f>IF($B1712="","",ROUND(SUMIF(账户名,$B1712,账户期初)+SUMIFS($K$6:K1712,$B$6:B1712,$B1712),2))</f>
        <v/>
      </c>
      <c r="N1712" s="23" t="str">
        <f>IF($B1712="","",IFERROR(ROUND(INDEX(账户期初本位,MATCH($B1712,账户名,0))+SUMIFS($L$6:L1712,$B$6:B1712,$B1712),2),""))</f>
        <v/>
      </c>
      <c r="O1712" s="46"/>
      <c r="P1712" s="47"/>
      <c r="Q1712" s="46"/>
      <c r="R1712" s="46"/>
      <c r="S1712" s="6" t="str">
        <f>IF($B1712="","",IF(ISNA(MATCH($B1712,账户名,0)),"※这个账户不在【参数设置】的账户档案里",IF($A1712="","※没填日期，这一笔不会进任何月份的报表",IF(AND($G1712&lt;&gt;"",$H1712&lt;&gt;""),"※收入和支出不能同时填",IF(AND(N($G1712)=0,N($H1712)=0),"※收入和支出都没填",IF($E1712="","※没填收支类别，分类报表会漏掉这一笔",IF(ISNA(MATCH($E1712,类别表,0)),"※收支类别不在【参数设置】的清单里",IF($J1712="","△"&amp;$D1712&amp;" 还没填汇率，去【月度汇率】补上就自动算了",IF(YEAR($A1712)&lt;&gt;管理年度,"△不是管理年度的单据，年报里看不到",IF(AND($F1712="内部转账",$Q1712=""),"△内部转账建议在「往来单位」写上对方账户",IF($M1712&lt;0,"△这一笔之后该账户余额成负数了，核一下","")))))))))))</f>
        <v/>
      </c>
    </row>
    <row r="1713" ht="16.5" spans="1:19">
      <c r="A1713" s="45"/>
      <c r="B1713" s="46"/>
      <c r="C1713" s="12" t="str">
        <f>IF($B1713="","",IFERROR(INDEX(账户银行,MATCH($B1713,账户名,0)),""))</f>
        <v/>
      </c>
      <c r="D1713" s="12" t="str">
        <f>IF($B1713="","",IFERROR(INDEX(账户币种,MATCH($B1713,账户名,0)),""))</f>
        <v/>
      </c>
      <c r="E1713" s="47"/>
      <c r="F1713" s="12" t="str">
        <f>IF($E1713="","",IFERROR(INDEX(类别属性,MATCH($E1713,类别表,0)),""))</f>
        <v/>
      </c>
      <c r="G1713" s="48"/>
      <c r="H1713" s="48"/>
      <c r="I1713" s="49"/>
      <c r="J1713" s="24" t="str">
        <f>IF(OR($A1713="",$B1713=""),"",IF($I1713&lt;&gt;"",$I1713,IF($D1713=本位币,1,IFERROR(LOOKUP(2,1/((汇率月份&lt;=$A1713)*(INDEX(记账汇率区,0,MATCH($D1713,汇率币种头,0))&lt;&gt;"")),INDEX(记账汇率区,0,MATCH($D1713,汇率币种头,0))),""))))</f>
        <v/>
      </c>
      <c r="K1713" s="23" t="str">
        <f t="shared" si="52"/>
        <v/>
      </c>
      <c r="L1713" s="23" t="str">
        <f t="shared" si="53"/>
        <v/>
      </c>
      <c r="M1713" s="23" t="str">
        <f>IF($B1713="","",ROUND(SUMIF(账户名,$B1713,账户期初)+SUMIFS($K$6:K1713,$B$6:B1713,$B1713),2))</f>
        <v/>
      </c>
      <c r="N1713" s="23" t="str">
        <f>IF($B1713="","",IFERROR(ROUND(INDEX(账户期初本位,MATCH($B1713,账户名,0))+SUMIFS($L$6:L1713,$B$6:B1713,$B1713),2),""))</f>
        <v/>
      </c>
      <c r="O1713" s="46"/>
      <c r="P1713" s="47"/>
      <c r="Q1713" s="46"/>
      <c r="R1713" s="46"/>
      <c r="S1713" s="6" t="str">
        <f>IF($B1713="","",IF(ISNA(MATCH($B1713,账户名,0)),"※这个账户不在【参数设置】的账户档案里",IF($A1713="","※没填日期，这一笔不会进任何月份的报表",IF(AND($G1713&lt;&gt;"",$H1713&lt;&gt;""),"※收入和支出不能同时填",IF(AND(N($G1713)=0,N($H1713)=0),"※收入和支出都没填",IF($E1713="","※没填收支类别，分类报表会漏掉这一笔",IF(ISNA(MATCH($E1713,类别表,0)),"※收支类别不在【参数设置】的清单里",IF($J1713="","△"&amp;$D1713&amp;" 还没填汇率，去【月度汇率】补上就自动算了",IF(YEAR($A1713)&lt;&gt;管理年度,"△不是管理年度的单据，年报里看不到",IF(AND($F1713="内部转账",$Q1713=""),"△内部转账建议在「往来单位」写上对方账户",IF($M1713&lt;0,"△这一笔之后该账户余额成负数了，核一下","")))))))))))</f>
        <v/>
      </c>
    </row>
    <row r="1714" ht="16.5" spans="1:19">
      <c r="A1714" s="45"/>
      <c r="B1714" s="46"/>
      <c r="C1714" s="12" t="str">
        <f>IF($B1714="","",IFERROR(INDEX(账户银行,MATCH($B1714,账户名,0)),""))</f>
        <v/>
      </c>
      <c r="D1714" s="12" t="str">
        <f>IF($B1714="","",IFERROR(INDEX(账户币种,MATCH($B1714,账户名,0)),""))</f>
        <v/>
      </c>
      <c r="E1714" s="47"/>
      <c r="F1714" s="12" t="str">
        <f>IF($E1714="","",IFERROR(INDEX(类别属性,MATCH($E1714,类别表,0)),""))</f>
        <v/>
      </c>
      <c r="G1714" s="48"/>
      <c r="H1714" s="48"/>
      <c r="I1714" s="49"/>
      <c r="J1714" s="24" t="str">
        <f>IF(OR($A1714="",$B1714=""),"",IF($I1714&lt;&gt;"",$I1714,IF($D1714=本位币,1,IFERROR(LOOKUP(2,1/((汇率月份&lt;=$A1714)*(INDEX(记账汇率区,0,MATCH($D1714,汇率币种头,0))&lt;&gt;"")),INDEX(记账汇率区,0,MATCH($D1714,汇率币种头,0))),""))))</f>
        <v/>
      </c>
      <c r="K1714" s="23" t="str">
        <f t="shared" si="52"/>
        <v/>
      </c>
      <c r="L1714" s="23" t="str">
        <f t="shared" si="53"/>
        <v/>
      </c>
      <c r="M1714" s="23" t="str">
        <f>IF($B1714="","",ROUND(SUMIF(账户名,$B1714,账户期初)+SUMIFS($K$6:K1714,$B$6:B1714,$B1714),2))</f>
        <v/>
      </c>
      <c r="N1714" s="23" t="str">
        <f>IF($B1714="","",IFERROR(ROUND(INDEX(账户期初本位,MATCH($B1714,账户名,0))+SUMIFS($L$6:L1714,$B$6:B1714,$B1714),2),""))</f>
        <v/>
      </c>
      <c r="O1714" s="46"/>
      <c r="P1714" s="47"/>
      <c r="Q1714" s="46"/>
      <c r="R1714" s="46"/>
      <c r="S1714" s="6" t="str">
        <f>IF($B1714="","",IF(ISNA(MATCH($B1714,账户名,0)),"※这个账户不在【参数设置】的账户档案里",IF($A1714="","※没填日期，这一笔不会进任何月份的报表",IF(AND($G1714&lt;&gt;"",$H1714&lt;&gt;""),"※收入和支出不能同时填",IF(AND(N($G1714)=0,N($H1714)=0),"※收入和支出都没填",IF($E1714="","※没填收支类别，分类报表会漏掉这一笔",IF(ISNA(MATCH($E1714,类别表,0)),"※收支类别不在【参数设置】的清单里",IF($J1714="","△"&amp;$D1714&amp;" 还没填汇率，去【月度汇率】补上就自动算了",IF(YEAR($A1714)&lt;&gt;管理年度,"△不是管理年度的单据，年报里看不到",IF(AND($F1714="内部转账",$Q1714=""),"△内部转账建议在「往来单位」写上对方账户",IF($M1714&lt;0,"△这一笔之后该账户余额成负数了，核一下","")))))))))))</f>
        <v/>
      </c>
    </row>
    <row r="1715" ht="16.5" spans="1:19">
      <c r="A1715" s="45"/>
      <c r="B1715" s="46"/>
      <c r="C1715" s="12" t="str">
        <f>IF($B1715="","",IFERROR(INDEX(账户银行,MATCH($B1715,账户名,0)),""))</f>
        <v/>
      </c>
      <c r="D1715" s="12" t="str">
        <f>IF($B1715="","",IFERROR(INDEX(账户币种,MATCH($B1715,账户名,0)),""))</f>
        <v/>
      </c>
      <c r="E1715" s="47"/>
      <c r="F1715" s="12" t="str">
        <f>IF($E1715="","",IFERROR(INDEX(类别属性,MATCH($E1715,类别表,0)),""))</f>
        <v/>
      </c>
      <c r="G1715" s="48"/>
      <c r="H1715" s="48"/>
      <c r="I1715" s="49"/>
      <c r="J1715" s="24" t="str">
        <f>IF(OR($A1715="",$B1715=""),"",IF($I1715&lt;&gt;"",$I1715,IF($D1715=本位币,1,IFERROR(LOOKUP(2,1/((汇率月份&lt;=$A1715)*(INDEX(记账汇率区,0,MATCH($D1715,汇率币种头,0))&lt;&gt;"")),INDEX(记账汇率区,0,MATCH($D1715,汇率币种头,0))),""))))</f>
        <v/>
      </c>
      <c r="K1715" s="23" t="str">
        <f t="shared" si="52"/>
        <v/>
      </c>
      <c r="L1715" s="23" t="str">
        <f t="shared" si="53"/>
        <v/>
      </c>
      <c r="M1715" s="23" t="str">
        <f>IF($B1715="","",ROUND(SUMIF(账户名,$B1715,账户期初)+SUMIFS($K$6:K1715,$B$6:B1715,$B1715),2))</f>
        <v/>
      </c>
      <c r="N1715" s="23" t="str">
        <f>IF($B1715="","",IFERROR(ROUND(INDEX(账户期初本位,MATCH($B1715,账户名,0))+SUMIFS($L$6:L1715,$B$6:B1715,$B1715),2),""))</f>
        <v/>
      </c>
      <c r="O1715" s="46"/>
      <c r="P1715" s="47"/>
      <c r="Q1715" s="46"/>
      <c r="R1715" s="46"/>
      <c r="S1715" s="6" t="str">
        <f>IF($B1715="","",IF(ISNA(MATCH($B1715,账户名,0)),"※这个账户不在【参数设置】的账户档案里",IF($A1715="","※没填日期，这一笔不会进任何月份的报表",IF(AND($G1715&lt;&gt;"",$H1715&lt;&gt;""),"※收入和支出不能同时填",IF(AND(N($G1715)=0,N($H1715)=0),"※收入和支出都没填",IF($E1715="","※没填收支类别，分类报表会漏掉这一笔",IF(ISNA(MATCH($E1715,类别表,0)),"※收支类别不在【参数设置】的清单里",IF($J1715="","△"&amp;$D1715&amp;" 还没填汇率，去【月度汇率】补上就自动算了",IF(YEAR($A1715)&lt;&gt;管理年度,"△不是管理年度的单据，年报里看不到",IF(AND($F1715="内部转账",$Q1715=""),"△内部转账建议在「往来单位」写上对方账户",IF($M1715&lt;0,"△这一笔之后该账户余额成负数了，核一下","")))))))))))</f>
        <v/>
      </c>
    </row>
    <row r="1716" ht="16.5" spans="1:19">
      <c r="A1716" s="45"/>
      <c r="B1716" s="46"/>
      <c r="C1716" s="12" t="str">
        <f>IF($B1716="","",IFERROR(INDEX(账户银行,MATCH($B1716,账户名,0)),""))</f>
        <v/>
      </c>
      <c r="D1716" s="12" t="str">
        <f>IF($B1716="","",IFERROR(INDEX(账户币种,MATCH($B1716,账户名,0)),""))</f>
        <v/>
      </c>
      <c r="E1716" s="47"/>
      <c r="F1716" s="12" t="str">
        <f>IF($E1716="","",IFERROR(INDEX(类别属性,MATCH($E1716,类别表,0)),""))</f>
        <v/>
      </c>
      <c r="G1716" s="48"/>
      <c r="H1716" s="48"/>
      <c r="I1716" s="49"/>
      <c r="J1716" s="24" t="str">
        <f>IF(OR($A1716="",$B1716=""),"",IF($I1716&lt;&gt;"",$I1716,IF($D1716=本位币,1,IFERROR(LOOKUP(2,1/((汇率月份&lt;=$A1716)*(INDEX(记账汇率区,0,MATCH($D1716,汇率币种头,0))&lt;&gt;"")),INDEX(记账汇率区,0,MATCH($D1716,汇率币种头,0))),""))))</f>
        <v/>
      </c>
      <c r="K1716" s="23" t="str">
        <f t="shared" si="52"/>
        <v/>
      </c>
      <c r="L1716" s="23" t="str">
        <f t="shared" si="53"/>
        <v/>
      </c>
      <c r="M1716" s="23" t="str">
        <f>IF($B1716="","",ROUND(SUMIF(账户名,$B1716,账户期初)+SUMIFS($K$6:K1716,$B$6:B1716,$B1716),2))</f>
        <v/>
      </c>
      <c r="N1716" s="23" t="str">
        <f>IF($B1716="","",IFERROR(ROUND(INDEX(账户期初本位,MATCH($B1716,账户名,0))+SUMIFS($L$6:L1716,$B$6:B1716,$B1716),2),""))</f>
        <v/>
      </c>
      <c r="O1716" s="46"/>
      <c r="P1716" s="47"/>
      <c r="Q1716" s="46"/>
      <c r="R1716" s="46"/>
      <c r="S1716" s="6" t="str">
        <f>IF($B1716="","",IF(ISNA(MATCH($B1716,账户名,0)),"※这个账户不在【参数设置】的账户档案里",IF($A1716="","※没填日期，这一笔不会进任何月份的报表",IF(AND($G1716&lt;&gt;"",$H1716&lt;&gt;""),"※收入和支出不能同时填",IF(AND(N($G1716)=0,N($H1716)=0),"※收入和支出都没填",IF($E1716="","※没填收支类别，分类报表会漏掉这一笔",IF(ISNA(MATCH($E1716,类别表,0)),"※收支类别不在【参数设置】的清单里",IF($J1716="","△"&amp;$D1716&amp;" 还没填汇率，去【月度汇率】补上就自动算了",IF(YEAR($A1716)&lt;&gt;管理年度,"△不是管理年度的单据，年报里看不到",IF(AND($F1716="内部转账",$Q1716=""),"△内部转账建议在「往来单位」写上对方账户",IF($M1716&lt;0,"△这一笔之后该账户余额成负数了，核一下","")))))))))))</f>
        <v/>
      </c>
    </row>
    <row r="1717" ht="16.5" spans="1:19">
      <c r="A1717" s="45"/>
      <c r="B1717" s="46"/>
      <c r="C1717" s="12" t="str">
        <f>IF($B1717="","",IFERROR(INDEX(账户银行,MATCH($B1717,账户名,0)),""))</f>
        <v/>
      </c>
      <c r="D1717" s="12" t="str">
        <f>IF($B1717="","",IFERROR(INDEX(账户币种,MATCH($B1717,账户名,0)),""))</f>
        <v/>
      </c>
      <c r="E1717" s="47"/>
      <c r="F1717" s="12" t="str">
        <f>IF($E1717="","",IFERROR(INDEX(类别属性,MATCH($E1717,类别表,0)),""))</f>
        <v/>
      </c>
      <c r="G1717" s="48"/>
      <c r="H1717" s="48"/>
      <c r="I1717" s="49"/>
      <c r="J1717" s="24" t="str">
        <f>IF(OR($A1717="",$B1717=""),"",IF($I1717&lt;&gt;"",$I1717,IF($D1717=本位币,1,IFERROR(LOOKUP(2,1/((汇率月份&lt;=$A1717)*(INDEX(记账汇率区,0,MATCH($D1717,汇率币种头,0))&lt;&gt;"")),INDEX(记账汇率区,0,MATCH($D1717,汇率币种头,0))),""))))</f>
        <v/>
      </c>
      <c r="K1717" s="23" t="str">
        <f t="shared" si="52"/>
        <v/>
      </c>
      <c r="L1717" s="23" t="str">
        <f t="shared" si="53"/>
        <v/>
      </c>
      <c r="M1717" s="23" t="str">
        <f>IF($B1717="","",ROUND(SUMIF(账户名,$B1717,账户期初)+SUMIFS($K$6:K1717,$B$6:B1717,$B1717),2))</f>
        <v/>
      </c>
      <c r="N1717" s="23" t="str">
        <f>IF($B1717="","",IFERROR(ROUND(INDEX(账户期初本位,MATCH($B1717,账户名,0))+SUMIFS($L$6:L1717,$B$6:B1717,$B1717),2),""))</f>
        <v/>
      </c>
      <c r="O1717" s="46"/>
      <c r="P1717" s="47"/>
      <c r="Q1717" s="46"/>
      <c r="R1717" s="46"/>
      <c r="S1717" s="6" t="str">
        <f>IF($B1717="","",IF(ISNA(MATCH($B1717,账户名,0)),"※这个账户不在【参数设置】的账户档案里",IF($A1717="","※没填日期，这一笔不会进任何月份的报表",IF(AND($G1717&lt;&gt;"",$H1717&lt;&gt;""),"※收入和支出不能同时填",IF(AND(N($G1717)=0,N($H1717)=0),"※收入和支出都没填",IF($E1717="","※没填收支类别，分类报表会漏掉这一笔",IF(ISNA(MATCH($E1717,类别表,0)),"※收支类别不在【参数设置】的清单里",IF($J1717="","△"&amp;$D1717&amp;" 还没填汇率，去【月度汇率】补上就自动算了",IF(YEAR($A1717)&lt;&gt;管理年度,"△不是管理年度的单据，年报里看不到",IF(AND($F1717="内部转账",$Q1717=""),"△内部转账建议在「往来单位」写上对方账户",IF($M1717&lt;0,"△这一笔之后该账户余额成负数了，核一下","")))))))))))</f>
        <v/>
      </c>
    </row>
    <row r="1718" ht="16.5" spans="1:19">
      <c r="A1718" s="45"/>
      <c r="B1718" s="46"/>
      <c r="C1718" s="12" t="str">
        <f>IF($B1718="","",IFERROR(INDEX(账户银行,MATCH($B1718,账户名,0)),""))</f>
        <v/>
      </c>
      <c r="D1718" s="12" t="str">
        <f>IF($B1718="","",IFERROR(INDEX(账户币种,MATCH($B1718,账户名,0)),""))</f>
        <v/>
      </c>
      <c r="E1718" s="47"/>
      <c r="F1718" s="12" t="str">
        <f>IF($E1718="","",IFERROR(INDEX(类别属性,MATCH($E1718,类别表,0)),""))</f>
        <v/>
      </c>
      <c r="G1718" s="48"/>
      <c r="H1718" s="48"/>
      <c r="I1718" s="49"/>
      <c r="J1718" s="24" t="str">
        <f>IF(OR($A1718="",$B1718=""),"",IF($I1718&lt;&gt;"",$I1718,IF($D1718=本位币,1,IFERROR(LOOKUP(2,1/((汇率月份&lt;=$A1718)*(INDEX(记账汇率区,0,MATCH($D1718,汇率币种头,0))&lt;&gt;"")),INDEX(记账汇率区,0,MATCH($D1718,汇率币种头,0))),""))))</f>
        <v/>
      </c>
      <c r="K1718" s="23" t="str">
        <f t="shared" si="52"/>
        <v/>
      </c>
      <c r="L1718" s="23" t="str">
        <f t="shared" si="53"/>
        <v/>
      </c>
      <c r="M1718" s="23" t="str">
        <f>IF($B1718="","",ROUND(SUMIF(账户名,$B1718,账户期初)+SUMIFS($K$6:K1718,$B$6:B1718,$B1718),2))</f>
        <v/>
      </c>
      <c r="N1718" s="23" t="str">
        <f>IF($B1718="","",IFERROR(ROUND(INDEX(账户期初本位,MATCH($B1718,账户名,0))+SUMIFS($L$6:L1718,$B$6:B1718,$B1718),2),""))</f>
        <v/>
      </c>
      <c r="O1718" s="46"/>
      <c r="P1718" s="47"/>
      <c r="Q1718" s="46"/>
      <c r="R1718" s="46"/>
      <c r="S1718" s="6" t="str">
        <f>IF($B1718="","",IF(ISNA(MATCH($B1718,账户名,0)),"※这个账户不在【参数设置】的账户档案里",IF($A1718="","※没填日期，这一笔不会进任何月份的报表",IF(AND($G1718&lt;&gt;"",$H1718&lt;&gt;""),"※收入和支出不能同时填",IF(AND(N($G1718)=0,N($H1718)=0),"※收入和支出都没填",IF($E1718="","※没填收支类别，分类报表会漏掉这一笔",IF(ISNA(MATCH($E1718,类别表,0)),"※收支类别不在【参数设置】的清单里",IF($J1718="","△"&amp;$D1718&amp;" 还没填汇率，去【月度汇率】补上就自动算了",IF(YEAR($A1718)&lt;&gt;管理年度,"△不是管理年度的单据，年报里看不到",IF(AND($F1718="内部转账",$Q1718=""),"△内部转账建议在「往来单位」写上对方账户",IF($M1718&lt;0,"△这一笔之后该账户余额成负数了，核一下","")))))))))))</f>
        <v/>
      </c>
    </row>
    <row r="1719" ht="16.5" spans="1:19">
      <c r="A1719" s="45"/>
      <c r="B1719" s="46"/>
      <c r="C1719" s="12" t="str">
        <f>IF($B1719="","",IFERROR(INDEX(账户银行,MATCH($B1719,账户名,0)),""))</f>
        <v/>
      </c>
      <c r="D1719" s="12" t="str">
        <f>IF($B1719="","",IFERROR(INDEX(账户币种,MATCH($B1719,账户名,0)),""))</f>
        <v/>
      </c>
      <c r="E1719" s="47"/>
      <c r="F1719" s="12" t="str">
        <f>IF($E1719="","",IFERROR(INDEX(类别属性,MATCH($E1719,类别表,0)),""))</f>
        <v/>
      </c>
      <c r="G1719" s="48"/>
      <c r="H1719" s="48"/>
      <c r="I1719" s="49"/>
      <c r="J1719" s="24" t="str">
        <f>IF(OR($A1719="",$B1719=""),"",IF($I1719&lt;&gt;"",$I1719,IF($D1719=本位币,1,IFERROR(LOOKUP(2,1/((汇率月份&lt;=$A1719)*(INDEX(记账汇率区,0,MATCH($D1719,汇率币种头,0))&lt;&gt;"")),INDEX(记账汇率区,0,MATCH($D1719,汇率币种头,0))),""))))</f>
        <v/>
      </c>
      <c r="K1719" s="23" t="str">
        <f t="shared" si="52"/>
        <v/>
      </c>
      <c r="L1719" s="23" t="str">
        <f t="shared" si="53"/>
        <v/>
      </c>
      <c r="M1719" s="23" t="str">
        <f>IF($B1719="","",ROUND(SUMIF(账户名,$B1719,账户期初)+SUMIFS($K$6:K1719,$B$6:B1719,$B1719),2))</f>
        <v/>
      </c>
      <c r="N1719" s="23" t="str">
        <f>IF($B1719="","",IFERROR(ROUND(INDEX(账户期初本位,MATCH($B1719,账户名,0))+SUMIFS($L$6:L1719,$B$6:B1719,$B1719),2),""))</f>
        <v/>
      </c>
      <c r="O1719" s="46"/>
      <c r="P1719" s="47"/>
      <c r="Q1719" s="46"/>
      <c r="R1719" s="46"/>
      <c r="S1719" s="6" t="str">
        <f>IF($B1719="","",IF(ISNA(MATCH($B1719,账户名,0)),"※这个账户不在【参数设置】的账户档案里",IF($A1719="","※没填日期，这一笔不会进任何月份的报表",IF(AND($G1719&lt;&gt;"",$H1719&lt;&gt;""),"※收入和支出不能同时填",IF(AND(N($G1719)=0,N($H1719)=0),"※收入和支出都没填",IF($E1719="","※没填收支类别，分类报表会漏掉这一笔",IF(ISNA(MATCH($E1719,类别表,0)),"※收支类别不在【参数设置】的清单里",IF($J1719="","△"&amp;$D1719&amp;" 还没填汇率，去【月度汇率】补上就自动算了",IF(YEAR($A1719)&lt;&gt;管理年度,"△不是管理年度的单据，年报里看不到",IF(AND($F1719="内部转账",$Q1719=""),"△内部转账建议在「往来单位」写上对方账户",IF($M1719&lt;0,"△这一笔之后该账户余额成负数了，核一下","")))))))))))</f>
        <v/>
      </c>
    </row>
    <row r="1720" ht="16.5" spans="1:19">
      <c r="A1720" s="45"/>
      <c r="B1720" s="46"/>
      <c r="C1720" s="12" t="str">
        <f>IF($B1720="","",IFERROR(INDEX(账户银行,MATCH($B1720,账户名,0)),""))</f>
        <v/>
      </c>
      <c r="D1720" s="12" t="str">
        <f>IF($B1720="","",IFERROR(INDEX(账户币种,MATCH($B1720,账户名,0)),""))</f>
        <v/>
      </c>
      <c r="E1720" s="47"/>
      <c r="F1720" s="12" t="str">
        <f>IF($E1720="","",IFERROR(INDEX(类别属性,MATCH($E1720,类别表,0)),""))</f>
        <v/>
      </c>
      <c r="G1720" s="48"/>
      <c r="H1720" s="48"/>
      <c r="I1720" s="49"/>
      <c r="J1720" s="24" t="str">
        <f>IF(OR($A1720="",$B1720=""),"",IF($I1720&lt;&gt;"",$I1720,IF($D1720=本位币,1,IFERROR(LOOKUP(2,1/((汇率月份&lt;=$A1720)*(INDEX(记账汇率区,0,MATCH($D1720,汇率币种头,0))&lt;&gt;"")),INDEX(记账汇率区,0,MATCH($D1720,汇率币种头,0))),""))))</f>
        <v/>
      </c>
      <c r="K1720" s="23" t="str">
        <f t="shared" si="52"/>
        <v/>
      </c>
      <c r="L1720" s="23" t="str">
        <f t="shared" si="53"/>
        <v/>
      </c>
      <c r="M1720" s="23" t="str">
        <f>IF($B1720="","",ROUND(SUMIF(账户名,$B1720,账户期初)+SUMIFS($K$6:K1720,$B$6:B1720,$B1720),2))</f>
        <v/>
      </c>
      <c r="N1720" s="23" t="str">
        <f>IF($B1720="","",IFERROR(ROUND(INDEX(账户期初本位,MATCH($B1720,账户名,0))+SUMIFS($L$6:L1720,$B$6:B1720,$B1720),2),""))</f>
        <v/>
      </c>
      <c r="O1720" s="46"/>
      <c r="P1720" s="47"/>
      <c r="Q1720" s="46"/>
      <c r="R1720" s="46"/>
      <c r="S1720" s="6" t="str">
        <f>IF($B1720="","",IF(ISNA(MATCH($B1720,账户名,0)),"※这个账户不在【参数设置】的账户档案里",IF($A1720="","※没填日期，这一笔不会进任何月份的报表",IF(AND($G1720&lt;&gt;"",$H1720&lt;&gt;""),"※收入和支出不能同时填",IF(AND(N($G1720)=0,N($H1720)=0),"※收入和支出都没填",IF($E1720="","※没填收支类别，分类报表会漏掉这一笔",IF(ISNA(MATCH($E1720,类别表,0)),"※收支类别不在【参数设置】的清单里",IF($J1720="","△"&amp;$D1720&amp;" 还没填汇率，去【月度汇率】补上就自动算了",IF(YEAR($A1720)&lt;&gt;管理年度,"△不是管理年度的单据，年报里看不到",IF(AND($F1720="内部转账",$Q1720=""),"△内部转账建议在「往来单位」写上对方账户",IF($M1720&lt;0,"△这一笔之后该账户余额成负数了，核一下","")))))))))))</f>
        <v/>
      </c>
    </row>
    <row r="1721" ht="16.5" spans="1:19">
      <c r="A1721" s="45"/>
      <c r="B1721" s="46"/>
      <c r="C1721" s="12" t="str">
        <f>IF($B1721="","",IFERROR(INDEX(账户银行,MATCH($B1721,账户名,0)),""))</f>
        <v/>
      </c>
      <c r="D1721" s="12" t="str">
        <f>IF($B1721="","",IFERROR(INDEX(账户币种,MATCH($B1721,账户名,0)),""))</f>
        <v/>
      </c>
      <c r="E1721" s="47"/>
      <c r="F1721" s="12" t="str">
        <f>IF($E1721="","",IFERROR(INDEX(类别属性,MATCH($E1721,类别表,0)),""))</f>
        <v/>
      </c>
      <c r="G1721" s="48"/>
      <c r="H1721" s="48"/>
      <c r="I1721" s="49"/>
      <c r="J1721" s="24" t="str">
        <f>IF(OR($A1721="",$B1721=""),"",IF($I1721&lt;&gt;"",$I1721,IF($D1721=本位币,1,IFERROR(LOOKUP(2,1/((汇率月份&lt;=$A1721)*(INDEX(记账汇率区,0,MATCH($D1721,汇率币种头,0))&lt;&gt;"")),INDEX(记账汇率区,0,MATCH($D1721,汇率币种头,0))),""))))</f>
        <v/>
      </c>
      <c r="K1721" s="23" t="str">
        <f t="shared" si="52"/>
        <v/>
      </c>
      <c r="L1721" s="23" t="str">
        <f t="shared" si="53"/>
        <v/>
      </c>
      <c r="M1721" s="23" t="str">
        <f>IF($B1721="","",ROUND(SUMIF(账户名,$B1721,账户期初)+SUMIFS($K$6:K1721,$B$6:B1721,$B1721),2))</f>
        <v/>
      </c>
      <c r="N1721" s="23" t="str">
        <f>IF($B1721="","",IFERROR(ROUND(INDEX(账户期初本位,MATCH($B1721,账户名,0))+SUMIFS($L$6:L1721,$B$6:B1721,$B1721),2),""))</f>
        <v/>
      </c>
      <c r="O1721" s="46"/>
      <c r="P1721" s="47"/>
      <c r="Q1721" s="46"/>
      <c r="R1721" s="46"/>
      <c r="S1721" s="6" t="str">
        <f>IF($B1721="","",IF(ISNA(MATCH($B1721,账户名,0)),"※这个账户不在【参数设置】的账户档案里",IF($A1721="","※没填日期，这一笔不会进任何月份的报表",IF(AND($G1721&lt;&gt;"",$H1721&lt;&gt;""),"※收入和支出不能同时填",IF(AND(N($G1721)=0,N($H1721)=0),"※收入和支出都没填",IF($E1721="","※没填收支类别，分类报表会漏掉这一笔",IF(ISNA(MATCH($E1721,类别表,0)),"※收支类别不在【参数设置】的清单里",IF($J1721="","△"&amp;$D1721&amp;" 还没填汇率，去【月度汇率】补上就自动算了",IF(YEAR($A1721)&lt;&gt;管理年度,"△不是管理年度的单据，年报里看不到",IF(AND($F1721="内部转账",$Q1721=""),"△内部转账建议在「往来单位」写上对方账户",IF($M1721&lt;0,"△这一笔之后该账户余额成负数了，核一下","")))))))))))</f>
        <v/>
      </c>
    </row>
    <row r="1722" ht="16.5" spans="1:19">
      <c r="A1722" s="45"/>
      <c r="B1722" s="46"/>
      <c r="C1722" s="12" t="str">
        <f>IF($B1722="","",IFERROR(INDEX(账户银行,MATCH($B1722,账户名,0)),""))</f>
        <v/>
      </c>
      <c r="D1722" s="12" t="str">
        <f>IF($B1722="","",IFERROR(INDEX(账户币种,MATCH($B1722,账户名,0)),""))</f>
        <v/>
      </c>
      <c r="E1722" s="47"/>
      <c r="F1722" s="12" t="str">
        <f>IF($E1722="","",IFERROR(INDEX(类别属性,MATCH($E1722,类别表,0)),""))</f>
        <v/>
      </c>
      <c r="G1722" s="48"/>
      <c r="H1722" s="48"/>
      <c r="I1722" s="49"/>
      <c r="J1722" s="24" t="str">
        <f>IF(OR($A1722="",$B1722=""),"",IF($I1722&lt;&gt;"",$I1722,IF($D1722=本位币,1,IFERROR(LOOKUP(2,1/((汇率月份&lt;=$A1722)*(INDEX(记账汇率区,0,MATCH($D1722,汇率币种头,0))&lt;&gt;"")),INDEX(记账汇率区,0,MATCH($D1722,汇率币种头,0))),""))))</f>
        <v/>
      </c>
      <c r="K1722" s="23" t="str">
        <f t="shared" si="52"/>
        <v/>
      </c>
      <c r="L1722" s="23" t="str">
        <f t="shared" si="53"/>
        <v/>
      </c>
      <c r="M1722" s="23" t="str">
        <f>IF($B1722="","",ROUND(SUMIF(账户名,$B1722,账户期初)+SUMIFS($K$6:K1722,$B$6:B1722,$B1722),2))</f>
        <v/>
      </c>
      <c r="N1722" s="23" t="str">
        <f>IF($B1722="","",IFERROR(ROUND(INDEX(账户期初本位,MATCH($B1722,账户名,0))+SUMIFS($L$6:L1722,$B$6:B1722,$B1722),2),""))</f>
        <v/>
      </c>
      <c r="O1722" s="46"/>
      <c r="P1722" s="47"/>
      <c r="Q1722" s="46"/>
      <c r="R1722" s="46"/>
      <c r="S1722" s="6" t="str">
        <f>IF($B1722="","",IF(ISNA(MATCH($B1722,账户名,0)),"※这个账户不在【参数设置】的账户档案里",IF($A1722="","※没填日期，这一笔不会进任何月份的报表",IF(AND($G1722&lt;&gt;"",$H1722&lt;&gt;""),"※收入和支出不能同时填",IF(AND(N($G1722)=0,N($H1722)=0),"※收入和支出都没填",IF($E1722="","※没填收支类别，分类报表会漏掉这一笔",IF(ISNA(MATCH($E1722,类别表,0)),"※收支类别不在【参数设置】的清单里",IF($J1722="","△"&amp;$D1722&amp;" 还没填汇率，去【月度汇率】补上就自动算了",IF(YEAR($A1722)&lt;&gt;管理年度,"△不是管理年度的单据，年报里看不到",IF(AND($F1722="内部转账",$Q1722=""),"△内部转账建议在「往来单位」写上对方账户",IF($M1722&lt;0,"△这一笔之后该账户余额成负数了，核一下","")))))))))))</f>
        <v/>
      </c>
    </row>
    <row r="1723" ht="16.5" spans="1:19">
      <c r="A1723" s="45"/>
      <c r="B1723" s="46"/>
      <c r="C1723" s="12" t="str">
        <f>IF($B1723="","",IFERROR(INDEX(账户银行,MATCH($B1723,账户名,0)),""))</f>
        <v/>
      </c>
      <c r="D1723" s="12" t="str">
        <f>IF($B1723="","",IFERROR(INDEX(账户币种,MATCH($B1723,账户名,0)),""))</f>
        <v/>
      </c>
      <c r="E1723" s="47"/>
      <c r="F1723" s="12" t="str">
        <f>IF($E1723="","",IFERROR(INDEX(类别属性,MATCH($E1723,类别表,0)),""))</f>
        <v/>
      </c>
      <c r="G1723" s="48"/>
      <c r="H1723" s="48"/>
      <c r="I1723" s="49"/>
      <c r="J1723" s="24" t="str">
        <f>IF(OR($A1723="",$B1723=""),"",IF($I1723&lt;&gt;"",$I1723,IF($D1723=本位币,1,IFERROR(LOOKUP(2,1/((汇率月份&lt;=$A1723)*(INDEX(记账汇率区,0,MATCH($D1723,汇率币种头,0))&lt;&gt;"")),INDEX(记账汇率区,0,MATCH($D1723,汇率币种头,0))),""))))</f>
        <v/>
      </c>
      <c r="K1723" s="23" t="str">
        <f t="shared" si="52"/>
        <v/>
      </c>
      <c r="L1723" s="23" t="str">
        <f t="shared" si="53"/>
        <v/>
      </c>
      <c r="M1723" s="23" t="str">
        <f>IF($B1723="","",ROUND(SUMIF(账户名,$B1723,账户期初)+SUMIFS($K$6:K1723,$B$6:B1723,$B1723),2))</f>
        <v/>
      </c>
      <c r="N1723" s="23" t="str">
        <f>IF($B1723="","",IFERROR(ROUND(INDEX(账户期初本位,MATCH($B1723,账户名,0))+SUMIFS($L$6:L1723,$B$6:B1723,$B1723),2),""))</f>
        <v/>
      </c>
      <c r="O1723" s="46"/>
      <c r="P1723" s="47"/>
      <c r="Q1723" s="46"/>
      <c r="R1723" s="46"/>
      <c r="S1723" s="6" t="str">
        <f>IF($B1723="","",IF(ISNA(MATCH($B1723,账户名,0)),"※这个账户不在【参数设置】的账户档案里",IF($A1723="","※没填日期，这一笔不会进任何月份的报表",IF(AND($G1723&lt;&gt;"",$H1723&lt;&gt;""),"※收入和支出不能同时填",IF(AND(N($G1723)=0,N($H1723)=0),"※收入和支出都没填",IF($E1723="","※没填收支类别，分类报表会漏掉这一笔",IF(ISNA(MATCH($E1723,类别表,0)),"※收支类别不在【参数设置】的清单里",IF($J1723="","△"&amp;$D1723&amp;" 还没填汇率，去【月度汇率】补上就自动算了",IF(YEAR($A1723)&lt;&gt;管理年度,"△不是管理年度的单据，年报里看不到",IF(AND($F1723="内部转账",$Q1723=""),"△内部转账建议在「往来单位」写上对方账户",IF($M1723&lt;0,"△这一笔之后该账户余额成负数了，核一下","")))))))))))</f>
        <v/>
      </c>
    </row>
    <row r="1724" ht="16.5" spans="1:19">
      <c r="A1724" s="45"/>
      <c r="B1724" s="46"/>
      <c r="C1724" s="12" t="str">
        <f>IF($B1724="","",IFERROR(INDEX(账户银行,MATCH($B1724,账户名,0)),""))</f>
        <v/>
      </c>
      <c r="D1724" s="12" t="str">
        <f>IF($B1724="","",IFERROR(INDEX(账户币种,MATCH($B1724,账户名,0)),""))</f>
        <v/>
      </c>
      <c r="E1724" s="47"/>
      <c r="F1724" s="12" t="str">
        <f>IF($E1724="","",IFERROR(INDEX(类别属性,MATCH($E1724,类别表,0)),""))</f>
        <v/>
      </c>
      <c r="G1724" s="48"/>
      <c r="H1724" s="48"/>
      <c r="I1724" s="49"/>
      <c r="J1724" s="24" t="str">
        <f>IF(OR($A1724="",$B1724=""),"",IF($I1724&lt;&gt;"",$I1724,IF($D1724=本位币,1,IFERROR(LOOKUP(2,1/((汇率月份&lt;=$A1724)*(INDEX(记账汇率区,0,MATCH($D1724,汇率币种头,0))&lt;&gt;"")),INDEX(记账汇率区,0,MATCH($D1724,汇率币种头,0))),""))))</f>
        <v/>
      </c>
      <c r="K1724" s="23" t="str">
        <f t="shared" si="52"/>
        <v/>
      </c>
      <c r="L1724" s="23" t="str">
        <f t="shared" si="53"/>
        <v/>
      </c>
      <c r="M1724" s="23" t="str">
        <f>IF($B1724="","",ROUND(SUMIF(账户名,$B1724,账户期初)+SUMIFS($K$6:K1724,$B$6:B1724,$B1724),2))</f>
        <v/>
      </c>
      <c r="N1724" s="23" t="str">
        <f>IF($B1724="","",IFERROR(ROUND(INDEX(账户期初本位,MATCH($B1724,账户名,0))+SUMIFS($L$6:L1724,$B$6:B1724,$B1724),2),""))</f>
        <v/>
      </c>
      <c r="O1724" s="46"/>
      <c r="P1724" s="47"/>
      <c r="Q1724" s="46"/>
      <c r="R1724" s="46"/>
      <c r="S1724" s="6" t="str">
        <f>IF($B1724="","",IF(ISNA(MATCH($B1724,账户名,0)),"※这个账户不在【参数设置】的账户档案里",IF($A1724="","※没填日期，这一笔不会进任何月份的报表",IF(AND($G1724&lt;&gt;"",$H1724&lt;&gt;""),"※收入和支出不能同时填",IF(AND(N($G1724)=0,N($H1724)=0),"※收入和支出都没填",IF($E1724="","※没填收支类别，分类报表会漏掉这一笔",IF(ISNA(MATCH($E1724,类别表,0)),"※收支类别不在【参数设置】的清单里",IF($J1724="","△"&amp;$D1724&amp;" 还没填汇率，去【月度汇率】补上就自动算了",IF(YEAR($A1724)&lt;&gt;管理年度,"△不是管理年度的单据，年报里看不到",IF(AND($F1724="内部转账",$Q1724=""),"△内部转账建议在「往来单位」写上对方账户",IF($M1724&lt;0,"△这一笔之后该账户余额成负数了，核一下","")))))))))))</f>
        <v/>
      </c>
    </row>
    <row r="1725" ht="16.5" spans="1:19">
      <c r="A1725" s="45"/>
      <c r="B1725" s="46"/>
      <c r="C1725" s="12" t="str">
        <f>IF($B1725="","",IFERROR(INDEX(账户银行,MATCH($B1725,账户名,0)),""))</f>
        <v/>
      </c>
      <c r="D1725" s="12" t="str">
        <f>IF($B1725="","",IFERROR(INDEX(账户币种,MATCH($B1725,账户名,0)),""))</f>
        <v/>
      </c>
      <c r="E1725" s="47"/>
      <c r="F1725" s="12" t="str">
        <f>IF($E1725="","",IFERROR(INDEX(类别属性,MATCH($E1725,类别表,0)),""))</f>
        <v/>
      </c>
      <c r="G1725" s="48"/>
      <c r="H1725" s="48"/>
      <c r="I1725" s="49"/>
      <c r="J1725" s="24" t="str">
        <f>IF(OR($A1725="",$B1725=""),"",IF($I1725&lt;&gt;"",$I1725,IF($D1725=本位币,1,IFERROR(LOOKUP(2,1/((汇率月份&lt;=$A1725)*(INDEX(记账汇率区,0,MATCH($D1725,汇率币种头,0))&lt;&gt;"")),INDEX(记账汇率区,0,MATCH($D1725,汇率币种头,0))),""))))</f>
        <v/>
      </c>
      <c r="K1725" s="23" t="str">
        <f t="shared" si="52"/>
        <v/>
      </c>
      <c r="L1725" s="23" t="str">
        <f t="shared" si="53"/>
        <v/>
      </c>
      <c r="M1725" s="23" t="str">
        <f>IF($B1725="","",ROUND(SUMIF(账户名,$B1725,账户期初)+SUMIFS($K$6:K1725,$B$6:B1725,$B1725),2))</f>
        <v/>
      </c>
      <c r="N1725" s="23" t="str">
        <f>IF($B1725="","",IFERROR(ROUND(INDEX(账户期初本位,MATCH($B1725,账户名,0))+SUMIFS($L$6:L1725,$B$6:B1725,$B1725),2),""))</f>
        <v/>
      </c>
      <c r="O1725" s="46"/>
      <c r="P1725" s="47"/>
      <c r="Q1725" s="46"/>
      <c r="R1725" s="46"/>
      <c r="S1725" s="6" t="str">
        <f>IF($B1725="","",IF(ISNA(MATCH($B1725,账户名,0)),"※这个账户不在【参数设置】的账户档案里",IF($A1725="","※没填日期，这一笔不会进任何月份的报表",IF(AND($G1725&lt;&gt;"",$H1725&lt;&gt;""),"※收入和支出不能同时填",IF(AND(N($G1725)=0,N($H1725)=0),"※收入和支出都没填",IF($E1725="","※没填收支类别，分类报表会漏掉这一笔",IF(ISNA(MATCH($E1725,类别表,0)),"※收支类别不在【参数设置】的清单里",IF($J1725="","△"&amp;$D1725&amp;" 还没填汇率，去【月度汇率】补上就自动算了",IF(YEAR($A1725)&lt;&gt;管理年度,"△不是管理年度的单据，年报里看不到",IF(AND($F1725="内部转账",$Q1725=""),"△内部转账建议在「往来单位」写上对方账户",IF($M1725&lt;0,"△这一笔之后该账户余额成负数了，核一下","")))))))))))</f>
        <v/>
      </c>
    </row>
    <row r="1726" ht="16.5" spans="1:19">
      <c r="A1726" s="45"/>
      <c r="B1726" s="46"/>
      <c r="C1726" s="12" t="str">
        <f>IF($B1726="","",IFERROR(INDEX(账户银行,MATCH($B1726,账户名,0)),""))</f>
        <v/>
      </c>
      <c r="D1726" s="12" t="str">
        <f>IF($B1726="","",IFERROR(INDEX(账户币种,MATCH($B1726,账户名,0)),""))</f>
        <v/>
      </c>
      <c r="E1726" s="47"/>
      <c r="F1726" s="12" t="str">
        <f>IF($E1726="","",IFERROR(INDEX(类别属性,MATCH($E1726,类别表,0)),""))</f>
        <v/>
      </c>
      <c r="G1726" s="48"/>
      <c r="H1726" s="48"/>
      <c r="I1726" s="49"/>
      <c r="J1726" s="24" t="str">
        <f>IF(OR($A1726="",$B1726=""),"",IF($I1726&lt;&gt;"",$I1726,IF($D1726=本位币,1,IFERROR(LOOKUP(2,1/((汇率月份&lt;=$A1726)*(INDEX(记账汇率区,0,MATCH($D1726,汇率币种头,0))&lt;&gt;"")),INDEX(记账汇率区,0,MATCH($D1726,汇率币种头,0))),""))))</f>
        <v/>
      </c>
      <c r="K1726" s="23" t="str">
        <f t="shared" si="52"/>
        <v/>
      </c>
      <c r="L1726" s="23" t="str">
        <f t="shared" si="53"/>
        <v/>
      </c>
      <c r="M1726" s="23" t="str">
        <f>IF($B1726="","",ROUND(SUMIF(账户名,$B1726,账户期初)+SUMIFS($K$6:K1726,$B$6:B1726,$B1726),2))</f>
        <v/>
      </c>
      <c r="N1726" s="23" t="str">
        <f>IF($B1726="","",IFERROR(ROUND(INDEX(账户期初本位,MATCH($B1726,账户名,0))+SUMIFS($L$6:L1726,$B$6:B1726,$B1726),2),""))</f>
        <v/>
      </c>
      <c r="O1726" s="46"/>
      <c r="P1726" s="47"/>
      <c r="Q1726" s="46"/>
      <c r="R1726" s="46"/>
      <c r="S1726" s="6" t="str">
        <f>IF($B1726="","",IF(ISNA(MATCH($B1726,账户名,0)),"※这个账户不在【参数设置】的账户档案里",IF($A1726="","※没填日期，这一笔不会进任何月份的报表",IF(AND($G1726&lt;&gt;"",$H1726&lt;&gt;""),"※收入和支出不能同时填",IF(AND(N($G1726)=0,N($H1726)=0),"※收入和支出都没填",IF($E1726="","※没填收支类别，分类报表会漏掉这一笔",IF(ISNA(MATCH($E1726,类别表,0)),"※收支类别不在【参数设置】的清单里",IF($J1726="","△"&amp;$D1726&amp;" 还没填汇率，去【月度汇率】补上就自动算了",IF(YEAR($A1726)&lt;&gt;管理年度,"△不是管理年度的单据，年报里看不到",IF(AND($F1726="内部转账",$Q1726=""),"△内部转账建议在「往来单位」写上对方账户",IF($M1726&lt;0,"△这一笔之后该账户余额成负数了，核一下","")))))))))))</f>
        <v/>
      </c>
    </row>
    <row r="1727" ht="16.5" spans="1:19">
      <c r="A1727" s="45"/>
      <c r="B1727" s="46"/>
      <c r="C1727" s="12" t="str">
        <f>IF($B1727="","",IFERROR(INDEX(账户银行,MATCH($B1727,账户名,0)),""))</f>
        <v/>
      </c>
      <c r="D1727" s="12" t="str">
        <f>IF($B1727="","",IFERROR(INDEX(账户币种,MATCH($B1727,账户名,0)),""))</f>
        <v/>
      </c>
      <c r="E1727" s="47"/>
      <c r="F1727" s="12" t="str">
        <f>IF($E1727="","",IFERROR(INDEX(类别属性,MATCH($E1727,类别表,0)),""))</f>
        <v/>
      </c>
      <c r="G1727" s="48"/>
      <c r="H1727" s="48"/>
      <c r="I1727" s="49"/>
      <c r="J1727" s="24" t="str">
        <f>IF(OR($A1727="",$B1727=""),"",IF($I1727&lt;&gt;"",$I1727,IF($D1727=本位币,1,IFERROR(LOOKUP(2,1/((汇率月份&lt;=$A1727)*(INDEX(记账汇率区,0,MATCH($D1727,汇率币种头,0))&lt;&gt;"")),INDEX(记账汇率区,0,MATCH($D1727,汇率币种头,0))),""))))</f>
        <v/>
      </c>
      <c r="K1727" s="23" t="str">
        <f t="shared" si="52"/>
        <v/>
      </c>
      <c r="L1727" s="23" t="str">
        <f t="shared" si="53"/>
        <v/>
      </c>
      <c r="M1727" s="23" t="str">
        <f>IF($B1727="","",ROUND(SUMIF(账户名,$B1727,账户期初)+SUMIFS($K$6:K1727,$B$6:B1727,$B1727),2))</f>
        <v/>
      </c>
      <c r="N1727" s="23" t="str">
        <f>IF($B1727="","",IFERROR(ROUND(INDEX(账户期初本位,MATCH($B1727,账户名,0))+SUMIFS($L$6:L1727,$B$6:B1727,$B1727),2),""))</f>
        <v/>
      </c>
      <c r="O1727" s="46"/>
      <c r="P1727" s="47"/>
      <c r="Q1727" s="46"/>
      <c r="R1727" s="46"/>
      <c r="S1727" s="6" t="str">
        <f>IF($B1727="","",IF(ISNA(MATCH($B1727,账户名,0)),"※这个账户不在【参数设置】的账户档案里",IF($A1727="","※没填日期，这一笔不会进任何月份的报表",IF(AND($G1727&lt;&gt;"",$H1727&lt;&gt;""),"※收入和支出不能同时填",IF(AND(N($G1727)=0,N($H1727)=0),"※收入和支出都没填",IF($E1727="","※没填收支类别，分类报表会漏掉这一笔",IF(ISNA(MATCH($E1727,类别表,0)),"※收支类别不在【参数设置】的清单里",IF($J1727="","△"&amp;$D1727&amp;" 还没填汇率，去【月度汇率】补上就自动算了",IF(YEAR($A1727)&lt;&gt;管理年度,"△不是管理年度的单据，年报里看不到",IF(AND($F1727="内部转账",$Q1727=""),"△内部转账建议在「往来单位」写上对方账户",IF($M1727&lt;0,"△这一笔之后该账户余额成负数了，核一下","")))))))))))</f>
        <v/>
      </c>
    </row>
    <row r="1728" ht="16.5" spans="1:19">
      <c r="A1728" s="45"/>
      <c r="B1728" s="46"/>
      <c r="C1728" s="12" t="str">
        <f>IF($B1728="","",IFERROR(INDEX(账户银行,MATCH($B1728,账户名,0)),""))</f>
        <v/>
      </c>
      <c r="D1728" s="12" t="str">
        <f>IF($B1728="","",IFERROR(INDEX(账户币种,MATCH($B1728,账户名,0)),""))</f>
        <v/>
      </c>
      <c r="E1728" s="47"/>
      <c r="F1728" s="12" t="str">
        <f>IF($E1728="","",IFERROR(INDEX(类别属性,MATCH($E1728,类别表,0)),""))</f>
        <v/>
      </c>
      <c r="G1728" s="48"/>
      <c r="H1728" s="48"/>
      <c r="I1728" s="49"/>
      <c r="J1728" s="24" t="str">
        <f>IF(OR($A1728="",$B1728=""),"",IF($I1728&lt;&gt;"",$I1728,IF($D1728=本位币,1,IFERROR(LOOKUP(2,1/((汇率月份&lt;=$A1728)*(INDEX(记账汇率区,0,MATCH($D1728,汇率币种头,0))&lt;&gt;"")),INDEX(记账汇率区,0,MATCH($D1728,汇率币种头,0))),""))))</f>
        <v/>
      </c>
      <c r="K1728" s="23" t="str">
        <f t="shared" si="52"/>
        <v/>
      </c>
      <c r="L1728" s="23" t="str">
        <f t="shared" si="53"/>
        <v/>
      </c>
      <c r="M1728" s="23" t="str">
        <f>IF($B1728="","",ROUND(SUMIF(账户名,$B1728,账户期初)+SUMIFS($K$6:K1728,$B$6:B1728,$B1728),2))</f>
        <v/>
      </c>
      <c r="N1728" s="23" t="str">
        <f>IF($B1728="","",IFERROR(ROUND(INDEX(账户期初本位,MATCH($B1728,账户名,0))+SUMIFS($L$6:L1728,$B$6:B1728,$B1728),2),""))</f>
        <v/>
      </c>
      <c r="O1728" s="46"/>
      <c r="P1728" s="47"/>
      <c r="Q1728" s="46"/>
      <c r="R1728" s="46"/>
      <c r="S1728" s="6" t="str">
        <f>IF($B1728="","",IF(ISNA(MATCH($B1728,账户名,0)),"※这个账户不在【参数设置】的账户档案里",IF($A1728="","※没填日期，这一笔不会进任何月份的报表",IF(AND($G1728&lt;&gt;"",$H1728&lt;&gt;""),"※收入和支出不能同时填",IF(AND(N($G1728)=0,N($H1728)=0),"※收入和支出都没填",IF($E1728="","※没填收支类别，分类报表会漏掉这一笔",IF(ISNA(MATCH($E1728,类别表,0)),"※收支类别不在【参数设置】的清单里",IF($J1728="","△"&amp;$D1728&amp;" 还没填汇率，去【月度汇率】补上就自动算了",IF(YEAR($A1728)&lt;&gt;管理年度,"△不是管理年度的单据，年报里看不到",IF(AND($F1728="内部转账",$Q1728=""),"△内部转账建议在「往来单位」写上对方账户",IF($M1728&lt;0,"△这一笔之后该账户余额成负数了，核一下","")))))))))))</f>
        <v/>
      </c>
    </row>
    <row r="1729" ht="16.5" spans="1:19">
      <c r="A1729" s="45"/>
      <c r="B1729" s="46"/>
      <c r="C1729" s="12" t="str">
        <f>IF($B1729="","",IFERROR(INDEX(账户银行,MATCH($B1729,账户名,0)),""))</f>
        <v/>
      </c>
      <c r="D1729" s="12" t="str">
        <f>IF($B1729="","",IFERROR(INDEX(账户币种,MATCH($B1729,账户名,0)),""))</f>
        <v/>
      </c>
      <c r="E1729" s="47"/>
      <c r="F1729" s="12" t="str">
        <f>IF($E1729="","",IFERROR(INDEX(类别属性,MATCH($E1729,类别表,0)),""))</f>
        <v/>
      </c>
      <c r="G1729" s="48"/>
      <c r="H1729" s="48"/>
      <c r="I1729" s="49"/>
      <c r="J1729" s="24" t="str">
        <f>IF(OR($A1729="",$B1729=""),"",IF($I1729&lt;&gt;"",$I1729,IF($D1729=本位币,1,IFERROR(LOOKUP(2,1/((汇率月份&lt;=$A1729)*(INDEX(记账汇率区,0,MATCH($D1729,汇率币种头,0))&lt;&gt;"")),INDEX(记账汇率区,0,MATCH($D1729,汇率币种头,0))),""))))</f>
        <v/>
      </c>
      <c r="K1729" s="23" t="str">
        <f t="shared" si="52"/>
        <v/>
      </c>
      <c r="L1729" s="23" t="str">
        <f t="shared" si="53"/>
        <v/>
      </c>
      <c r="M1729" s="23" t="str">
        <f>IF($B1729="","",ROUND(SUMIF(账户名,$B1729,账户期初)+SUMIFS($K$6:K1729,$B$6:B1729,$B1729),2))</f>
        <v/>
      </c>
      <c r="N1729" s="23" t="str">
        <f>IF($B1729="","",IFERROR(ROUND(INDEX(账户期初本位,MATCH($B1729,账户名,0))+SUMIFS($L$6:L1729,$B$6:B1729,$B1729),2),""))</f>
        <v/>
      </c>
      <c r="O1729" s="46"/>
      <c r="P1729" s="47"/>
      <c r="Q1729" s="46"/>
      <c r="R1729" s="46"/>
      <c r="S1729" s="6" t="str">
        <f>IF($B1729="","",IF(ISNA(MATCH($B1729,账户名,0)),"※这个账户不在【参数设置】的账户档案里",IF($A1729="","※没填日期，这一笔不会进任何月份的报表",IF(AND($G1729&lt;&gt;"",$H1729&lt;&gt;""),"※收入和支出不能同时填",IF(AND(N($G1729)=0,N($H1729)=0),"※收入和支出都没填",IF($E1729="","※没填收支类别，分类报表会漏掉这一笔",IF(ISNA(MATCH($E1729,类别表,0)),"※收支类别不在【参数设置】的清单里",IF($J1729="","△"&amp;$D1729&amp;" 还没填汇率，去【月度汇率】补上就自动算了",IF(YEAR($A1729)&lt;&gt;管理年度,"△不是管理年度的单据，年报里看不到",IF(AND($F1729="内部转账",$Q1729=""),"△内部转账建议在「往来单位」写上对方账户",IF($M1729&lt;0,"△这一笔之后该账户余额成负数了，核一下","")))))))))))</f>
        <v/>
      </c>
    </row>
    <row r="1730" ht="16.5" spans="1:19">
      <c r="A1730" s="45"/>
      <c r="B1730" s="46"/>
      <c r="C1730" s="12" t="str">
        <f>IF($B1730="","",IFERROR(INDEX(账户银行,MATCH($B1730,账户名,0)),""))</f>
        <v/>
      </c>
      <c r="D1730" s="12" t="str">
        <f>IF($B1730="","",IFERROR(INDEX(账户币种,MATCH($B1730,账户名,0)),""))</f>
        <v/>
      </c>
      <c r="E1730" s="47"/>
      <c r="F1730" s="12" t="str">
        <f>IF($E1730="","",IFERROR(INDEX(类别属性,MATCH($E1730,类别表,0)),""))</f>
        <v/>
      </c>
      <c r="G1730" s="48"/>
      <c r="H1730" s="48"/>
      <c r="I1730" s="49"/>
      <c r="J1730" s="24" t="str">
        <f>IF(OR($A1730="",$B1730=""),"",IF($I1730&lt;&gt;"",$I1730,IF($D1730=本位币,1,IFERROR(LOOKUP(2,1/((汇率月份&lt;=$A1730)*(INDEX(记账汇率区,0,MATCH($D1730,汇率币种头,0))&lt;&gt;"")),INDEX(记账汇率区,0,MATCH($D1730,汇率币种头,0))),""))))</f>
        <v/>
      </c>
      <c r="K1730" s="23" t="str">
        <f t="shared" si="52"/>
        <v/>
      </c>
      <c r="L1730" s="23" t="str">
        <f t="shared" si="53"/>
        <v/>
      </c>
      <c r="M1730" s="23" t="str">
        <f>IF($B1730="","",ROUND(SUMIF(账户名,$B1730,账户期初)+SUMIFS($K$6:K1730,$B$6:B1730,$B1730),2))</f>
        <v/>
      </c>
      <c r="N1730" s="23" t="str">
        <f>IF($B1730="","",IFERROR(ROUND(INDEX(账户期初本位,MATCH($B1730,账户名,0))+SUMIFS($L$6:L1730,$B$6:B1730,$B1730),2),""))</f>
        <v/>
      </c>
      <c r="O1730" s="46"/>
      <c r="P1730" s="47"/>
      <c r="Q1730" s="46"/>
      <c r="R1730" s="46"/>
      <c r="S1730" s="6" t="str">
        <f>IF($B1730="","",IF(ISNA(MATCH($B1730,账户名,0)),"※这个账户不在【参数设置】的账户档案里",IF($A1730="","※没填日期，这一笔不会进任何月份的报表",IF(AND($G1730&lt;&gt;"",$H1730&lt;&gt;""),"※收入和支出不能同时填",IF(AND(N($G1730)=0,N($H1730)=0),"※收入和支出都没填",IF($E1730="","※没填收支类别，分类报表会漏掉这一笔",IF(ISNA(MATCH($E1730,类别表,0)),"※收支类别不在【参数设置】的清单里",IF($J1730="","△"&amp;$D1730&amp;" 还没填汇率，去【月度汇率】补上就自动算了",IF(YEAR($A1730)&lt;&gt;管理年度,"△不是管理年度的单据，年报里看不到",IF(AND($F1730="内部转账",$Q1730=""),"△内部转账建议在「往来单位」写上对方账户",IF($M1730&lt;0,"△这一笔之后该账户余额成负数了，核一下","")))))))))))</f>
        <v/>
      </c>
    </row>
    <row r="1731" ht="16.5" spans="1:19">
      <c r="A1731" s="45"/>
      <c r="B1731" s="46"/>
      <c r="C1731" s="12" t="str">
        <f>IF($B1731="","",IFERROR(INDEX(账户银行,MATCH($B1731,账户名,0)),""))</f>
        <v/>
      </c>
      <c r="D1731" s="12" t="str">
        <f>IF($B1731="","",IFERROR(INDEX(账户币种,MATCH($B1731,账户名,0)),""))</f>
        <v/>
      </c>
      <c r="E1731" s="47"/>
      <c r="F1731" s="12" t="str">
        <f>IF($E1731="","",IFERROR(INDEX(类别属性,MATCH($E1731,类别表,0)),""))</f>
        <v/>
      </c>
      <c r="G1731" s="48"/>
      <c r="H1731" s="48"/>
      <c r="I1731" s="49"/>
      <c r="J1731" s="24" t="str">
        <f>IF(OR($A1731="",$B1731=""),"",IF($I1731&lt;&gt;"",$I1731,IF($D1731=本位币,1,IFERROR(LOOKUP(2,1/((汇率月份&lt;=$A1731)*(INDEX(记账汇率区,0,MATCH($D1731,汇率币种头,0))&lt;&gt;"")),INDEX(记账汇率区,0,MATCH($D1731,汇率币种头,0))),""))))</f>
        <v/>
      </c>
      <c r="K1731" s="23" t="str">
        <f t="shared" si="52"/>
        <v/>
      </c>
      <c r="L1731" s="23" t="str">
        <f t="shared" si="53"/>
        <v/>
      </c>
      <c r="M1731" s="23" t="str">
        <f>IF($B1731="","",ROUND(SUMIF(账户名,$B1731,账户期初)+SUMIFS($K$6:K1731,$B$6:B1731,$B1731),2))</f>
        <v/>
      </c>
      <c r="N1731" s="23" t="str">
        <f>IF($B1731="","",IFERROR(ROUND(INDEX(账户期初本位,MATCH($B1731,账户名,0))+SUMIFS($L$6:L1731,$B$6:B1731,$B1731),2),""))</f>
        <v/>
      </c>
      <c r="O1731" s="46"/>
      <c r="P1731" s="47"/>
      <c r="Q1731" s="46"/>
      <c r="R1731" s="46"/>
      <c r="S1731" s="6" t="str">
        <f>IF($B1731="","",IF(ISNA(MATCH($B1731,账户名,0)),"※这个账户不在【参数设置】的账户档案里",IF($A1731="","※没填日期，这一笔不会进任何月份的报表",IF(AND($G1731&lt;&gt;"",$H1731&lt;&gt;""),"※收入和支出不能同时填",IF(AND(N($G1731)=0,N($H1731)=0),"※收入和支出都没填",IF($E1731="","※没填收支类别，分类报表会漏掉这一笔",IF(ISNA(MATCH($E1731,类别表,0)),"※收支类别不在【参数设置】的清单里",IF($J1731="","△"&amp;$D1731&amp;" 还没填汇率，去【月度汇率】补上就自动算了",IF(YEAR($A1731)&lt;&gt;管理年度,"△不是管理年度的单据，年报里看不到",IF(AND($F1731="内部转账",$Q1731=""),"△内部转账建议在「往来单位」写上对方账户",IF($M1731&lt;0,"△这一笔之后该账户余额成负数了，核一下","")))))))))))</f>
        <v/>
      </c>
    </row>
    <row r="1732" ht="16.5" spans="1:19">
      <c r="A1732" s="45"/>
      <c r="B1732" s="46"/>
      <c r="C1732" s="12" t="str">
        <f>IF($B1732="","",IFERROR(INDEX(账户银行,MATCH($B1732,账户名,0)),""))</f>
        <v/>
      </c>
      <c r="D1732" s="12" t="str">
        <f>IF($B1732="","",IFERROR(INDEX(账户币种,MATCH($B1732,账户名,0)),""))</f>
        <v/>
      </c>
      <c r="E1732" s="47"/>
      <c r="F1732" s="12" t="str">
        <f>IF($E1732="","",IFERROR(INDEX(类别属性,MATCH($E1732,类别表,0)),""))</f>
        <v/>
      </c>
      <c r="G1732" s="48"/>
      <c r="H1732" s="48"/>
      <c r="I1732" s="49"/>
      <c r="J1732" s="24" t="str">
        <f>IF(OR($A1732="",$B1732=""),"",IF($I1732&lt;&gt;"",$I1732,IF($D1732=本位币,1,IFERROR(LOOKUP(2,1/((汇率月份&lt;=$A1732)*(INDEX(记账汇率区,0,MATCH($D1732,汇率币种头,0))&lt;&gt;"")),INDEX(记账汇率区,0,MATCH($D1732,汇率币种头,0))),""))))</f>
        <v/>
      </c>
      <c r="K1732" s="23" t="str">
        <f t="shared" si="52"/>
        <v/>
      </c>
      <c r="L1732" s="23" t="str">
        <f t="shared" si="53"/>
        <v/>
      </c>
      <c r="M1732" s="23" t="str">
        <f>IF($B1732="","",ROUND(SUMIF(账户名,$B1732,账户期初)+SUMIFS($K$6:K1732,$B$6:B1732,$B1732),2))</f>
        <v/>
      </c>
      <c r="N1732" s="23" t="str">
        <f>IF($B1732="","",IFERROR(ROUND(INDEX(账户期初本位,MATCH($B1732,账户名,0))+SUMIFS($L$6:L1732,$B$6:B1732,$B1732),2),""))</f>
        <v/>
      </c>
      <c r="O1732" s="46"/>
      <c r="P1732" s="47"/>
      <c r="Q1732" s="46"/>
      <c r="R1732" s="46"/>
      <c r="S1732" s="6" t="str">
        <f>IF($B1732="","",IF(ISNA(MATCH($B1732,账户名,0)),"※这个账户不在【参数设置】的账户档案里",IF($A1732="","※没填日期，这一笔不会进任何月份的报表",IF(AND($G1732&lt;&gt;"",$H1732&lt;&gt;""),"※收入和支出不能同时填",IF(AND(N($G1732)=0,N($H1732)=0),"※收入和支出都没填",IF($E1732="","※没填收支类别，分类报表会漏掉这一笔",IF(ISNA(MATCH($E1732,类别表,0)),"※收支类别不在【参数设置】的清单里",IF($J1732="","△"&amp;$D1732&amp;" 还没填汇率，去【月度汇率】补上就自动算了",IF(YEAR($A1732)&lt;&gt;管理年度,"△不是管理年度的单据，年报里看不到",IF(AND($F1732="内部转账",$Q1732=""),"△内部转账建议在「往来单位」写上对方账户",IF($M1732&lt;0,"△这一笔之后该账户余额成负数了，核一下","")))))))))))</f>
        <v/>
      </c>
    </row>
    <row r="1733" ht="16.5" spans="1:19">
      <c r="A1733" s="45"/>
      <c r="B1733" s="46"/>
      <c r="C1733" s="12" t="str">
        <f>IF($B1733="","",IFERROR(INDEX(账户银行,MATCH($B1733,账户名,0)),""))</f>
        <v/>
      </c>
      <c r="D1733" s="12" t="str">
        <f>IF($B1733="","",IFERROR(INDEX(账户币种,MATCH($B1733,账户名,0)),""))</f>
        <v/>
      </c>
      <c r="E1733" s="47"/>
      <c r="F1733" s="12" t="str">
        <f>IF($E1733="","",IFERROR(INDEX(类别属性,MATCH($E1733,类别表,0)),""))</f>
        <v/>
      </c>
      <c r="G1733" s="48"/>
      <c r="H1733" s="48"/>
      <c r="I1733" s="49"/>
      <c r="J1733" s="24" t="str">
        <f>IF(OR($A1733="",$B1733=""),"",IF($I1733&lt;&gt;"",$I1733,IF($D1733=本位币,1,IFERROR(LOOKUP(2,1/((汇率月份&lt;=$A1733)*(INDEX(记账汇率区,0,MATCH($D1733,汇率币种头,0))&lt;&gt;"")),INDEX(记账汇率区,0,MATCH($D1733,汇率币种头,0))),""))))</f>
        <v/>
      </c>
      <c r="K1733" s="23" t="str">
        <f t="shared" si="52"/>
        <v/>
      </c>
      <c r="L1733" s="23" t="str">
        <f t="shared" si="53"/>
        <v/>
      </c>
      <c r="M1733" s="23" t="str">
        <f>IF($B1733="","",ROUND(SUMIF(账户名,$B1733,账户期初)+SUMIFS($K$6:K1733,$B$6:B1733,$B1733),2))</f>
        <v/>
      </c>
      <c r="N1733" s="23" t="str">
        <f>IF($B1733="","",IFERROR(ROUND(INDEX(账户期初本位,MATCH($B1733,账户名,0))+SUMIFS($L$6:L1733,$B$6:B1733,$B1733),2),""))</f>
        <v/>
      </c>
      <c r="O1733" s="46"/>
      <c r="P1733" s="47"/>
      <c r="Q1733" s="46"/>
      <c r="R1733" s="46"/>
      <c r="S1733" s="6" t="str">
        <f>IF($B1733="","",IF(ISNA(MATCH($B1733,账户名,0)),"※这个账户不在【参数设置】的账户档案里",IF($A1733="","※没填日期，这一笔不会进任何月份的报表",IF(AND($G1733&lt;&gt;"",$H1733&lt;&gt;""),"※收入和支出不能同时填",IF(AND(N($G1733)=0,N($H1733)=0),"※收入和支出都没填",IF($E1733="","※没填收支类别，分类报表会漏掉这一笔",IF(ISNA(MATCH($E1733,类别表,0)),"※收支类别不在【参数设置】的清单里",IF($J1733="","△"&amp;$D1733&amp;" 还没填汇率，去【月度汇率】补上就自动算了",IF(YEAR($A1733)&lt;&gt;管理年度,"△不是管理年度的单据，年报里看不到",IF(AND($F1733="内部转账",$Q1733=""),"△内部转账建议在「往来单位」写上对方账户",IF($M1733&lt;0,"△这一笔之后该账户余额成负数了，核一下","")))))))))))</f>
        <v/>
      </c>
    </row>
    <row r="1734" ht="16.5" spans="1:19">
      <c r="A1734" s="45"/>
      <c r="B1734" s="46"/>
      <c r="C1734" s="12" t="str">
        <f>IF($B1734="","",IFERROR(INDEX(账户银行,MATCH($B1734,账户名,0)),""))</f>
        <v/>
      </c>
      <c r="D1734" s="12" t="str">
        <f>IF($B1734="","",IFERROR(INDEX(账户币种,MATCH($B1734,账户名,0)),""))</f>
        <v/>
      </c>
      <c r="E1734" s="47"/>
      <c r="F1734" s="12" t="str">
        <f>IF($E1734="","",IFERROR(INDEX(类别属性,MATCH($E1734,类别表,0)),""))</f>
        <v/>
      </c>
      <c r="G1734" s="48"/>
      <c r="H1734" s="48"/>
      <c r="I1734" s="49"/>
      <c r="J1734" s="24" t="str">
        <f>IF(OR($A1734="",$B1734=""),"",IF($I1734&lt;&gt;"",$I1734,IF($D1734=本位币,1,IFERROR(LOOKUP(2,1/((汇率月份&lt;=$A1734)*(INDEX(记账汇率区,0,MATCH($D1734,汇率币种头,0))&lt;&gt;"")),INDEX(记账汇率区,0,MATCH($D1734,汇率币种头,0))),""))))</f>
        <v/>
      </c>
      <c r="K1734" s="23" t="str">
        <f t="shared" ref="K1734:K1797" si="54">IF(AND($G1734="",$H1734=""),"",ROUND(N($G1734)-N($H1734),2))</f>
        <v/>
      </c>
      <c r="L1734" s="23" t="str">
        <f t="shared" ref="L1734:L1797" si="55">IF(OR($K1734="",$J1734=""),"",ROUND($K1734*$J1734,2))</f>
        <v/>
      </c>
      <c r="M1734" s="23" t="str">
        <f>IF($B1734="","",ROUND(SUMIF(账户名,$B1734,账户期初)+SUMIFS($K$6:K1734,$B$6:B1734,$B1734),2))</f>
        <v/>
      </c>
      <c r="N1734" s="23" t="str">
        <f>IF($B1734="","",IFERROR(ROUND(INDEX(账户期初本位,MATCH($B1734,账户名,0))+SUMIFS($L$6:L1734,$B$6:B1734,$B1734),2),""))</f>
        <v/>
      </c>
      <c r="O1734" s="46"/>
      <c r="P1734" s="47"/>
      <c r="Q1734" s="46"/>
      <c r="R1734" s="46"/>
      <c r="S1734" s="6" t="str">
        <f>IF($B1734="","",IF(ISNA(MATCH($B1734,账户名,0)),"※这个账户不在【参数设置】的账户档案里",IF($A1734="","※没填日期，这一笔不会进任何月份的报表",IF(AND($G1734&lt;&gt;"",$H1734&lt;&gt;""),"※收入和支出不能同时填",IF(AND(N($G1734)=0,N($H1734)=0),"※收入和支出都没填",IF($E1734="","※没填收支类别，分类报表会漏掉这一笔",IF(ISNA(MATCH($E1734,类别表,0)),"※收支类别不在【参数设置】的清单里",IF($J1734="","△"&amp;$D1734&amp;" 还没填汇率，去【月度汇率】补上就自动算了",IF(YEAR($A1734)&lt;&gt;管理年度,"△不是管理年度的单据，年报里看不到",IF(AND($F1734="内部转账",$Q1734=""),"△内部转账建议在「往来单位」写上对方账户",IF($M1734&lt;0,"△这一笔之后该账户余额成负数了，核一下","")))))))))))</f>
        <v/>
      </c>
    </row>
    <row r="1735" ht="16.5" spans="1:19">
      <c r="A1735" s="45"/>
      <c r="B1735" s="46"/>
      <c r="C1735" s="12" t="str">
        <f>IF($B1735="","",IFERROR(INDEX(账户银行,MATCH($B1735,账户名,0)),""))</f>
        <v/>
      </c>
      <c r="D1735" s="12" t="str">
        <f>IF($B1735="","",IFERROR(INDEX(账户币种,MATCH($B1735,账户名,0)),""))</f>
        <v/>
      </c>
      <c r="E1735" s="47"/>
      <c r="F1735" s="12" t="str">
        <f>IF($E1735="","",IFERROR(INDEX(类别属性,MATCH($E1735,类别表,0)),""))</f>
        <v/>
      </c>
      <c r="G1735" s="48"/>
      <c r="H1735" s="48"/>
      <c r="I1735" s="49"/>
      <c r="J1735" s="24" t="str">
        <f>IF(OR($A1735="",$B1735=""),"",IF($I1735&lt;&gt;"",$I1735,IF($D1735=本位币,1,IFERROR(LOOKUP(2,1/((汇率月份&lt;=$A1735)*(INDEX(记账汇率区,0,MATCH($D1735,汇率币种头,0))&lt;&gt;"")),INDEX(记账汇率区,0,MATCH($D1735,汇率币种头,0))),""))))</f>
        <v/>
      </c>
      <c r="K1735" s="23" t="str">
        <f t="shared" si="54"/>
        <v/>
      </c>
      <c r="L1735" s="23" t="str">
        <f t="shared" si="55"/>
        <v/>
      </c>
      <c r="M1735" s="23" t="str">
        <f>IF($B1735="","",ROUND(SUMIF(账户名,$B1735,账户期初)+SUMIFS($K$6:K1735,$B$6:B1735,$B1735),2))</f>
        <v/>
      </c>
      <c r="N1735" s="23" t="str">
        <f>IF($B1735="","",IFERROR(ROUND(INDEX(账户期初本位,MATCH($B1735,账户名,0))+SUMIFS($L$6:L1735,$B$6:B1735,$B1735),2),""))</f>
        <v/>
      </c>
      <c r="O1735" s="46"/>
      <c r="P1735" s="47"/>
      <c r="Q1735" s="46"/>
      <c r="R1735" s="46"/>
      <c r="S1735" s="6" t="str">
        <f>IF($B1735="","",IF(ISNA(MATCH($B1735,账户名,0)),"※这个账户不在【参数设置】的账户档案里",IF($A1735="","※没填日期，这一笔不会进任何月份的报表",IF(AND($G1735&lt;&gt;"",$H1735&lt;&gt;""),"※收入和支出不能同时填",IF(AND(N($G1735)=0,N($H1735)=0),"※收入和支出都没填",IF($E1735="","※没填收支类别，分类报表会漏掉这一笔",IF(ISNA(MATCH($E1735,类别表,0)),"※收支类别不在【参数设置】的清单里",IF($J1735="","△"&amp;$D1735&amp;" 还没填汇率，去【月度汇率】补上就自动算了",IF(YEAR($A1735)&lt;&gt;管理年度,"△不是管理年度的单据，年报里看不到",IF(AND($F1735="内部转账",$Q1735=""),"△内部转账建议在「往来单位」写上对方账户",IF($M1735&lt;0,"△这一笔之后该账户余额成负数了，核一下","")))))))))))</f>
        <v/>
      </c>
    </row>
    <row r="1736" ht="16.5" spans="1:19">
      <c r="A1736" s="45"/>
      <c r="B1736" s="46"/>
      <c r="C1736" s="12" t="str">
        <f>IF($B1736="","",IFERROR(INDEX(账户银行,MATCH($B1736,账户名,0)),""))</f>
        <v/>
      </c>
      <c r="D1736" s="12" t="str">
        <f>IF($B1736="","",IFERROR(INDEX(账户币种,MATCH($B1736,账户名,0)),""))</f>
        <v/>
      </c>
      <c r="E1736" s="47"/>
      <c r="F1736" s="12" t="str">
        <f>IF($E1736="","",IFERROR(INDEX(类别属性,MATCH($E1736,类别表,0)),""))</f>
        <v/>
      </c>
      <c r="G1736" s="48"/>
      <c r="H1736" s="48"/>
      <c r="I1736" s="49"/>
      <c r="J1736" s="24" t="str">
        <f>IF(OR($A1736="",$B1736=""),"",IF($I1736&lt;&gt;"",$I1736,IF($D1736=本位币,1,IFERROR(LOOKUP(2,1/((汇率月份&lt;=$A1736)*(INDEX(记账汇率区,0,MATCH($D1736,汇率币种头,0))&lt;&gt;"")),INDEX(记账汇率区,0,MATCH($D1736,汇率币种头,0))),""))))</f>
        <v/>
      </c>
      <c r="K1736" s="23" t="str">
        <f t="shared" si="54"/>
        <v/>
      </c>
      <c r="L1736" s="23" t="str">
        <f t="shared" si="55"/>
        <v/>
      </c>
      <c r="M1736" s="23" t="str">
        <f>IF($B1736="","",ROUND(SUMIF(账户名,$B1736,账户期初)+SUMIFS($K$6:K1736,$B$6:B1736,$B1736),2))</f>
        <v/>
      </c>
      <c r="N1736" s="23" t="str">
        <f>IF($B1736="","",IFERROR(ROUND(INDEX(账户期初本位,MATCH($B1736,账户名,0))+SUMIFS($L$6:L1736,$B$6:B1736,$B1736),2),""))</f>
        <v/>
      </c>
      <c r="O1736" s="46"/>
      <c r="P1736" s="47"/>
      <c r="Q1736" s="46"/>
      <c r="R1736" s="46"/>
      <c r="S1736" s="6" t="str">
        <f>IF($B1736="","",IF(ISNA(MATCH($B1736,账户名,0)),"※这个账户不在【参数设置】的账户档案里",IF($A1736="","※没填日期，这一笔不会进任何月份的报表",IF(AND($G1736&lt;&gt;"",$H1736&lt;&gt;""),"※收入和支出不能同时填",IF(AND(N($G1736)=0,N($H1736)=0),"※收入和支出都没填",IF($E1736="","※没填收支类别，分类报表会漏掉这一笔",IF(ISNA(MATCH($E1736,类别表,0)),"※收支类别不在【参数设置】的清单里",IF($J1736="","△"&amp;$D1736&amp;" 还没填汇率，去【月度汇率】补上就自动算了",IF(YEAR($A1736)&lt;&gt;管理年度,"△不是管理年度的单据，年报里看不到",IF(AND($F1736="内部转账",$Q1736=""),"△内部转账建议在「往来单位」写上对方账户",IF($M1736&lt;0,"△这一笔之后该账户余额成负数了，核一下","")))))))))))</f>
        <v/>
      </c>
    </row>
    <row r="1737" ht="16.5" spans="1:19">
      <c r="A1737" s="45"/>
      <c r="B1737" s="46"/>
      <c r="C1737" s="12" t="str">
        <f>IF($B1737="","",IFERROR(INDEX(账户银行,MATCH($B1737,账户名,0)),""))</f>
        <v/>
      </c>
      <c r="D1737" s="12" t="str">
        <f>IF($B1737="","",IFERROR(INDEX(账户币种,MATCH($B1737,账户名,0)),""))</f>
        <v/>
      </c>
      <c r="E1737" s="47"/>
      <c r="F1737" s="12" t="str">
        <f>IF($E1737="","",IFERROR(INDEX(类别属性,MATCH($E1737,类别表,0)),""))</f>
        <v/>
      </c>
      <c r="G1737" s="48"/>
      <c r="H1737" s="48"/>
      <c r="I1737" s="49"/>
      <c r="J1737" s="24" t="str">
        <f>IF(OR($A1737="",$B1737=""),"",IF($I1737&lt;&gt;"",$I1737,IF($D1737=本位币,1,IFERROR(LOOKUP(2,1/((汇率月份&lt;=$A1737)*(INDEX(记账汇率区,0,MATCH($D1737,汇率币种头,0))&lt;&gt;"")),INDEX(记账汇率区,0,MATCH($D1737,汇率币种头,0))),""))))</f>
        <v/>
      </c>
      <c r="K1737" s="23" t="str">
        <f t="shared" si="54"/>
        <v/>
      </c>
      <c r="L1737" s="23" t="str">
        <f t="shared" si="55"/>
        <v/>
      </c>
      <c r="M1737" s="23" t="str">
        <f>IF($B1737="","",ROUND(SUMIF(账户名,$B1737,账户期初)+SUMIFS($K$6:K1737,$B$6:B1737,$B1737),2))</f>
        <v/>
      </c>
      <c r="N1737" s="23" t="str">
        <f>IF($B1737="","",IFERROR(ROUND(INDEX(账户期初本位,MATCH($B1737,账户名,0))+SUMIFS($L$6:L1737,$B$6:B1737,$B1737),2),""))</f>
        <v/>
      </c>
      <c r="O1737" s="46"/>
      <c r="P1737" s="47"/>
      <c r="Q1737" s="46"/>
      <c r="R1737" s="46"/>
      <c r="S1737" s="6" t="str">
        <f>IF($B1737="","",IF(ISNA(MATCH($B1737,账户名,0)),"※这个账户不在【参数设置】的账户档案里",IF($A1737="","※没填日期，这一笔不会进任何月份的报表",IF(AND($G1737&lt;&gt;"",$H1737&lt;&gt;""),"※收入和支出不能同时填",IF(AND(N($G1737)=0,N($H1737)=0),"※收入和支出都没填",IF($E1737="","※没填收支类别，分类报表会漏掉这一笔",IF(ISNA(MATCH($E1737,类别表,0)),"※收支类别不在【参数设置】的清单里",IF($J1737="","△"&amp;$D1737&amp;" 还没填汇率，去【月度汇率】补上就自动算了",IF(YEAR($A1737)&lt;&gt;管理年度,"△不是管理年度的单据，年报里看不到",IF(AND($F1737="内部转账",$Q1737=""),"△内部转账建议在「往来单位」写上对方账户",IF($M1737&lt;0,"△这一笔之后该账户余额成负数了，核一下","")))))))))))</f>
        <v/>
      </c>
    </row>
    <row r="1738" ht="16.5" spans="1:19">
      <c r="A1738" s="45"/>
      <c r="B1738" s="46"/>
      <c r="C1738" s="12" t="str">
        <f>IF($B1738="","",IFERROR(INDEX(账户银行,MATCH($B1738,账户名,0)),""))</f>
        <v/>
      </c>
      <c r="D1738" s="12" t="str">
        <f>IF($B1738="","",IFERROR(INDEX(账户币种,MATCH($B1738,账户名,0)),""))</f>
        <v/>
      </c>
      <c r="E1738" s="47"/>
      <c r="F1738" s="12" t="str">
        <f>IF($E1738="","",IFERROR(INDEX(类别属性,MATCH($E1738,类别表,0)),""))</f>
        <v/>
      </c>
      <c r="G1738" s="48"/>
      <c r="H1738" s="48"/>
      <c r="I1738" s="49"/>
      <c r="J1738" s="24" t="str">
        <f>IF(OR($A1738="",$B1738=""),"",IF($I1738&lt;&gt;"",$I1738,IF($D1738=本位币,1,IFERROR(LOOKUP(2,1/((汇率月份&lt;=$A1738)*(INDEX(记账汇率区,0,MATCH($D1738,汇率币种头,0))&lt;&gt;"")),INDEX(记账汇率区,0,MATCH($D1738,汇率币种头,0))),""))))</f>
        <v/>
      </c>
      <c r="K1738" s="23" t="str">
        <f t="shared" si="54"/>
        <v/>
      </c>
      <c r="L1738" s="23" t="str">
        <f t="shared" si="55"/>
        <v/>
      </c>
      <c r="M1738" s="23" t="str">
        <f>IF($B1738="","",ROUND(SUMIF(账户名,$B1738,账户期初)+SUMIFS($K$6:K1738,$B$6:B1738,$B1738),2))</f>
        <v/>
      </c>
      <c r="N1738" s="23" t="str">
        <f>IF($B1738="","",IFERROR(ROUND(INDEX(账户期初本位,MATCH($B1738,账户名,0))+SUMIFS($L$6:L1738,$B$6:B1738,$B1738),2),""))</f>
        <v/>
      </c>
      <c r="O1738" s="46"/>
      <c r="P1738" s="47"/>
      <c r="Q1738" s="46"/>
      <c r="R1738" s="46"/>
      <c r="S1738" s="6" t="str">
        <f>IF($B1738="","",IF(ISNA(MATCH($B1738,账户名,0)),"※这个账户不在【参数设置】的账户档案里",IF($A1738="","※没填日期，这一笔不会进任何月份的报表",IF(AND($G1738&lt;&gt;"",$H1738&lt;&gt;""),"※收入和支出不能同时填",IF(AND(N($G1738)=0,N($H1738)=0),"※收入和支出都没填",IF($E1738="","※没填收支类别，分类报表会漏掉这一笔",IF(ISNA(MATCH($E1738,类别表,0)),"※收支类别不在【参数设置】的清单里",IF($J1738="","△"&amp;$D1738&amp;" 还没填汇率，去【月度汇率】补上就自动算了",IF(YEAR($A1738)&lt;&gt;管理年度,"△不是管理年度的单据，年报里看不到",IF(AND($F1738="内部转账",$Q1738=""),"△内部转账建议在「往来单位」写上对方账户",IF($M1738&lt;0,"△这一笔之后该账户余额成负数了，核一下","")))))))))))</f>
        <v/>
      </c>
    </row>
    <row r="1739" ht="16.5" spans="1:19">
      <c r="A1739" s="45"/>
      <c r="B1739" s="46"/>
      <c r="C1739" s="12" t="str">
        <f>IF($B1739="","",IFERROR(INDEX(账户银行,MATCH($B1739,账户名,0)),""))</f>
        <v/>
      </c>
      <c r="D1739" s="12" t="str">
        <f>IF($B1739="","",IFERROR(INDEX(账户币种,MATCH($B1739,账户名,0)),""))</f>
        <v/>
      </c>
      <c r="E1739" s="47"/>
      <c r="F1739" s="12" t="str">
        <f>IF($E1739="","",IFERROR(INDEX(类别属性,MATCH($E1739,类别表,0)),""))</f>
        <v/>
      </c>
      <c r="G1739" s="48"/>
      <c r="H1739" s="48"/>
      <c r="I1739" s="49"/>
      <c r="J1739" s="24" t="str">
        <f>IF(OR($A1739="",$B1739=""),"",IF($I1739&lt;&gt;"",$I1739,IF($D1739=本位币,1,IFERROR(LOOKUP(2,1/((汇率月份&lt;=$A1739)*(INDEX(记账汇率区,0,MATCH($D1739,汇率币种头,0))&lt;&gt;"")),INDEX(记账汇率区,0,MATCH($D1739,汇率币种头,0))),""))))</f>
        <v/>
      </c>
      <c r="K1739" s="23" t="str">
        <f t="shared" si="54"/>
        <v/>
      </c>
      <c r="L1739" s="23" t="str">
        <f t="shared" si="55"/>
        <v/>
      </c>
      <c r="M1739" s="23" t="str">
        <f>IF($B1739="","",ROUND(SUMIF(账户名,$B1739,账户期初)+SUMIFS($K$6:K1739,$B$6:B1739,$B1739),2))</f>
        <v/>
      </c>
      <c r="N1739" s="23" t="str">
        <f>IF($B1739="","",IFERROR(ROUND(INDEX(账户期初本位,MATCH($B1739,账户名,0))+SUMIFS($L$6:L1739,$B$6:B1739,$B1739),2),""))</f>
        <v/>
      </c>
      <c r="O1739" s="46"/>
      <c r="P1739" s="47"/>
      <c r="Q1739" s="46"/>
      <c r="R1739" s="46"/>
      <c r="S1739" s="6" t="str">
        <f>IF($B1739="","",IF(ISNA(MATCH($B1739,账户名,0)),"※这个账户不在【参数设置】的账户档案里",IF($A1739="","※没填日期，这一笔不会进任何月份的报表",IF(AND($G1739&lt;&gt;"",$H1739&lt;&gt;""),"※收入和支出不能同时填",IF(AND(N($G1739)=0,N($H1739)=0),"※收入和支出都没填",IF($E1739="","※没填收支类别，分类报表会漏掉这一笔",IF(ISNA(MATCH($E1739,类别表,0)),"※收支类别不在【参数设置】的清单里",IF($J1739="","△"&amp;$D1739&amp;" 还没填汇率，去【月度汇率】补上就自动算了",IF(YEAR($A1739)&lt;&gt;管理年度,"△不是管理年度的单据，年报里看不到",IF(AND($F1739="内部转账",$Q1739=""),"△内部转账建议在「往来单位」写上对方账户",IF($M1739&lt;0,"△这一笔之后该账户余额成负数了，核一下","")))))))))))</f>
        <v/>
      </c>
    </row>
    <row r="1740" ht="16.5" spans="1:19">
      <c r="A1740" s="45"/>
      <c r="B1740" s="46"/>
      <c r="C1740" s="12" t="str">
        <f>IF($B1740="","",IFERROR(INDEX(账户银行,MATCH($B1740,账户名,0)),""))</f>
        <v/>
      </c>
      <c r="D1740" s="12" t="str">
        <f>IF($B1740="","",IFERROR(INDEX(账户币种,MATCH($B1740,账户名,0)),""))</f>
        <v/>
      </c>
      <c r="E1740" s="47"/>
      <c r="F1740" s="12" t="str">
        <f>IF($E1740="","",IFERROR(INDEX(类别属性,MATCH($E1740,类别表,0)),""))</f>
        <v/>
      </c>
      <c r="G1740" s="48"/>
      <c r="H1740" s="48"/>
      <c r="I1740" s="49"/>
      <c r="J1740" s="24" t="str">
        <f>IF(OR($A1740="",$B1740=""),"",IF($I1740&lt;&gt;"",$I1740,IF($D1740=本位币,1,IFERROR(LOOKUP(2,1/((汇率月份&lt;=$A1740)*(INDEX(记账汇率区,0,MATCH($D1740,汇率币种头,0))&lt;&gt;"")),INDEX(记账汇率区,0,MATCH($D1740,汇率币种头,0))),""))))</f>
        <v/>
      </c>
      <c r="K1740" s="23" t="str">
        <f t="shared" si="54"/>
        <v/>
      </c>
      <c r="L1740" s="23" t="str">
        <f t="shared" si="55"/>
        <v/>
      </c>
      <c r="M1740" s="23" t="str">
        <f>IF($B1740="","",ROUND(SUMIF(账户名,$B1740,账户期初)+SUMIFS($K$6:K1740,$B$6:B1740,$B1740),2))</f>
        <v/>
      </c>
      <c r="N1740" s="23" t="str">
        <f>IF($B1740="","",IFERROR(ROUND(INDEX(账户期初本位,MATCH($B1740,账户名,0))+SUMIFS($L$6:L1740,$B$6:B1740,$B1740),2),""))</f>
        <v/>
      </c>
      <c r="O1740" s="46"/>
      <c r="P1740" s="47"/>
      <c r="Q1740" s="46"/>
      <c r="R1740" s="46"/>
      <c r="S1740" s="6" t="str">
        <f>IF($B1740="","",IF(ISNA(MATCH($B1740,账户名,0)),"※这个账户不在【参数设置】的账户档案里",IF($A1740="","※没填日期，这一笔不会进任何月份的报表",IF(AND($G1740&lt;&gt;"",$H1740&lt;&gt;""),"※收入和支出不能同时填",IF(AND(N($G1740)=0,N($H1740)=0),"※收入和支出都没填",IF($E1740="","※没填收支类别，分类报表会漏掉这一笔",IF(ISNA(MATCH($E1740,类别表,0)),"※收支类别不在【参数设置】的清单里",IF($J1740="","△"&amp;$D1740&amp;" 还没填汇率，去【月度汇率】补上就自动算了",IF(YEAR($A1740)&lt;&gt;管理年度,"△不是管理年度的单据，年报里看不到",IF(AND($F1740="内部转账",$Q1740=""),"△内部转账建议在「往来单位」写上对方账户",IF($M1740&lt;0,"△这一笔之后该账户余额成负数了，核一下","")))))))))))</f>
        <v/>
      </c>
    </row>
    <row r="1741" ht="16.5" spans="1:19">
      <c r="A1741" s="45"/>
      <c r="B1741" s="46"/>
      <c r="C1741" s="12" t="str">
        <f>IF($B1741="","",IFERROR(INDEX(账户银行,MATCH($B1741,账户名,0)),""))</f>
        <v/>
      </c>
      <c r="D1741" s="12" t="str">
        <f>IF($B1741="","",IFERROR(INDEX(账户币种,MATCH($B1741,账户名,0)),""))</f>
        <v/>
      </c>
      <c r="E1741" s="47"/>
      <c r="F1741" s="12" t="str">
        <f>IF($E1741="","",IFERROR(INDEX(类别属性,MATCH($E1741,类别表,0)),""))</f>
        <v/>
      </c>
      <c r="G1741" s="48"/>
      <c r="H1741" s="48"/>
      <c r="I1741" s="49"/>
      <c r="J1741" s="24" t="str">
        <f>IF(OR($A1741="",$B1741=""),"",IF($I1741&lt;&gt;"",$I1741,IF($D1741=本位币,1,IFERROR(LOOKUP(2,1/((汇率月份&lt;=$A1741)*(INDEX(记账汇率区,0,MATCH($D1741,汇率币种头,0))&lt;&gt;"")),INDEX(记账汇率区,0,MATCH($D1741,汇率币种头,0))),""))))</f>
        <v/>
      </c>
      <c r="K1741" s="23" t="str">
        <f t="shared" si="54"/>
        <v/>
      </c>
      <c r="L1741" s="23" t="str">
        <f t="shared" si="55"/>
        <v/>
      </c>
      <c r="M1741" s="23" t="str">
        <f>IF($B1741="","",ROUND(SUMIF(账户名,$B1741,账户期初)+SUMIFS($K$6:K1741,$B$6:B1741,$B1741),2))</f>
        <v/>
      </c>
      <c r="N1741" s="23" t="str">
        <f>IF($B1741="","",IFERROR(ROUND(INDEX(账户期初本位,MATCH($B1741,账户名,0))+SUMIFS($L$6:L1741,$B$6:B1741,$B1741),2),""))</f>
        <v/>
      </c>
      <c r="O1741" s="46"/>
      <c r="P1741" s="47"/>
      <c r="Q1741" s="46"/>
      <c r="R1741" s="46"/>
      <c r="S1741" s="6" t="str">
        <f>IF($B1741="","",IF(ISNA(MATCH($B1741,账户名,0)),"※这个账户不在【参数设置】的账户档案里",IF($A1741="","※没填日期，这一笔不会进任何月份的报表",IF(AND($G1741&lt;&gt;"",$H1741&lt;&gt;""),"※收入和支出不能同时填",IF(AND(N($G1741)=0,N($H1741)=0),"※收入和支出都没填",IF($E1741="","※没填收支类别，分类报表会漏掉这一笔",IF(ISNA(MATCH($E1741,类别表,0)),"※收支类别不在【参数设置】的清单里",IF($J1741="","△"&amp;$D1741&amp;" 还没填汇率，去【月度汇率】补上就自动算了",IF(YEAR($A1741)&lt;&gt;管理年度,"△不是管理年度的单据，年报里看不到",IF(AND($F1741="内部转账",$Q1741=""),"△内部转账建议在「往来单位」写上对方账户",IF($M1741&lt;0,"△这一笔之后该账户余额成负数了，核一下","")))))))))))</f>
        <v/>
      </c>
    </row>
    <row r="1742" ht="16.5" spans="1:19">
      <c r="A1742" s="45"/>
      <c r="B1742" s="46"/>
      <c r="C1742" s="12" t="str">
        <f>IF($B1742="","",IFERROR(INDEX(账户银行,MATCH($B1742,账户名,0)),""))</f>
        <v/>
      </c>
      <c r="D1742" s="12" t="str">
        <f>IF($B1742="","",IFERROR(INDEX(账户币种,MATCH($B1742,账户名,0)),""))</f>
        <v/>
      </c>
      <c r="E1742" s="47"/>
      <c r="F1742" s="12" t="str">
        <f>IF($E1742="","",IFERROR(INDEX(类别属性,MATCH($E1742,类别表,0)),""))</f>
        <v/>
      </c>
      <c r="G1742" s="48"/>
      <c r="H1742" s="48"/>
      <c r="I1742" s="49"/>
      <c r="J1742" s="24" t="str">
        <f>IF(OR($A1742="",$B1742=""),"",IF($I1742&lt;&gt;"",$I1742,IF($D1742=本位币,1,IFERROR(LOOKUP(2,1/((汇率月份&lt;=$A1742)*(INDEX(记账汇率区,0,MATCH($D1742,汇率币种头,0))&lt;&gt;"")),INDEX(记账汇率区,0,MATCH($D1742,汇率币种头,0))),""))))</f>
        <v/>
      </c>
      <c r="K1742" s="23" t="str">
        <f t="shared" si="54"/>
        <v/>
      </c>
      <c r="L1742" s="23" t="str">
        <f t="shared" si="55"/>
        <v/>
      </c>
      <c r="M1742" s="23" t="str">
        <f>IF($B1742="","",ROUND(SUMIF(账户名,$B1742,账户期初)+SUMIFS($K$6:K1742,$B$6:B1742,$B1742),2))</f>
        <v/>
      </c>
      <c r="N1742" s="23" t="str">
        <f>IF($B1742="","",IFERROR(ROUND(INDEX(账户期初本位,MATCH($B1742,账户名,0))+SUMIFS($L$6:L1742,$B$6:B1742,$B1742),2),""))</f>
        <v/>
      </c>
      <c r="O1742" s="46"/>
      <c r="P1742" s="47"/>
      <c r="Q1742" s="46"/>
      <c r="R1742" s="46"/>
      <c r="S1742" s="6" t="str">
        <f>IF($B1742="","",IF(ISNA(MATCH($B1742,账户名,0)),"※这个账户不在【参数设置】的账户档案里",IF($A1742="","※没填日期，这一笔不会进任何月份的报表",IF(AND($G1742&lt;&gt;"",$H1742&lt;&gt;""),"※收入和支出不能同时填",IF(AND(N($G1742)=0,N($H1742)=0),"※收入和支出都没填",IF($E1742="","※没填收支类别，分类报表会漏掉这一笔",IF(ISNA(MATCH($E1742,类别表,0)),"※收支类别不在【参数设置】的清单里",IF($J1742="","△"&amp;$D1742&amp;" 还没填汇率，去【月度汇率】补上就自动算了",IF(YEAR($A1742)&lt;&gt;管理年度,"△不是管理年度的单据，年报里看不到",IF(AND($F1742="内部转账",$Q1742=""),"△内部转账建议在「往来单位」写上对方账户",IF($M1742&lt;0,"△这一笔之后该账户余额成负数了，核一下","")))))))))))</f>
        <v/>
      </c>
    </row>
    <row r="1743" ht="16.5" spans="1:19">
      <c r="A1743" s="45"/>
      <c r="B1743" s="46"/>
      <c r="C1743" s="12" t="str">
        <f>IF($B1743="","",IFERROR(INDEX(账户银行,MATCH($B1743,账户名,0)),""))</f>
        <v/>
      </c>
      <c r="D1743" s="12" t="str">
        <f>IF($B1743="","",IFERROR(INDEX(账户币种,MATCH($B1743,账户名,0)),""))</f>
        <v/>
      </c>
      <c r="E1743" s="47"/>
      <c r="F1743" s="12" t="str">
        <f>IF($E1743="","",IFERROR(INDEX(类别属性,MATCH($E1743,类别表,0)),""))</f>
        <v/>
      </c>
      <c r="G1743" s="48"/>
      <c r="H1743" s="48"/>
      <c r="I1743" s="49"/>
      <c r="J1743" s="24" t="str">
        <f>IF(OR($A1743="",$B1743=""),"",IF($I1743&lt;&gt;"",$I1743,IF($D1743=本位币,1,IFERROR(LOOKUP(2,1/((汇率月份&lt;=$A1743)*(INDEX(记账汇率区,0,MATCH($D1743,汇率币种头,0))&lt;&gt;"")),INDEX(记账汇率区,0,MATCH($D1743,汇率币种头,0))),""))))</f>
        <v/>
      </c>
      <c r="K1743" s="23" t="str">
        <f t="shared" si="54"/>
        <v/>
      </c>
      <c r="L1743" s="23" t="str">
        <f t="shared" si="55"/>
        <v/>
      </c>
      <c r="M1743" s="23" t="str">
        <f>IF($B1743="","",ROUND(SUMIF(账户名,$B1743,账户期初)+SUMIFS($K$6:K1743,$B$6:B1743,$B1743),2))</f>
        <v/>
      </c>
      <c r="N1743" s="23" t="str">
        <f>IF($B1743="","",IFERROR(ROUND(INDEX(账户期初本位,MATCH($B1743,账户名,0))+SUMIFS($L$6:L1743,$B$6:B1743,$B1743),2),""))</f>
        <v/>
      </c>
      <c r="O1743" s="46"/>
      <c r="P1743" s="47"/>
      <c r="Q1743" s="46"/>
      <c r="R1743" s="46"/>
      <c r="S1743" s="6" t="str">
        <f>IF($B1743="","",IF(ISNA(MATCH($B1743,账户名,0)),"※这个账户不在【参数设置】的账户档案里",IF($A1743="","※没填日期，这一笔不会进任何月份的报表",IF(AND($G1743&lt;&gt;"",$H1743&lt;&gt;""),"※收入和支出不能同时填",IF(AND(N($G1743)=0,N($H1743)=0),"※收入和支出都没填",IF($E1743="","※没填收支类别，分类报表会漏掉这一笔",IF(ISNA(MATCH($E1743,类别表,0)),"※收支类别不在【参数设置】的清单里",IF($J1743="","△"&amp;$D1743&amp;" 还没填汇率，去【月度汇率】补上就自动算了",IF(YEAR($A1743)&lt;&gt;管理年度,"△不是管理年度的单据，年报里看不到",IF(AND($F1743="内部转账",$Q1743=""),"△内部转账建议在「往来单位」写上对方账户",IF($M1743&lt;0,"△这一笔之后该账户余额成负数了，核一下","")))))))))))</f>
        <v/>
      </c>
    </row>
    <row r="1744" ht="16.5" spans="1:19">
      <c r="A1744" s="45"/>
      <c r="B1744" s="46"/>
      <c r="C1744" s="12" t="str">
        <f>IF($B1744="","",IFERROR(INDEX(账户银行,MATCH($B1744,账户名,0)),""))</f>
        <v/>
      </c>
      <c r="D1744" s="12" t="str">
        <f>IF($B1744="","",IFERROR(INDEX(账户币种,MATCH($B1744,账户名,0)),""))</f>
        <v/>
      </c>
      <c r="E1744" s="47"/>
      <c r="F1744" s="12" t="str">
        <f>IF($E1744="","",IFERROR(INDEX(类别属性,MATCH($E1744,类别表,0)),""))</f>
        <v/>
      </c>
      <c r="G1744" s="48"/>
      <c r="H1744" s="48"/>
      <c r="I1744" s="49"/>
      <c r="J1744" s="24" t="str">
        <f>IF(OR($A1744="",$B1744=""),"",IF($I1744&lt;&gt;"",$I1744,IF($D1744=本位币,1,IFERROR(LOOKUP(2,1/((汇率月份&lt;=$A1744)*(INDEX(记账汇率区,0,MATCH($D1744,汇率币种头,0))&lt;&gt;"")),INDEX(记账汇率区,0,MATCH($D1744,汇率币种头,0))),""))))</f>
        <v/>
      </c>
      <c r="K1744" s="23" t="str">
        <f t="shared" si="54"/>
        <v/>
      </c>
      <c r="L1744" s="23" t="str">
        <f t="shared" si="55"/>
        <v/>
      </c>
      <c r="M1744" s="23" t="str">
        <f>IF($B1744="","",ROUND(SUMIF(账户名,$B1744,账户期初)+SUMIFS($K$6:K1744,$B$6:B1744,$B1744),2))</f>
        <v/>
      </c>
      <c r="N1744" s="23" t="str">
        <f>IF($B1744="","",IFERROR(ROUND(INDEX(账户期初本位,MATCH($B1744,账户名,0))+SUMIFS($L$6:L1744,$B$6:B1744,$B1744),2),""))</f>
        <v/>
      </c>
      <c r="O1744" s="46"/>
      <c r="P1744" s="47"/>
      <c r="Q1744" s="46"/>
      <c r="R1744" s="46"/>
      <c r="S1744" s="6" t="str">
        <f>IF($B1744="","",IF(ISNA(MATCH($B1744,账户名,0)),"※这个账户不在【参数设置】的账户档案里",IF($A1744="","※没填日期，这一笔不会进任何月份的报表",IF(AND($G1744&lt;&gt;"",$H1744&lt;&gt;""),"※收入和支出不能同时填",IF(AND(N($G1744)=0,N($H1744)=0),"※收入和支出都没填",IF($E1744="","※没填收支类别，分类报表会漏掉这一笔",IF(ISNA(MATCH($E1744,类别表,0)),"※收支类别不在【参数设置】的清单里",IF($J1744="","△"&amp;$D1744&amp;" 还没填汇率，去【月度汇率】补上就自动算了",IF(YEAR($A1744)&lt;&gt;管理年度,"△不是管理年度的单据，年报里看不到",IF(AND($F1744="内部转账",$Q1744=""),"△内部转账建议在「往来单位」写上对方账户",IF($M1744&lt;0,"△这一笔之后该账户余额成负数了，核一下","")))))))))))</f>
        <v/>
      </c>
    </row>
    <row r="1745" ht="16.5" spans="1:19">
      <c r="A1745" s="45"/>
      <c r="B1745" s="46"/>
      <c r="C1745" s="12" t="str">
        <f>IF($B1745="","",IFERROR(INDEX(账户银行,MATCH($B1745,账户名,0)),""))</f>
        <v/>
      </c>
      <c r="D1745" s="12" t="str">
        <f>IF($B1745="","",IFERROR(INDEX(账户币种,MATCH($B1745,账户名,0)),""))</f>
        <v/>
      </c>
      <c r="E1745" s="47"/>
      <c r="F1745" s="12" t="str">
        <f>IF($E1745="","",IFERROR(INDEX(类别属性,MATCH($E1745,类别表,0)),""))</f>
        <v/>
      </c>
      <c r="G1745" s="48"/>
      <c r="H1745" s="48"/>
      <c r="I1745" s="49"/>
      <c r="J1745" s="24" t="str">
        <f>IF(OR($A1745="",$B1745=""),"",IF($I1745&lt;&gt;"",$I1745,IF($D1745=本位币,1,IFERROR(LOOKUP(2,1/((汇率月份&lt;=$A1745)*(INDEX(记账汇率区,0,MATCH($D1745,汇率币种头,0))&lt;&gt;"")),INDEX(记账汇率区,0,MATCH($D1745,汇率币种头,0))),""))))</f>
        <v/>
      </c>
      <c r="K1745" s="23" t="str">
        <f t="shared" si="54"/>
        <v/>
      </c>
      <c r="L1745" s="23" t="str">
        <f t="shared" si="55"/>
        <v/>
      </c>
      <c r="M1745" s="23" t="str">
        <f>IF($B1745="","",ROUND(SUMIF(账户名,$B1745,账户期初)+SUMIFS($K$6:K1745,$B$6:B1745,$B1745),2))</f>
        <v/>
      </c>
      <c r="N1745" s="23" t="str">
        <f>IF($B1745="","",IFERROR(ROUND(INDEX(账户期初本位,MATCH($B1745,账户名,0))+SUMIFS($L$6:L1745,$B$6:B1745,$B1745),2),""))</f>
        <v/>
      </c>
      <c r="O1745" s="46"/>
      <c r="P1745" s="47"/>
      <c r="Q1745" s="46"/>
      <c r="R1745" s="46"/>
      <c r="S1745" s="6" t="str">
        <f>IF($B1745="","",IF(ISNA(MATCH($B1745,账户名,0)),"※这个账户不在【参数设置】的账户档案里",IF($A1745="","※没填日期，这一笔不会进任何月份的报表",IF(AND($G1745&lt;&gt;"",$H1745&lt;&gt;""),"※收入和支出不能同时填",IF(AND(N($G1745)=0,N($H1745)=0),"※收入和支出都没填",IF($E1745="","※没填收支类别，分类报表会漏掉这一笔",IF(ISNA(MATCH($E1745,类别表,0)),"※收支类别不在【参数设置】的清单里",IF($J1745="","△"&amp;$D1745&amp;" 还没填汇率，去【月度汇率】补上就自动算了",IF(YEAR($A1745)&lt;&gt;管理年度,"△不是管理年度的单据，年报里看不到",IF(AND($F1745="内部转账",$Q1745=""),"△内部转账建议在「往来单位」写上对方账户",IF($M1745&lt;0,"△这一笔之后该账户余额成负数了，核一下","")))))))))))</f>
        <v/>
      </c>
    </row>
    <row r="1746" ht="16.5" spans="1:19">
      <c r="A1746" s="45"/>
      <c r="B1746" s="46"/>
      <c r="C1746" s="12" t="str">
        <f>IF($B1746="","",IFERROR(INDEX(账户银行,MATCH($B1746,账户名,0)),""))</f>
        <v/>
      </c>
      <c r="D1746" s="12" t="str">
        <f>IF($B1746="","",IFERROR(INDEX(账户币种,MATCH($B1746,账户名,0)),""))</f>
        <v/>
      </c>
      <c r="E1746" s="47"/>
      <c r="F1746" s="12" t="str">
        <f>IF($E1746="","",IFERROR(INDEX(类别属性,MATCH($E1746,类别表,0)),""))</f>
        <v/>
      </c>
      <c r="G1746" s="48"/>
      <c r="H1746" s="48"/>
      <c r="I1746" s="49"/>
      <c r="J1746" s="24" t="str">
        <f>IF(OR($A1746="",$B1746=""),"",IF($I1746&lt;&gt;"",$I1746,IF($D1746=本位币,1,IFERROR(LOOKUP(2,1/((汇率月份&lt;=$A1746)*(INDEX(记账汇率区,0,MATCH($D1746,汇率币种头,0))&lt;&gt;"")),INDEX(记账汇率区,0,MATCH($D1746,汇率币种头,0))),""))))</f>
        <v/>
      </c>
      <c r="K1746" s="23" t="str">
        <f t="shared" si="54"/>
        <v/>
      </c>
      <c r="L1746" s="23" t="str">
        <f t="shared" si="55"/>
        <v/>
      </c>
      <c r="M1746" s="23" t="str">
        <f>IF($B1746="","",ROUND(SUMIF(账户名,$B1746,账户期初)+SUMIFS($K$6:K1746,$B$6:B1746,$B1746),2))</f>
        <v/>
      </c>
      <c r="N1746" s="23" t="str">
        <f>IF($B1746="","",IFERROR(ROUND(INDEX(账户期初本位,MATCH($B1746,账户名,0))+SUMIFS($L$6:L1746,$B$6:B1746,$B1746),2),""))</f>
        <v/>
      </c>
      <c r="O1746" s="46"/>
      <c r="P1746" s="47"/>
      <c r="Q1746" s="46"/>
      <c r="R1746" s="46"/>
      <c r="S1746" s="6" t="str">
        <f>IF($B1746="","",IF(ISNA(MATCH($B1746,账户名,0)),"※这个账户不在【参数设置】的账户档案里",IF($A1746="","※没填日期，这一笔不会进任何月份的报表",IF(AND($G1746&lt;&gt;"",$H1746&lt;&gt;""),"※收入和支出不能同时填",IF(AND(N($G1746)=0,N($H1746)=0),"※收入和支出都没填",IF($E1746="","※没填收支类别，分类报表会漏掉这一笔",IF(ISNA(MATCH($E1746,类别表,0)),"※收支类别不在【参数设置】的清单里",IF($J1746="","△"&amp;$D1746&amp;" 还没填汇率，去【月度汇率】补上就自动算了",IF(YEAR($A1746)&lt;&gt;管理年度,"△不是管理年度的单据，年报里看不到",IF(AND($F1746="内部转账",$Q1746=""),"△内部转账建议在「往来单位」写上对方账户",IF($M1746&lt;0,"△这一笔之后该账户余额成负数了，核一下","")))))))))))</f>
        <v/>
      </c>
    </row>
    <row r="1747" ht="16.5" spans="1:19">
      <c r="A1747" s="45"/>
      <c r="B1747" s="46"/>
      <c r="C1747" s="12" t="str">
        <f>IF($B1747="","",IFERROR(INDEX(账户银行,MATCH($B1747,账户名,0)),""))</f>
        <v/>
      </c>
      <c r="D1747" s="12" t="str">
        <f>IF($B1747="","",IFERROR(INDEX(账户币种,MATCH($B1747,账户名,0)),""))</f>
        <v/>
      </c>
      <c r="E1747" s="47"/>
      <c r="F1747" s="12" t="str">
        <f>IF($E1747="","",IFERROR(INDEX(类别属性,MATCH($E1747,类别表,0)),""))</f>
        <v/>
      </c>
      <c r="G1747" s="48"/>
      <c r="H1747" s="48"/>
      <c r="I1747" s="49"/>
      <c r="J1747" s="24" t="str">
        <f>IF(OR($A1747="",$B1747=""),"",IF($I1747&lt;&gt;"",$I1747,IF($D1747=本位币,1,IFERROR(LOOKUP(2,1/((汇率月份&lt;=$A1747)*(INDEX(记账汇率区,0,MATCH($D1747,汇率币种头,0))&lt;&gt;"")),INDEX(记账汇率区,0,MATCH($D1747,汇率币种头,0))),""))))</f>
        <v/>
      </c>
      <c r="K1747" s="23" t="str">
        <f t="shared" si="54"/>
        <v/>
      </c>
      <c r="L1747" s="23" t="str">
        <f t="shared" si="55"/>
        <v/>
      </c>
      <c r="M1747" s="23" t="str">
        <f>IF($B1747="","",ROUND(SUMIF(账户名,$B1747,账户期初)+SUMIFS($K$6:K1747,$B$6:B1747,$B1747),2))</f>
        <v/>
      </c>
      <c r="N1747" s="23" t="str">
        <f>IF($B1747="","",IFERROR(ROUND(INDEX(账户期初本位,MATCH($B1747,账户名,0))+SUMIFS($L$6:L1747,$B$6:B1747,$B1747),2),""))</f>
        <v/>
      </c>
      <c r="O1747" s="46"/>
      <c r="P1747" s="47"/>
      <c r="Q1747" s="46"/>
      <c r="R1747" s="46"/>
      <c r="S1747" s="6" t="str">
        <f>IF($B1747="","",IF(ISNA(MATCH($B1747,账户名,0)),"※这个账户不在【参数设置】的账户档案里",IF($A1747="","※没填日期，这一笔不会进任何月份的报表",IF(AND($G1747&lt;&gt;"",$H1747&lt;&gt;""),"※收入和支出不能同时填",IF(AND(N($G1747)=0,N($H1747)=0),"※收入和支出都没填",IF($E1747="","※没填收支类别，分类报表会漏掉这一笔",IF(ISNA(MATCH($E1747,类别表,0)),"※收支类别不在【参数设置】的清单里",IF($J1747="","△"&amp;$D1747&amp;" 还没填汇率，去【月度汇率】补上就自动算了",IF(YEAR($A1747)&lt;&gt;管理年度,"△不是管理年度的单据，年报里看不到",IF(AND($F1747="内部转账",$Q1747=""),"△内部转账建议在「往来单位」写上对方账户",IF($M1747&lt;0,"△这一笔之后该账户余额成负数了，核一下","")))))))))))</f>
        <v/>
      </c>
    </row>
    <row r="1748" ht="16.5" spans="1:19">
      <c r="A1748" s="45"/>
      <c r="B1748" s="46"/>
      <c r="C1748" s="12" t="str">
        <f>IF($B1748="","",IFERROR(INDEX(账户银行,MATCH($B1748,账户名,0)),""))</f>
        <v/>
      </c>
      <c r="D1748" s="12" t="str">
        <f>IF($B1748="","",IFERROR(INDEX(账户币种,MATCH($B1748,账户名,0)),""))</f>
        <v/>
      </c>
      <c r="E1748" s="47"/>
      <c r="F1748" s="12" t="str">
        <f>IF($E1748="","",IFERROR(INDEX(类别属性,MATCH($E1748,类别表,0)),""))</f>
        <v/>
      </c>
      <c r="G1748" s="48"/>
      <c r="H1748" s="48"/>
      <c r="I1748" s="49"/>
      <c r="J1748" s="24" t="str">
        <f>IF(OR($A1748="",$B1748=""),"",IF($I1748&lt;&gt;"",$I1748,IF($D1748=本位币,1,IFERROR(LOOKUP(2,1/((汇率月份&lt;=$A1748)*(INDEX(记账汇率区,0,MATCH($D1748,汇率币种头,0))&lt;&gt;"")),INDEX(记账汇率区,0,MATCH($D1748,汇率币种头,0))),""))))</f>
        <v/>
      </c>
      <c r="K1748" s="23" t="str">
        <f t="shared" si="54"/>
        <v/>
      </c>
      <c r="L1748" s="23" t="str">
        <f t="shared" si="55"/>
        <v/>
      </c>
      <c r="M1748" s="23" t="str">
        <f>IF($B1748="","",ROUND(SUMIF(账户名,$B1748,账户期初)+SUMIFS($K$6:K1748,$B$6:B1748,$B1748),2))</f>
        <v/>
      </c>
      <c r="N1748" s="23" t="str">
        <f>IF($B1748="","",IFERROR(ROUND(INDEX(账户期初本位,MATCH($B1748,账户名,0))+SUMIFS($L$6:L1748,$B$6:B1748,$B1748),2),""))</f>
        <v/>
      </c>
      <c r="O1748" s="46"/>
      <c r="P1748" s="47"/>
      <c r="Q1748" s="46"/>
      <c r="R1748" s="46"/>
      <c r="S1748" s="6" t="str">
        <f>IF($B1748="","",IF(ISNA(MATCH($B1748,账户名,0)),"※这个账户不在【参数设置】的账户档案里",IF($A1748="","※没填日期，这一笔不会进任何月份的报表",IF(AND($G1748&lt;&gt;"",$H1748&lt;&gt;""),"※收入和支出不能同时填",IF(AND(N($G1748)=0,N($H1748)=0),"※收入和支出都没填",IF($E1748="","※没填收支类别，分类报表会漏掉这一笔",IF(ISNA(MATCH($E1748,类别表,0)),"※收支类别不在【参数设置】的清单里",IF($J1748="","△"&amp;$D1748&amp;" 还没填汇率，去【月度汇率】补上就自动算了",IF(YEAR($A1748)&lt;&gt;管理年度,"△不是管理年度的单据，年报里看不到",IF(AND($F1748="内部转账",$Q1748=""),"△内部转账建议在「往来单位」写上对方账户",IF($M1748&lt;0,"△这一笔之后该账户余额成负数了，核一下","")))))))))))</f>
        <v/>
      </c>
    </row>
    <row r="1749" ht="16.5" spans="1:19">
      <c r="A1749" s="45"/>
      <c r="B1749" s="46"/>
      <c r="C1749" s="12" t="str">
        <f>IF($B1749="","",IFERROR(INDEX(账户银行,MATCH($B1749,账户名,0)),""))</f>
        <v/>
      </c>
      <c r="D1749" s="12" t="str">
        <f>IF($B1749="","",IFERROR(INDEX(账户币种,MATCH($B1749,账户名,0)),""))</f>
        <v/>
      </c>
      <c r="E1749" s="47"/>
      <c r="F1749" s="12" t="str">
        <f>IF($E1749="","",IFERROR(INDEX(类别属性,MATCH($E1749,类别表,0)),""))</f>
        <v/>
      </c>
      <c r="G1749" s="48"/>
      <c r="H1749" s="48"/>
      <c r="I1749" s="49"/>
      <c r="J1749" s="24" t="str">
        <f>IF(OR($A1749="",$B1749=""),"",IF($I1749&lt;&gt;"",$I1749,IF($D1749=本位币,1,IFERROR(LOOKUP(2,1/((汇率月份&lt;=$A1749)*(INDEX(记账汇率区,0,MATCH($D1749,汇率币种头,0))&lt;&gt;"")),INDEX(记账汇率区,0,MATCH($D1749,汇率币种头,0))),""))))</f>
        <v/>
      </c>
      <c r="K1749" s="23" t="str">
        <f t="shared" si="54"/>
        <v/>
      </c>
      <c r="L1749" s="23" t="str">
        <f t="shared" si="55"/>
        <v/>
      </c>
      <c r="M1749" s="23" t="str">
        <f>IF($B1749="","",ROUND(SUMIF(账户名,$B1749,账户期初)+SUMIFS($K$6:K1749,$B$6:B1749,$B1749),2))</f>
        <v/>
      </c>
      <c r="N1749" s="23" t="str">
        <f>IF($B1749="","",IFERROR(ROUND(INDEX(账户期初本位,MATCH($B1749,账户名,0))+SUMIFS($L$6:L1749,$B$6:B1749,$B1749),2),""))</f>
        <v/>
      </c>
      <c r="O1749" s="46"/>
      <c r="P1749" s="47"/>
      <c r="Q1749" s="46"/>
      <c r="R1749" s="46"/>
      <c r="S1749" s="6" t="str">
        <f>IF($B1749="","",IF(ISNA(MATCH($B1749,账户名,0)),"※这个账户不在【参数设置】的账户档案里",IF($A1749="","※没填日期，这一笔不会进任何月份的报表",IF(AND($G1749&lt;&gt;"",$H1749&lt;&gt;""),"※收入和支出不能同时填",IF(AND(N($G1749)=0,N($H1749)=0),"※收入和支出都没填",IF($E1749="","※没填收支类别，分类报表会漏掉这一笔",IF(ISNA(MATCH($E1749,类别表,0)),"※收支类别不在【参数设置】的清单里",IF($J1749="","△"&amp;$D1749&amp;" 还没填汇率，去【月度汇率】补上就自动算了",IF(YEAR($A1749)&lt;&gt;管理年度,"△不是管理年度的单据，年报里看不到",IF(AND($F1749="内部转账",$Q1749=""),"△内部转账建议在「往来单位」写上对方账户",IF($M1749&lt;0,"△这一笔之后该账户余额成负数了，核一下","")))))))))))</f>
        <v/>
      </c>
    </row>
    <row r="1750" ht="16.5" spans="1:19">
      <c r="A1750" s="45"/>
      <c r="B1750" s="46"/>
      <c r="C1750" s="12" t="str">
        <f>IF($B1750="","",IFERROR(INDEX(账户银行,MATCH($B1750,账户名,0)),""))</f>
        <v/>
      </c>
      <c r="D1750" s="12" t="str">
        <f>IF($B1750="","",IFERROR(INDEX(账户币种,MATCH($B1750,账户名,0)),""))</f>
        <v/>
      </c>
      <c r="E1750" s="47"/>
      <c r="F1750" s="12" t="str">
        <f>IF($E1750="","",IFERROR(INDEX(类别属性,MATCH($E1750,类别表,0)),""))</f>
        <v/>
      </c>
      <c r="G1750" s="48"/>
      <c r="H1750" s="48"/>
      <c r="I1750" s="49"/>
      <c r="J1750" s="24" t="str">
        <f>IF(OR($A1750="",$B1750=""),"",IF($I1750&lt;&gt;"",$I1750,IF($D1750=本位币,1,IFERROR(LOOKUP(2,1/((汇率月份&lt;=$A1750)*(INDEX(记账汇率区,0,MATCH($D1750,汇率币种头,0))&lt;&gt;"")),INDEX(记账汇率区,0,MATCH($D1750,汇率币种头,0))),""))))</f>
        <v/>
      </c>
      <c r="K1750" s="23" t="str">
        <f t="shared" si="54"/>
        <v/>
      </c>
      <c r="L1750" s="23" t="str">
        <f t="shared" si="55"/>
        <v/>
      </c>
      <c r="M1750" s="23" t="str">
        <f>IF($B1750="","",ROUND(SUMIF(账户名,$B1750,账户期初)+SUMIFS($K$6:K1750,$B$6:B1750,$B1750),2))</f>
        <v/>
      </c>
      <c r="N1750" s="23" t="str">
        <f>IF($B1750="","",IFERROR(ROUND(INDEX(账户期初本位,MATCH($B1750,账户名,0))+SUMIFS($L$6:L1750,$B$6:B1750,$B1750),2),""))</f>
        <v/>
      </c>
      <c r="O1750" s="46"/>
      <c r="P1750" s="47"/>
      <c r="Q1750" s="46"/>
      <c r="R1750" s="46"/>
      <c r="S1750" s="6" t="str">
        <f>IF($B1750="","",IF(ISNA(MATCH($B1750,账户名,0)),"※这个账户不在【参数设置】的账户档案里",IF($A1750="","※没填日期，这一笔不会进任何月份的报表",IF(AND($G1750&lt;&gt;"",$H1750&lt;&gt;""),"※收入和支出不能同时填",IF(AND(N($G1750)=0,N($H1750)=0),"※收入和支出都没填",IF($E1750="","※没填收支类别，分类报表会漏掉这一笔",IF(ISNA(MATCH($E1750,类别表,0)),"※收支类别不在【参数设置】的清单里",IF($J1750="","△"&amp;$D1750&amp;" 还没填汇率，去【月度汇率】补上就自动算了",IF(YEAR($A1750)&lt;&gt;管理年度,"△不是管理年度的单据，年报里看不到",IF(AND($F1750="内部转账",$Q1750=""),"△内部转账建议在「往来单位」写上对方账户",IF($M1750&lt;0,"△这一笔之后该账户余额成负数了，核一下","")))))))))))</f>
        <v/>
      </c>
    </row>
    <row r="1751" ht="16.5" spans="1:19">
      <c r="A1751" s="45"/>
      <c r="B1751" s="46"/>
      <c r="C1751" s="12" t="str">
        <f>IF($B1751="","",IFERROR(INDEX(账户银行,MATCH($B1751,账户名,0)),""))</f>
        <v/>
      </c>
      <c r="D1751" s="12" t="str">
        <f>IF($B1751="","",IFERROR(INDEX(账户币种,MATCH($B1751,账户名,0)),""))</f>
        <v/>
      </c>
      <c r="E1751" s="47"/>
      <c r="F1751" s="12" t="str">
        <f>IF($E1751="","",IFERROR(INDEX(类别属性,MATCH($E1751,类别表,0)),""))</f>
        <v/>
      </c>
      <c r="G1751" s="48"/>
      <c r="H1751" s="48"/>
      <c r="I1751" s="49"/>
      <c r="J1751" s="24" t="str">
        <f>IF(OR($A1751="",$B1751=""),"",IF($I1751&lt;&gt;"",$I1751,IF($D1751=本位币,1,IFERROR(LOOKUP(2,1/((汇率月份&lt;=$A1751)*(INDEX(记账汇率区,0,MATCH($D1751,汇率币种头,0))&lt;&gt;"")),INDEX(记账汇率区,0,MATCH($D1751,汇率币种头,0))),""))))</f>
        <v/>
      </c>
      <c r="K1751" s="23" t="str">
        <f t="shared" si="54"/>
        <v/>
      </c>
      <c r="L1751" s="23" t="str">
        <f t="shared" si="55"/>
        <v/>
      </c>
      <c r="M1751" s="23" t="str">
        <f>IF($B1751="","",ROUND(SUMIF(账户名,$B1751,账户期初)+SUMIFS($K$6:K1751,$B$6:B1751,$B1751),2))</f>
        <v/>
      </c>
      <c r="N1751" s="23" t="str">
        <f>IF($B1751="","",IFERROR(ROUND(INDEX(账户期初本位,MATCH($B1751,账户名,0))+SUMIFS($L$6:L1751,$B$6:B1751,$B1751),2),""))</f>
        <v/>
      </c>
      <c r="O1751" s="46"/>
      <c r="P1751" s="47"/>
      <c r="Q1751" s="46"/>
      <c r="R1751" s="46"/>
      <c r="S1751" s="6" t="str">
        <f>IF($B1751="","",IF(ISNA(MATCH($B1751,账户名,0)),"※这个账户不在【参数设置】的账户档案里",IF($A1751="","※没填日期，这一笔不会进任何月份的报表",IF(AND($G1751&lt;&gt;"",$H1751&lt;&gt;""),"※收入和支出不能同时填",IF(AND(N($G1751)=0,N($H1751)=0),"※收入和支出都没填",IF($E1751="","※没填收支类别，分类报表会漏掉这一笔",IF(ISNA(MATCH($E1751,类别表,0)),"※收支类别不在【参数设置】的清单里",IF($J1751="","△"&amp;$D1751&amp;" 还没填汇率，去【月度汇率】补上就自动算了",IF(YEAR($A1751)&lt;&gt;管理年度,"△不是管理年度的单据，年报里看不到",IF(AND($F1751="内部转账",$Q1751=""),"△内部转账建议在「往来单位」写上对方账户",IF($M1751&lt;0,"△这一笔之后该账户余额成负数了，核一下","")))))))))))</f>
        <v/>
      </c>
    </row>
    <row r="1752" ht="16.5" spans="1:19">
      <c r="A1752" s="45"/>
      <c r="B1752" s="46"/>
      <c r="C1752" s="12" t="str">
        <f>IF($B1752="","",IFERROR(INDEX(账户银行,MATCH($B1752,账户名,0)),""))</f>
        <v/>
      </c>
      <c r="D1752" s="12" t="str">
        <f>IF($B1752="","",IFERROR(INDEX(账户币种,MATCH($B1752,账户名,0)),""))</f>
        <v/>
      </c>
      <c r="E1752" s="47"/>
      <c r="F1752" s="12" t="str">
        <f>IF($E1752="","",IFERROR(INDEX(类别属性,MATCH($E1752,类别表,0)),""))</f>
        <v/>
      </c>
      <c r="G1752" s="48"/>
      <c r="H1752" s="48"/>
      <c r="I1752" s="49"/>
      <c r="J1752" s="24" t="str">
        <f>IF(OR($A1752="",$B1752=""),"",IF($I1752&lt;&gt;"",$I1752,IF($D1752=本位币,1,IFERROR(LOOKUP(2,1/((汇率月份&lt;=$A1752)*(INDEX(记账汇率区,0,MATCH($D1752,汇率币种头,0))&lt;&gt;"")),INDEX(记账汇率区,0,MATCH($D1752,汇率币种头,0))),""))))</f>
        <v/>
      </c>
      <c r="K1752" s="23" t="str">
        <f t="shared" si="54"/>
        <v/>
      </c>
      <c r="L1752" s="23" t="str">
        <f t="shared" si="55"/>
        <v/>
      </c>
      <c r="M1752" s="23" t="str">
        <f>IF($B1752="","",ROUND(SUMIF(账户名,$B1752,账户期初)+SUMIFS($K$6:K1752,$B$6:B1752,$B1752),2))</f>
        <v/>
      </c>
      <c r="N1752" s="23" t="str">
        <f>IF($B1752="","",IFERROR(ROUND(INDEX(账户期初本位,MATCH($B1752,账户名,0))+SUMIFS($L$6:L1752,$B$6:B1752,$B1752),2),""))</f>
        <v/>
      </c>
      <c r="O1752" s="46"/>
      <c r="P1752" s="47"/>
      <c r="Q1752" s="46"/>
      <c r="R1752" s="46"/>
      <c r="S1752" s="6" t="str">
        <f>IF($B1752="","",IF(ISNA(MATCH($B1752,账户名,0)),"※这个账户不在【参数设置】的账户档案里",IF($A1752="","※没填日期，这一笔不会进任何月份的报表",IF(AND($G1752&lt;&gt;"",$H1752&lt;&gt;""),"※收入和支出不能同时填",IF(AND(N($G1752)=0,N($H1752)=0),"※收入和支出都没填",IF($E1752="","※没填收支类别，分类报表会漏掉这一笔",IF(ISNA(MATCH($E1752,类别表,0)),"※收支类别不在【参数设置】的清单里",IF($J1752="","△"&amp;$D1752&amp;" 还没填汇率，去【月度汇率】补上就自动算了",IF(YEAR($A1752)&lt;&gt;管理年度,"△不是管理年度的单据，年报里看不到",IF(AND($F1752="内部转账",$Q1752=""),"△内部转账建议在「往来单位」写上对方账户",IF($M1752&lt;0,"△这一笔之后该账户余额成负数了，核一下","")))))))))))</f>
        <v/>
      </c>
    </row>
    <row r="1753" ht="16.5" spans="1:19">
      <c r="A1753" s="45"/>
      <c r="B1753" s="46"/>
      <c r="C1753" s="12" t="str">
        <f>IF($B1753="","",IFERROR(INDEX(账户银行,MATCH($B1753,账户名,0)),""))</f>
        <v/>
      </c>
      <c r="D1753" s="12" t="str">
        <f>IF($B1753="","",IFERROR(INDEX(账户币种,MATCH($B1753,账户名,0)),""))</f>
        <v/>
      </c>
      <c r="E1753" s="47"/>
      <c r="F1753" s="12" t="str">
        <f>IF($E1753="","",IFERROR(INDEX(类别属性,MATCH($E1753,类别表,0)),""))</f>
        <v/>
      </c>
      <c r="G1753" s="48"/>
      <c r="H1753" s="48"/>
      <c r="I1753" s="49"/>
      <c r="J1753" s="24" t="str">
        <f>IF(OR($A1753="",$B1753=""),"",IF($I1753&lt;&gt;"",$I1753,IF($D1753=本位币,1,IFERROR(LOOKUP(2,1/((汇率月份&lt;=$A1753)*(INDEX(记账汇率区,0,MATCH($D1753,汇率币种头,0))&lt;&gt;"")),INDEX(记账汇率区,0,MATCH($D1753,汇率币种头,0))),""))))</f>
        <v/>
      </c>
      <c r="K1753" s="23" t="str">
        <f t="shared" si="54"/>
        <v/>
      </c>
      <c r="L1753" s="23" t="str">
        <f t="shared" si="55"/>
        <v/>
      </c>
      <c r="M1753" s="23" t="str">
        <f>IF($B1753="","",ROUND(SUMIF(账户名,$B1753,账户期初)+SUMIFS($K$6:K1753,$B$6:B1753,$B1753),2))</f>
        <v/>
      </c>
      <c r="N1753" s="23" t="str">
        <f>IF($B1753="","",IFERROR(ROUND(INDEX(账户期初本位,MATCH($B1753,账户名,0))+SUMIFS($L$6:L1753,$B$6:B1753,$B1753),2),""))</f>
        <v/>
      </c>
      <c r="O1753" s="46"/>
      <c r="P1753" s="47"/>
      <c r="Q1753" s="46"/>
      <c r="R1753" s="46"/>
      <c r="S1753" s="6" t="str">
        <f>IF($B1753="","",IF(ISNA(MATCH($B1753,账户名,0)),"※这个账户不在【参数设置】的账户档案里",IF($A1753="","※没填日期，这一笔不会进任何月份的报表",IF(AND($G1753&lt;&gt;"",$H1753&lt;&gt;""),"※收入和支出不能同时填",IF(AND(N($G1753)=0,N($H1753)=0),"※收入和支出都没填",IF($E1753="","※没填收支类别，分类报表会漏掉这一笔",IF(ISNA(MATCH($E1753,类别表,0)),"※收支类别不在【参数设置】的清单里",IF($J1753="","△"&amp;$D1753&amp;" 还没填汇率，去【月度汇率】补上就自动算了",IF(YEAR($A1753)&lt;&gt;管理年度,"△不是管理年度的单据，年报里看不到",IF(AND($F1753="内部转账",$Q1753=""),"△内部转账建议在「往来单位」写上对方账户",IF($M1753&lt;0,"△这一笔之后该账户余额成负数了，核一下","")))))))))))</f>
        <v/>
      </c>
    </row>
    <row r="1754" ht="16.5" spans="1:19">
      <c r="A1754" s="45"/>
      <c r="B1754" s="46"/>
      <c r="C1754" s="12" t="str">
        <f>IF($B1754="","",IFERROR(INDEX(账户银行,MATCH($B1754,账户名,0)),""))</f>
        <v/>
      </c>
      <c r="D1754" s="12" t="str">
        <f>IF($B1754="","",IFERROR(INDEX(账户币种,MATCH($B1754,账户名,0)),""))</f>
        <v/>
      </c>
      <c r="E1754" s="47"/>
      <c r="F1754" s="12" t="str">
        <f>IF($E1754="","",IFERROR(INDEX(类别属性,MATCH($E1754,类别表,0)),""))</f>
        <v/>
      </c>
      <c r="G1754" s="48"/>
      <c r="H1754" s="48"/>
      <c r="I1754" s="49"/>
      <c r="J1754" s="24" t="str">
        <f>IF(OR($A1754="",$B1754=""),"",IF($I1754&lt;&gt;"",$I1754,IF($D1754=本位币,1,IFERROR(LOOKUP(2,1/((汇率月份&lt;=$A1754)*(INDEX(记账汇率区,0,MATCH($D1754,汇率币种头,0))&lt;&gt;"")),INDEX(记账汇率区,0,MATCH($D1754,汇率币种头,0))),""))))</f>
        <v/>
      </c>
      <c r="K1754" s="23" t="str">
        <f t="shared" si="54"/>
        <v/>
      </c>
      <c r="L1754" s="23" t="str">
        <f t="shared" si="55"/>
        <v/>
      </c>
      <c r="M1754" s="23" t="str">
        <f>IF($B1754="","",ROUND(SUMIF(账户名,$B1754,账户期初)+SUMIFS($K$6:K1754,$B$6:B1754,$B1754),2))</f>
        <v/>
      </c>
      <c r="N1754" s="23" t="str">
        <f>IF($B1754="","",IFERROR(ROUND(INDEX(账户期初本位,MATCH($B1754,账户名,0))+SUMIFS($L$6:L1754,$B$6:B1754,$B1754),2),""))</f>
        <v/>
      </c>
      <c r="O1754" s="46"/>
      <c r="P1754" s="47"/>
      <c r="Q1754" s="46"/>
      <c r="R1754" s="46"/>
      <c r="S1754" s="6" t="str">
        <f>IF($B1754="","",IF(ISNA(MATCH($B1754,账户名,0)),"※这个账户不在【参数设置】的账户档案里",IF($A1754="","※没填日期，这一笔不会进任何月份的报表",IF(AND($G1754&lt;&gt;"",$H1754&lt;&gt;""),"※收入和支出不能同时填",IF(AND(N($G1754)=0,N($H1754)=0),"※收入和支出都没填",IF($E1754="","※没填收支类别，分类报表会漏掉这一笔",IF(ISNA(MATCH($E1754,类别表,0)),"※收支类别不在【参数设置】的清单里",IF($J1754="","△"&amp;$D1754&amp;" 还没填汇率，去【月度汇率】补上就自动算了",IF(YEAR($A1754)&lt;&gt;管理年度,"△不是管理年度的单据，年报里看不到",IF(AND($F1754="内部转账",$Q1754=""),"△内部转账建议在「往来单位」写上对方账户",IF($M1754&lt;0,"△这一笔之后该账户余额成负数了，核一下","")))))))))))</f>
        <v/>
      </c>
    </row>
    <row r="1755" ht="16.5" spans="1:19">
      <c r="A1755" s="45"/>
      <c r="B1755" s="46"/>
      <c r="C1755" s="12" t="str">
        <f>IF($B1755="","",IFERROR(INDEX(账户银行,MATCH($B1755,账户名,0)),""))</f>
        <v/>
      </c>
      <c r="D1755" s="12" t="str">
        <f>IF($B1755="","",IFERROR(INDEX(账户币种,MATCH($B1755,账户名,0)),""))</f>
        <v/>
      </c>
      <c r="E1755" s="47"/>
      <c r="F1755" s="12" t="str">
        <f>IF($E1755="","",IFERROR(INDEX(类别属性,MATCH($E1755,类别表,0)),""))</f>
        <v/>
      </c>
      <c r="G1755" s="48"/>
      <c r="H1755" s="48"/>
      <c r="I1755" s="49"/>
      <c r="J1755" s="24" t="str">
        <f>IF(OR($A1755="",$B1755=""),"",IF($I1755&lt;&gt;"",$I1755,IF($D1755=本位币,1,IFERROR(LOOKUP(2,1/((汇率月份&lt;=$A1755)*(INDEX(记账汇率区,0,MATCH($D1755,汇率币种头,0))&lt;&gt;"")),INDEX(记账汇率区,0,MATCH($D1755,汇率币种头,0))),""))))</f>
        <v/>
      </c>
      <c r="K1755" s="23" t="str">
        <f t="shared" si="54"/>
        <v/>
      </c>
      <c r="L1755" s="23" t="str">
        <f t="shared" si="55"/>
        <v/>
      </c>
      <c r="M1755" s="23" t="str">
        <f>IF($B1755="","",ROUND(SUMIF(账户名,$B1755,账户期初)+SUMIFS($K$6:K1755,$B$6:B1755,$B1755),2))</f>
        <v/>
      </c>
      <c r="N1755" s="23" t="str">
        <f>IF($B1755="","",IFERROR(ROUND(INDEX(账户期初本位,MATCH($B1755,账户名,0))+SUMIFS($L$6:L1755,$B$6:B1755,$B1755),2),""))</f>
        <v/>
      </c>
      <c r="O1755" s="46"/>
      <c r="P1755" s="47"/>
      <c r="Q1755" s="46"/>
      <c r="R1755" s="46"/>
      <c r="S1755" s="6" t="str">
        <f>IF($B1755="","",IF(ISNA(MATCH($B1755,账户名,0)),"※这个账户不在【参数设置】的账户档案里",IF($A1755="","※没填日期，这一笔不会进任何月份的报表",IF(AND($G1755&lt;&gt;"",$H1755&lt;&gt;""),"※收入和支出不能同时填",IF(AND(N($G1755)=0,N($H1755)=0),"※收入和支出都没填",IF($E1755="","※没填收支类别，分类报表会漏掉这一笔",IF(ISNA(MATCH($E1755,类别表,0)),"※收支类别不在【参数设置】的清单里",IF($J1755="","△"&amp;$D1755&amp;" 还没填汇率，去【月度汇率】补上就自动算了",IF(YEAR($A1755)&lt;&gt;管理年度,"△不是管理年度的单据，年报里看不到",IF(AND($F1755="内部转账",$Q1755=""),"△内部转账建议在「往来单位」写上对方账户",IF($M1755&lt;0,"△这一笔之后该账户余额成负数了，核一下","")))))))))))</f>
        <v/>
      </c>
    </row>
    <row r="1756" ht="16.5" spans="1:19">
      <c r="A1756" s="45"/>
      <c r="B1756" s="46"/>
      <c r="C1756" s="12" t="str">
        <f>IF($B1756="","",IFERROR(INDEX(账户银行,MATCH($B1756,账户名,0)),""))</f>
        <v/>
      </c>
      <c r="D1756" s="12" t="str">
        <f>IF($B1756="","",IFERROR(INDEX(账户币种,MATCH($B1756,账户名,0)),""))</f>
        <v/>
      </c>
      <c r="E1756" s="47"/>
      <c r="F1756" s="12" t="str">
        <f>IF($E1756="","",IFERROR(INDEX(类别属性,MATCH($E1756,类别表,0)),""))</f>
        <v/>
      </c>
      <c r="G1756" s="48"/>
      <c r="H1756" s="48"/>
      <c r="I1756" s="49"/>
      <c r="J1756" s="24" t="str">
        <f>IF(OR($A1756="",$B1756=""),"",IF($I1756&lt;&gt;"",$I1756,IF($D1756=本位币,1,IFERROR(LOOKUP(2,1/((汇率月份&lt;=$A1756)*(INDEX(记账汇率区,0,MATCH($D1756,汇率币种头,0))&lt;&gt;"")),INDEX(记账汇率区,0,MATCH($D1756,汇率币种头,0))),""))))</f>
        <v/>
      </c>
      <c r="K1756" s="23" t="str">
        <f t="shared" si="54"/>
        <v/>
      </c>
      <c r="L1756" s="23" t="str">
        <f t="shared" si="55"/>
        <v/>
      </c>
      <c r="M1756" s="23" t="str">
        <f>IF($B1756="","",ROUND(SUMIF(账户名,$B1756,账户期初)+SUMIFS($K$6:K1756,$B$6:B1756,$B1756),2))</f>
        <v/>
      </c>
      <c r="N1756" s="23" t="str">
        <f>IF($B1756="","",IFERROR(ROUND(INDEX(账户期初本位,MATCH($B1756,账户名,0))+SUMIFS($L$6:L1756,$B$6:B1756,$B1756),2),""))</f>
        <v/>
      </c>
      <c r="O1756" s="46"/>
      <c r="P1756" s="47"/>
      <c r="Q1756" s="46"/>
      <c r="R1756" s="46"/>
      <c r="S1756" s="6" t="str">
        <f>IF($B1756="","",IF(ISNA(MATCH($B1756,账户名,0)),"※这个账户不在【参数设置】的账户档案里",IF($A1756="","※没填日期，这一笔不会进任何月份的报表",IF(AND($G1756&lt;&gt;"",$H1756&lt;&gt;""),"※收入和支出不能同时填",IF(AND(N($G1756)=0,N($H1756)=0),"※收入和支出都没填",IF($E1756="","※没填收支类别，分类报表会漏掉这一笔",IF(ISNA(MATCH($E1756,类别表,0)),"※收支类别不在【参数设置】的清单里",IF($J1756="","△"&amp;$D1756&amp;" 还没填汇率，去【月度汇率】补上就自动算了",IF(YEAR($A1756)&lt;&gt;管理年度,"△不是管理年度的单据，年报里看不到",IF(AND($F1756="内部转账",$Q1756=""),"△内部转账建议在「往来单位」写上对方账户",IF($M1756&lt;0,"△这一笔之后该账户余额成负数了，核一下","")))))))))))</f>
        <v/>
      </c>
    </row>
    <row r="1757" ht="16.5" spans="1:19">
      <c r="A1757" s="45"/>
      <c r="B1757" s="46"/>
      <c r="C1757" s="12" t="str">
        <f>IF($B1757="","",IFERROR(INDEX(账户银行,MATCH($B1757,账户名,0)),""))</f>
        <v/>
      </c>
      <c r="D1757" s="12" t="str">
        <f>IF($B1757="","",IFERROR(INDEX(账户币种,MATCH($B1757,账户名,0)),""))</f>
        <v/>
      </c>
      <c r="E1757" s="47"/>
      <c r="F1757" s="12" t="str">
        <f>IF($E1757="","",IFERROR(INDEX(类别属性,MATCH($E1757,类别表,0)),""))</f>
        <v/>
      </c>
      <c r="G1757" s="48"/>
      <c r="H1757" s="48"/>
      <c r="I1757" s="49"/>
      <c r="J1757" s="24" t="str">
        <f>IF(OR($A1757="",$B1757=""),"",IF($I1757&lt;&gt;"",$I1757,IF($D1757=本位币,1,IFERROR(LOOKUP(2,1/((汇率月份&lt;=$A1757)*(INDEX(记账汇率区,0,MATCH($D1757,汇率币种头,0))&lt;&gt;"")),INDEX(记账汇率区,0,MATCH($D1757,汇率币种头,0))),""))))</f>
        <v/>
      </c>
      <c r="K1757" s="23" t="str">
        <f t="shared" si="54"/>
        <v/>
      </c>
      <c r="L1757" s="23" t="str">
        <f t="shared" si="55"/>
        <v/>
      </c>
      <c r="M1757" s="23" t="str">
        <f>IF($B1757="","",ROUND(SUMIF(账户名,$B1757,账户期初)+SUMIFS($K$6:K1757,$B$6:B1757,$B1757),2))</f>
        <v/>
      </c>
      <c r="N1757" s="23" t="str">
        <f>IF($B1757="","",IFERROR(ROUND(INDEX(账户期初本位,MATCH($B1757,账户名,0))+SUMIFS($L$6:L1757,$B$6:B1757,$B1757),2),""))</f>
        <v/>
      </c>
      <c r="O1757" s="46"/>
      <c r="P1757" s="47"/>
      <c r="Q1757" s="46"/>
      <c r="R1757" s="46"/>
      <c r="S1757" s="6" t="str">
        <f>IF($B1757="","",IF(ISNA(MATCH($B1757,账户名,0)),"※这个账户不在【参数设置】的账户档案里",IF($A1757="","※没填日期，这一笔不会进任何月份的报表",IF(AND($G1757&lt;&gt;"",$H1757&lt;&gt;""),"※收入和支出不能同时填",IF(AND(N($G1757)=0,N($H1757)=0),"※收入和支出都没填",IF($E1757="","※没填收支类别，分类报表会漏掉这一笔",IF(ISNA(MATCH($E1757,类别表,0)),"※收支类别不在【参数设置】的清单里",IF($J1757="","△"&amp;$D1757&amp;" 还没填汇率，去【月度汇率】补上就自动算了",IF(YEAR($A1757)&lt;&gt;管理年度,"△不是管理年度的单据，年报里看不到",IF(AND($F1757="内部转账",$Q1757=""),"△内部转账建议在「往来单位」写上对方账户",IF($M1757&lt;0,"△这一笔之后该账户余额成负数了，核一下","")))))))))))</f>
        <v/>
      </c>
    </row>
    <row r="1758" ht="16.5" spans="1:19">
      <c r="A1758" s="45"/>
      <c r="B1758" s="46"/>
      <c r="C1758" s="12" t="str">
        <f>IF($B1758="","",IFERROR(INDEX(账户银行,MATCH($B1758,账户名,0)),""))</f>
        <v/>
      </c>
      <c r="D1758" s="12" t="str">
        <f>IF($B1758="","",IFERROR(INDEX(账户币种,MATCH($B1758,账户名,0)),""))</f>
        <v/>
      </c>
      <c r="E1758" s="47"/>
      <c r="F1758" s="12" t="str">
        <f>IF($E1758="","",IFERROR(INDEX(类别属性,MATCH($E1758,类别表,0)),""))</f>
        <v/>
      </c>
      <c r="G1758" s="48"/>
      <c r="H1758" s="48"/>
      <c r="I1758" s="49"/>
      <c r="J1758" s="24" t="str">
        <f>IF(OR($A1758="",$B1758=""),"",IF($I1758&lt;&gt;"",$I1758,IF($D1758=本位币,1,IFERROR(LOOKUP(2,1/((汇率月份&lt;=$A1758)*(INDEX(记账汇率区,0,MATCH($D1758,汇率币种头,0))&lt;&gt;"")),INDEX(记账汇率区,0,MATCH($D1758,汇率币种头,0))),""))))</f>
        <v/>
      </c>
      <c r="K1758" s="23" t="str">
        <f t="shared" si="54"/>
        <v/>
      </c>
      <c r="L1758" s="23" t="str">
        <f t="shared" si="55"/>
        <v/>
      </c>
      <c r="M1758" s="23" t="str">
        <f>IF($B1758="","",ROUND(SUMIF(账户名,$B1758,账户期初)+SUMIFS($K$6:K1758,$B$6:B1758,$B1758),2))</f>
        <v/>
      </c>
      <c r="N1758" s="23" t="str">
        <f>IF($B1758="","",IFERROR(ROUND(INDEX(账户期初本位,MATCH($B1758,账户名,0))+SUMIFS($L$6:L1758,$B$6:B1758,$B1758),2),""))</f>
        <v/>
      </c>
      <c r="O1758" s="46"/>
      <c r="P1758" s="47"/>
      <c r="Q1758" s="46"/>
      <c r="R1758" s="46"/>
      <c r="S1758" s="6" t="str">
        <f>IF($B1758="","",IF(ISNA(MATCH($B1758,账户名,0)),"※这个账户不在【参数设置】的账户档案里",IF($A1758="","※没填日期，这一笔不会进任何月份的报表",IF(AND($G1758&lt;&gt;"",$H1758&lt;&gt;""),"※收入和支出不能同时填",IF(AND(N($G1758)=0,N($H1758)=0),"※收入和支出都没填",IF($E1758="","※没填收支类别，分类报表会漏掉这一笔",IF(ISNA(MATCH($E1758,类别表,0)),"※收支类别不在【参数设置】的清单里",IF($J1758="","△"&amp;$D1758&amp;" 还没填汇率，去【月度汇率】补上就自动算了",IF(YEAR($A1758)&lt;&gt;管理年度,"△不是管理年度的单据，年报里看不到",IF(AND($F1758="内部转账",$Q1758=""),"△内部转账建议在「往来单位」写上对方账户",IF($M1758&lt;0,"△这一笔之后该账户余额成负数了，核一下","")))))))))))</f>
        <v/>
      </c>
    </row>
    <row r="1759" ht="16.5" spans="1:19">
      <c r="A1759" s="45"/>
      <c r="B1759" s="46"/>
      <c r="C1759" s="12" t="str">
        <f>IF($B1759="","",IFERROR(INDEX(账户银行,MATCH($B1759,账户名,0)),""))</f>
        <v/>
      </c>
      <c r="D1759" s="12" t="str">
        <f>IF($B1759="","",IFERROR(INDEX(账户币种,MATCH($B1759,账户名,0)),""))</f>
        <v/>
      </c>
      <c r="E1759" s="47"/>
      <c r="F1759" s="12" t="str">
        <f>IF($E1759="","",IFERROR(INDEX(类别属性,MATCH($E1759,类别表,0)),""))</f>
        <v/>
      </c>
      <c r="G1759" s="48"/>
      <c r="H1759" s="48"/>
      <c r="I1759" s="49"/>
      <c r="J1759" s="24" t="str">
        <f>IF(OR($A1759="",$B1759=""),"",IF($I1759&lt;&gt;"",$I1759,IF($D1759=本位币,1,IFERROR(LOOKUP(2,1/((汇率月份&lt;=$A1759)*(INDEX(记账汇率区,0,MATCH($D1759,汇率币种头,0))&lt;&gt;"")),INDEX(记账汇率区,0,MATCH($D1759,汇率币种头,0))),""))))</f>
        <v/>
      </c>
      <c r="K1759" s="23" t="str">
        <f t="shared" si="54"/>
        <v/>
      </c>
      <c r="L1759" s="23" t="str">
        <f t="shared" si="55"/>
        <v/>
      </c>
      <c r="M1759" s="23" t="str">
        <f>IF($B1759="","",ROUND(SUMIF(账户名,$B1759,账户期初)+SUMIFS($K$6:K1759,$B$6:B1759,$B1759),2))</f>
        <v/>
      </c>
      <c r="N1759" s="23" t="str">
        <f>IF($B1759="","",IFERROR(ROUND(INDEX(账户期初本位,MATCH($B1759,账户名,0))+SUMIFS($L$6:L1759,$B$6:B1759,$B1759),2),""))</f>
        <v/>
      </c>
      <c r="O1759" s="46"/>
      <c r="P1759" s="47"/>
      <c r="Q1759" s="46"/>
      <c r="R1759" s="46"/>
      <c r="S1759" s="6" t="str">
        <f>IF($B1759="","",IF(ISNA(MATCH($B1759,账户名,0)),"※这个账户不在【参数设置】的账户档案里",IF($A1759="","※没填日期，这一笔不会进任何月份的报表",IF(AND($G1759&lt;&gt;"",$H1759&lt;&gt;""),"※收入和支出不能同时填",IF(AND(N($G1759)=0,N($H1759)=0),"※收入和支出都没填",IF($E1759="","※没填收支类别，分类报表会漏掉这一笔",IF(ISNA(MATCH($E1759,类别表,0)),"※收支类别不在【参数设置】的清单里",IF($J1759="","△"&amp;$D1759&amp;" 还没填汇率，去【月度汇率】补上就自动算了",IF(YEAR($A1759)&lt;&gt;管理年度,"△不是管理年度的单据，年报里看不到",IF(AND($F1759="内部转账",$Q1759=""),"△内部转账建议在「往来单位」写上对方账户",IF($M1759&lt;0,"△这一笔之后该账户余额成负数了，核一下","")))))))))))</f>
        <v/>
      </c>
    </row>
    <row r="1760" ht="16.5" spans="1:19">
      <c r="A1760" s="45"/>
      <c r="B1760" s="46"/>
      <c r="C1760" s="12" t="str">
        <f>IF($B1760="","",IFERROR(INDEX(账户银行,MATCH($B1760,账户名,0)),""))</f>
        <v/>
      </c>
      <c r="D1760" s="12" t="str">
        <f>IF($B1760="","",IFERROR(INDEX(账户币种,MATCH($B1760,账户名,0)),""))</f>
        <v/>
      </c>
      <c r="E1760" s="47"/>
      <c r="F1760" s="12" t="str">
        <f>IF($E1760="","",IFERROR(INDEX(类别属性,MATCH($E1760,类别表,0)),""))</f>
        <v/>
      </c>
      <c r="G1760" s="48"/>
      <c r="H1760" s="48"/>
      <c r="I1760" s="49"/>
      <c r="J1760" s="24" t="str">
        <f>IF(OR($A1760="",$B1760=""),"",IF($I1760&lt;&gt;"",$I1760,IF($D1760=本位币,1,IFERROR(LOOKUP(2,1/((汇率月份&lt;=$A1760)*(INDEX(记账汇率区,0,MATCH($D1760,汇率币种头,0))&lt;&gt;"")),INDEX(记账汇率区,0,MATCH($D1760,汇率币种头,0))),""))))</f>
        <v/>
      </c>
      <c r="K1760" s="23" t="str">
        <f t="shared" si="54"/>
        <v/>
      </c>
      <c r="L1760" s="23" t="str">
        <f t="shared" si="55"/>
        <v/>
      </c>
      <c r="M1760" s="23" t="str">
        <f>IF($B1760="","",ROUND(SUMIF(账户名,$B1760,账户期初)+SUMIFS($K$6:K1760,$B$6:B1760,$B1760),2))</f>
        <v/>
      </c>
      <c r="N1760" s="23" t="str">
        <f>IF($B1760="","",IFERROR(ROUND(INDEX(账户期初本位,MATCH($B1760,账户名,0))+SUMIFS($L$6:L1760,$B$6:B1760,$B1760),2),""))</f>
        <v/>
      </c>
      <c r="O1760" s="46"/>
      <c r="P1760" s="47"/>
      <c r="Q1760" s="46"/>
      <c r="R1760" s="46"/>
      <c r="S1760" s="6" t="str">
        <f>IF($B1760="","",IF(ISNA(MATCH($B1760,账户名,0)),"※这个账户不在【参数设置】的账户档案里",IF($A1760="","※没填日期，这一笔不会进任何月份的报表",IF(AND($G1760&lt;&gt;"",$H1760&lt;&gt;""),"※收入和支出不能同时填",IF(AND(N($G1760)=0,N($H1760)=0),"※收入和支出都没填",IF($E1760="","※没填收支类别，分类报表会漏掉这一笔",IF(ISNA(MATCH($E1760,类别表,0)),"※收支类别不在【参数设置】的清单里",IF($J1760="","△"&amp;$D1760&amp;" 还没填汇率，去【月度汇率】补上就自动算了",IF(YEAR($A1760)&lt;&gt;管理年度,"△不是管理年度的单据，年报里看不到",IF(AND($F1760="内部转账",$Q1760=""),"△内部转账建议在「往来单位」写上对方账户",IF($M1760&lt;0,"△这一笔之后该账户余额成负数了，核一下","")))))))))))</f>
        <v/>
      </c>
    </row>
    <row r="1761" ht="16.5" spans="1:19">
      <c r="A1761" s="45"/>
      <c r="B1761" s="46"/>
      <c r="C1761" s="12" t="str">
        <f>IF($B1761="","",IFERROR(INDEX(账户银行,MATCH($B1761,账户名,0)),""))</f>
        <v/>
      </c>
      <c r="D1761" s="12" t="str">
        <f>IF($B1761="","",IFERROR(INDEX(账户币种,MATCH($B1761,账户名,0)),""))</f>
        <v/>
      </c>
      <c r="E1761" s="47"/>
      <c r="F1761" s="12" t="str">
        <f>IF($E1761="","",IFERROR(INDEX(类别属性,MATCH($E1761,类别表,0)),""))</f>
        <v/>
      </c>
      <c r="G1761" s="48"/>
      <c r="H1761" s="48"/>
      <c r="I1761" s="49"/>
      <c r="J1761" s="24" t="str">
        <f>IF(OR($A1761="",$B1761=""),"",IF($I1761&lt;&gt;"",$I1761,IF($D1761=本位币,1,IFERROR(LOOKUP(2,1/((汇率月份&lt;=$A1761)*(INDEX(记账汇率区,0,MATCH($D1761,汇率币种头,0))&lt;&gt;"")),INDEX(记账汇率区,0,MATCH($D1761,汇率币种头,0))),""))))</f>
        <v/>
      </c>
      <c r="K1761" s="23" t="str">
        <f t="shared" si="54"/>
        <v/>
      </c>
      <c r="L1761" s="23" t="str">
        <f t="shared" si="55"/>
        <v/>
      </c>
      <c r="M1761" s="23" t="str">
        <f>IF($B1761="","",ROUND(SUMIF(账户名,$B1761,账户期初)+SUMIFS($K$6:K1761,$B$6:B1761,$B1761),2))</f>
        <v/>
      </c>
      <c r="N1761" s="23" t="str">
        <f>IF($B1761="","",IFERROR(ROUND(INDEX(账户期初本位,MATCH($B1761,账户名,0))+SUMIFS($L$6:L1761,$B$6:B1761,$B1761),2),""))</f>
        <v/>
      </c>
      <c r="O1761" s="46"/>
      <c r="P1761" s="47"/>
      <c r="Q1761" s="46"/>
      <c r="R1761" s="46"/>
      <c r="S1761" s="6" t="str">
        <f>IF($B1761="","",IF(ISNA(MATCH($B1761,账户名,0)),"※这个账户不在【参数设置】的账户档案里",IF($A1761="","※没填日期，这一笔不会进任何月份的报表",IF(AND($G1761&lt;&gt;"",$H1761&lt;&gt;""),"※收入和支出不能同时填",IF(AND(N($G1761)=0,N($H1761)=0),"※收入和支出都没填",IF($E1761="","※没填收支类别，分类报表会漏掉这一笔",IF(ISNA(MATCH($E1761,类别表,0)),"※收支类别不在【参数设置】的清单里",IF($J1761="","△"&amp;$D1761&amp;" 还没填汇率，去【月度汇率】补上就自动算了",IF(YEAR($A1761)&lt;&gt;管理年度,"△不是管理年度的单据，年报里看不到",IF(AND($F1761="内部转账",$Q1761=""),"△内部转账建议在「往来单位」写上对方账户",IF($M1761&lt;0,"△这一笔之后该账户余额成负数了，核一下","")))))))))))</f>
        <v/>
      </c>
    </row>
    <row r="1762" ht="16.5" spans="1:19">
      <c r="A1762" s="45"/>
      <c r="B1762" s="46"/>
      <c r="C1762" s="12" t="str">
        <f>IF($B1762="","",IFERROR(INDEX(账户银行,MATCH($B1762,账户名,0)),""))</f>
        <v/>
      </c>
      <c r="D1762" s="12" t="str">
        <f>IF($B1762="","",IFERROR(INDEX(账户币种,MATCH($B1762,账户名,0)),""))</f>
        <v/>
      </c>
      <c r="E1762" s="47"/>
      <c r="F1762" s="12" t="str">
        <f>IF($E1762="","",IFERROR(INDEX(类别属性,MATCH($E1762,类别表,0)),""))</f>
        <v/>
      </c>
      <c r="G1762" s="48"/>
      <c r="H1762" s="48"/>
      <c r="I1762" s="49"/>
      <c r="J1762" s="24" t="str">
        <f>IF(OR($A1762="",$B1762=""),"",IF($I1762&lt;&gt;"",$I1762,IF($D1762=本位币,1,IFERROR(LOOKUP(2,1/((汇率月份&lt;=$A1762)*(INDEX(记账汇率区,0,MATCH($D1762,汇率币种头,0))&lt;&gt;"")),INDEX(记账汇率区,0,MATCH($D1762,汇率币种头,0))),""))))</f>
        <v/>
      </c>
      <c r="K1762" s="23" t="str">
        <f t="shared" si="54"/>
        <v/>
      </c>
      <c r="L1762" s="23" t="str">
        <f t="shared" si="55"/>
        <v/>
      </c>
      <c r="M1762" s="23" t="str">
        <f>IF($B1762="","",ROUND(SUMIF(账户名,$B1762,账户期初)+SUMIFS($K$6:K1762,$B$6:B1762,$B1762),2))</f>
        <v/>
      </c>
      <c r="N1762" s="23" t="str">
        <f>IF($B1762="","",IFERROR(ROUND(INDEX(账户期初本位,MATCH($B1762,账户名,0))+SUMIFS($L$6:L1762,$B$6:B1762,$B1762),2),""))</f>
        <v/>
      </c>
      <c r="O1762" s="46"/>
      <c r="P1762" s="47"/>
      <c r="Q1762" s="46"/>
      <c r="R1762" s="46"/>
      <c r="S1762" s="6" t="str">
        <f>IF($B1762="","",IF(ISNA(MATCH($B1762,账户名,0)),"※这个账户不在【参数设置】的账户档案里",IF($A1762="","※没填日期，这一笔不会进任何月份的报表",IF(AND($G1762&lt;&gt;"",$H1762&lt;&gt;""),"※收入和支出不能同时填",IF(AND(N($G1762)=0,N($H1762)=0),"※收入和支出都没填",IF($E1762="","※没填收支类别，分类报表会漏掉这一笔",IF(ISNA(MATCH($E1762,类别表,0)),"※收支类别不在【参数设置】的清单里",IF($J1762="","△"&amp;$D1762&amp;" 还没填汇率，去【月度汇率】补上就自动算了",IF(YEAR($A1762)&lt;&gt;管理年度,"△不是管理年度的单据，年报里看不到",IF(AND($F1762="内部转账",$Q1762=""),"△内部转账建议在「往来单位」写上对方账户",IF($M1762&lt;0,"△这一笔之后该账户余额成负数了，核一下","")))))))))))</f>
        <v/>
      </c>
    </row>
    <row r="1763" ht="16.5" spans="1:19">
      <c r="A1763" s="45"/>
      <c r="B1763" s="46"/>
      <c r="C1763" s="12" t="str">
        <f>IF($B1763="","",IFERROR(INDEX(账户银行,MATCH($B1763,账户名,0)),""))</f>
        <v/>
      </c>
      <c r="D1763" s="12" t="str">
        <f>IF($B1763="","",IFERROR(INDEX(账户币种,MATCH($B1763,账户名,0)),""))</f>
        <v/>
      </c>
      <c r="E1763" s="47"/>
      <c r="F1763" s="12" t="str">
        <f>IF($E1763="","",IFERROR(INDEX(类别属性,MATCH($E1763,类别表,0)),""))</f>
        <v/>
      </c>
      <c r="G1763" s="48"/>
      <c r="H1763" s="48"/>
      <c r="I1763" s="49"/>
      <c r="J1763" s="24" t="str">
        <f>IF(OR($A1763="",$B1763=""),"",IF($I1763&lt;&gt;"",$I1763,IF($D1763=本位币,1,IFERROR(LOOKUP(2,1/((汇率月份&lt;=$A1763)*(INDEX(记账汇率区,0,MATCH($D1763,汇率币种头,0))&lt;&gt;"")),INDEX(记账汇率区,0,MATCH($D1763,汇率币种头,0))),""))))</f>
        <v/>
      </c>
      <c r="K1763" s="23" t="str">
        <f t="shared" si="54"/>
        <v/>
      </c>
      <c r="L1763" s="23" t="str">
        <f t="shared" si="55"/>
        <v/>
      </c>
      <c r="M1763" s="23" t="str">
        <f>IF($B1763="","",ROUND(SUMIF(账户名,$B1763,账户期初)+SUMIFS($K$6:K1763,$B$6:B1763,$B1763),2))</f>
        <v/>
      </c>
      <c r="N1763" s="23" t="str">
        <f>IF($B1763="","",IFERROR(ROUND(INDEX(账户期初本位,MATCH($B1763,账户名,0))+SUMIFS($L$6:L1763,$B$6:B1763,$B1763),2),""))</f>
        <v/>
      </c>
      <c r="O1763" s="46"/>
      <c r="P1763" s="47"/>
      <c r="Q1763" s="46"/>
      <c r="R1763" s="46"/>
      <c r="S1763" s="6" t="str">
        <f>IF($B1763="","",IF(ISNA(MATCH($B1763,账户名,0)),"※这个账户不在【参数设置】的账户档案里",IF($A1763="","※没填日期，这一笔不会进任何月份的报表",IF(AND($G1763&lt;&gt;"",$H1763&lt;&gt;""),"※收入和支出不能同时填",IF(AND(N($G1763)=0,N($H1763)=0),"※收入和支出都没填",IF($E1763="","※没填收支类别，分类报表会漏掉这一笔",IF(ISNA(MATCH($E1763,类别表,0)),"※收支类别不在【参数设置】的清单里",IF($J1763="","△"&amp;$D1763&amp;" 还没填汇率，去【月度汇率】补上就自动算了",IF(YEAR($A1763)&lt;&gt;管理年度,"△不是管理年度的单据，年报里看不到",IF(AND($F1763="内部转账",$Q1763=""),"△内部转账建议在「往来单位」写上对方账户",IF($M1763&lt;0,"△这一笔之后该账户余额成负数了，核一下","")))))))))))</f>
        <v/>
      </c>
    </row>
    <row r="1764" ht="16.5" spans="1:19">
      <c r="A1764" s="45"/>
      <c r="B1764" s="46"/>
      <c r="C1764" s="12" t="str">
        <f>IF($B1764="","",IFERROR(INDEX(账户银行,MATCH($B1764,账户名,0)),""))</f>
        <v/>
      </c>
      <c r="D1764" s="12" t="str">
        <f>IF($B1764="","",IFERROR(INDEX(账户币种,MATCH($B1764,账户名,0)),""))</f>
        <v/>
      </c>
      <c r="E1764" s="47"/>
      <c r="F1764" s="12" t="str">
        <f>IF($E1764="","",IFERROR(INDEX(类别属性,MATCH($E1764,类别表,0)),""))</f>
        <v/>
      </c>
      <c r="G1764" s="48"/>
      <c r="H1764" s="48"/>
      <c r="I1764" s="49"/>
      <c r="J1764" s="24" t="str">
        <f>IF(OR($A1764="",$B1764=""),"",IF($I1764&lt;&gt;"",$I1764,IF($D1764=本位币,1,IFERROR(LOOKUP(2,1/((汇率月份&lt;=$A1764)*(INDEX(记账汇率区,0,MATCH($D1764,汇率币种头,0))&lt;&gt;"")),INDEX(记账汇率区,0,MATCH($D1764,汇率币种头,0))),""))))</f>
        <v/>
      </c>
      <c r="K1764" s="23" t="str">
        <f t="shared" si="54"/>
        <v/>
      </c>
      <c r="L1764" s="23" t="str">
        <f t="shared" si="55"/>
        <v/>
      </c>
      <c r="M1764" s="23" t="str">
        <f>IF($B1764="","",ROUND(SUMIF(账户名,$B1764,账户期初)+SUMIFS($K$6:K1764,$B$6:B1764,$B1764),2))</f>
        <v/>
      </c>
      <c r="N1764" s="23" t="str">
        <f>IF($B1764="","",IFERROR(ROUND(INDEX(账户期初本位,MATCH($B1764,账户名,0))+SUMIFS($L$6:L1764,$B$6:B1764,$B1764),2),""))</f>
        <v/>
      </c>
      <c r="O1764" s="46"/>
      <c r="P1764" s="47"/>
      <c r="Q1764" s="46"/>
      <c r="R1764" s="46"/>
      <c r="S1764" s="6" t="str">
        <f>IF($B1764="","",IF(ISNA(MATCH($B1764,账户名,0)),"※这个账户不在【参数设置】的账户档案里",IF($A1764="","※没填日期，这一笔不会进任何月份的报表",IF(AND($G1764&lt;&gt;"",$H1764&lt;&gt;""),"※收入和支出不能同时填",IF(AND(N($G1764)=0,N($H1764)=0),"※收入和支出都没填",IF($E1764="","※没填收支类别，分类报表会漏掉这一笔",IF(ISNA(MATCH($E1764,类别表,0)),"※收支类别不在【参数设置】的清单里",IF($J1764="","△"&amp;$D1764&amp;" 还没填汇率，去【月度汇率】补上就自动算了",IF(YEAR($A1764)&lt;&gt;管理年度,"△不是管理年度的单据，年报里看不到",IF(AND($F1764="内部转账",$Q1764=""),"△内部转账建议在「往来单位」写上对方账户",IF($M1764&lt;0,"△这一笔之后该账户余额成负数了，核一下","")))))))))))</f>
        <v/>
      </c>
    </row>
    <row r="1765" ht="16.5" spans="1:19">
      <c r="A1765" s="45"/>
      <c r="B1765" s="46"/>
      <c r="C1765" s="12" t="str">
        <f>IF($B1765="","",IFERROR(INDEX(账户银行,MATCH($B1765,账户名,0)),""))</f>
        <v/>
      </c>
      <c r="D1765" s="12" t="str">
        <f>IF($B1765="","",IFERROR(INDEX(账户币种,MATCH($B1765,账户名,0)),""))</f>
        <v/>
      </c>
      <c r="E1765" s="47"/>
      <c r="F1765" s="12" t="str">
        <f>IF($E1765="","",IFERROR(INDEX(类别属性,MATCH($E1765,类别表,0)),""))</f>
        <v/>
      </c>
      <c r="G1765" s="48"/>
      <c r="H1765" s="48"/>
      <c r="I1765" s="49"/>
      <c r="J1765" s="24" t="str">
        <f>IF(OR($A1765="",$B1765=""),"",IF($I1765&lt;&gt;"",$I1765,IF($D1765=本位币,1,IFERROR(LOOKUP(2,1/((汇率月份&lt;=$A1765)*(INDEX(记账汇率区,0,MATCH($D1765,汇率币种头,0))&lt;&gt;"")),INDEX(记账汇率区,0,MATCH($D1765,汇率币种头,0))),""))))</f>
        <v/>
      </c>
      <c r="K1765" s="23" t="str">
        <f t="shared" si="54"/>
        <v/>
      </c>
      <c r="L1765" s="23" t="str">
        <f t="shared" si="55"/>
        <v/>
      </c>
      <c r="M1765" s="23" t="str">
        <f>IF($B1765="","",ROUND(SUMIF(账户名,$B1765,账户期初)+SUMIFS($K$6:K1765,$B$6:B1765,$B1765),2))</f>
        <v/>
      </c>
      <c r="N1765" s="23" t="str">
        <f>IF($B1765="","",IFERROR(ROUND(INDEX(账户期初本位,MATCH($B1765,账户名,0))+SUMIFS($L$6:L1765,$B$6:B1765,$B1765),2),""))</f>
        <v/>
      </c>
      <c r="O1765" s="46"/>
      <c r="P1765" s="47"/>
      <c r="Q1765" s="46"/>
      <c r="R1765" s="46"/>
      <c r="S1765" s="6" t="str">
        <f>IF($B1765="","",IF(ISNA(MATCH($B1765,账户名,0)),"※这个账户不在【参数设置】的账户档案里",IF($A1765="","※没填日期，这一笔不会进任何月份的报表",IF(AND($G1765&lt;&gt;"",$H1765&lt;&gt;""),"※收入和支出不能同时填",IF(AND(N($G1765)=0,N($H1765)=0),"※收入和支出都没填",IF($E1765="","※没填收支类别，分类报表会漏掉这一笔",IF(ISNA(MATCH($E1765,类别表,0)),"※收支类别不在【参数设置】的清单里",IF($J1765="","△"&amp;$D1765&amp;" 还没填汇率，去【月度汇率】补上就自动算了",IF(YEAR($A1765)&lt;&gt;管理年度,"△不是管理年度的单据，年报里看不到",IF(AND($F1765="内部转账",$Q1765=""),"△内部转账建议在「往来单位」写上对方账户",IF($M1765&lt;0,"△这一笔之后该账户余额成负数了，核一下","")))))))))))</f>
        <v/>
      </c>
    </row>
    <row r="1766" ht="16.5" spans="1:19">
      <c r="A1766" s="45"/>
      <c r="B1766" s="46"/>
      <c r="C1766" s="12" t="str">
        <f>IF($B1766="","",IFERROR(INDEX(账户银行,MATCH($B1766,账户名,0)),""))</f>
        <v/>
      </c>
      <c r="D1766" s="12" t="str">
        <f>IF($B1766="","",IFERROR(INDEX(账户币种,MATCH($B1766,账户名,0)),""))</f>
        <v/>
      </c>
      <c r="E1766" s="47"/>
      <c r="F1766" s="12" t="str">
        <f>IF($E1766="","",IFERROR(INDEX(类别属性,MATCH($E1766,类别表,0)),""))</f>
        <v/>
      </c>
      <c r="G1766" s="48"/>
      <c r="H1766" s="48"/>
      <c r="I1766" s="49"/>
      <c r="J1766" s="24" t="str">
        <f>IF(OR($A1766="",$B1766=""),"",IF($I1766&lt;&gt;"",$I1766,IF($D1766=本位币,1,IFERROR(LOOKUP(2,1/((汇率月份&lt;=$A1766)*(INDEX(记账汇率区,0,MATCH($D1766,汇率币种头,0))&lt;&gt;"")),INDEX(记账汇率区,0,MATCH($D1766,汇率币种头,0))),""))))</f>
        <v/>
      </c>
      <c r="K1766" s="23" t="str">
        <f t="shared" si="54"/>
        <v/>
      </c>
      <c r="L1766" s="23" t="str">
        <f t="shared" si="55"/>
        <v/>
      </c>
      <c r="M1766" s="23" t="str">
        <f>IF($B1766="","",ROUND(SUMIF(账户名,$B1766,账户期初)+SUMIFS($K$6:K1766,$B$6:B1766,$B1766),2))</f>
        <v/>
      </c>
      <c r="N1766" s="23" t="str">
        <f>IF($B1766="","",IFERROR(ROUND(INDEX(账户期初本位,MATCH($B1766,账户名,0))+SUMIFS($L$6:L1766,$B$6:B1766,$B1766),2),""))</f>
        <v/>
      </c>
      <c r="O1766" s="46"/>
      <c r="P1766" s="47"/>
      <c r="Q1766" s="46"/>
      <c r="R1766" s="46"/>
      <c r="S1766" s="6" t="str">
        <f>IF($B1766="","",IF(ISNA(MATCH($B1766,账户名,0)),"※这个账户不在【参数设置】的账户档案里",IF($A1766="","※没填日期，这一笔不会进任何月份的报表",IF(AND($G1766&lt;&gt;"",$H1766&lt;&gt;""),"※收入和支出不能同时填",IF(AND(N($G1766)=0,N($H1766)=0),"※收入和支出都没填",IF($E1766="","※没填收支类别，分类报表会漏掉这一笔",IF(ISNA(MATCH($E1766,类别表,0)),"※收支类别不在【参数设置】的清单里",IF($J1766="","△"&amp;$D1766&amp;" 还没填汇率，去【月度汇率】补上就自动算了",IF(YEAR($A1766)&lt;&gt;管理年度,"△不是管理年度的单据，年报里看不到",IF(AND($F1766="内部转账",$Q1766=""),"△内部转账建议在「往来单位」写上对方账户",IF($M1766&lt;0,"△这一笔之后该账户余额成负数了，核一下","")))))))))))</f>
        <v/>
      </c>
    </row>
    <row r="1767" ht="16.5" spans="1:19">
      <c r="A1767" s="45"/>
      <c r="B1767" s="46"/>
      <c r="C1767" s="12" t="str">
        <f>IF($B1767="","",IFERROR(INDEX(账户银行,MATCH($B1767,账户名,0)),""))</f>
        <v/>
      </c>
      <c r="D1767" s="12" t="str">
        <f>IF($B1767="","",IFERROR(INDEX(账户币种,MATCH($B1767,账户名,0)),""))</f>
        <v/>
      </c>
      <c r="E1767" s="47"/>
      <c r="F1767" s="12" t="str">
        <f>IF($E1767="","",IFERROR(INDEX(类别属性,MATCH($E1767,类别表,0)),""))</f>
        <v/>
      </c>
      <c r="G1767" s="48"/>
      <c r="H1767" s="48"/>
      <c r="I1767" s="49"/>
      <c r="J1767" s="24" t="str">
        <f>IF(OR($A1767="",$B1767=""),"",IF($I1767&lt;&gt;"",$I1767,IF($D1767=本位币,1,IFERROR(LOOKUP(2,1/((汇率月份&lt;=$A1767)*(INDEX(记账汇率区,0,MATCH($D1767,汇率币种头,0))&lt;&gt;"")),INDEX(记账汇率区,0,MATCH($D1767,汇率币种头,0))),""))))</f>
        <v/>
      </c>
      <c r="K1767" s="23" t="str">
        <f t="shared" si="54"/>
        <v/>
      </c>
      <c r="L1767" s="23" t="str">
        <f t="shared" si="55"/>
        <v/>
      </c>
      <c r="M1767" s="23" t="str">
        <f>IF($B1767="","",ROUND(SUMIF(账户名,$B1767,账户期初)+SUMIFS($K$6:K1767,$B$6:B1767,$B1767),2))</f>
        <v/>
      </c>
      <c r="N1767" s="23" t="str">
        <f>IF($B1767="","",IFERROR(ROUND(INDEX(账户期初本位,MATCH($B1767,账户名,0))+SUMIFS($L$6:L1767,$B$6:B1767,$B1767),2),""))</f>
        <v/>
      </c>
      <c r="O1767" s="46"/>
      <c r="P1767" s="47"/>
      <c r="Q1767" s="46"/>
      <c r="R1767" s="46"/>
      <c r="S1767" s="6" t="str">
        <f>IF($B1767="","",IF(ISNA(MATCH($B1767,账户名,0)),"※这个账户不在【参数设置】的账户档案里",IF($A1767="","※没填日期，这一笔不会进任何月份的报表",IF(AND($G1767&lt;&gt;"",$H1767&lt;&gt;""),"※收入和支出不能同时填",IF(AND(N($G1767)=0,N($H1767)=0),"※收入和支出都没填",IF($E1767="","※没填收支类别，分类报表会漏掉这一笔",IF(ISNA(MATCH($E1767,类别表,0)),"※收支类别不在【参数设置】的清单里",IF($J1767="","△"&amp;$D1767&amp;" 还没填汇率，去【月度汇率】补上就自动算了",IF(YEAR($A1767)&lt;&gt;管理年度,"△不是管理年度的单据，年报里看不到",IF(AND($F1767="内部转账",$Q1767=""),"△内部转账建议在「往来单位」写上对方账户",IF($M1767&lt;0,"△这一笔之后该账户余额成负数了，核一下","")))))))))))</f>
        <v/>
      </c>
    </row>
    <row r="1768" ht="16.5" spans="1:19">
      <c r="A1768" s="45"/>
      <c r="B1768" s="46"/>
      <c r="C1768" s="12" t="str">
        <f>IF($B1768="","",IFERROR(INDEX(账户银行,MATCH($B1768,账户名,0)),""))</f>
        <v/>
      </c>
      <c r="D1768" s="12" t="str">
        <f>IF($B1768="","",IFERROR(INDEX(账户币种,MATCH($B1768,账户名,0)),""))</f>
        <v/>
      </c>
      <c r="E1768" s="47"/>
      <c r="F1768" s="12" t="str">
        <f>IF($E1768="","",IFERROR(INDEX(类别属性,MATCH($E1768,类别表,0)),""))</f>
        <v/>
      </c>
      <c r="G1768" s="48"/>
      <c r="H1768" s="48"/>
      <c r="I1768" s="49"/>
      <c r="J1768" s="24" t="str">
        <f>IF(OR($A1768="",$B1768=""),"",IF($I1768&lt;&gt;"",$I1768,IF($D1768=本位币,1,IFERROR(LOOKUP(2,1/((汇率月份&lt;=$A1768)*(INDEX(记账汇率区,0,MATCH($D1768,汇率币种头,0))&lt;&gt;"")),INDEX(记账汇率区,0,MATCH($D1768,汇率币种头,0))),""))))</f>
        <v/>
      </c>
      <c r="K1768" s="23" t="str">
        <f t="shared" si="54"/>
        <v/>
      </c>
      <c r="L1768" s="23" t="str">
        <f t="shared" si="55"/>
        <v/>
      </c>
      <c r="M1768" s="23" t="str">
        <f>IF($B1768="","",ROUND(SUMIF(账户名,$B1768,账户期初)+SUMIFS($K$6:K1768,$B$6:B1768,$B1768),2))</f>
        <v/>
      </c>
      <c r="N1768" s="23" t="str">
        <f>IF($B1768="","",IFERROR(ROUND(INDEX(账户期初本位,MATCH($B1768,账户名,0))+SUMIFS($L$6:L1768,$B$6:B1768,$B1768),2),""))</f>
        <v/>
      </c>
      <c r="O1768" s="46"/>
      <c r="P1768" s="47"/>
      <c r="Q1768" s="46"/>
      <c r="R1768" s="46"/>
      <c r="S1768" s="6" t="str">
        <f>IF($B1768="","",IF(ISNA(MATCH($B1768,账户名,0)),"※这个账户不在【参数设置】的账户档案里",IF($A1768="","※没填日期，这一笔不会进任何月份的报表",IF(AND($G1768&lt;&gt;"",$H1768&lt;&gt;""),"※收入和支出不能同时填",IF(AND(N($G1768)=0,N($H1768)=0),"※收入和支出都没填",IF($E1768="","※没填收支类别，分类报表会漏掉这一笔",IF(ISNA(MATCH($E1768,类别表,0)),"※收支类别不在【参数设置】的清单里",IF($J1768="","△"&amp;$D1768&amp;" 还没填汇率，去【月度汇率】补上就自动算了",IF(YEAR($A1768)&lt;&gt;管理年度,"△不是管理年度的单据，年报里看不到",IF(AND($F1768="内部转账",$Q1768=""),"△内部转账建议在「往来单位」写上对方账户",IF($M1768&lt;0,"△这一笔之后该账户余额成负数了，核一下","")))))))))))</f>
        <v/>
      </c>
    </row>
    <row r="1769" ht="16.5" spans="1:19">
      <c r="A1769" s="45"/>
      <c r="B1769" s="46"/>
      <c r="C1769" s="12" t="str">
        <f>IF($B1769="","",IFERROR(INDEX(账户银行,MATCH($B1769,账户名,0)),""))</f>
        <v/>
      </c>
      <c r="D1769" s="12" t="str">
        <f>IF($B1769="","",IFERROR(INDEX(账户币种,MATCH($B1769,账户名,0)),""))</f>
        <v/>
      </c>
      <c r="E1769" s="47"/>
      <c r="F1769" s="12" t="str">
        <f>IF($E1769="","",IFERROR(INDEX(类别属性,MATCH($E1769,类别表,0)),""))</f>
        <v/>
      </c>
      <c r="G1769" s="48"/>
      <c r="H1769" s="48"/>
      <c r="I1769" s="49"/>
      <c r="J1769" s="24" t="str">
        <f>IF(OR($A1769="",$B1769=""),"",IF($I1769&lt;&gt;"",$I1769,IF($D1769=本位币,1,IFERROR(LOOKUP(2,1/((汇率月份&lt;=$A1769)*(INDEX(记账汇率区,0,MATCH($D1769,汇率币种头,0))&lt;&gt;"")),INDEX(记账汇率区,0,MATCH($D1769,汇率币种头,0))),""))))</f>
        <v/>
      </c>
      <c r="K1769" s="23" t="str">
        <f t="shared" si="54"/>
        <v/>
      </c>
      <c r="L1769" s="23" t="str">
        <f t="shared" si="55"/>
        <v/>
      </c>
      <c r="M1769" s="23" t="str">
        <f>IF($B1769="","",ROUND(SUMIF(账户名,$B1769,账户期初)+SUMIFS($K$6:K1769,$B$6:B1769,$B1769),2))</f>
        <v/>
      </c>
      <c r="N1769" s="23" t="str">
        <f>IF($B1769="","",IFERROR(ROUND(INDEX(账户期初本位,MATCH($B1769,账户名,0))+SUMIFS($L$6:L1769,$B$6:B1769,$B1769),2),""))</f>
        <v/>
      </c>
      <c r="O1769" s="46"/>
      <c r="P1769" s="47"/>
      <c r="Q1769" s="46"/>
      <c r="R1769" s="46"/>
      <c r="S1769" s="6" t="str">
        <f>IF($B1769="","",IF(ISNA(MATCH($B1769,账户名,0)),"※这个账户不在【参数设置】的账户档案里",IF($A1769="","※没填日期，这一笔不会进任何月份的报表",IF(AND($G1769&lt;&gt;"",$H1769&lt;&gt;""),"※收入和支出不能同时填",IF(AND(N($G1769)=0,N($H1769)=0),"※收入和支出都没填",IF($E1769="","※没填收支类别，分类报表会漏掉这一笔",IF(ISNA(MATCH($E1769,类别表,0)),"※收支类别不在【参数设置】的清单里",IF($J1769="","△"&amp;$D1769&amp;" 还没填汇率，去【月度汇率】补上就自动算了",IF(YEAR($A1769)&lt;&gt;管理年度,"△不是管理年度的单据，年报里看不到",IF(AND($F1769="内部转账",$Q1769=""),"△内部转账建议在「往来单位」写上对方账户",IF($M1769&lt;0,"△这一笔之后该账户余额成负数了，核一下","")))))))))))</f>
        <v/>
      </c>
    </row>
    <row r="1770" ht="16.5" spans="1:19">
      <c r="A1770" s="45"/>
      <c r="B1770" s="46"/>
      <c r="C1770" s="12" t="str">
        <f>IF($B1770="","",IFERROR(INDEX(账户银行,MATCH($B1770,账户名,0)),""))</f>
        <v/>
      </c>
      <c r="D1770" s="12" t="str">
        <f>IF($B1770="","",IFERROR(INDEX(账户币种,MATCH($B1770,账户名,0)),""))</f>
        <v/>
      </c>
      <c r="E1770" s="47"/>
      <c r="F1770" s="12" t="str">
        <f>IF($E1770="","",IFERROR(INDEX(类别属性,MATCH($E1770,类别表,0)),""))</f>
        <v/>
      </c>
      <c r="G1770" s="48"/>
      <c r="H1770" s="48"/>
      <c r="I1770" s="49"/>
      <c r="J1770" s="24" t="str">
        <f>IF(OR($A1770="",$B1770=""),"",IF($I1770&lt;&gt;"",$I1770,IF($D1770=本位币,1,IFERROR(LOOKUP(2,1/((汇率月份&lt;=$A1770)*(INDEX(记账汇率区,0,MATCH($D1770,汇率币种头,0))&lt;&gt;"")),INDEX(记账汇率区,0,MATCH($D1770,汇率币种头,0))),""))))</f>
        <v/>
      </c>
      <c r="K1770" s="23" t="str">
        <f t="shared" si="54"/>
        <v/>
      </c>
      <c r="L1770" s="23" t="str">
        <f t="shared" si="55"/>
        <v/>
      </c>
      <c r="M1770" s="23" t="str">
        <f>IF($B1770="","",ROUND(SUMIF(账户名,$B1770,账户期初)+SUMIFS($K$6:K1770,$B$6:B1770,$B1770),2))</f>
        <v/>
      </c>
      <c r="N1770" s="23" t="str">
        <f>IF($B1770="","",IFERROR(ROUND(INDEX(账户期初本位,MATCH($B1770,账户名,0))+SUMIFS($L$6:L1770,$B$6:B1770,$B1770),2),""))</f>
        <v/>
      </c>
      <c r="O1770" s="46"/>
      <c r="P1770" s="47"/>
      <c r="Q1770" s="46"/>
      <c r="R1770" s="46"/>
      <c r="S1770" s="6" t="str">
        <f>IF($B1770="","",IF(ISNA(MATCH($B1770,账户名,0)),"※这个账户不在【参数设置】的账户档案里",IF($A1770="","※没填日期，这一笔不会进任何月份的报表",IF(AND($G1770&lt;&gt;"",$H1770&lt;&gt;""),"※收入和支出不能同时填",IF(AND(N($G1770)=0,N($H1770)=0),"※收入和支出都没填",IF($E1770="","※没填收支类别，分类报表会漏掉这一笔",IF(ISNA(MATCH($E1770,类别表,0)),"※收支类别不在【参数设置】的清单里",IF($J1770="","△"&amp;$D1770&amp;" 还没填汇率，去【月度汇率】补上就自动算了",IF(YEAR($A1770)&lt;&gt;管理年度,"△不是管理年度的单据，年报里看不到",IF(AND($F1770="内部转账",$Q1770=""),"△内部转账建议在「往来单位」写上对方账户",IF($M1770&lt;0,"△这一笔之后该账户余额成负数了，核一下","")))))))))))</f>
        <v/>
      </c>
    </row>
    <row r="1771" ht="16.5" spans="1:19">
      <c r="A1771" s="45"/>
      <c r="B1771" s="46"/>
      <c r="C1771" s="12" t="str">
        <f>IF($B1771="","",IFERROR(INDEX(账户银行,MATCH($B1771,账户名,0)),""))</f>
        <v/>
      </c>
      <c r="D1771" s="12" t="str">
        <f>IF($B1771="","",IFERROR(INDEX(账户币种,MATCH($B1771,账户名,0)),""))</f>
        <v/>
      </c>
      <c r="E1771" s="47"/>
      <c r="F1771" s="12" t="str">
        <f>IF($E1771="","",IFERROR(INDEX(类别属性,MATCH($E1771,类别表,0)),""))</f>
        <v/>
      </c>
      <c r="G1771" s="48"/>
      <c r="H1771" s="48"/>
      <c r="I1771" s="49"/>
      <c r="J1771" s="24" t="str">
        <f>IF(OR($A1771="",$B1771=""),"",IF($I1771&lt;&gt;"",$I1771,IF($D1771=本位币,1,IFERROR(LOOKUP(2,1/((汇率月份&lt;=$A1771)*(INDEX(记账汇率区,0,MATCH($D1771,汇率币种头,0))&lt;&gt;"")),INDEX(记账汇率区,0,MATCH($D1771,汇率币种头,0))),""))))</f>
        <v/>
      </c>
      <c r="K1771" s="23" t="str">
        <f t="shared" si="54"/>
        <v/>
      </c>
      <c r="L1771" s="23" t="str">
        <f t="shared" si="55"/>
        <v/>
      </c>
      <c r="M1771" s="23" t="str">
        <f>IF($B1771="","",ROUND(SUMIF(账户名,$B1771,账户期初)+SUMIFS($K$6:K1771,$B$6:B1771,$B1771),2))</f>
        <v/>
      </c>
      <c r="N1771" s="23" t="str">
        <f>IF($B1771="","",IFERROR(ROUND(INDEX(账户期初本位,MATCH($B1771,账户名,0))+SUMIFS($L$6:L1771,$B$6:B1771,$B1771),2),""))</f>
        <v/>
      </c>
      <c r="O1771" s="46"/>
      <c r="P1771" s="47"/>
      <c r="Q1771" s="46"/>
      <c r="R1771" s="46"/>
      <c r="S1771" s="6" t="str">
        <f>IF($B1771="","",IF(ISNA(MATCH($B1771,账户名,0)),"※这个账户不在【参数设置】的账户档案里",IF($A1771="","※没填日期，这一笔不会进任何月份的报表",IF(AND($G1771&lt;&gt;"",$H1771&lt;&gt;""),"※收入和支出不能同时填",IF(AND(N($G1771)=0,N($H1771)=0),"※收入和支出都没填",IF($E1771="","※没填收支类别，分类报表会漏掉这一笔",IF(ISNA(MATCH($E1771,类别表,0)),"※收支类别不在【参数设置】的清单里",IF($J1771="","△"&amp;$D1771&amp;" 还没填汇率，去【月度汇率】补上就自动算了",IF(YEAR($A1771)&lt;&gt;管理年度,"△不是管理年度的单据，年报里看不到",IF(AND($F1771="内部转账",$Q1771=""),"△内部转账建议在「往来单位」写上对方账户",IF($M1771&lt;0,"△这一笔之后该账户余额成负数了，核一下","")))))))))))</f>
        <v/>
      </c>
    </row>
    <row r="1772" ht="16.5" spans="1:19">
      <c r="A1772" s="45"/>
      <c r="B1772" s="46"/>
      <c r="C1772" s="12" t="str">
        <f>IF($B1772="","",IFERROR(INDEX(账户银行,MATCH($B1772,账户名,0)),""))</f>
        <v/>
      </c>
      <c r="D1772" s="12" t="str">
        <f>IF($B1772="","",IFERROR(INDEX(账户币种,MATCH($B1772,账户名,0)),""))</f>
        <v/>
      </c>
      <c r="E1772" s="47"/>
      <c r="F1772" s="12" t="str">
        <f>IF($E1772="","",IFERROR(INDEX(类别属性,MATCH($E1772,类别表,0)),""))</f>
        <v/>
      </c>
      <c r="G1772" s="48"/>
      <c r="H1772" s="48"/>
      <c r="I1772" s="49"/>
      <c r="J1772" s="24" t="str">
        <f>IF(OR($A1772="",$B1772=""),"",IF($I1772&lt;&gt;"",$I1772,IF($D1772=本位币,1,IFERROR(LOOKUP(2,1/((汇率月份&lt;=$A1772)*(INDEX(记账汇率区,0,MATCH($D1772,汇率币种头,0))&lt;&gt;"")),INDEX(记账汇率区,0,MATCH($D1772,汇率币种头,0))),""))))</f>
        <v/>
      </c>
      <c r="K1772" s="23" t="str">
        <f t="shared" si="54"/>
        <v/>
      </c>
      <c r="L1772" s="23" t="str">
        <f t="shared" si="55"/>
        <v/>
      </c>
      <c r="M1772" s="23" t="str">
        <f>IF($B1772="","",ROUND(SUMIF(账户名,$B1772,账户期初)+SUMIFS($K$6:K1772,$B$6:B1772,$B1772),2))</f>
        <v/>
      </c>
      <c r="N1772" s="23" t="str">
        <f>IF($B1772="","",IFERROR(ROUND(INDEX(账户期初本位,MATCH($B1772,账户名,0))+SUMIFS($L$6:L1772,$B$6:B1772,$B1772),2),""))</f>
        <v/>
      </c>
      <c r="O1772" s="46"/>
      <c r="P1772" s="47"/>
      <c r="Q1772" s="46"/>
      <c r="R1772" s="46"/>
      <c r="S1772" s="6" t="str">
        <f>IF($B1772="","",IF(ISNA(MATCH($B1772,账户名,0)),"※这个账户不在【参数设置】的账户档案里",IF($A1772="","※没填日期，这一笔不会进任何月份的报表",IF(AND($G1772&lt;&gt;"",$H1772&lt;&gt;""),"※收入和支出不能同时填",IF(AND(N($G1772)=0,N($H1772)=0),"※收入和支出都没填",IF($E1772="","※没填收支类别，分类报表会漏掉这一笔",IF(ISNA(MATCH($E1772,类别表,0)),"※收支类别不在【参数设置】的清单里",IF($J1772="","△"&amp;$D1772&amp;" 还没填汇率，去【月度汇率】补上就自动算了",IF(YEAR($A1772)&lt;&gt;管理年度,"△不是管理年度的单据，年报里看不到",IF(AND($F1772="内部转账",$Q1772=""),"△内部转账建议在「往来单位」写上对方账户",IF($M1772&lt;0,"△这一笔之后该账户余额成负数了，核一下","")))))))))))</f>
        <v/>
      </c>
    </row>
    <row r="1773" ht="16.5" spans="1:19">
      <c r="A1773" s="45"/>
      <c r="B1773" s="46"/>
      <c r="C1773" s="12" t="str">
        <f>IF($B1773="","",IFERROR(INDEX(账户银行,MATCH($B1773,账户名,0)),""))</f>
        <v/>
      </c>
      <c r="D1773" s="12" t="str">
        <f>IF($B1773="","",IFERROR(INDEX(账户币种,MATCH($B1773,账户名,0)),""))</f>
        <v/>
      </c>
      <c r="E1773" s="47"/>
      <c r="F1773" s="12" t="str">
        <f>IF($E1773="","",IFERROR(INDEX(类别属性,MATCH($E1773,类别表,0)),""))</f>
        <v/>
      </c>
      <c r="G1773" s="48"/>
      <c r="H1773" s="48"/>
      <c r="I1773" s="49"/>
      <c r="J1773" s="24" t="str">
        <f>IF(OR($A1773="",$B1773=""),"",IF($I1773&lt;&gt;"",$I1773,IF($D1773=本位币,1,IFERROR(LOOKUP(2,1/((汇率月份&lt;=$A1773)*(INDEX(记账汇率区,0,MATCH($D1773,汇率币种头,0))&lt;&gt;"")),INDEX(记账汇率区,0,MATCH($D1773,汇率币种头,0))),""))))</f>
        <v/>
      </c>
      <c r="K1773" s="23" t="str">
        <f t="shared" si="54"/>
        <v/>
      </c>
      <c r="L1773" s="23" t="str">
        <f t="shared" si="55"/>
        <v/>
      </c>
      <c r="M1773" s="23" t="str">
        <f>IF($B1773="","",ROUND(SUMIF(账户名,$B1773,账户期初)+SUMIFS($K$6:K1773,$B$6:B1773,$B1773),2))</f>
        <v/>
      </c>
      <c r="N1773" s="23" t="str">
        <f>IF($B1773="","",IFERROR(ROUND(INDEX(账户期初本位,MATCH($B1773,账户名,0))+SUMIFS($L$6:L1773,$B$6:B1773,$B1773),2),""))</f>
        <v/>
      </c>
      <c r="O1773" s="46"/>
      <c r="P1773" s="47"/>
      <c r="Q1773" s="46"/>
      <c r="R1773" s="46"/>
      <c r="S1773" s="6" t="str">
        <f>IF($B1773="","",IF(ISNA(MATCH($B1773,账户名,0)),"※这个账户不在【参数设置】的账户档案里",IF($A1773="","※没填日期，这一笔不会进任何月份的报表",IF(AND($G1773&lt;&gt;"",$H1773&lt;&gt;""),"※收入和支出不能同时填",IF(AND(N($G1773)=0,N($H1773)=0),"※收入和支出都没填",IF($E1773="","※没填收支类别，分类报表会漏掉这一笔",IF(ISNA(MATCH($E1773,类别表,0)),"※收支类别不在【参数设置】的清单里",IF($J1773="","△"&amp;$D1773&amp;" 还没填汇率，去【月度汇率】补上就自动算了",IF(YEAR($A1773)&lt;&gt;管理年度,"△不是管理年度的单据，年报里看不到",IF(AND($F1773="内部转账",$Q1773=""),"△内部转账建议在「往来单位」写上对方账户",IF($M1773&lt;0,"△这一笔之后该账户余额成负数了，核一下","")))))))))))</f>
        <v/>
      </c>
    </row>
    <row r="1774" ht="16.5" spans="1:19">
      <c r="A1774" s="45"/>
      <c r="B1774" s="46"/>
      <c r="C1774" s="12" t="str">
        <f>IF($B1774="","",IFERROR(INDEX(账户银行,MATCH($B1774,账户名,0)),""))</f>
        <v/>
      </c>
      <c r="D1774" s="12" t="str">
        <f>IF($B1774="","",IFERROR(INDEX(账户币种,MATCH($B1774,账户名,0)),""))</f>
        <v/>
      </c>
      <c r="E1774" s="47"/>
      <c r="F1774" s="12" t="str">
        <f>IF($E1774="","",IFERROR(INDEX(类别属性,MATCH($E1774,类别表,0)),""))</f>
        <v/>
      </c>
      <c r="G1774" s="48"/>
      <c r="H1774" s="48"/>
      <c r="I1774" s="49"/>
      <c r="J1774" s="24" t="str">
        <f>IF(OR($A1774="",$B1774=""),"",IF($I1774&lt;&gt;"",$I1774,IF($D1774=本位币,1,IFERROR(LOOKUP(2,1/((汇率月份&lt;=$A1774)*(INDEX(记账汇率区,0,MATCH($D1774,汇率币种头,0))&lt;&gt;"")),INDEX(记账汇率区,0,MATCH($D1774,汇率币种头,0))),""))))</f>
        <v/>
      </c>
      <c r="K1774" s="23" t="str">
        <f t="shared" si="54"/>
        <v/>
      </c>
      <c r="L1774" s="23" t="str">
        <f t="shared" si="55"/>
        <v/>
      </c>
      <c r="M1774" s="23" t="str">
        <f>IF($B1774="","",ROUND(SUMIF(账户名,$B1774,账户期初)+SUMIFS($K$6:K1774,$B$6:B1774,$B1774),2))</f>
        <v/>
      </c>
      <c r="N1774" s="23" t="str">
        <f>IF($B1774="","",IFERROR(ROUND(INDEX(账户期初本位,MATCH($B1774,账户名,0))+SUMIFS($L$6:L1774,$B$6:B1774,$B1774),2),""))</f>
        <v/>
      </c>
      <c r="O1774" s="46"/>
      <c r="P1774" s="47"/>
      <c r="Q1774" s="46"/>
      <c r="R1774" s="46"/>
      <c r="S1774" s="6" t="str">
        <f>IF($B1774="","",IF(ISNA(MATCH($B1774,账户名,0)),"※这个账户不在【参数设置】的账户档案里",IF($A1774="","※没填日期，这一笔不会进任何月份的报表",IF(AND($G1774&lt;&gt;"",$H1774&lt;&gt;""),"※收入和支出不能同时填",IF(AND(N($G1774)=0,N($H1774)=0),"※收入和支出都没填",IF($E1774="","※没填收支类别，分类报表会漏掉这一笔",IF(ISNA(MATCH($E1774,类别表,0)),"※收支类别不在【参数设置】的清单里",IF($J1774="","△"&amp;$D1774&amp;" 还没填汇率，去【月度汇率】补上就自动算了",IF(YEAR($A1774)&lt;&gt;管理年度,"△不是管理年度的单据，年报里看不到",IF(AND($F1774="内部转账",$Q1774=""),"△内部转账建议在「往来单位」写上对方账户",IF($M1774&lt;0,"△这一笔之后该账户余额成负数了，核一下","")))))))))))</f>
        <v/>
      </c>
    </row>
    <row r="1775" ht="16.5" spans="1:19">
      <c r="A1775" s="45"/>
      <c r="B1775" s="46"/>
      <c r="C1775" s="12" t="str">
        <f>IF($B1775="","",IFERROR(INDEX(账户银行,MATCH($B1775,账户名,0)),""))</f>
        <v/>
      </c>
      <c r="D1775" s="12" t="str">
        <f>IF($B1775="","",IFERROR(INDEX(账户币种,MATCH($B1775,账户名,0)),""))</f>
        <v/>
      </c>
      <c r="E1775" s="47"/>
      <c r="F1775" s="12" t="str">
        <f>IF($E1775="","",IFERROR(INDEX(类别属性,MATCH($E1775,类别表,0)),""))</f>
        <v/>
      </c>
      <c r="G1775" s="48"/>
      <c r="H1775" s="48"/>
      <c r="I1775" s="49"/>
      <c r="J1775" s="24" t="str">
        <f>IF(OR($A1775="",$B1775=""),"",IF($I1775&lt;&gt;"",$I1775,IF($D1775=本位币,1,IFERROR(LOOKUP(2,1/((汇率月份&lt;=$A1775)*(INDEX(记账汇率区,0,MATCH($D1775,汇率币种头,0))&lt;&gt;"")),INDEX(记账汇率区,0,MATCH($D1775,汇率币种头,0))),""))))</f>
        <v/>
      </c>
      <c r="K1775" s="23" t="str">
        <f t="shared" si="54"/>
        <v/>
      </c>
      <c r="L1775" s="23" t="str">
        <f t="shared" si="55"/>
        <v/>
      </c>
      <c r="M1775" s="23" t="str">
        <f>IF($B1775="","",ROUND(SUMIF(账户名,$B1775,账户期初)+SUMIFS($K$6:K1775,$B$6:B1775,$B1775),2))</f>
        <v/>
      </c>
      <c r="N1775" s="23" t="str">
        <f>IF($B1775="","",IFERROR(ROUND(INDEX(账户期初本位,MATCH($B1775,账户名,0))+SUMIFS($L$6:L1775,$B$6:B1775,$B1775),2),""))</f>
        <v/>
      </c>
      <c r="O1775" s="46"/>
      <c r="P1775" s="47"/>
      <c r="Q1775" s="46"/>
      <c r="R1775" s="46"/>
      <c r="S1775" s="6" t="str">
        <f>IF($B1775="","",IF(ISNA(MATCH($B1775,账户名,0)),"※这个账户不在【参数设置】的账户档案里",IF($A1775="","※没填日期，这一笔不会进任何月份的报表",IF(AND($G1775&lt;&gt;"",$H1775&lt;&gt;""),"※收入和支出不能同时填",IF(AND(N($G1775)=0,N($H1775)=0),"※收入和支出都没填",IF($E1775="","※没填收支类别，分类报表会漏掉这一笔",IF(ISNA(MATCH($E1775,类别表,0)),"※收支类别不在【参数设置】的清单里",IF($J1775="","△"&amp;$D1775&amp;" 还没填汇率，去【月度汇率】补上就自动算了",IF(YEAR($A1775)&lt;&gt;管理年度,"△不是管理年度的单据，年报里看不到",IF(AND($F1775="内部转账",$Q1775=""),"△内部转账建议在「往来单位」写上对方账户",IF($M1775&lt;0,"△这一笔之后该账户余额成负数了，核一下","")))))))))))</f>
        <v/>
      </c>
    </row>
    <row r="1776" ht="16.5" spans="1:19">
      <c r="A1776" s="45"/>
      <c r="B1776" s="46"/>
      <c r="C1776" s="12" t="str">
        <f>IF($B1776="","",IFERROR(INDEX(账户银行,MATCH($B1776,账户名,0)),""))</f>
        <v/>
      </c>
      <c r="D1776" s="12" t="str">
        <f>IF($B1776="","",IFERROR(INDEX(账户币种,MATCH($B1776,账户名,0)),""))</f>
        <v/>
      </c>
      <c r="E1776" s="47"/>
      <c r="F1776" s="12" t="str">
        <f>IF($E1776="","",IFERROR(INDEX(类别属性,MATCH($E1776,类别表,0)),""))</f>
        <v/>
      </c>
      <c r="G1776" s="48"/>
      <c r="H1776" s="48"/>
      <c r="I1776" s="49"/>
      <c r="J1776" s="24" t="str">
        <f>IF(OR($A1776="",$B1776=""),"",IF($I1776&lt;&gt;"",$I1776,IF($D1776=本位币,1,IFERROR(LOOKUP(2,1/((汇率月份&lt;=$A1776)*(INDEX(记账汇率区,0,MATCH($D1776,汇率币种头,0))&lt;&gt;"")),INDEX(记账汇率区,0,MATCH($D1776,汇率币种头,0))),""))))</f>
        <v/>
      </c>
      <c r="K1776" s="23" t="str">
        <f t="shared" si="54"/>
        <v/>
      </c>
      <c r="L1776" s="23" t="str">
        <f t="shared" si="55"/>
        <v/>
      </c>
      <c r="M1776" s="23" t="str">
        <f>IF($B1776="","",ROUND(SUMIF(账户名,$B1776,账户期初)+SUMIFS($K$6:K1776,$B$6:B1776,$B1776),2))</f>
        <v/>
      </c>
      <c r="N1776" s="23" t="str">
        <f>IF($B1776="","",IFERROR(ROUND(INDEX(账户期初本位,MATCH($B1776,账户名,0))+SUMIFS($L$6:L1776,$B$6:B1776,$B1776),2),""))</f>
        <v/>
      </c>
      <c r="O1776" s="46"/>
      <c r="P1776" s="47"/>
      <c r="Q1776" s="46"/>
      <c r="R1776" s="46"/>
      <c r="S1776" s="6" t="str">
        <f>IF($B1776="","",IF(ISNA(MATCH($B1776,账户名,0)),"※这个账户不在【参数设置】的账户档案里",IF($A1776="","※没填日期，这一笔不会进任何月份的报表",IF(AND($G1776&lt;&gt;"",$H1776&lt;&gt;""),"※收入和支出不能同时填",IF(AND(N($G1776)=0,N($H1776)=0),"※收入和支出都没填",IF($E1776="","※没填收支类别，分类报表会漏掉这一笔",IF(ISNA(MATCH($E1776,类别表,0)),"※收支类别不在【参数设置】的清单里",IF($J1776="","△"&amp;$D1776&amp;" 还没填汇率，去【月度汇率】补上就自动算了",IF(YEAR($A1776)&lt;&gt;管理年度,"△不是管理年度的单据，年报里看不到",IF(AND($F1776="内部转账",$Q1776=""),"△内部转账建议在「往来单位」写上对方账户",IF($M1776&lt;0,"△这一笔之后该账户余额成负数了，核一下","")))))))))))</f>
        <v/>
      </c>
    </row>
    <row r="1777" ht="16.5" spans="1:19">
      <c r="A1777" s="45"/>
      <c r="B1777" s="46"/>
      <c r="C1777" s="12" t="str">
        <f>IF($B1777="","",IFERROR(INDEX(账户银行,MATCH($B1777,账户名,0)),""))</f>
        <v/>
      </c>
      <c r="D1777" s="12" t="str">
        <f>IF($B1777="","",IFERROR(INDEX(账户币种,MATCH($B1777,账户名,0)),""))</f>
        <v/>
      </c>
      <c r="E1777" s="47"/>
      <c r="F1777" s="12" t="str">
        <f>IF($E1777="","",IFERROR(INDEX(类别属性,MATCH($E1777,类别表,0)),""))</f>
        <v/>
      </c>
      <c r="G1777" s="48"/>
      <c r="H1777" s="48"/>
      <c r="I1777" s="49"/>
      <c r="J1777" s="24" t="str">
        <f>IF(OR($A1777="",$B1777=""),"",IF($I1777&lt;&gt;"",$I1777,IF($D1777=本位币,1,IFERROR(LOOKUP(2,1/((汇率月份&lt;=$A1777)*(INDEX(记账汇率区,0,MATCH($D1777,汇率币种头,0))&lt;&gt;"")),INDEX(记账汇率区,0,MATCH($D1777,汇率币种头,0))),""))))</f>
        <v/>
      </c>
      <c r="K1777" s="23" t="str">
        <f t="shared" si="54"/>
        <v/>
      </c>
      <c r="L1777" s="23" t="str">
        <f t="shared" si="55"/>
        <v/>
      </c>
      <c r="M1777" s="23" t="str">
        <f>IF($B1777="","",ROUND(SUMIF(账户名,$B1777,账户期初)+SUMIFS($K$6:K1777,$B$6:B1777,$B1777),2))</f>
        <v/>
      </c>
      <c r="N1777" s="23" t="str">
        <f>IF($B1777="","",IFERROR(ROUND(INDEX(账户期初本位,MATCH($B1777,账户名,0))+SUMIFS($L$6:L1777,$B$6:B1777,$B1777),2),""))</f>
        <v/>
      </c>
      <c r="O1777" s="46"/>
      <c r="P1777" s="47"/>
      <c r="Q1777" s="46"/>
      <c r="R1777" s="46"/>
      <c r="S1777" s="6" t="str">
        <f>IF($B1777="","",IF(ISNA(MATCH($B1777,账户名,0)),"※这个账户不在【参数设置】的账户档案里",IF($A1777="","※没填日期，这一笔不会进任何月份的报表",IF(AND($G1777&lt;&gt;"",$H1777&lt;&gt;""),"※收入和支出不能同时填",IF(AND(N($G1777)=0,N($H1777)=0),"※收入和支出都没填",IF($E1777="","※没填收支类别，分类报表会漏掉这一笔",IF(ISNA(MATCH($E1777,类别表,0)),"※收支类别不在【参数设置】的清单里",IF($J1777="","△"&amp;$D1777&amp;" 还没填汇率，去【月度汇率】补上就自动算了",IF(YEAR($A1777)&lt;&gt;管理年度,"△不是管理年度的单据，年报里看不到",IF(AND($F1777="内部转账",$Q1777=""),"△内部转账建议在「往来单位」写上对方账户",IF($M1777&lt;0,"△这一笔之后该账户余额成负数了，核一下","")))))))))))</f>
        <v/>
      </c>
    </row>
    <row r="1778" ht="16.5" spans="1:19">
      <c r="A1778" s="45"/>
      <c r="B1778" s="46"/>
      <c r="C1778" s="12" t="str">
        <f>IF($B1778="","",IFERROR(INDEX(账户银行,MATCH($B1778,账户名,0)),""))</f>
        <v/>
      </c>
      <c r="D1778" s="12" t="str">
        <f>IF($B1778="","",IFERROR(INDEX(账户币种,MATCH($B1778,账户名,0)),""))</f>
        <v/>
      </c>
      <c r="E1778" s="47"/>
      <c r="F1778" s="12" t="str">
        <f>IF($E1778="","",IFERROR(INDEX(类别属性,MATCH($E1778,类别表,0)),""))</f>
        <v/>
      </c>
      <c r="G1778" s="48"/>
      <c r="H1778" s="48"/>
      <c r="I1778" s="49"/>
      <c r="J1778" s="24" t="str">
        <f>IF(OR($A1778="",$B1778=""),"",IF($I1778&lt;&gt;"",$I1778,IF($D1778=本位币,1,IFERROR(LOOKUP(2,1/((汇率月份&lt;=$A1778)*(INDEX(记账汇率区,0,MATCH($D1778,汇率币种头,0))&lt;&gt;"")),INDEX(记账汇率区,0,MATCH($D1778,汇率币种头,0))),""))))</f>
        <v/>
      </c>
      <c r="K1778" s="23" t="str">
        <f t="shared" si="54"/>
        <v/>
      </c>
      <c r="L1778" s="23" t="str">
        <f t="shared" si="55"/>
        <v/>
      </c>
      <c r="M1778" s="23" t="str">
        <f>IF($B1778="","",ROUND(SUMIF(账户名,$B1778,账户期初)+SUMIFS($K$6:K1778,$B$6:B1778,$B1778),2))</f>
        <v/>
      </c>
      <c r="N1778" s="23" t="str">
        <f>IF($B1778="","",IFERROR(ROUND(INDEX(账户期初本位,MATCH($B1778,账户名,0))+SUMIFS($L$6:L1778,$B$6:B1778,$B1778),2),""))</f>
        <v/>
      </c>
      <c r="O1778" s="46"/>
      <c r="P1778" s="47"/>
      <c r="Q1778" s="46"/>
      <c r="R1778" s="46"/>
      <c r="S1778" s="6" t="str">
        <f>IF($B1778="","",IF(ISNA(MATCH($B1778,账户名,0)),"※这个账户不在【参数设置】的账户档案里",IF($A1778="","※没填日期，这一笔不会进任何月份的报表",IF(AND($G1778&lt;&gt;"",$H1778&lt;&gt;""),"※收入和支出不能同时填",IF(AND(N($G1778)=0,N($H1778)=0),"※收入和支出都没填",IF($E1778="","※没填收支类别，分类报表会漏掉这一笔",IF(ISNA(MATCH($E1778,类别表,0)),"※收支类别不在【参数设置】的清单里",IF($J1778="","△"&amp;$D1778&amp;" 还没填汇率，去【月度汇率】补上就自动算了",IF(YEAR($A1778)&lt;&gt;管理年度,"△不是管理年度的单据，年报里看不到",IF(AND($F1778="内部转账",$Q1778=""),"△内部转账建议在「往来单位」写上对方账户",IF($M1778&lt;0,"△这一笔之后该账户余额成负数了，核一下","")))))))))))</f>
        <v/>
      </c>
    </row>
    <row r="1779" ht="16.5" spans="1:19">
      <c r="A1779" s="45"/>
      <c r="B1779" s="46"/>
      <c r="C1779" s="12" t="str">
        <f>IF($B1779="","",IFERROR(INDEX(账户银行,MATCH($B1779,账户名,0)),""))</f>
        <v/>
      </c>
      <c r="D1779" s="12" t="str">
        <f>IF($B1779="","",IFERROR(INDEX(账户币种,MATCH($B1779,账户名,0)),""))</f>
        <v/>
      </c>
      <c r="E1779" s="47"/>
      <c r="F1779" s="12" t="str">
        <f>IF($E1779="","",IFERROR(INDEX(类别属性,MATCH($E1779,类别表,0)),""))</f>
        <v/>
      </c>
      <c r="G1779" s="48"/>
      <c r="H1779" s="48"/>
      <c r="I1779" s="49"/>
      <c r="J1779" s="24" t="str">
        <f>IF(OR($A1779="",$B1779=""),"",IF($I1779&lt;&gt;"",$I1779,IF($D1779=本位币,1,IFERROR(LOOKUP(2,1/((汇率月份&lt;=$A1779)*(INDEX(记账汇率区,0,MATCH($D1779,汇率币种头,0))&lt;&gt;"")),INDEX(记账汇率区,0,MATCH($D1779,汇率币种头,0))),""))))</f>
        <v/>
      </c>
      <c r="K1779" s="23" t="str">
        <f t="shared" si="54"/>
        <v/>
      </c>
      <c r="L1779" s="23" t="str">
        <f t="shared" si="55"/>
        <v/>
      </c>
      <c r="M1779" s="23" t="str">
        <f>IF($B1779="","",ROUND(SUMIF(账户名,$B1779,账户期初)+SUMIFS($K$6:K1779,$B$6:B1779,$B1779),2))</f>
        <v/>
      </c>
      <c r="N1779" s="23" t="str">
        <f>IF($B1779="","",IFERROR(ROUND(INDEX(账户期初本位,MATCH($B1779,账户名,0))+SUMIFS($L$6:L1779,$B$6:B1779,$B1779),2),""))</f>
        <v/>
      </c>
      <c r="O1779" s="46"/>
      <c r="P1779" s="47"/>
      <c r="Q1779" s="46"/>
      <c r="R1779" s="46"/>
      <c r="S1779" s="6" t="str">
        <f>IF($B1779="","",IF(ISNA(MATCH($B1779,账户名,0)),"※这个账户不在【参数设置】的账户档案里",IF($A1779="","※没填日期，这一笔不会进任何月份的报表",IF(AND($G1779&lt;&gt;"",$H1779&lt;&gt;""),"※收入和支出不能同时填",IF(AND(N($G1779)=0,N($H1779)=0),"※收入和支出都没填",IF($E1779="","※没填收支类别，分类报表会漏掉这一笔",IF(ISNA(MATCH($E1779,类别表,0)),"※收支类别不在【参数设置】的清单里",IF($J1779="","△"&amp;$D1779&amp;" 还没填汇率，去【月度汇率】补上就自动算了",IF(YEAR($A1779)&lt;&gt;管理年度,"△不是管理年度的单据，年报里看不到",IF(AND($F1779="内部转账",$Q1779=""),"△内部转账建议在「往来单位」写上对方账户",IF($M1779&lt;0,"△这一笔之后该账户余额成负数了，核一下","")))))))))))</f>
        <v/>
      </c>
    </row>
    <row r="1780" ht="16.5" spans="1:19">
      <c r="A1780" s="45"/>
      <c r="B1780" s="46"/>
      <c r="C1780" s="12" t="str">
        <f>IF($B1780="","",IFERROR(INDEX(账户银行,MATCH($B1780,账户名,0)),""))</f>
        <v/>
      </c>
      <c r="D1780" s="12" t="str">
        <f>IF($B1780="","",IFERROR(INDEX(账户币种,MATCH($B1780,账户名,0)),""))</f>
        <v/>
      </c>
      <c r="E1780" s="47"/>
      <c r="F1780" s="12" t="str">
        <f>IF($E1780="","",IFERROR(INDEX(类别属性,MATCH($E1780,类别表,0)),""))</f>
        <v/>
      </c>
      <c r="G1780" s="48"/>
      <c r="H1780" s="48"/>
      <c r="I1780" s="49"/>
      <c r="J1780" s="24" t="str">
        <f>IF(OR($A1780="",$B1780=""),"",IF($I1780&lt;&gt;"",$I1780,IF($D1780=本位币,1,IFERROR(LOOKUP(2,1/((汇率月份&lt;=$A1780)*(INDEX(记账汇率区,0,MATCH($D1780,汇率币种头,0))&lt;&gt;"")),INDEX(记账汇率区,0,MATCH($D1780,汇率币种头,0))),""))))</f>
        <v/>
      </c>
      <c r="K1780" s="23" t="str">
        <f t="shared" si="54"/>
        <v/>
      </c>
      <c r="L1780" s="23" t="str">
        <f t="shared" si="55"/>
        <v/>
      </c>
      <c r="M1780" s="23" t="str">
        <f>IF($B1780="","",ROUND(SUMIF(账户名,$B1780,账户期初)+SUMIFS($K$6:K1780,$B$6:B1780,$B1780),2))</f>
        <v/>
      </c>
      <c r="N1780" s="23" t="str">
        <f>IF($B1780="","",IFERROR(ROUND(INDEX(账户期初本位,MATCH($B1780,账户名,0))+SUMIFS($L$6:L1780,$B$6:B1780,$B1780),2),""))</f>
        <v/>
      </c>
      <c r="O1780" s="46"/>
      <c r="P1780" s="47"/>
      <c r="Q1780" s="46"/>
      <c r="R1780" s="46"/>
      <c r="S1780" s="6" t="str">
        <f>IF($B1780="","",IF(ISNA(MATCH($B1780,账户名,0)),"※这个账户不在【参数设置】的账户档案里",IF($A1780="","※没填日期，这一笔不会进任何月份的报表",IF(AND($G1780&lt;&gt;"",$H1780&lt;&gt;""),"※收入和支出不能同时填",IF(AND(N($G1780)=0,N($H1780)=0),"※收入和支出都没填",IF($E1780="","※没填收支类别，分类报表会漏掉这一笔",IF(ISNA(MATCH($E1780,类别表,0)),"※收支类别不在【参数设置】的清单里",IF($J1780="","△"&amp;$D1780&amp;" 还没填汇率，去【月度汇率】补上就自动算了",IF(YEAR($A1780)&lt;&gt;管理年度,"△不是管理年度的单据，年报里看不到",IF(AND($F1780="内部转账",$Q1780=""),"△内部转账建议在「往来单位」写上对方账户",IF($M1780&lt;0,"△这一笔之后该账户余额成负数了，核一下","")))))))))))</f>
        <v/>
      </c>
    </row>
    <row r="1781" ht="16.5" spans="1:19">
      <c r="A1781" s="45"/>
      <c r="B1781" s="46"/>
      <c r="C1781" s="12" t="str">
        <f>IF($B1781="","",IFERROR(INDEX(账户银行,MATCH($B1781,账户名,0)),""))</f>
        <v/>
      </c>
      <c r="D1781" s="12" t="str">
        <f>IF($B1781="","",IFERROR(INDEX(账户币种,MATCH($B1781,账户名,0)),""))</f>
        <v/>
      </c>
      <c r="E1781" s="47"/>
      <c r="F1781" s="12" t="str">
        <f>IF($E1781="","",IFERROR(INDEX(类别属性,MATCH($E1781,类别表,0)),""))</f>
        <v/>
      </c>
      <c r="G1781" s="48"/>
      <c r="H1781" s="48"/>
      <c r="I1781" s="49"/>
      <c r="J1781" s="24" t="str">
        <f>IF(OR($A1781="",$B1781=""),"",IF($I1781&lt;&gt;"",$I1781,IF($D1781=本位币,1,IFERROR(LOOKUP(2,1/((汇率月份&lt;=$A1781)*(INDEX(记账汇率区,0,MATCH($D1781,汇率币种头,0))&lt;&gt;"")),INDEX(记账汇率区,0,MATCH($D1781,汇率币种头,0))),""))))</f>
        <v/>
      </c>
      <c r="K1781" s="23" t="str">
        <f t="shared" si="54"/>
        <v/>
      </c>
      <c r="L1781" s="23" t="str">
        <f t="shared" si="55"/>
        <v/>
      </c>
      <c r="M1781" s="23" t="str">
        <f>IF($B1781="","",ROUND(SUMIF(账户名,$B1781,账户期初)+SUMIFS($K$6:K1781,$B$6:B1781,$B1781),2))</f>
        <v/>
      </c>
      <c r="N1781" s="23" t="str">
        <f>IF($B1781="","",IFERROR(ROUND(INDEX(账户期初本位,MATCH($B1781,账户名,0))+SUMIFS($L$6:L1781,$B$6:B1781,$B1781),2),""))</f>
        <v/>
      </c>
      <c r="O1781" s="46"/>
      <c r="P1781" s="47"/>
      <c r="Q1781" s="46"/>
      <c r="R1781" s="46"/>
      <c r="S1781" s="6" t="str">
        <f>IF($B1781="","",IF(ISNA(MATCH($B1781,账户名,0)),"※这个账户不在【参数设置】的账户档案里",IF($A1781="","※没填日期，这一笔不会进任何月份的报表",IF(AND($G1781&lt;&gt;"",$H1781&lt;&gt;""),"※收入和支出不能同时填",IF(AND(N($G1781)=0,N($H1781)=0),"※收入和支出都没填",IF($E1781="","※没填收支类别，分类报表会漏掉这一笔",IF(ISNA(MATCH($E1781,类别表,0)),"※收支类别不在【参数设置】的清单里",IF($J1781="","△"&amp;$D1781&amp;" 还没填汇率，去【月度汇率】补上就自动算了",IF(YEAR($A1781)&lt;&gt;管理年度,"△不是管理年度的单据，年报里看不到",IF(AND($F1781="内部转账",$Q1781=""),"△内部转账建议在「往来单位」写上对方账户",IF($M1781&lt;0,"△这一笔之后该账户余额成负数了，核一下","")))))))))))</f>
        <v/>
      </c>
    </row>
    <row r="1782" ht="16.5" spans="1:19">
      <c r="A1782" s="45"/>
      <c r="B1782" s="46"/>
      <c r="C1782" s="12" t="str">
        <f>IF($B1782="","",IFERROR(INDEX(账户银行,MATCH($B1782,账户名,0)),""))</f>
        <v/>
      </c>
      <c r="D1782" s="12" t="str">
        <f>IF($B1782="","",IFERROR(INDEX(账户币种,MATCH($B1782,账户名,0)),""))</f>
        <v/>
      </c>
      <c r="E1782" s="47"/>
      <c r="F1782" s="12" t="str">
        <f>IF($E1782="","",IFERROR(INDEX(类别属性,MATCH($E1782,类别表,0)),""))</f>
        <v/>
      </c>
      <c r="G1782" s="48"/>
      <c r="H1782" s="48"/>
      <c r="I1782" s="49"/>
      <c r="J1782" s="24" t="str">
        <f>IF(OR($A1782="",$B1782=""),"",IF($I1782&lt;&gt;"",$I1782,IF($D1782=本位币,1,IFERROR(LOOKUP(2,1/((汇率月份&lt;=$A1782)*(INDEX(记账汇率区,0,MATCH($D1782,汇率币种头,0))&lt;&gt;"")),INDEX(记账汇率区,0,MATCH($D1782,汇率币种头,0))),""))))</f>
        <v/>
      </c>
      <c r="K1782" s="23" t="str">
        <f t="shared" si="54"/>
        <v/>
      </c>
      <c r="L1782" s="23" t="str">
        <f t="shared" si="55"/>
        <v/>
      </c>
      <c r="M1782" s="23" t="str">
        <f>IF($B1782="","",ROUND(SUMIF(账户名,$B1782,账户期初)+SUMIFS($K$6:K1782,$B$6:B1782,$B1782),2))</f>
        <v/>
      </c>
      <c r="N1782" s="23" t="str">
        <f>IF($B1782="","",IFERROR(ROUND(INDEX(账户期初本位,MATCH($B1782,账户名,0))+SUMIFS($L$6:L1782,$B$6:B1782,$B1782),2),""))</f>
        <v/>
      </c>
      <c r="O1782" s="46"/>
      <c r="P1782" s="47"/>
      <c r="Q1782" s="46"/>
      <c r="R1782" s="46"/>
      <c r="S1782" s="6" t="str">
        <f>IF($B1782="","",IF(ISNA(MATCH($B1782,账户名,0)),"※这个账户不在【参数设置】的账户档案里",IF($A1782="","※没填日期，这一笔不会进任何月份的报表",IF(AND($G1782&lt;&gt;"",$H1782&lt;&gt;""),"※收入和支出不能同时填",IF(AND(N($G1782)=0,N($H1782)=0),"※收入和支出都没填",IF($E1782="","※没填收支类别，分类报表会漏掉这一笔",IF(ISNA(MATCH($E1782,类别表,0)),"※收支类别不在【参数设置】的清单里",IF($J1782="","△"&amp;$D1782&amp;" 还没填汇率，去【月度汇率】补上就自动算了",IF(YEAR($A1782)&lt;&gt;管理年度,"△不是管理年度的单据，年报里看不到",IF(AND($F1782="内部转账",$Q1782=""),"△内部转账建议在「往来单位」写上对方账户",IF($M1782&lt;0,"△这一笔之后该账户余额成负数了，核一下","")))))))))))</f>
        <v/>
      </c>
    </row>
    <row r="1783" ht="16.5" spans="1:19">
      <c r="A1783" s="45"/>
      <c r="B1783" s="46"/>
      <c r="C1783" s="12" t="str">
        <f>IF($B1783="","",IFERROR(INDEX(账户银行,MATCH($B1783,账户名,0)),""))</f>
        <v/>
      </c>
      <c r="D1783" s="12" t="str">
        <f>IF($B1783="","",IFERROR(INDEX(账户币种,MATCH($B1783,账户名,0)),""))</f>
        <v/>
      </c>
      <c r="E1783" s="47"/>
      <c r="F1783" s="12" t="str">
        <f>IF($E1783="","",IFERROR(INDEX(类别属性,MATCH($E1783,类别表,0)),""))</f>
        <v/>
      </c>
      <c r="G1783" s="48"/>
      <c r="H1783" s="48"/>
      <c r="I1783" s="49"/>
      <c r="J1783" s="24" t="str">
        <f>IF(OR($A1783="",$B1783=""),"",IF($I1783&lt;&gt;"",$I1783,IF($D1783=本位币,1,IFERROR(LOOKUP(2,1/((汇率月份&lt;=$A1783)*(INDEX(记账汇率区,0,MATCH($D1783,汇率币种头,0))&lt;&gt;"")),INDEX(记账汇率区,0,MATCH($D1783,汇率币种头,0))),""))))</f>
        <v/>
      </c>
      <c r="K1783" s="23" t="str">
        <f t="shared" si="54"/>
        <v/>
      </c>
      <c r="L1783" s="23" t="str">
        <f t="shared" si="55"/>
        <v/>
      </c>
      <c r="M1783" s="23" t="str">
        <f>IF($B1783="","",ROUND(SUMIF(账户名,$B1783,账户期初)+SUMIFS($K$6:K1783,$B$6:B1783,$B1783),2))</f>
        <v/>
      </c>
      <c r="N1783" s="23" t="str">
        <f>IF($B1783="","",IFERROR(ROUND(INDEX(账户期初本位,MATCH($B1783,账户名,0))+SUMIFS($L$6:L1783,$B$6:B1783,$B1783),2),""))</f>
        <v/>
      </c>
      <c r="O1783" s="46"/>
      <c r="P1783" s="47"/>
      <c r="Q1783" s="46"/>
      <c r="R1783" s="46"/>
      <c r="S1783" s="6" t="str">
        <f>IF($B1783="","",IF(ISNA(MATCH($B1783,账户名,0)),"※这个账户不在【参数设置】的账户档案里",IF($A1783="","※没填日期，这一笔不会进任何月份的报表",IF(AND($G1783&lt;&gt;"",$H1783&lt;&gt;""),"※收入和支出不能同时填",IF(AND(N($G1783)=0,N($H1783)=0),"※收入和支出都没填",IF($E1783="","※没填收支类别，分类报表会漏掉这一笔",IF(ISNA(MATCH($E1783,类别表,0)),"※收支类别不在【参数设置】的清单里",IF($J1783="","△"&amp;$D1783&amp;" 还没填汇率，去【月度汇率】补上就自动算了",IF(YEAR($A1783)&lt;&gt;管理年度,"△不是管理年度的单据，年报里看不到",IF(AND($F1783="内部转账",$Q1783=""),"△内部转账建议在「往来单位」写上对方账户",IF($M1783&lt;0,"△这一笔之后该账户余额成负数了，核一下","")))))))))))</f>
        <v/>
      </c>
    </row>
    <row r="1784" ht="16.5" spans="1:19">
      <c r="A1784" s="45"/>
      <c r="B1784" s="46"/>
      <c r="C1784" s="12" t="str">
        <f>IF($B1784="","",IFERROR(INDEX(账户银行,MATCH($B1784,账户名,0)),""))</f>
        <v/>
      </c>
      <c r="D1784" s="12" t="str">
        <f>IF($B1784="","",IFERROR(INDEX(账户币种,MATCH($B1784,账户名,0)),""))</f>
        <v/>
      </c>
      <c r="E1784" s="47"/>
      <c r="F1784" s="12" t="str">
        <f>IF($E1784="","",IFERROR(INDEX(类别属性,MATCH($E1784,类别表,0)),""))</f>
        <v/>
      </c>
      <c r="G1784" s="48"/>
      <c r="H1784" s="48"/>
      <c r="I1784" s="49"/>
      <c r="J1784" s="24" t="str">
        <f>IF(OR($A1784="",$B1784=""),"",IF($I1784&lt;&gt;"",$I1784,IF($D1784=本位币,1,IFERROR(LOOKUP(2,1/((汇率月份&lt;=$A1784)*(INDEX(记账汇率区,0,MATCH($D1784,汇率币种头,0))&lt;&gt;"")),INDEX(记账汇率区,0,MATCH($D1784,汇率币种头,0))),""))))</f>
        <v/>
      </c>
      <c r="K1784" s="23" t="str">
        <f t="shared" si="54"/>
        <v/>
      </c>
      <c r="L1784" s="23" t="str">
        <f t="shared" si="55"/>
        <v/>
      </c>
      <c r="M1784" s="23" t="str">
        <f>IF($B1784="","",ROUND(SUMIF(账户名,$B1784,账户期初)+SUMIFS($K$6:K1784,$B$6:B1784,$B1784),2))</f>
        <v/>
      </c>
      <c r="N1784" s="23" t="str">
        <f>IF($B1784="","",IFERROR(ROUND(INDEX(账户期初本位,MATCH($B1784,账户名,0))+SUMIFS($L$6:L1784,$B$6:B1784,$B1784),2),""))</f>
        <v/>
      </c>
      <c r="O1784" s="46"/>
      <c r="P1784" s="47"/>
      <c r="Q1784" s="46"/>
      <c r="R1784" s="46"/>
      <c r="S1784" s="6" t="str">
        <f>IF($B1784="","",IF(ISNA(MATCH($B1784,账户名,0)),"※这个账户不在【参数设置】的账户档案里",IF($A1784="","※没填日期，这一笔不会进任何月份的报表",IF(AND($G1784&lt;&gt;"",$H1784&lt;&gt;""),"※收入和支出不能同时填",IF(AND(N($G1784)=0,N($H1784)=0),"※收入和支出都没填",IF($E1784="","※没填收支类别，分类报表会漏掉这一笔",IF(ISNA(MATCH($E1784,类别表,0)),"※收支类别不在【参数设置】的清单里",IF($J1784="","△"&amp;$D1784&amp;" 还没填汇率，去【月度汇率】补上就自动算了",IF(YEAR($A1784)&lt;&gt;管理年度,"△不是管理年度的单据，年报里看不到",IF(AND($F1784="内部转账",$Q1784=""),"△内部转账建议在「往来单位」写上对方账户",IF($M1784&lt;0,"△这一笔之后该账户余额成负数了，核一下","")))))))))))</f>
        <v/>
      </c>
    </row>
    <row r="1785" ht="16.5" spans="1:19">
      <c r="A1785" s="45"/>
      <c r="B1785" s="46"/>
      <c r="C1785" s="12" t="str">
        <f>IF($B1785="","",IFERROR(INDEX(账户银行,MATCH($B1785,账户名,0)),""))</f>
        <v/>
      </c>
      <c r="D1785" s="12" t="str">
        <f>IF($B1785="","",IFERROR(INDEX(账户币种,MATCH($B1785,账户名,0)),""))</f>
        <v/>
      </c>
      <c r="E1785" s="47"/>
      <c r="F1785" s="12" t="str">
        <f>IF($E1785="","",IFERROR(INDEX(类别属性,MATCH($E1785,类别表,0)),""))</f>
        <v/>
      </c>
      <c r="G1785" s="48"/>
      <c r="H1785" s="48"/>
      <c r="I1785" s="49"/>
      <c r="J1785" s="24" t="str">
        <f>IF(OR($A1785="",$B1785=""),"",IF($I1785&lt;&gt;"",$I1785,IF($D1785=本位币,1,IFERROR(LOOKUP(2,1/((汇率月份&lt;=$A1785)*(INDEX(记账汇率区,0,MATCH($D1785,汇率币种头,0))&lt;&gt;"")),INDEX(记账汇率区,0,MATCH($D1785,汇率币种头,0))),""))))</f>
        <v/>
      </c>
      <c r="K1785" s="23" t="str">
        <f t="shared" si="54"/>
        <v/>
      </c>
      <c r="L1785" s="23" t="str">
        <f t="shared" si="55"/>
        <v/>
      </c>
      <c r="M1785" s="23" t="str">
        <f>IF($B1785="","",ROUND(SUMIF(账户名,$B1785,账户期初)+SUMIFS($K$6:K1785,$B$6:B1785,$B1785),2))</f>
        <v/>
      </c>
      <c r="N1785" s="23" t="str">
        <f>IF($B1785="","",IFERROR(ROUND(INDEX(账户期初本位,MATCH($B1785,账户名,0))+SUMIFS($L$6:L1785,$B$6:B1785,$B1785),2),""))</f>
        <v/>
      </c>
      <c r="O1785" s="46"/>
      <c r="P1785" s="47"/>
      <c r="Q1785" s="46"/>
      <c r="R1785" s="46"/>
      <c r="S1785" s="6" t="str">
        <f>IF($B1785="","",IF(ISNA(MATCH($B1785,账户名,0)),"※这个账户不在【参数设置】的账户档案里",IF($A1785="","※没填日期，这一笔不会进任何月份的报表",IF(AND($G1785&lt;&gt;"",$H1785&lt;&gt;""),"※收入和支出不能同时填",IF(AND(N($G1785)=0,N($H1785)=0),"※收入和支出都没填",IF($E1785="","※没填收支类别，分类报表会漏掉这一笔",IF(ISNA(MATCH($E1785,类别表,0)),"※收支类别不在【参数设置】的清单里",IF($J1785="","△"&amp;$D1785&amp;" 还没填汇率，去【月度汇率】补上就自动算了",IF(YEAR($A1785)&lt;&gt;管理年度,"△不是管理年度的单据，年报里看不到",IF(AND($F1785="内部转账",$Q1785=""),"△内部转账建议在「往来单位」写上对方账户",IF($M1785&lt;0,"△这一笔之后该账户余额成负数了，核一下","")))))))))))</f>
        <v/>
      </c>
    </row>
    <row r="1786" ht="16.5" spans="1:19">
      <c r="A1786" s="45"/>
      <c r="B1786" s="46"/>
      <c r="C1786" s="12" t="str">
        <f>IF($B1786="","",IFERROR(INDEX(账户银行,MATCH($B1786,账户名,0)),""))</f>
        <v/>
      </c>
      <c r="D1786" s="12" t="str">
        <f>IF($B1786="","",IFERROR(INDEX(账户币种,MATCH($B1786,账户名,0)),""))</f>
        <v/>
      </c>
      <c r="E1786" s="47"/>
      <c r="F1786" s="12" t="str">
        <f>IF($E1786="","",IFERROR(INDEX(类别属性,MATCH($E1786,类别表,0)),""))</f>
        <v/>
      </c>
      <c r="G1786" s="48"/>
      <c r="H1786" s="48"/>
      <c r="I1786" s="49"/>
      <c r="J1786" s="24" t="str">
        <f>IF(OR($A1786="",$B1786=""),"",IF($I1786&lt;&gt;"",$I1786,IF($D1786=本位币,1,IFERROR(LOOKUP(2,1/((汇率月份&lt;=$A1786)*(INDEX(记账汇率区,0,MATCH($D1786,汇率币种头,0))&lt;&gt;"")),INDEX(记账汇率区,0,MATCH($D1786,汇率币种头,0))),""))))</f>
        <v/>
      </c>
      <c r="K1786" s="23" t="str">
        <f t="shared" si="54"/>
        <v/>
      </c>
      <c r="L1786" s="23" t="str">
        <f t="shared" si="55"/>
        <v/>
      </c>
      <c r="M1786" s="23" t="str">
        <f>IF($B1786="","",ROUND(SUMIF(账户名,$B1786,账户期初)+SUMIFS($K$6:K1786,$B$6:B1786,$B1786),2))</f>
        <v/>
      </c>
      <c r="N1786" s="23" t="str">
        <f>IF($B1786="","",IFERROR(ROUND(INDEX(账户期初本位,MATCH($B1786,账户名,0))+SUMIFS($L$6:L1786,$B$6:B1786,$B1786),2),""))</f>
        <v/>
      </c>
      <c r="O1786" s="46"/>
      <c r="P1786" s="47"/>
      <c r="Q1786" s="46"/>
      <c r="R1786" s="46"/>
      <c r="S1786" s="6" t="str">
        <f>IF($B1786="","",IF(ISNA(MATCH($B1786,账户名,0)),"※这个账户不在【参数设置】的账户档案里",IF($A1786="","※没填日期，这一笔不会进任何月份的报表",IF(AND($G1786&lt;&gt;"",$H1786&lt;&gt;""),"※收入和支出不能同时填",IF(AND(N($G1786)=0,N($H1786)=0),"※收入和支出都没填",IF($E1786="","※没填收支类别，分类报表会漏掉这一笔",IF(ISNA(MATCH($E1786,类别表,0)),"※收支类别不在【参数设置】的清单里",IF($J1786="","△"&amp;$D1786&amp;" 还没填汇率，去【月度汇率】补上就自动算了",IF(YEAR($A1786)&lt;&gt;管理年度,"△不是管理年度的单据，年报里看不到",IF(AND($F1786="内部转账",$Q1786=""),"△内部转账建议在「往来单位」写上对方账户",IF($M1786&lt;0,"△这一笔之后该账户余额成负数了，核一下","")))))))))))</f>
        <v/>
      </c>
    </row>
    <row r="1787" ht="16.5" spans="1:19">
      <c r="A1787" s="45"/>
      <c r="B1787" s="46"/>
      <c r="C1787" s="12" t="str">
        <f>IF($B1787="","",IFERROR(INDEX(账户银行,MATCH($B1787,账户名,0)),""))</f>
        <v/>
      </c>
      <c r="D1787" s="12" t="str">
        <f>IF($B1787="","",IFERROR(INDEX(账户币种,MATCH($B1787,账户名,0)),""))</f>
        <v/>
      </c>
      <c r="E1787" s="47"/>
      <c r="F1787" s="12" t="str">
        <f>IF($E1787="","",IFERROR(INDEX(类别属性,MATCH($E1787,类别表,0)),""))</f>
        <v/>
      </c>
      <c r="G1787" s="48"/>
      <c r="H1787" s="48"/>
      <c r="I1787" s="49"/>
      <c r="J1787" s="24" t="str">
        <f>IF(OR($A1787="",$B1787=""),"",IF($I1787&lt;&gt;"",$I1787,IF($D1787=本位币,1,IFERROR(LOOKUP(2,1/((汇率月份&lt;=$A1787)*(INDEX(记账汇率区,0,MATCH($D1787,汇率币种头,0))&lt;&gt;"")),INDEX(记账汇率区,0,MATCH($D1787,汇率币种头,0))),""))))</f>
        <v/>
      </c>
      <c r="K1787" s="23" t="str">
        <f t="shared" si="54"/>
        <v/>
      </c>
      <c r="L1787" s="23" t="str">
        <f t="shared" si="55"/>
        <v/>
      </c>
      <c r="M1787" s="23" t="str">
        <f>IF($B1787="","",ROUND(SUMIF(账户名,$B1787,账户期初)+SUMIFS($K$6:K1787,$B$6:B1787,$B1787),2))</f>
        <v/>
      </c>
      <c r="N1787" s="23" t="str">
        <f>IF($B1787="","",IFERROR(ROUND(INDEX(账户期初本位,MATCH($B1787,账户名,0))+SUMIFS($L$6:L1787,$B$6:B1787,$B1787),2),""))</f>
        <v/>
      </c>
      <c r="O1787" s="46"/>
      <c r="P1787" s="47"/>
      <c r="Q1787" s="46"/>
      <c r="R1787" s="46"/>
      <c r="S1787" s="6" t="str">
        <f>IF($B1787="","",IF(ISNA(MATCH($B1787,账户名,0)),"※这个账户不在【参数设置】的账户档案里",IF($A1787="","※没填日期，这一笔不会进任何月份的报表",IF(AND($G1787&lt;&gt;"",$H1787&lt;&gt;""),"※收入和支出不能同时填",IF(AND(N($G1787)=0,N($H1787)=0),"※收入和支出都没填",IF($E1787="","※没填收支类别，分类报表会漏掉这一笔",IF(ISNA(MATCH($E1787,类别表,0)),"※收支类别不在【参数设置】的清单里",IF($J1787="","△"&amp;$D1787&amp;" 还没填汇率，去【月度汇率】补上就自动算了",IF(YEAR($A1787)&lt;&gt;管理年度,"△不是管理年度的单据，年报里看不到",IF(AND($F1787="内部转账",$Q1787=""),"△内部转账建议在「往来单位」写上对方账户",IF($M1787&lt;0,"△这一笔之后该账户余额成负数了，核一下","")))))))))))</f>
        <v/>
      </c>
    </row>
    <row r="1788" ht="16.5" spans="1:19">
      <c r="A1788" s="45"/>
      <c r="B1788" s="46"/>
      <c r="C1788" s="12" t="str">
        <f>IF($B1788="","",IFERROR(INDEX(账户银行,MATCH($B1788,账户名,0)),""))</f>
        <v/>
      </c>
      <c r="D1788" s="12" t="str">
        <f>IF($B1788="","",IFERROR(INDEX(账户币种,MATCH($B1788,账户名,0)),""))</f>
        <v/>
      </c>
      <c r="E1788" s="47"/>
      <c r="F1788" s="12" t="str">
        <f>IF($E1788="","",IFERROR(INDEX(类别属性,MATCH($E1788,类别表,0)),""))</f>
        <v/>
      </c>
      <c r="G1788" s="48"/>
      <c r="H1788" s="48"/>
      <c r="I1788" s="49"/>
      <c r="J1788" s="24" t="str">
        <f>IF(OR($A1788="",$B1788=""),"",IF($I1788&lt;&gt;"",$I1788,IF($D1788=本位币,1,IFERROR(LOOKUP(2,1/((汇率月份&lt;=$A1788)*(INDEX(记账汇率区,0,MATCH($D1788,汇率币种头,0))&lt;&gt;"")),INDEX(记账汇率区,0,MATCH($D1788,汇率币种头,0))),""))))</f>
        <v/>
      </c>
      <c r="K1788" s="23" t="str">
        <f t="shared" si="54"/>
        <v/>
      </c>
      <c r="L1788" s="23" t="str">
        <f t="shared" si="55"/>
        <v/>
      </c>
      <c r="M1788" s="23" t="str">
        <f>IF($B1788="","",ROUND(SUMIF(账户名,$B1788,账户期初)+SUMIFS($K$6:K1788,$B$6:B1788,$B1788),2))</f>
        <v/>
      </c>
      <c r="N1788" s="23" t="str">
        <f>IF($B1788="","",IFERROR(ROUND(INDEX(账户期初本位,MATCH($B1788,账户名,0))+SUMIFS($L$6:L1788,$B$6:B1788,$B1788),2),""))</f>
        <v/>
      </c>
      <c r="O1788" s="46"/>
      <c r="P1788" s="47"/>
      <c r="Q1788" s="46"/>
      <c r="R1788" s="46"/>
      <c r="S1788" s="6" t="str">
        <f>IF($B1788="","",IF(ISNA(MATCH($B1788,账户名,0)),"※这个账户不在【参数设置】的账户档案里",IF($A1788="","※没填日期，这一笔不会进任何月份的报表",IF(AND($G1788&lt;&gt;"",$H1788&lt;&gt;""),"※收入和支出不能同时填",IF(AND(N($G1788)=0,N($H1788)=0),"※收入和支出都没填",IF($E1788="","※没填收支类别，分类报表会漏掉这一笔",IF(ISNA(MATCH($E1788,类别表,0)),"※收支类别不在【参数设置】的清单里",IF($J1788="","△"&amp;$D1788&amp;" 还没填汇率，去【月度汇率】补上就自动算了",IF(YEAR($A1788)&lt;&gt;管理年度,"△不是管理年度的单据，年报里看不到",IF(AND($F1788="内部转账",$Q1788=""),"△内部转账建议在「往来单位」写上对方账户",IF($M1788&lt;0,"△这一笔之后该账户余额成负数了，核一下","")))))))))))</f>
        <v/>
      </c>
    </row>
    <row r="1789" ht="16.5" spans="1:19">
      <c r="A1789" s="45"/>
      <c r="B1789" s="46"/>
      <c r="C1789" s="12" t="str">
        <f>IF($B1789="","",IFERROR(INDEX(账户银行,MATCH($B1789,账户名,0)),""))</f>
        <v/>
      </c>
      <c r="D1789" s="12" t="str">
        <f>IF($B1789="","",IFERROR(INDEX(账户币种,MATCH($B1789,账户名,0)),""))</f>
        <v/>
      </c>
      <c r="E1789" s="47"/>
      <c r="F1789" s="12" t="str">
        <f>IF($E1789="","",IFERROR(INDEX(类别属性,MATCH($E1789,类别表,0)),""))</f>
        <v/>
      </c>
      <c r="G1789" s="48"/>
      <c r="H1789" s="48"/>
      <c r="I1789" s="49"/>
      <c r="J1789" s="24" t="str">
        <f>IF(OR($A1789="",$B1789=""),"",IF($I1789&lt;&gt;"",$I1789,IF($D1789=本位币,1,IFERROR(LOOKUP(2,1/((汇率月份&lt;=$A1789)*(INDEX(记账汇率区,0,MATCH($D1789,汇率币种头,0))&lt;&gt;"")),INDEX(记账汇率区,0,MATCH($D1789,汇率币种头,0))),""))))</f>
        <v/>
      </c>
      <c r="K1789" s="23" t="str">
        <f t="shared" si="54"/>
        <v/>
      </c>
      <c r="L1789" s="23" t="str">
        <f t="shared" si="55"/>
        <v/>
      </c>
      <c r="M1789" s="23" t="str">
        <f>IF($B1789="","",ROUND(SUMIF(账户名,$B1789,账户期初)+SUMIFS($K$6:K1789,$B$6:B1789,$B1789),2))</f>
        <v/>
      </c>
      <c r="N1789" s="23" t="str">
        <f>IF($B1789="","",IFERROR(ROUND(INDEX(账户期初本位,MATCH($B1789,账户名,0))+SUMIFS($L$6:L1789,$B$6:B1789,$B1789),2),""))</f>
        <v/>
      </c>
      <c r="O1789" s="46"/>
      <c r="P1789" s="47"/>
      <c r="Q1789" s="46"/>
      <c r="R1789" s="46"/>
      <c r="S1789" s="6" t="str">
        <f>IF($B1789="","",IF(ISNA(MATCH($B1789,账户名,0)),"※这个账户不在【参数设置】的账户档案里",IF($A1789="","※没填日期，这一笔不会进任何月份的报表",IF(AND($G1789&lt;&gt;"",$H1789&lt;&gt;""),"※收入和支出不能同时填",IF(AND(N($G1789)=0,N($H1789)=0),"※收入和支出都没填",IF($E1789="","※没填收支类别，分类报表会漏掉这一笔",IF(ISNA(MATCH($E1789,类别表,0)),"※收支类别不在【参数设置】的清单里",IF($J1789="","△"&amp;$D1789&amp;" 还没填汇率，去【月度汇率】补上就自动算了",IF(YEAR($A1789)&lt;&gt;管理年度,"△不是管理年度的单据，年报里看不到",IF(AND($F1789="内部转账",$Q1789=""),"△内部转账建议在「往来单位」写上对方账户",IF($M1789&lt;0,"△这一笔之后该账户余额成负数了，核一下","")))))))))))</f>
        <v/>
      </c>
    </row>
    <row r="1790" ht="16.5" spans="1:19">
      <c r="A1790" s="45"/>
      <c r="B1790" s="46"/>
      <c r="C1790" s="12" t="str">
        <f>IF($B1790="","",IFERROR(INDEX(账户银行,MATCH($B1790,账户名,0)),""))</f>
        <v/>
      </c>
      <c r="D1790" s="12" t="str">
        <f>IF($B1790="","",IFERROR(INDEX(账户币种,MATCH($B1790,账户名,0)),""))</f>
        <v/>
      </c>
      <c r="E1790" s="47"/>
      <c r="F1790" s="12" t="str">
        <f>IF($E1790="","",IFERROR(INDEX(类别属性,MATCH($E1790,类别表,0)),""))</f>
        <v/>
      </c>
      <c r="G1790" s="48"/>
      <c r="H1790" s="48"/>
      <c r="I1790" s="49"/>
      <c r="J1790" s="24" t="str">
        <f>IF(OR($A1790="",$B1790=""),"",IF($I1790&lt;&gt;"",$I1790,IF($D1790=本位币,1,IFERROR(LOOKUP(2,1/((汇率月份&lt;=$A1790)*(INDEX(记账汇率区,0,MATCH($D1790,汇率币种头,0))&lt;&gt;"")),INDEX(记账汇率区,0,MATCH($D1790,汇率币种头,0))),""))))</f>
        <v/>
      </c>
      <c r="K1790" s="23" t="str">
        <f t="shared" si="54"/>
        <v/>
      </c>
      <c r="L1790" s="23" t="str">
        <f t="shared" si="55"/>
        <v/>
      </c>
      <c r="M1790" s="23" t="str">
        <f>IF($B1790="","",ROUND(SUMIF(账户名,$B1790,账户期初)+SUMIFS($K$6:K1790,$B$6:B1790,$B1790),2))</f>
        <v/>
      </c>
      <c r="N1790" s="23" t="str">
        <f>IF($B1790="","",IFERROR(ROUND(INDEX(账户期初本位,MATCH($B1790,账户名,0))+SUMIFS($L$6:L1790,$B$6:B1790,$B1790),2),""))</f>
        <v/>
      </c>
      <c r="O1790" s="46"/>
      <c r="P1790" s="47"/>
      <c r="Q1790" s="46"/>
      <c r="R1790" s="46"/>
      <c r="S1790" s="6" t="str">
        <f>IF($B1790="","",IF(ISNA(MATCH($B1790,账户名,0)),"※这个账户不在【参数设置】的账户档案里",IF($A1790="","※没填日期，这一笔不会进任何月份的报表",IF(AND($G1790&lt;&gt;"",$H1790&lt;&gt;""),"※收入和支出不能同时填",IF(AND(N($G1790)=0,N($H1790)=0),"※收入和支出都没填",IF($E1790="","※没填收支类别，分类报表会漏掉这一笔",IF(ISNA(MATCH($E1790,类别表,0)),"※收支类别不在【参数设置】的清单里",IF($J1790="","△"&amp;$D1790&amp;" 还没填汇率，去【月度汇率】补上就自动算了",IF(YEAR($A1790)&lt;&gt;管理年度,"△不是管理年度的单据，年报里看不到",IF(AND($F1790="内部转账",$Q1790=""),"△内部转账建议在「往来单位」写上对方账户",IF($M1790&lt;0,"△这一笔之后该账户余额成负数了，核一下","")))))))))))</f>
        <v/>
      </c>
    </row>
    <row r="1791" ht="16.5" spans="1:19">
      <c r="A1791" s="45"/>
      <c r="B1791" s="46"/>
      <c r="C1791" s="12" t="str">
        <f>IF($B1791="","",IFERROR(INDEX(账户银行,MATCH($B1791,账户名,0)),""))</f>
        <v/>
      </c>
      <c r="D1791" s="12" t="str">
        <f>IF($B1791="","",IFERROR(INDEX(账户币种,MATCH($B1791,账户名,0)),""))</f>
        <v/>
      </c>
      <c r="E1791" s="47"/>
      <c r="F1791" s="12" t="str">
        <f>IF($E1791="","",IFERROR(INDEX(类别属性,MATCH($E1791,类别表,0)),""))</f>
        <v/>
      </c>
      <c r="G1791" s="48"/>
      <c r="H1791" s="48"/>
      <c r="I1791" s="49"/>
      <c r="J1791" s="24" t="str">
        <f>IF(OR($A1791="",$B1791=""),"",IF($I1791&lt;&gt;"",$I1791,IF($D1791=本位币,1,IFERROR(LOOKUP(2,1/((汇率月份&lt;=$A1791)*(INDEX(记账汇率区,0,MATCH($D1791,汇率币种头,0))&lt;&gt;"")),INDEX(记账汇率区,0,MATCH($D1791,汇率币种头,0))),""))))</f>
        <v/>
      </c>
      <c r="K1791" s="23" t="str">
        <f t="shared" si="54"/>
        <v/>
      </c>
      <c r="L1791" s="23" t="str">
        <f t="shared" si="55"/>
        <v/>
      </c>
      <c r="M1791" s="23" t="str">
        <f>IF($B1791="","",ROUND(SUMIF(账户名,$B1791,账户期初)+SUMIFS($K$6:K1791,$B$6:B1791,$B1791),2))</f>
        <v/>
      </c>
      <c r="N1791" s="23" t="str">
        <f>IF($B1791="","",IFERROR(ROUND(INDEX(账户期初本位,MATCH($B1791,账户名,0))+SUMIFS($L$6:L1791,$B$6:B1791,$B1791),2),""))</f>
        <v/>
      </c>
      <c r="O1791" s="46"/>
      <c r="P1791" s="47"/>
      <c r="Q1791" s="46"/>
      <c r="R1791" s="46"/>
      <c r="S1791" s="6" t="str">
        <f>IF($B1791="","",IF(ISNA(MATCH($B1791,账户名,0)),"※这个账户不在【参数设置】的账户档案里",IF($A1791="","※没填日期，这一笔不会进任何月份的报表",IF(AND($G1791&lt;&gt;"",$H1791&lt;&gt;""),"※收入和支出不能同时填",IF(AND(N($G1791)=0,N($H1791)=0),"※收入和支出都没填",IF($E1791="","※没填收支类别，分类报表会漏掉这一笔",IF(ISNA(MATCH($E1791,类别表,0)),"※收支类别不在【参数设置】的清单里",IF($J1791="","△"&amp;$D1791&amp;" 还没填汇率，去【月度汇率】补上就自动算了",IF(YEAR($A1791)&lt;&gt;管理年度,"△不是管理年度的单据，年报里看不到",IF(AND($F1791="内部转账",$Q1791=""),"△内部转账建议在「往来单位」写上对方账户",IF($M1791&lt;0,"△这一笔之后该账户余额成负数了，核一下","")))))))))))</f>
        <v/>
      </c>
    </row>
    <row r="1792" ht="16.5" spans="1:19">
      <c r="A1792" s="45"/>
      <c r="B1792" s="46"/>
      <c r="C1792" s="12" t="str">
        <f>IF($B1792="","",IFERROR(INDEX(账户银行,MATCH($B1792,账户名,0)),""))</f>
        <v/>
      </c>
      <c r="D1792" s="12" t="str">
        <f>IF($B1792="","",IFERROR(INDEX(账户币种,MATCH($B1792,账户名,0)),""))</f>
        <v/>
      </c>
      <c r="E1792" s="47"/>
      <c r="F1792" s="12" t="str">
        <f>IF($E1792="","",IFERROR(INDEX(类别属性,MATCH($E1792,类别表,0)),""))</f>
        <v/>
      </c>
      <c r="G1792" s="48"/>
      <c r="H1792" s="48"/>
      <c r="I1792" s="49"/>
      <c r="J1792" s="24" t="str">
        <f>IF(OR($A1792="",$B1792=""),"",IF($I1792&lt;&gt;"",$I1792,IF($D1792=本位币,1,IFERROR(LOOKUP(2,1/((汇率月份&lt;=$A1792)*(INDEX(记账汇率区,0,MATCH($D1792,汇率币种头,0))&lt;&gt;"")),INDEX(记账汇率区,0,MATCH($D1792,汇率币种头,0))),""))))</f>
        <v/>
      </c>
      <c r="K1792" s="23" t="str">
        <f t="shared" si="54"/>
        <v/>
      </c>
      <c r="L1792" s="23" t="str">
        <f t="shared" si="55"/>
        <v/>
      </c>
      <c r="M1792" s="23" t="str">
        <f>IF($B1792="","",ROUND(SUMIF(账户名,$B1792,账户期初)+SUMIFS($K$6:K1792,$B$6:B1792,$B1792),2))</f>
        <v/>
      </c>
      <c r="N1792" s="23" t="str">
        <f>IF($B1792="","",IFERROR(ROUND(INDEX(账户期初本位,MATCH($B1792,账户名,0))+SUMIFS($L$6:L1792,$B$6:B1792,$B1792),2),""))</f>
        <v/>
      </c>
      <c r="O1792" s="46"/>
      <c r="P1792" s="47"/>
      <c r="Q1792" s="46"/>
      <c r="R1792" s="46"/>
      <c r="S1792" s="6" t="str">
        <f>IF($B1792="","",IF(ISNA(MATCH($B1792,账户名,0)),"※这个账户不在【参数设置】的账户档案里",IF($A1792="","※没填日期，这一笔不会进任何月份的报表",IF(AND($G1792&lt;&gt;"",$H1792&lt;&gt;""),"※收入和支出不能同时填",IF(AND(N($G1792)=0,N($H1792)=0),"※收入和支出都没填",IF($E1792="","※没填收支类别，分类报表会漏掉这一笔",IF(ISNA(MATCH($E1792,类别表,0)),"※收支类别不在【参数设置】的清单里",IF($J1792="","△"&amp;$D1792&amp;" 还没填汇率，去【月度汇率】补上就自动算了",IF(YEAR($A1792)&lt;&gt;管理年度,"△不是管理年度的单据，年报里看不到",IF(AND($F1792="内部转账",$Q1792=""),"△内部转账建议在「往来单位」写上对方账户",IF($M1792&lt;0,"△这一笔之后该账户余额成负数了，核一下","")))))))))))</f>
        <v/>
      </c>
    </row>
    <row r="1793" ht="16.5" spans="1:19">
      <c r="A1793" s="45"/>
      <c r="B1793" s="46"/>
      <c r="C1793" s="12" t="str">
        <f>IF($B1793="","",IFERROR(INDEX(账户银行,MATCH($B1793,账户名,0)),""))</f>
        <v/>
      </c>
      <c r="D1793" s="12" t="str">
        <f>IF($B1793="","",IFERROR(INDEX(账户币种,MATCH($B1793,账户名,0)),""))</f>
        <v/>
      </c>
      <c r="E1793" s="47"/>
      <c r="F1793" s="12" t="str">
        <f>IF($E1793="","",IFERROR(INDEX(类别属性,MATCH($E1793,类别表,0)),""))</f>
        <v/>
      </c>
      <c r="G1793" s="48"/>
      <c r="H1793" s="48"/>
      <c r="I1793" s="49"/>
      <c r="J1793" s="24" t="str">
        <f>IF(OR($A1793="",$B1793=""),"",IF($I1793&lt;&gt;"",$I1793,IF($D1793=本位币,1,IFERROR(LOOKUP(2,1/((汇率月份&lt;=$A1793)*(INDEX(记账汇率区,0,MATCH($D1793,汇率币种头,0))&lt;&gt;"")),INDEX(记账汇率区,0,MATCH($D1793,汇率币种头,0))),""))))</f>
        <v/>
      </c>
      <c r="K1793" s="23" t="str">
        <f t="shared" si="54"/>
        <v/>
      </c>
      <c r="L1793" s="23" t="str">
        <f t="shared" si="55"/>
        <v/>
      </c>
      <c r="M1793" s="23" t="str">
        <f>IF($B1793="","",ROUND(SUMIF(账户名,$B1793,账户期初)+SUMIFS($K$6:K1793,$B$6:B1793,$B1793),2))</f>
        <v/>
      </c>
      <c r="N1793" s="23" t="str">
        <f>IF($B1793="","",IFERROR(ROUND(INDEX(账户期初本位,MATCH($B1793,账户名,0))+SUMIFS($L$6:L1793,$B$6:B1793,$B1793),2),""))</f>
        <v/>
      </c>
      <c r="O1793" s="46"/>
      <c r="P1793" s="47"/>
      <c r="Q1793" s="46"/>
      <c r="R1793" s="46"/>
      <c r="S1793" s="6" t="str">
        <f>IF($B1793="","",IF(ISNA(MATCH($B1793,账户名,0)),"※这个账户不在【参数设置】的账户档案里",IF($A1793="","※没填日期，这一笔不会进任何月份的报表",IF(AND($G1793&lt;&gt;"",$H1793&lt;&gt;""),"※收入和支出不能同时填",IF(AND(N($G1793)=0,N($H1793)=0),"※收入和支出都没填",IF($E1793="","※没填收支类别，分类报表会漏掉这一笔",IF(ISNA(MATCH($E1793,类别表,0)),"※收支类别不在【参数设置】的清单里",IF($J1793="","△"&amp;$D1793&amp;" 还没填汇率，去【月度汇率】补上就自动算了",IF(YEAR($A1793)&lt;&gt;管理年度,"△不是管理年度的单据，年报里看不到",IF(AND($F1793="内部转账",$Q1793=""),"△内部转账建议在「往来单位」写上对方账户",IF($M1793&lt;0,"△这一笔之后该账户余额成负数了，核一下","")))))))))))</f>
        <v/>
      </c>
    </row>
    <row r="1794" ht="16.5" spans="1:19">
      <c r="A1794" s="45"/>
      <c r="B1794" s="46"/>
      <c r="C1794" s="12" t="str">
        <f>IF($B1794="","",IFERROR(INDEX(账户银行,MATCH($B1794,账户名,0)),""))</f>
        <v/>
      </c>
      <c r="D1794" s="12" t="str">
        <f>IF($B1794="","",IFERROR(INDEX(账户币种,MATCH($B1794,账户名,0)),""))</f>
        <v/>
      </c>
      <c r="E1794" s="47"/>
      <c r="F1794" s="12" t="str">
        <f>IF($E1794="","",IFERROR(INDEX(类别属性,MATCH($E1794,类别表,0)),""))</f>
        <v/>
      </c>
      <c r="G1794" s="48"/>
      <c r="H1794" s="48"/>
      <c r="I1794" s="49"/>
      <c r="J1794" s="24" t="str">
        <f>IF(OR($A1794="",$B1794=""),"",IF($I1794&lt;&gt;"",$I1794,IF($D1794=本位币,1,IFERROR(LOOKUP(2,1/((汇率月份&lt;=$A1794)*(INDEX(记账汇率区,0,MATCH($D1794,汇率币种头,0))&lt;&gt;"")),INDEX(记账汇率区,0,MATCH($D1794,汇率币种头,0))),""))))</f>
        <v/>
      </c>
      <c r="K1794" s="23" t="str">
        <f t="shared" si="54"/>
        <v/>
      </c>
      <c r="L1794" s="23" t="str">
        <f t="shared" si="55"/>
        <v/>
      </c>
      <c r="M1794" s="23" t="str">
        <f>IF($B1794="","",ROUND(SUMIF(账户名,$B1794,账户期初)+SUMIFS($K$6:K1794,$B$6:B1794,$B1794),2))</f>
        <v/>
      </c>
      <c r="N1794" s="23" t="str">
        <f>IF($B1794="","",IFERROR(ROUND(INDEX(账户期初本位,MATCH($B1794,账户名,0))+SUMIFS($L$6:L1794,$B$6:B1794,$B1794),2),""))</f>
        <v/>
      </c>
      <c r="O1794" s="46"/>
      <c r="P1794" s="47"/>
      <c r="Q1794" s="46"/>
      <c r="R1794" s="46"/>
      <c r="S1794" s="6" t="str">
        <f>IF($B1794="","",IF(ISNA(MATCH($B1794,账户名,0)),"※这个账户不在【参数设置】的账户档案里",IF($A1794="","※没填日期，这一笔不会进任何月份的报表",IF(AND($G1794&lt;&gt;"",$H1794&lt;&gt;""),"※收入和支出不能同时填",IF(AND(N($G1794)=0,N($H1794)=0),"※收入和支出都没填",IF($E1794="","※没填收支类别，分类报表会漏掉这一笔",IF(ISNA(MATCH($E1794,类别表,0)),"※收支类别不在【参数设置】的清单里",IF($J1794="","△"&amp;$D1794&amp;" 还没填汇率，去【月度汇率】补上就自动算了",IF(YEAR($A1794)&lt;&gt;管理年度,"△不是管理年度的单据，年报里看不到",IF(AND($F1794="内部转账",$Q1794=""),"△内部转账建议在「往来单位」写上对方账户",IF($M1794&lt;0,"△这一笔之后该账户余额成负数了，核一下","")))))))))))</f>
        <v/>
      </c>
    </row>
    <row r="1795" ht="16.5" spans="1:19">
      <c r="A1795" s="45"/>
      <c r="B1795" s="46"/>
      <c r="C1795" s="12" t="str">
        <f>IF($B1795="","",IFERROR(INDEX(账户银行,MATCH($B1795,账户名,0)),""))</f>
        <v/>
      </c>
      <c r="D1795" s="12" t="str">
        <f>IF($B1795="","",IFERROR(INDEX(账户币种,MATCH($B1795,账户名,0)),""))</f>
        <v/>
      </c>
      <c r="E1795" s="47"/>
      <c r="F1795" s="12" t="str">
        <f>IF($E1795="","",IFERROR(INDEX(类别属性,MATCH($E1795,类别表,0)),""))</f>
        <v/>
      </c>
      <c r="G1795" s="48"/>
      <c r="H1795" s="48"/>
      <c r="I1795" s="49"/>
      <c r="J1795" s="24" t="str">
        <f>IF(OR($A1795="",$B1795=""),"",IF($I1795&lt;&gt;"",$I1795,IF($D1795=本位币,1,IFERROR(LOOKUP(2,1/((汇率月份&lt;=$A1795)*(INDEX(记账汇率区,0,MATCH($D1795,汇率币种头,0))&lt;&gt;"")),INDEX(记账汇率区,0,MATCH($D1795,汇率币种头,0))),""))))</f>
        <v/>
      </c>
      <c r="K1795" s="23" t="str">
        <f t="shared" si="54"/>
        <v/>
      </c>
      <c r="L1795" s="23" t="str">
        <f t="shared" si="55"/>
        <v/>
      </c>
      <c r="M1795" s="23" t="str">
        <f>IF($B1795="","",ROUND(SUMIF(账户名,$B1795,账户期初)+SUMIFS($K$6:K1795,$B$6:B1795,$B1795),2))</f>
        <v/>
      </c>
      <c r="N1795" s="23" t="str">
        <f>IF($B1795="","",IFERROR(ROUND(INDEX(账户期初本位,MATCH($B1795,账户名,0))+SUMIFS($L$6:L1795,$B$6:B1795,$B1795),2),""))</f>
        <v/>
      </c>
      <c r="O1795" s="46"/>
      <c r="P1795" s="47"/>
      <c r="Q1795" s="46"/>
      <c r="R1795" s="46"/>
      <c r="S1795" s="6" t="str">
        <f>IF($B1795="","",IF(ISNA(MATCH($B1795,账户名,0)),"※这个账户不在【参数设置】的账户档案里",IF($A1795="","※没填日期，这一笔不会进任何月份的报表",IF(AND($G1795&lt;&gt;"",$H1795&lt;&gt;""),"※收入和支出不能同时填",IF(AND(N($G1795)=0,N($H1795)=0),"※收入和支出都没填",IF($E1795="","※没填收支类别，分类报表会漏掉这一笔",IF(ISNA(MATCH($E1795,类别表,0)),"※收支类别不在【参数设置】的清单里",IF($J1795="","△"&amp;$D1795&amp;" 还没填汇率，去【月度汇率】补上就自动算了",IF(YEAR($A1795)&lt;&gt;管理年度,"△不是管理年度的单据，年报里看不到",IF(AND($F1795="内部转账",$Q1795=""),"△内部转账建议在「往来单位」写上对方账户",IF($M1795&lt;0,"△这一笔之后该账户余额成负数了，核一下","")))))))))))</f>
        <v/>
      </c>
    </row>
    <row r="1796" ht="16.5" spans="1:19">
      <c r="A1796" s="45"/>
      <c r="B1796" s="46"/>
      <c r="C1796" s="12" t="str">
        <f>IF($B1796="","",IFERROR(INDEX(账户银行,MATCH($B1796,账户名,0)),""))</f>
        <v/>
      </c>
      <c r="D1796" s="12" t="str">
        <f>IF($B1796="","",IFERROR(INDEX(账户币种,MATCH($B1796,账户名,0)),""))</f>
        <v/>
      </c>
      <c r="E1796" s="47"/>
      <c r="F1796" s="12" t="str">
        <f>IF($E1796="","",IFERROR(INDEX(类别属性,MATCH($E1796,类别表,0)),""))</f>
        <v/>
      </c>
      <c r="G1796" s="48"/>
      <c r="H1796" s="48"/>
      <c r="I1796" s="49"/>
      <c r="J1796" s="24" t="str">
        <f>IF(OR($A1796="",$B1796=""),"",IF($I1796&lt;&gt;"",$I1796,IF($D1796=本位币,1,IFERROR(LOOKUP(2,1/((汇率月份&lt;=$A1796)*(INDEX(记账汇率区,0,MATCH($D1796,汇率币种头,0))&lt;&gt;"")),INDEX(记账汇率区,0,MATCH($D1796,汇率币种头,0))),""))))</f>
        <v/>
      </c>
      <c r="K1796" s="23" t="str">
        <f t="shared" si="54"/>
        <v/>
      </c>
      <c r="L1796" s="23" t="str">
        <f t="shared" si="55"/>
        <v/>
      </c>
      <c r="M1796" s="23" t="str">
        <f>IF($B1796="","",ROUND(SUMIF(账户名,$B1796,账户期初)+SUMIFS($K$6:K1796,$B$6:B1796,$B1796),2))</f>
        <v/>
      </c>
      <c r="N1796" s="23" t="str">
        <f>IF($B1796="","",IFERROR(ROUND(INDEX(账户期初本位,MATCH($B1796,账户名,0))+SUMIFS($L$6:L1796,$B$6:B1796,$B1796),2),""))</f>
        <v/>
      </c>
      <c r="O1796" s="46"/>
      <c r="P1796" s="47"/>
      <c r="Q1796" s="46"/>
      <c r="R1796" s="46"/>
      <c r="S1796" s="6" t="str">
        <f>IF($B1796="","",IF(ISNA(MATCH($B1796,账户名,0)),"※这个账户不在【参数设置】的账户档案里",IF($A1796="","※没填日期，这一笔不会进任何月份的报表",IF(AND($G1796&lt;&gt;"",$H1796&lt;&gt;""),"※收入和支出不能同时填",IF(AND(N($G1796)=0,N($H1796)=0),"※收入和支出都没填",IF($E1796="","※没填收支类别，分类报表会漏掉这一笔",IF(ISNA(MATCH($E1796,类别表,0)),"※收支类别不在【参数设置】的清单里",IF($J1796="","△"&amp;$D1796&amp;" 还没填汇率，去【月度汇率】补上就自动算了",IF(YEAR($A1796)&lt;&gt;管理年度,"△不是管理年度的单据，年报里看不到",IF(AND($F1796="内部转账",$Q1796=""),"△内部转账建议在「往来单位」写上对方账户",IF($M1796&lt;0,"△这一笔之后该账户余额成负数了，核一下","")))))))))))</f>
        <v/>
      </c>
    </row>
    <row r="1797" ht="16.5" spans="1:19">
      <c r="A1797" s="45"/>
      <c r="B1797" s="46"/>
      <c r="C1797" s="12" t="str">
        <f>IF($B1797="","",IFERROR(INDEX(账户银行,MATCH($B1797,账户名,0)),""))</f>
        <v/>
      </c>
      <c r="D1797" s="12" t="str">
        <f>IF($B1797="","",IFERROR(INDEX(账户币种,MATCH($B1797,账户名,0)),""))</f>
        <v/>
      </c>
      <c r="E1797" s="47"/>
      <c r="F1797" s="12" t="str">
        <f>IF($E1797="","",IFERROR(INDEX(类别属性,MATCH($E1797,类别表,0)),""))</f>
        <v/>
      </c>
      <c r="G1797" s="48"/>
      <c r="H1797" s="48"/>
      <c r="I1797" s="49"/>
      <c r="J1797" s="24" t="str">
        <f>IF(OR($A1797="",$B1797=""),"",IF($I1797&lt;&gt;"",$I1797,IF($D1797=本位币,1,IFERROR(LOOKUP(2,1/((汇率月份&lt;=$A1797)*(INDEX(记账汇率区,0,MATCH($D1797,汇率币种头,0))&lt;&gt;"")),INDEX(记账汇率区,0,MATCH($D1797,汇率币种头,0))),""))))</f>
        <v/>
      </c>
      <c r="K1797" s="23" t="str">
        <f t="shared" si="54"/>
        <v/>
      </c>
      <c r="L1797" s="23" t="str">
        <f t="shared" si="55"/>
        <v/>
      </c>
      <c r="M1797" s="23" t="str">
        <f>IF($B1797="","",ROUND(SUMIF(账户名,$B1797,账户期初)+SUMIFS($K$6:K1797,$B$6:B1797,$B1797),2))</f>
        <v/>
      </c>
      <c r="N1797" s="23" t="str">
        <f>IF($B1797="","",IFERROR(ROUND(INDEX(账户期初本位,MATCH($B1797,账户名,0))+SUMIFS($L$6:L1797,$B$6:B1797,$B1797),2),""))</f>
        <v/>
      </c>
      <c r="O1797" s="46"/>
      <c r="P1797" s="47"/>
      <c r="Q1797" s="46"/>
      <c r="R1797" s="46"/>
      <c r="S1797" s="6" t="str">
        <f>IF($B1797="","",IF(ISNA(MATCH($B1797,账户名,0)),"※这个账户不在【参数设置】的账户档案里",IF($A1797="","※没填日期，这一笔不会进任何月份的报表",IF(AND($G1797&lt;&gt;"",$H1797&lt;&gt;""),"※收入和支出不能同时填",IF(AND(N($G1797)=0,N($H1797)=0),"※收入和支出都没填",IF($E1797="","※没填收支类别，分类报表会漏掉这一笔",IF(ISNA(MATCH($E1797,类别表,0)),"※收支类别不在【参数设置】的清单里",IF($J1797="","△"&amp;$D1797&amp;" 还没填汇率，去【月度汇率】补上就自动算了",IF(YEAR($A1797)&lt;&gt;管理年度,"△不是管理年度的单据，年报里看不到",IF(AND($F1797="内部转账",$Q1797=""),"△内部转账建议在「往来单位」写上对方账户",IF($M1797&lt;0,"△这一笔之后该账户余额成负数了，核一下","")))))))))))</f>
        <v/>
      </c>
    </row>
    <row r="1798" ht="16.5" spans="1:19">
      <c r="A1798" s="45"/>
      <c r="B1798" s="46"/>
      <c r="C1798" s="12" t="str">
        <f>IF($B1798="","",IFERROR(INDEX(账户银行,MATCH($B1798,账户名,0)),""))</f>
        <v/>
      </c>
      <c r="D1798" s="12" t="str">
        <f>IF($B1798="","",IFERROR(INDEX(账户币种,MATCH($B1798,账户名,0)),""))</f>
        <v/>
      </c>
      <c r="E1798" s="47"/>
      <c r="F1798" s="12" t="str">
        <f>IF($E1798="","",IFERROR(INDEX(类别属性,MATCH($E1798,类别表,0)),""))</f>
        <v/>
      </c>
      <c r="G1798" s="48"/>
      <c r="H1798" s="48"/>
      <c r="I1798" s="49"/>
      <c r="J1798" s="24" t="str">
        <f>IF(OR($A1798="",$B1798=""),"",IF($I1798&lt;&gt;"",$I1798,IF($D1798=本位币,1,IFERROR(LOOKUP(2,1/((汇率月份&lt;=$A1798)*(INDEX(记账汇率区,0,MATCH($D1798,汇率币种头,0))&lt;&gt;"")),INDEX(记账汇率区,0,MATCH($D1798,汇率币种头,0))),""))))</f>
        <v/>
      </c>
      <c r="K1798" s="23" t="str">
        <f t="shared" ref="K1798:K1861" si="56">IF(AND($G1798="",$H1798=""),"",ROUND(N($G1798)-N($H1798),2))</f>
        <v/>
      </c>
      <c r="L1798" s="23" t="str">
        <f t="shared" ref="L1798:L1861" si="57">IF(OR($K1798="",$J1798=""),"",ROUND($K1798*$J1798,2))</f>
        <v/>
      </c>
      <c r="M1798" s="23" t="str">
        <f>IF($B1798="","",ROUND(SUMIF(账户名,$B1798,账户期初)+SUMIFS($K$6:K1798,$B$6:B1798,$B1798),2))</f>
        <v/>
      </c>
      <c r="N1798" s="23" t="str">
        <f>IF($B1798="","",IFERROR(ROUND(INDEX(账户期初本位,MATCH($B1798,账户名,0))+SUMIFS($L$6:L1798,$B$6:B1798,$B1798),2),""))</f>
        <v/>
      </c>
      <c r="O1798" s="46"/>
      <c r="P1798" s="47"/>
      <c r="Q1798" s="46"/>
      <c r="R1798" s="46"/>
      <c r="S1798" s="6" t="str">
        <f>IF($B1798="","",IF(ISNA(MATCH($B1798,账户名,0)),"※这个账户不在【参数设置】的账户档案里",IF($A1798="","※没填日期，这一笔不会进任何月份的报表",IF(AND($G1798&lt;&gt;"",$H1798&lt;&gt;""),"※收入和支出不能同时填",IF(AND(N($G1798)=0,N($H1798)=0),"※收入和支出都没填",IF($E1798="","※没填收支类别，分类报表会漏掉这一笔",IF(ISNA(MATCH($E1798,类别表,0)),"※收支类别不在【参数设置】的清单里",IF($J1798="","△"&amp;$D1798&amp;" 还没填汇率，去【月度汇率】补上就自动算了",IF(YEAR($A1798)&lt;&gt;管理年度,"△不是管理年度的单据，年报里看不到",IF(AND($F1798="内部转账",$Q1798=""),"△内部转账建议在「往来单位」写上对方账户",IF($M1798&lt;0,"△这一笔之后该账户余额成负数了，核一下","")))))))))))</f>
        <v/>
      </c>
    </row>
    <row r="1799" ht="16.5" spans="1:19">
      <c r="A1799" s="45"/>
      <c r="B1799" s="46"/>
      <c r="C1799" s="12" t="str">
        <f>IF($B1799="","",IFERROR(INDEX(账户银行,MATCH($B1799,账户名,0)),""))</f>
        <v/>
      </c>
      <c r="D1799" s="12" t="str">
        <f>IF($B1799="","",IFERROR(INDEX(账户币种,MATCH($B1799,账户名,0)),""))</f>
        <v/>
      </c>
      <c r="E1799" s="47"/>
      <c r="F1799" s="12" t="str">
        <f>IF($E1799="","",IFERROR(INDEX(类别属性,MATCH($E1799,类别表,0)),""))</f>
        <v/>
      </c>
      <c r="G1799" s="48"/>
      <c r="H1799" s="48"/>
      <c r="I1799" s="49"/>
      <c r="J1799" s="24" t="str">
        <f>IF(OR($A1799="",$B1799=""),"",IF($I1799&lt;&gt;"",$I1799,IF($D1799=本位币,1,IFERROR(LOOKUP(2,1/((汇率月份&lt;=$A1799)*(INDEX(记账汇率区,0,MATCH($D1799,汇率币种头,0))&lt;&gt;"")),INDEX(记账汇率区,0,MATCH($D1799,汇率币种头,0))),""))))</f>
        <v/>
      </c>
      <c r="K1799" s="23" t="str">
        <f t="shared" si="56"/>
        <v/>
      </c>
      <c r="L1799" s="23" t="str">
        <f t="shared" si="57"/>
        <v/>
      </c>
      <c r="M1799" s="23" t="str">
        <f>IF($B1799="","",ROUND(SUMIF(账户名,$B1799,账户期初)+SUMIFS($K$6:K1799,$B$6:B1799,$B1799),2))</f>
        <v/>
      </c>
      <c r="N1799" s="23" t="str">
        <f>IF($B1799="","",IFERROR(ROUND(INDEX(账户期初本位,MATCH($B1799,账户名,0))+SUMIFS($L$6:L1799,$B$6:B1799,$B1799),2),""))</f>
        <v/>
      </c>
      <c r="O1799" s="46"/>
      <c r="P1799" s="47"/>
      <c r="Q1799" s="46"/>
      <c r="R1799" s="46"/>
      <c r="S1799" s="6" t="str">
        <f>IF($B1799="","",IF(ISNA(MATCH($B1799,账户名,0)),"※这个账户不在【参数设置】的账户档案里",IF($A1799="","※没填日期，这一笔不会进任何月份的报表",IF(AND($G1799&lt;&gt;"",$H1799&lt;&gt;""),"※收入和支出不能同时填",IF(AND(N($G1799)=0,N($H1799)=0),"※收入和支出都没填",IF($E1799="","※没填收支类别，分类报表会漏掉这一笔",IF(ISNA(MATCH($E1799,类别表,0)),"※收支类别不在【参数设置】的清单里",IF($J1799="","△"&amp;$D1799&amp;" 还没填汇率，去【月度汇率】补上就自动算了",IF(YEAR($A1799)&lt;&gt;管理年度,"△不是管理年度的单据，年报里看不到",IF(AND($F1799="内部转账",$Q1799=""),"△内部转账建议在「往来单位」写上对方账户",IF($M1799&lt;0,"△这一笔之后该账户余额成负数了，核一下","")))))))))))</f>
        <v/>
      </c>
    </row>
    <row r="1800" ht="16.5" spans="1:19">
      <c r="A1800" s="45"/>
      <c r="B1800" s="46"/>
      <c r="C1800" s="12" t="str">
        <f>IF($B1800="","",IFERROR(INDEX(账户银行,MATCH($B1800,账户名,0)),""))</f>
        <v/>
      </c>
      <c r="D1800" s="12" t="str">
        <f>IF($B1800="","",IFERROR(INDEX(账户币种,MATCH($B1800,账户名,0)),""))</f>
        <v/>
      </c>
      <c r="E1800" s="47"/>
      <c r="F1800" s="12" t="str">
        <f>IF($E1800="","",IFERROR(INDEX(类别属性,MATCH($E1800,类别表,0)),""))</f>
        <v/>
      </c>
      <c r="G1800" s="48"/>
      <c r="H1800" s="48"/>
      <c r="I1800" s="49"/>
      <c r="J1800" s="24" t="str">
        <f>IF(OR($A1800="",$B1800=""),"",IF($I1800&lt;&gt;"",$I1800,IF($D1800=本位币,1,IFERROR(LOOKUP(2,1/((汇率月份&lt;=$A1800)*(INDEX(记账汇率区,0,MATCH($D1800,汇率币种头,0))&lt;&gt;"")),INDEX(记账汇率区,0,MATCH($D1800,汇率币种头,0))),""))))</f>
        <v/>
      </c>
      <c r="K1800" s="23" t="str">
        <f t="shared" si="56"/>
        <v/>
      </c>
      <c r="L1800" s="23" t="str">
        <f t="shared" si="57"/>
        <v/>
      </c>
      <c r="M1800" s="23" t="str">
        <f>IF($B1800="","",ROUND(SUMIF(账户名,$B1800,账户期初)+SUMIFS($K$6:K1800,$B$6:B1800,$B1800),2))</f>
        <v/>
      </c>
      <c r="N1800" s="23" t="str">
        <f>IF($B1800="","",IFERROR(ROUND(INDEX(账户期初本位,MATCH($B1800,账户名,0))+SUMIFS($L$6:L1800,$B$6:B1800,$B1800),2),""))</f>
        <v/>
      </c>
      <c r="O1800" s="46"/>
      <c r="P1800" s="47"/>
      <c r="Q1800" s="46"/>
      <c r="R1800" s="46"/>
      <c r="S1800" s="6" t="str">
        <f>IF($B1800="","",IF(ISNA(MATCH($B1800,账户名,0)),"※这个账户不在【参数设置】的账户档案里",IF($A1800="","※没填日期，这一笔不会进任何月份的报表",IF(AND($G1800&lt;&gt;"",$H1800&lt;&gt;""),"※收入和支出不能同时填",IF(AND(N($G1800)=0,N($H1800)=0),"※收入和支出都没填",IF($E1800="","※没填收支类别，分类报表会漏掉这一笔",IF(ISNA(MATCH($E1800,类别表,0)),"※收支类别不在【参数设置】的清单里",IF($J1800="","△"&amp;$D1800&amp;" 还没填汇率，去【月度汇率】补上就自动算了",IF(YEAR($A1800)&lt;&gt;管理年度,"△不是管理年度的单据，年报里看不到",IF(AND($F1800="内部转账",$Q1800=""),"△内部转账建议在「往来单位」写上对方账户",IF($M1800&lt;0,"△这一笔之后该账户余额成负数了，核一下","")))))))))))</f>
        <v/>
      </c>
    </row>
    <row r="1801" ht="16.5" spans="1:19">
      <c r="A1801" s="45"/>
      <c r="B1801" s="46"/>
      <c r="C1801" s="12" t="str">
        <f>IF($B1801="","",IFERROR(INDEX(账户银行,MATCH($B1801,账户名,0)),""))</f>
        <v/>
      </c>
      <c r="D1801" s="12" t="str">
        <f>IF($B1801="","",IFERROR(INDEX(账户币种,MATCH($B1801,账户名,0)),""))</f>
        <v/>
      </c>
      <c r="E1801" s="47"/>
      <c r="F1801" s="12" t="str">
        <f>IF($E1801="","",IFERROR(INDEX(类别属性,MATCH($E1801,类别表,0)),""))</f>
        <v/>
      </c>
      <c r="G1801" s="48"/>
      <c r="H1801" s="48"/>
      <c r="I1801" s="49"/>
      <c r="J1801" s="24" t="str">
        <f>IF(OR($A1801="",$B1801=""),"",IF($I1801&lt;&gt;"",$I1801,IF($D1801=本位币,1,IFERROR(LOOKUP(2,1/((汇率月份&lt;=$A1801)*(INDEX(记账汇率区,0,MATCH($D1801,汇率币种头,0))&lt;&gt;"")),INDEX(记账汇率区,0,MATCH($D1801,汇率币种头,0))),""))))</f>
        <v/>
      </c>
      <c r="K1801" s="23" t="str">
        <f t="shared" si="56"/>
        <v/>
      </c>
      <c r="L1801" s="23" t="str">
        <f t="shared" si="57"/>
        <v/>
      </c>
      <c r="M1801" s="23" t="str">
        <f>IF($B1801="","",ROUND(SUMIF(账户名,$B1801,账户期初)+SUMIFS($K$6:K1801,$B$6:B1801,$B1801),2))</f>
        <v/>
      </c>
      <c r="N1801" s="23" t="str">
        <f>IF($B1801="","",IFERROR(ROUND(INDEX(账户期初本位,MATCH($B1801,账户名,0))+SUMIFS($L$6:L1801,$B$6:B1801,$B1801),2),""))</f>
        <v/>
      </c>
      <c r="O1801" s="46"/>
      <c r="P1801" s="47"/>
      <c r="Q1801" s="46"/>
      <c r="R1801" s="46"/>
      <c r="S1801" s="6" t="str">
        <f>IF($B1801="","",IF(ISNA(MATCH($B1801,账户名,0)),"※这个账户不在【参数设置】的账户档案里",IF($A1801="","※没填日期，这一笔不会进任何月份的报表",IF(AND($G1801&lt;&gt;"",$H1801&lt;&gt;""),"※收入和支出不能同时填",IF(AND(N($G1801)=0,N($H1801)=0),"※收入和支出都没填",IF($E1801="","※没填收支类别，分类报表会漏掉这一笔",IF(ISNA(MATCH($E1801,类别表,0)),"※收支类别不在【参数设置】的清单里",IF($J1801="","△"&amp;$D1801&amp;" 还没填汇率，去【月度汇率】补上就自动算了",IF(YEAR($A1801)&lt;&gt;管理年度,"△不是管理年度的单据，年报里看不到",IF(AND($F1801="内部转账",$Q1801=""),"△内部转账建议在「往来单位」写上对方账户",IF($M1801&lt;0,"△这一笔之后该账户余额成负数了，核一下","")))))))))))</f>
        <v/>
      </c>
    </row>
    <row r="1802" ht="16.5" spans="1:19">
      <c r="A1802" s="45"/>
      <c r="B1802" s="46"/>
      <c r="C1802" s="12" t="str">
        <f>IF($B1802="","",IFERROR(INDEX(账户银行,MATCH($B1802,账户名,0)),""))</f>
        <v/>
      </c>
      <c r="D1802" s="12" t="str">
        <f>IF($B1802="","",IFERROR(INDEX(账户币种,MATCH($B1802,账户名,0)),""))</f>
        <v/>
      </c>
      <c r="E1802" s="47"/>
      <c r="F1802" s="12" t="str">
        <f>IF($E1802="","",IFERROR(INDEX(类别属性,MATCH($E1802,类别表,0)),""))</f>
        <v/>
      </c>
      <c r="G1802" s="48"/>
      <c r="H1802" s="48"/>
      <c r="I1802" s="49"/>
      <c r="J1802" s="24" t="str">
        <f>IF(OR($A1802="",$B1802=""),"",IF($I1802&lt;&gt;"",$I1802,IF($D1802=本位币,1,IFERROR(LOOKUP(2,1/((汇率月份&lt;=$A1802)*(INDEX(记账汇率区,0,MATCH($D1802,汇率币种头,0))&lt;&gt;"")),INDEX(记账汇率区,0,MATCH($D1802,汇率币种头,0))),""))))</f>
        <v/>
      </c>
      <c r="K1802" s="23" t="str">
        <f t="shared" si="56"/>
        <v/>
      </c>
      <c r="L1802" s="23" t="str">
        <f t="shared" si="57"/>
        <v/>
      </c>
      <c r="M1802" s="23" t="str">
        <f>IF($B1802="","",ROUND(SUMIF(账户名,$B1802,账户期初)+SUMIFS($K$6:K1802,$B$6:B1802,$B1802),2))</f>
        <v/>
      </c>
      <c r="N1802" s="23" t="str">
        <f>IF($B1802="","",IFERROR(ROUND(INDEX(账户期初本位,MATCH($B1802,账户名,0))+SUMIFS($L$6:L1802,$B$6:B1802,$B1802),2),""))</f>
        <v/>
      </c>
      <c r="O1802" s="46"/>
      <c r="P1802" s="47"/>
      <c r="Q1802" s="46"/>
      <c r="R1802" s="46"/>
      <c r="S1802" s="6" t="str">
        <f>IF($B1802="","",IF(ISNA(MATCH($B1802,账户名,0)),"※这个账户不在【参数设置】的账户档案里",IF($A1802="","※没填日期，这一笔不会进任何月份的报表",IF(AND($G1802&lt;&gt;"",$H1802&lt;&gt;""),"※收入和支出不能同时填",IF(AND(N($G1802)=0,N($H1802)=0),"※收入和支出都没填",IF($E1802="","※没填收支类别，分类报表会漏掉这一笔",IF(ISNA(MATCH($E1802,类别表,0)),"※收支类别不在【参数设置】的清单里",IF($J1802="","△"&amp;$D1802&amp;" 还没填汇率，去【月度汇率】补上就自动算了",IF(YEAR($A1802)&lt;&gt;管理年度,"△不是管理年度的单据，年报里看不到",IF(AND($F1802="内部转账",$Q1802=""),"△内部转账建议在「往来单位」写上对方账户",IF($M1802&lt;0,"△这一笔之后该账户余额成负数了，核一下","")))))))))))</f>
        <v/>
      </c>
    </row>
    <row r="1803" ht="16.5" spans="1:19">
      <c r="A1803" s="45"/>
      <c r="B1803" s="46"/>
      <c r="C1803" s="12" t="str">
        <f>IF($B1803="","",IFERROR(INDEX(账户银行,MATCH($B1803,账户名,0)),""))</f>
        <v/>
      </c>
      <c r="D1803" s="12" t="str">
        <f>IF($B1803="","",IFERROR(INDEX(账户币种,MATCH($B1803,账户名,0)),""))</f>
        <v/>
      </c>
      <c r="E1803" s="47"/>
      <c r="F1803" s="12" t="str">
        <f>IF($E1803="","",IFERROR(INDEX(类别属性,MATCH($E1803,类别表,0)),""))</f>
        <v/>
      </c>
      <c r="G1803" s="48"/>
      <c r="H1803" s="48"/>
      <c r="I1803" s="49"/>
      <c r="J1803" s="24" t="str">
        <f>IF(OR($A1803="",$B1803=""),"",IF($I1803&lt;&gt;"",$I1803,IF($D1803=本位币,1,IFERROR(LOOKUP(2,1/((汇率月份&lt;=$A1803)*(INDEX(记账汇率区,0,MATCH($D1803,汇率币种头,0))&lt;&gt;"")),INDEX(记账汇率区,0,MATCH($D1803,汇率币种头,0))),""))))</f>
        <v/>
      </c>
      <c r="K1803" s="23" t="str">
        <f t="shared" si="56"/>
        <v/>
      </c>
      <c r="L1803" s="23" t="str">
        <f t="shared" si="57"/>
        <v/>
      </c>
      <c r="M1803" s="23" t="str">
        <f>IF($B1803="","",ROUND(SUMIF(账户名,$B1803,账户期初)+SUMIFS($K$6:K1803,$B$6:B1803,$B1803),2))</f>
        <v/>
      </c>
      <c r="N1803" s="23" t="str">
        <f>IF($B1803="","",IFERROR(ROUND(INDEX(账户期初本位,MATCH($B1803,账户名,0))+SUMIFS($L$6:L1803,$B$6:B1803,$B1803),2),""))</f>
        <v/>
      </c>
      <c r="O1803" s="46"/>
      <c r="P1803" s="47"/>
      <c r="Q1803" s="46"/>
      <c r="R1803" s="46"/>
      <c r="S1803" s="6" t="str">
        <f>IF($B1803="","",IF(ISNA(MATCH($B1803,账户名,0)),"※这个账户不在【参数设置】的账户档案里",IF($A1803="","※没填日期，这一笔不会进任何月份的报表",IF(AND($G1803&lt;&gt;"",$H1803&lt;&gt;""),"※收入和支出不能同时填",IF(AND(N($G1803)=0,N($H1803)=0),"※收入和支出都没填",IF($E1803="","※没填收支类别，分类报表会漏掉这一笔",IF(ISNA(MATCH($E1803,类别表,0)),"※收支类别不在【参数设置】的清单里",IF($J1803="","△"&amp;$D1803&amp;" 还没填汇率，去【月度汇率】补上就自动算了",IF(YEAR($A1803)&lt;&gt;管理年度,"△不是管理年度的单据，年报里看不到",IF(AND($F1803="内部转账",$Q1803=""),"△内部转账建议在「往来单位」写上对方账户",IF($M1803&lt;0,"△这一笔之后该账户余额成负数了，核一下","")))))))))))</f>
        <v/>
      </c>
    </row>
    <row r="1804" ht="16.5" spans="1:19">
      <c r="A1804" s="45"/>
      <c r="B1804" s="46"/>
      <c r="C1804" s="12" t="str">
        <f>IF($B1804="","",IFERROR(INDEX(账户银行,MATCH($B1804,账户名,0)),""))</f>
        <v/>
      </c>
      <c r="D1804" s="12" t="str">
        <f>IF($B1804="","",IFERROR(INDEX(账户币种,MATCH($B1804,账户名,0)),""))</f>
        <v/>
      </c>
      <c r="E1804" s="47"/>
      <c r="F1804" s="12" t="str">
        <f>IF($E1804="","",IFERROR(INDEX(类别属性,MATCH($E1804,类别表,0)),""))</f>
        <v/>
      </c>
      <c r="G1804" s="48"/>
      <c r="H1804" s="48"/>
      <c r="I1804" s="49"/>
      <c r="J1804" s="24" t="str">
        <f>IF(OR($A1804="",$B1804=""),"",IF($I1804&lt;&gt;"",$I1804,IF($D1804=本位币,1,IFERROR(LOOKUP(2,1/((汇率月份&lt;=$A1804)*(INDEX(记账汇率区,0,MATCH($D1804,汇率币种头,0))&lt;&gt;"")),INDEX(记账汇率区,0,MATCH($D1804,汇率币种头,0))),""))))</f>
        <v/>
      </c>
      <c r="K1804" s="23" t="str">
        <f t="shared" si="56"/>
        <v/>
      </c>
      <c r="L1804" s="23" t="str">
        <f t="shared" si="57"/>
        <v/>
      </c>
      <c r="M1804" s="23" t="str">
        <f>IF($B1804="","",ROUND(SUMIF(账户名,$B1804,账户期初)+SUMIFS($K$6:K1804,$B$6:B1804,$B1804),2))</f>
        <v/>
      </c>
      <c r="N1804" s="23" t="str">
        <f>IF($B1804="","",IFERROR(ROUND(INDEX(账户期初本位,MATCH($B1804,账户名,0))+SUMIFS($L$6:L1804,$B$6:B1804,$B1804),2),""))</f>
        <v/>
      </c>
      <c r="O1804" s="46"/>
      <c r="P1804" s="47"/>
      <c r="Q1804" s="46"/>
      <c r="R1804" s="46"/>
      <c r="S1804" s="6" t="str">
        <f>IF($B1804="","",IF(ISNA(MATCH($B1804,账户名,0)),"※这个账户不在【参数设置】的账户档案里",IF($A1804="","※没填日期，这一笔不会进任何月份的报表",IF(AND($G1804&lt;&gt;"",$H1804&lt;&gt;""),"※收入和支出不能同时填",IF(AND(N($G1804)=0,N($H1804)=0),"※收入和支出都没填",IF($E1804="","※没填收支类别，分类报表会漏掉这一笔",IF(ISNA(MATCH($E1804,类别表,0)),"※收支类别不在【参数设置】的清单里",IF($J1804="","△"&amp;$D1804&amp;" 还没填汇率，去【月度汇率】补上就自动算了",IF(YEAR($A1804)&lt;&gt;管理年度,"△不是管理年度的单据，年报里看不到",IF(AND($F1804="内部转账",$Q1804=""),"△内部转账建议在「往来单位」写上对方账户",IF($M1804&lt;0,"△这一笔之后该账户余额成负数了，核一下","")))))))))))</f>
        <v/>
      </c>
    </row>
    <row r="1805" ht="16.5" spans="1:19">
      <c r="A1805" s="45"/>
      <c r="B1805" s="46"/>
      <c r="C1805" s="12" t="str">
        <f>IF($B1805="","",IFERROR(INDEX(账户银行,MATCH($B1805,账户名,0)),""))</f>
        <v/>
      </c>
      <c r="D1805" s="12" t="str">
        <f>IF($B1805="","",IFERROR(INDEX(账户币种,MATCH($B1805,账户名,0)),""))</f>
        <v/>
      </c>
      <c r="E1805" s="47"/>
      <c r="F1805" s="12" t="str">
        <f>IF($E1805="","",IFERROR(INDEX(类别属性,MATCH($E1805,类别表,0)),""))</f>
        <v/>
      </c>
      <c r="G1805" s="48"/>
      <c r="H1805" s="48"/>
      <c r="I1805" s="49"/>
      <c r="J1805" s="24" t="str">
        <f>IF(OR($A1805="",$B1805=""),"",IF($I1805&lt;&gt;"",$I1805,IF($D1805=本位币,1,IFERROR(LOOKUP(2,1/((汇率月份&lt;=$A1805)*(INDEX(记账汇率区,0,MATCH($D1805,汇率币种头,0))&lt;&gt;"")),INDEX(记账汇率区,0,MATCH($D1805,汇率币种头,0))),""))))</f>
        <v/>
      </c>
      <c r="K1805" s="23" t="str">
        <f t="shared" si="56"/>
        <v/>
      </c>
      <c r="L1805" s="23" t="str">
        <f t="shared" si="57"/>
        <v/>
      </c>
      <c r="M1805" s="23" t="str">
        <f>IF($B1805="","",ROUND(SUMIF(账户名,$B1805,账户期初)+SUMIFS($K$6:K1805,$B$6:B1805,$B1805),2))</f>
        <v/>
      </c>
      <c r="N1805" s="23" t="str">
        <f>IF($B1805="","",IFERROR(ROUND(INDEX(账户期初本位,MATCH($B1805,账户名,0))+SUMIFS($L$6:L1805,$B$6:B1805,$B1805),2),""))</f>
        <v/>
      </c>
      <c r="O1805" s="46"/>
      <c r="P1805" s="47"/>
      <c r="Q1805" s="46"/>
      <c r="R1805" s="46"/>
      <c r="S1805" s="6" t="str">
        <f>IF($B1805="","",IF(ISNA(MATCH($B1805,账户名,0)),"※这个账户不在【参数设置】的账户档案里",IF($A1805="","※没填日期，这一笔不会进任何月份的报表",IF(AND($G1805&lt;&gt;"",$H1805&lt;&gt;""),"※收入和支出不能同时填",IF(AND(N($G1805)=0,N($H1805)=0),"※收入和支出都没填",IF($E1805="","※没填收支类别，分类报表会漏掉这一笔",IF(ISNA(MATCH($E1805,类别表,0)),"※收支类别不在【参数设置】的清单里",IF($J1805="","△"&amp;$D1805&amp;" 还没填汇率，去【月度汇率】补上就自动算了",IF(YEAR($A1805)&lt;&gt;管理年度,"△不是管理年度的单据，年报里看不到",IF(AND($F1805="内部转账",$Q1805=""),"△内部转账建议在「往来单位」写上对方账户",IF($M1805&lt;0,"△这一笔之后该账户余额成负数了，核一下","")))))))))))</f>
        <v/>
      </c>
    </row>
    <row r="1806" ht="16.5" spans="1:19">
      <c r="A1806" s="45"/>
      <c r="B1806" s="46"/>
      <c r="C1806" s="12" t="str">
        <f>IF($B1806="","",IFERROR(INDEX(账户银行,MATCH($B1806,账户名,0)),""))</f>
        <v/>
      </c>
      <c r="D1806" s="12" t="str">
        <f>IF($B1806="","",IFERROR(INDEX(账户币种,MATCH($B1806,账户名,0)),""))</f>
        <v/>
      </c>
      <c r="E1806" s="47"/>
      <c r="F1806" s="12" t="str">
        <f>IF($E1806="","",IFERROR(INDEX(类别属性,MATCH($E1806,类别表,0)),""))</f>
        <v/>
      </c>
      <c r="G1806" s="48"/>
      <c r="H1806" s="48"/>
      <c r="I1806" s="49"/>
      <c r="J1806" s="24" t="str">
        <f>IF(OR($A1806="",$B1806=""),"",IF($I1806&lt;&gt;"",$I1806,IF($D1806=本位币,1,IFERROR(LOOKUP(2,1/((汇率月份&lt;=$A1806)*(INDEX(记账汇率区,0,MATCH($D1806,汇率币种头,0))&lt;&gt;"")),INDEX(记账汇率区,0,MATCH($D1806,汇率币种头,0))),""))))</f>
        <v/>
      </c>
      <c r="K1806" s="23" t="str">
        <f t="shared" si="56"/>
        <v/>
      </c>
      <c r="L1806" s="23" t="str">
        <f t="shared" si="57"/>
        <v/>
      </c>
      <c r="M1806" s="23" t="str">
        <f>IF($B1806="","",ROUND(SUMIF(账户名,$B1806,账户期初)+SUMIFS($K$6:K1806,$B$6:B1806,$B1806),2))</f>
        <v/>
      </c>
      <c r="N1806" s="23" t="str">
        <f>IF($B1806="","",IFERROR(ROUND(INDEX(账户期初本位,MATCH($B1806,账户名,0))+SUMIFS($L$6:L1806,$B$6:B1806,$B1806),2),""))</f>
        <v/>
      </c>
      <c r="O1806" s="46"/>
      <c r="P1806" s="47"/>
      <c r="Q1806" s="46"/>
      <c r="R1806" s="46"/>
      <c r="S1806" s="6" t="str">
        <f>IF($B1806="","",IF(ISNA(MATCH($B1806,账户名,0)),"※这个账户不在【参数设置】的账户档案里",IF($A1806="","※没填日期，这一笔不会进任何月份的报表",IF(AND($G1806&lt;&gt;"",$H1806&lt;&gt;""),"※收入和支出不能同时填",IF(AND(N($G1806)=0,N($H1806)=0),"※收入和支出都没填",IF($E1806="","※没填收支类别，分类报表会漏掉这一笔",IF(ISNA(MATCH($E1806,类别表,0)),"※收支类别不在【参数设置】的清单里",IF($J1806="","△"&amp;$D1806&amp;" 还没填汇率，去【月度汇率】补上就自动算了",IF(YEAR($A1806)&lt;&gt;管理年度,"△不是管理年度的单据，年报里看不到",IF(AND($F1806="内部转账",$Q1806=""),"△内部转账建议在「往来单位」写上对方账户",IF($M1806&lt;0,"△这一笔之后该账户余额成负数了，核一下","")))))))))))</f>
        <v/>
      </c>
    </row>
    <row r="1807" ht="16.5" spans="1:19">
      <c r="A1807" s="45"/>
      <c r="B1807" s="46"/>
      <c r="C1807" s="12" t="str">
        <f>IF($B1807="","",IFERROR(INDEX(账户银行,MATCH($B1807,账户名,0)),""))</f>
        <v/>
      </c>
      <c r="D1807" s="12" t="str">
        <f>IF($B1807="","",IFERROR(INDEX(账户币种,MATCH($B1807,账户名,0)),""))</f>
        <v/>
      </c>
      <c r="E1807" s="47"/>
      <c r="F1807" s="12" t="str">
        <f>IF($E1807="","",IFERROR(INDEX(类别属性,MATCH($E1807,类别表,0)),""))</f>
        <v/>
      </c>
      <c r="G1807" s="48"/>
      <c r="H1807" s="48"/>
      <c r="I1807" s="49"/>
      <c r="J1807" s="24" t="str">
        <f>IF(OR($A1807="",$B1807=""),"",IF($I1807&lt;&gt;"",$I1807,IF($D1807=本位币,1,IFERROR(LOOKUP(2,1/((汇率月份&lt;=$A1807)*(INDEX(记账汇率区,0,MATCH($D1807,汇率币种头,0))&lt;&gt;"")),INDEX(记账汇率区,0,MATCH($D1807,汇率币种头,0))),""))))</f>
        <v/>
      </c>
      <c r="K1807" s="23" t="str">
        <f t="shared" si="56"/>
        <v/>
      </c>
      <c r="L1807" s="23" t="str">
        <f t="shared" si="57"/>
        <v/>
      </c>
      <c r="M1807" s="23" t="str">
        <f>IF($B1807="","",ROUND(SUMIF(账户名,$B1807,账户期初)+SUMIFS($K$6:K1807,$B$6:B1807,$B1807),2))</f>
        <v/>
      </c>
      <c r="N1807" s="23" t="str">
        <f>IF($B1807="","",IFERROR(ROUND(INDEX(账户期初本位,MATCH($B1807,账户名,0))+SUMIFS($L$6:L1807,$B$6:B1807,$B1807),2),""))</f>
        <v/>
      </c>
      <c r="O1807" s="46"/>
      <c r="P1807" s="47"/>
      <c r="Q1807" s="46"/>
      <c r="R1807" s="46"/>
      <c r="S1807" s="6" t="str">
        <f>IF($B1807="","",IF(ISNA(MATCH($B1807,账户名,0)),"※这个账户不在【参数设置】的账户档案里",IF($A1807="","※没填日期，这一笔不会进任何月份的报表",IF(AND($G1807&lt;&gt;"",$H1807&lt;&gt;""),"※收入和支出不能同时填",IF(AND(N($G1807)=0,N($H1807)=0),"※收入和支出都没填",IF($E1807="","※没填收支类别，分类报表会漏掉这一笔",IF(ISNA(MATCH($E1807,类别表,0)),"※收支类别不在【参数设置】的清单里",IF($J1807="","△"&amp;$D1807&amp;" 还没填汇率，去【月度汇率】补上就自动算了",IF(YEAR($A1807)&lt;&gt;管理年度,"△不是管理年度的单据，年报里看不到",IF(AND($F1807="内部转账",$Q1807=""),"△内部转账建议在「往来单位」写上对方账户",IF($M1807&lt;0,"△这一笔之后该账户余额成负数了，核一下","")))))))))))</f>
        <v/>
      </c>
    </row>
    <row r="1808" ht="16.5" spans="1:19">
      <c r="A1808" s="45"/>
      <c r="B1808" s="46"/>
      <c r="C1808" s="12" t="str">
        <f>IF($B1808="","",IFERROR(INDEX(账户银行,MATCH($B1808,账户名,0)),""))</f>
        <v/>
      </c>
      <c r="D1808" s="12" t="str">
        <f>IF($B1808="","",IFERROR(INDEX(账户币种,MATCH($B1808,账户名,0)),""))</f>
        <v/>
      </c>
      <c r="E1808" s="47"/>
      <c r="F1808" s="12" t="str">
        <f>IF($E1808="","",IFERROR(INDEX(类别属性,MATCH($E1808,类别表,0)),""))</f>
        <v/>
      </c>
      <c r="G1808" s="48"/>
      <c r="H1808" s="48"/>
      <c r="I1808" s="49"/>
      <c r="J1808" s="24" t="str">
        <f>IF(OR($A1808="",$B1808=""),"",IF($I1808&lt;&gt;"",$I1808,IF($D1808=本位币,1,IFERROR(LOOKUP(2,1/((汇率月份&lt;=$A1808)*(INDEX(记账汇率区,0,MATCH($D1808,汇率币种头,0))&lt;&gt;"")),INDEX(记账汇率区,0,MATCH($D1808,汇率币种头,0))),""))))</f>
        <v/>
      </c>
      <c r="K1808" s="23" t="str">
        <f t="shared" si="56"/>
        <v/>
      </c>
      <c r="L1808" s="23" t="str">
        <f t="shared" si="57"/>
        <v/>
      </c>
      <c r="M1808" s="23" t="str">
        <f>IF($B1808="","",ROUND(SUMIF(账户名,$B1808,账户期初)+SUMIFS($K$6:K1808,$B$6:B1808,$B1808),2))</f>
        <v/>
      </c>
      <c r="N1808" s="23" t="str">
        <f>IF($B1808="","",IFERROR(ROUND(INDEX(账户期初本位,MATCH($B1808,账户名,0))+SUMIFS($L$6:L1808,$B$6:B1808,$B1808),2),""))</f>
        <v/>
      </c>
      <c r="O1808" s="46"/>
      <c r="P1808" s="47"/>
      <c r="Q1808" s="46"/>
      <c r="R1808" s="46"/>
      <c r="S1808" s="6" t="str">
        <f>IF($B1808="","",IF(ISNA(MATCH($B1808,账户名,0)),"※这个账户不在【参数设置】的账户档案里",IF($A1808="","※没填日期，这一笔不会进任何月份的报表",IF(AND($G1808&lt;&gt;"",$H1808&lt;&gt;""),"※收入和支出不能同时填",IF(AND(N($G1808)=0,N($H1808)=0),"※收入和支出都没填",IF($E1808="","※没填收支类别，分类报表会漏掉这一笔",IF(ISNA(MATCH($E1808,类别表,0)),"※收支类别不在【参数设置】的清单里",IF($J1808="","△"&amp;$D1808&amp;" 还没填汇率，去【月度汇率】补上就自动算了",IF(YEAR($A1808)&lt;&gt;管理年度,"△不是管理年度的单据，年报里看不到",IF(AND($F1808="内部转账",$Q1808=""),"△内部转账建议在「往来单位」写上对方账户",IF($M1808&lt;0,"△这一笔之后该账户余额成负数了，核一下","")))))))))))</f>
        <v/>
      </c>
    </row>
    <row r="1809" ht="16.5" spans="1:19">
      <c r="A1809" s="45"/>
      <c r="B1809" s="46"/>
      <c r="C1809" s="12" t="str">
        <f>IF($B1809="","",IFERROR(INDEX(账户银行,MATCH($B1809,账户名,0)),""))</f>
        <v/>
      </c>
      <c r="D1809" s="12" t="str">
        <f>IF($B1809="","",IFERROR(INDEX(账户币种,MATCH($B1809,账户名,0)),""))</f>
        <v/>
      </c>
      <c r="E1809" s="47"/>
      <c r="F1809" s="12" t="str">
        <f>IF($E1809="","",IFERROR(INDEX(类别属性,MATCH($E1809,类别表,0)),""))</f>
        <v/>
      </c>
      <c r="G1809" s="48"/>
      <c r="H1809" s="48"/>
      <c r="I1809" s="49"/>
      <c r="J1809" s="24" t="str">
        <f>IF(OR($A1809="",$B1809=""),"",IF($I1809&lt;&gt;"",$I1809,IF($D1809=本位币,1,IFERROR(LOOKUP(2,1/((汇率月份&lt;=$A1809)*(INDEX(记账汇率区,0,MATCH($D1809,汇率币种头,0))&lt;&gt;"")),INDEX(记账汇率区,0,MATCH($D1809,汇率币种头,0))),""))))</f>
        <v/>
      </c>
      <c r="K1809" s="23" t="str">
        <f t="shared" si="56"/>
        <v/>
      </c>
      <c r="L1809" s="23" t="str">
        <f t="shared" si="57"/>
        <v/>
      </c>
      <c r="M1809" s="23" t="str">
        <f>IF($B1809="","",ROUND(SUMIF(账户名,$B1809,账户期初)+SUMIFS($K$6:K1809,$B$6:B1809,$B1809),2))</f>
        <v/>
      </c>
      <c r="N1809" s="23" t="str">
        <f>IF($B1809="","",IFERROR(ROUND(INDEX(账户期初本位,MATCH($B1809,账户名,0))+SUMIFS($L$6:L1809,$B$6:B1809,$B1809),2),""))</f>
        <v/>
      </c>
      <c r="O1809" s="46"/>
      <c r="P1809" s="47"/>
      <c r="Q1809" s="46"/>
      <c r="R1809" s="46"/>
      <c r="S1809" s="6" t="str">
        <f>IF($B1809="","",IF(ISNA(MATCH($B1809,账户名,0)),"※这个账户不在【参数设置】的账户档案里",IF($A1809="","※没填日期，这一笔不会进任何月份的报表",IF(AND($G1809&lt;&gt;"",$H1809&lt;&gt;""),"※收入和支出不能同时填",IF(AND(N($G1809)=0,N($H1809)=0),"※收入和支出都没填",IF($E1809="","※没填收支类别，分类报表会漏掉这一笔",IF(ISNA(MATCH($E1809,类别表,0)),"※收支类别不在【参数设置】的清单里",IF($J1809="","△"&amp;$D1809&amp;" 还没填汇率，去【月度汇率】补上就自动算了",IF(YEAR($A1809)&lt;&gt;管理年度,"△不是管理年度的单据，年报里看不到",IF(AND($F1809="内部转账",$Q1809=""),"△内部转账建议在「往来单位」写上对方账户",IF($M1809&lt;0,"△这一笔之后该账户余额成负数了，核一下","")))))))))))</f>
        <v/>
      </c>
    </row>
    <row r="1810" ht="16.5" spans="1:19">
      <c r="A1810" s="45"/>
      <c r="B1810" s="46"/>
      <c r="C1810" s="12" t="str">
        <f>IF($B1810="","",IFERROR(INDEX(账户银行,MATCH($B1810,账户名,0)),""))</f>
        <v/>
      </c>
      <c r="D1810" s="12" t="str">
        <f>IF($B1810="","",IFERROR(INDEX(账户币种,MATCH($B1810,账户名,0)),""))</f>
        <v/>
      </c>
      <c r="E1810" s="47"/>
      <c r="F1810" s="12" t="str">
        <f>IF($E1810="","",IFERROR(INDEX(类别属性,MATCH($E1810,类别表,0)),""))</f>
        <v/>
      </c>
      <c r="G1810" s="48"/>
      <c r="H1810" s="48"/>
      <c r="I1810" s="49"/>
      <c r="J1810" s="24" t="str">
        <f>IF(OR($A1810="",$B1810=""),"",IF($I1810&lt;&gt;"",$I1810,IF($D1810=本位币,1,IFERROR(LOOKUP(2,1/((汇率月份&lt;=$A1810)*(INDEX(记账汇率区,0,MATCH($D1810,汇率币种头,0))&lt;&gt;"")),INDEX(记账汇率区,0,MATCH($D1810,汇率币种头,0))),""))))</f>
        <v/>
      </c>
      <c r="K1810" s="23" t="str">
        <f t="shared" si="56"/>
        <v/>
      </c>
      <c r="L1810" s="23" t="str">
        <f t="shared" si="57"/>
        <v/>
      </c>
      <c r="M1810" s="23" t="str">
        <f>IF($B1810="","",ROUND(SUMIF(账户名,$B1810,账户期初)+SUMIFS($K$6:K1810,$B$6:B1810,$B1810),2))</f>
        <v/>
      </c>
      <c r="N1810" s="23" t="str">
        <f>IF($B1810="","",IFERROR(ROUND(INDEX(账户期初本位,MATCH($B1810,账户名,0))+SUMIFS($L$6:L1810,$B$6:B1810,$B1810),2),""))</f>
        <v/>
      </c>
      <c r="O1810" s="46"/>
      <c r="P1810" s="47"/>
      <c r="Q1810" s="46"/>
      <c r="R1810" s="46"/>
      <c r="S1810" s="6" t="str">
        <f>IF($B1810="","",IF(ISNA(MATCH($B1810,账户名,0)),"※这个账户不在【参数设置】的账户档案里",IF($A1810="","※没填日期，这一笔不会进任何月份的报表",IF(AND($G1810&lt;&gt;"",$H1810&lt;&gt;""),"※收入和支出不能同时填",IF(AND(N($G1810)=0,N($H1810)=0),"※收入和支出都没填",IF($E1810="","※没填收支类别，分类报表会漏掉这一笔",IF(ISNA(MATCH($E1810,类别表,0)),"※收支类别不在【参数设置】的清单里",IF($J1810="","△"&amp;$D1810&amp;" 还没填汇率，去【月度汇率】补上就自动算了",IF(YEAR($A1810)&lt;&gt;管理年度,"△不是管理年度的单据，年报里看不到",IF(AND($F1810="内部转账",$Q1810=""),"△内部转账建议在「往来单位」写上对方账户",IF($M1810&lt;0,"△这一笔之后该账户余额成负数了，核一下","")))))))))))</f>
        <v/>
      </c>
    </row>
    <row r="1811" ht="16.5" spans="1:19">
      <c r="A1811" s="45"/>
      <c r="B1811" s="46"/>
      <c r="C1811" s="12" t="str">
        <f>IF($B1811="","",IFERROR(INDEX(账户银行,MATCH($B1811,账户名,0)),""))</f>
        <v/>
      </c>
      <c r="D1811" s="12" t="str">
        <f>IF($B1811="","",IFERROR(INDEX(账户币种,MATCH($B1811,账户名,0)),""))</f>
        <v/>
      </c>
      <c r="E1811" s="47"/>
      <c r="F1811" s="12" t="str">
        <f>IF($E1811="","",IFERROR(INDEX(类别属性,MATCH($E1811,类别表,0)),""))</f>
        <v/>
      </c>
      <c r="G1811" s="48"/>
      <c r="H1811" s="48"/>
      <c r="I1811" s="49"/>
      <c r="J1811" s="24" t="str">
        <f>IF(OR($A1811="",$B1811=""),"",IF($I1811&lt;&gt;"",$I1811,IF($D1811=本位币,1,IFERROR(LOOKUP(2,1/((汇率月份&lt;=$A1811)*(INDEX(记账汇率区,0,MATCH($D1811,汇率币种头,0))&lt;&gt;"")),INDEX(记账汇率区,0,MATCH($D1811,汇率币种头,0))),""))))</f>
        <v/>
      </c>
      <c r="K1811" s="23" t="str">
        <f t="shared" si="56"/>
        <v/>
      </c>
      <c r="L1811" s="23" t="str">
        <f t="shared" si="57"/>
        <v/>
      </c>
      <c r="M1811" s="23" t="str">
        <f>IF($B1811="","",ROUND(SUMIF(账户名,$B1811,账户期初)+SUMIFS($K$6:K1811,$B$6:B1811,$B1811),2))</f>
        <v/>
      </c>
      <c r="N1811" s="23" t="str">
        <f>IF($B1811="","",IFERROR(ROUND(INDEX(账户期初本位,MATCH($B1811,账户名,0))+SUMIFS($L$6:L1811,$B$6:B1811,$B1811),2),""))</f>
        <v/>
      </c>
      <c r="O1811" s="46"/>
      <c r="P1811" s="47"/>
      <c r="Q1811" s="46"/>
      <c r="R1811" s="46"/>
      <c r="S1811" s="6" t="str">
        <f>IF($B1811="","",IF(ISNA(MATCH($B1811,账户名,0)),"※这个账户不在【参数设置】的账户档案里",IF($A1811="","※没填日期，这一笔不会进任何月份的报表",IF(AND($G1811&lt;&gt;"",$H1811&lt;&gt;""),"※收入和支出不能同时填",IF(AND(N($G1811)=0,N($H1811)=0),"※收入和支出都没填",IF($E1811="","※没填收支类别，分类报表会漏掉这一笔",IF(ISNA(MATCH($E1811,类别表,0)),"※收支类别不在【参数设置】的清单里",IF($J1811="","△"&amp;$D1811&amp;" 还没填汇率，去【月度汇率】补上就自动算了",IF(YEAR($A1811)&lt;&gt;管理年度,"△不是管理年度的单据，年报里看不到",IF(AND($F1811="内部转账",$Q1811=""),"△内部转账建议在「往来单位」写上对方账户",IF($M1811&lt;0,"△这一笔之后该账户余额成负数了，核一下","")))))))))))</f>
        <v/>
      </c>
    </row>
    <row r="1812" ht="16.5" spans="1:19">
      <c r="A1812" s="45"/>
      <c r="B1812" s="46"/>
      <c r="C1812" s="12" t="str">
        <f>IF($B1812="","",IFERROR(INDEX(账户银行,MATCH($B1812,账户名,0)),""))</f>
        <v/>
      </c>
      <c r="D1812" s="12" t="str">
        <f>IF($B1812="","",IFERROR(INDEX(账户币种,MATCH($B1812,账户名,0)),""))</f>
        <v/>
      </c>
      <c r="E1812" s="47"/>
      <c r="F1812" s="12" t="str">
        <f>IF($E1812="","",IFERROR(INDEX(类别属性,MATCH($E1812,类别表,0)),""))</f>
        <v/>
      </c>
      <c r="G1812" s="48"/>
      <c r="H1812" s="48"/>
      <c r="I1812" s="49"/>
      <c r="J1812" s="24" t="str">
        <f>IF(OR($A1812="",$B1812=""),"",IF($I1812&lt;&gt;"",$I1812,IF($D1812=本位币,1,IFERROR(LOOKUP(2,1/((汇率月份&lt;=$A1812)*(INDEX(记账汇率区,0,MATCH($D1812,汇率币种头,0))&lt;&gt;"")),INDEX(记账汇率区,0,MATCH($D1812,汇率币种头,0))),""))))</f>
        <v/>
      </c>
      <c r="K1812" s="23" t="str">
        <f t="shared" si="56"/>
        <v/>
      </c>
      <c r="L1812" s="23" t="str">
        <f t="shared" si="57"/>
        <v/>
      </c>
      <c r="M1812" s="23" t="str">
        <f>IF($B1812="","",ROUND(SUMIF(账户名,$B1812,账户期初)+SUMIFS($K$6:K1812,$B$6:B1812,$B1812),2))</f>
        <v/>
      </c>
      <c r="N1812" s="23" t="str">
        <f>IF($B1812="","",IFERROR(ROUND(INDEX(账户期初本位,MATCH($B1812,账户名,0))+SUMIFS($L$6:L1812,$B$6:B1812,$B1812),2),""))</f>
        <v/>
      </c>
      <c r="O1812" s="46"/>
      <c r="P1812" s="47"/>
      <c r="Q1812" s="46"/>
      <c r="R1812" s="46"/>
      <c r="S1812" s="6" t="str">
        <f>IF($B1812="","",IF(ISNA(MATCH($B1812,账户名,0)),"※这个账户不在【参数设置】的账户档案里",IF($A1812="","※没填日期，这一笔不会进任何月份的报表",IF(AND($G1812&lt;&gt;"",$H1812&lt;&gt;""),"※收入和支出不能同时填",IF(AND(N($G1812)=0,N($H1812)=0),"※收入和支出都没填",IF($E1812="","※没填收支类别，分类报表会漏掉这一笔",IF(ISNA(MATCH($E1812,类别表,0)),"※收支类别不在【参数设置】的清单里",IF($J1812="","△"&amp;$D1812&amp;" 还没填汇率，去【月度汇率】补上就自动算了",IF(YEAR($A1812)&lt;&gt;管理年度,"△不是管理年度的单据，年报里看不到",IF(AND($F1812="内部转账",$Q1812=""),"△内部转账建议在「往来单位」写上对方账户",IF($M1812&lt;0,"△这一笔之后该账户余额成负数了，核一下","")))))))))))</f>
        <v/>
      </c>
    </row>
    <row r="1813" ht="16.5" spans="1:19">
      <c r="A1813" s="45"/>
      <c r="B1813" s="46"/>
      <c r="C1813" s="12" t="str">
        <f>IF($B1813="","",IFERROR(INDEX(账户银行,MATCH($B1813,账户名,0)),""))</f>
        <v/>
      </c>
      <c r="D1813" s="12" t="str">
        <f>IF($B1813="","",IFERROR(INDEX(账户币种,MATCH($B1813,账户名,0)),""))</f>
        <v/>
      </c>
      <c r="E1813" s="47"/>
      <c r="F1813" s="12" t="str">
        <f>IF($E1813="","",IFERROR(INDEX(类别属性,MATCH($E1813,类别表,0)),""))</f>
        <v/>
      </c>
      <c r="G1813" s="48"/>
      <c r="H1813" s="48"/>
      <c r="I1813" s="49"/>
      <c r="J1813" s="24" t="str">
        <f>IF(OR($A1813="",$B1813=""),"",IF($I1813&lt;&gt;"",$I1813,IF($D1813=本位币,1,IFERROR(LOOKUP(2,1/((汇率月份&lt;=$A1813)*(INDEX(记账汇率区,0,MATCH($D1813,汇率币种头,0))&lt;&gt;"")),INDEX(记账汇率区,0,MATCH($D1813,汇率币种头,0))),""))))</f>
        <v/>
      </c>
      <c r="K1813" s="23" t="str">
        <f t="shared" si="56"/>
        <v/>
      </c>
      <c r="L1813" s="23" t="str">
        <f t="shared" si="57"/>
        <v/>
      </c>
      <c r="M1813" s="23" t="str">
        <f>IF($B1813="","",ROUND(SUMIF(账户名,$B1813,账户期初)+SUMIFS($K$6:K1813,$B$6:B1813,$B1813),2))</f>
        <v/>
      </c>
      <c r="N1813" s="23" t="str">
        <f>IF($B1813="","",IFERROR(ROUND(INDEX(账户期初本位,MATCH($B1813,账户名,0))+SUMIFS($L$6:L1813,$B$6:B1813,$B1813),2),""))</f>
        <v/>
      </c>
      <c r="O1813" s="46"/>
      <c r="P1813" s="47"/>
      <c r="Q1813" s="46"/>
      <c r="R1813" s="46"/>
      <c r="S1813" s="6" t="str">
        <f>IF($B1813="","",IF(ISNA(MATCH($B1813,账户名,0)),"※这个账户不在【参数设置】的账户档案里",IF($A1813="","※没填日期，这一笔不会进任何月份的报表",IF(AND($G1813&lt;&gt;"",$H1813&lt;&gt;""),"※收入和支出不能同时填",IF(AND(N($G1813)=0,N($H1813)=0),"※收入和支出都没填",IF($E1813="","※没填收支类别，分类报表会漏掉这一笔",IF(ISNA(MATCH($E1813,类别表,0)),"※收支类别不在【参数设置】的清单里",IF($J1813="","△"&amp;$D1813&amp;" 还没填汇率，去【月度汇率】补上就自动算了",IF(YEAR($A1813)&lt;&gt;管理年度,"△不是管理年度的单据，年报里看不到",IF(AND($F1813="内部转账",$Q1813=""),"△内部转账建议在「往来单位」写上对方账户",IF($M1813&lt;0,"△这一笔之后该账户余额成负数了，核一下","")))))))))))</f>
        <v/>
      </c>
    </row>
    <row r="1814" ht="16.5" spans="1:19">
      <c r="A1814" s="45"/>
      <c r="B1814" s="46"/>
      <c r="C1814" s="12" t="str">
        <f>IF($B1814="","",IFERROR(INDEX(账户银行,MATCH($B1814,账户名,0)),""))</f>
        <v/>
      </c>
      <c r="D1814" s="12" t="str">
        <f>IF($B1814="","",IFERROR(INDEX(账户币种,MATCH($B1814,账户名,0)),""))</f>
        <v/>
      </c>
      <c r="E1814" s="47"/>
      <c r="F1814" s="12" t="str">
        <f>IF($E1814="","",IFERROR(INDEX(类别属性,MATCH($E1814,类别表,0)),""))</f>
        <v/>
      </c>
      <c r="G1814" s="48"/>
      <c r="H1814" s="48"/>
      <c r="I1814" s="49"/>
      <c r="J1814" s="24" t="str">
        <f>IF(OR($A1814="",$B1814=""),"",IF($I1814&lt;&gt;"",$I1814,IF($D1814=本位币,1,IFERROR(LOOKUP(2,1/((汇率月份&lt;=$A1814)*(INDEX(记账汇率区,0,MATCH($D1814,汇率币种头,0))&lt;&gt;"")),INDEX(记账汇率区,0,MATCH($D1814,汇率币种头,0))),""))))</f>
        <v/>
      </c>
      <c r="K1814" s="23" t="str">
        <f t="shared" si="56"/>
        <v/>
      </c>
      <c r="L1814" s="23" t="str">
        <f t="shared" si="57"/>
        <v/>
      </c>
      <c r="M1814" s="23" t="str">
        <f>IF($B1814="","",ROUND(SUMIF(账户名,$B1814,账户期初)+SUMIFS($K$6:K1814,$B$6:B1814,$B1814),2))</f>
        <v/>
      </c>
      <c r="N1814" s="23" t="str">
        <f>IF($B1814="","",IFERROR(ROUND(INDEX(账户期初本位,MATCH($B1814,账户名,0))+SUMIFS($L$6:L1814,$B$6:B1814,$B1814),2),""))</f>
        <v/>
      </c>
      <c r="O1814" s="46"/>
      <c r="P1814" s="47"/>
      <c r="Q1814" s="46"/>
      <c r="R1814" s="46"/>
      <c r="S1814" s="6" t="str">
        <f>IF($B1814="","",IF(ISNA(MATCH($B1814,账户名,0)),"※这个账户不在【参数设置】的账户档案里",IF($A1814="","※没填日期，这一笔不会进任何月份的报表",IF(AND($G1814&lt;&gt;"",$H1814&lt;&gt;""),"※收入和支出不能同时填",IF(AND(N($G1814)=0,N($H1814)=0),"※收入和支出都没填",IF($E1814="","※没填收支类别，分类报表会漏掉这一笔",IF(ISNA(MATCH($E1814,类别表,0)),"※收支类别不在【参数设置】的清单里",IF($J1814="","△"&amp;$D1814&amp;" 还没填汇率，去【月度汇率】补上就自动算了",IF(YEAR($A1814)&lt;&gt;管理年度,"△不是管理年度的单据，年报里看不到",IF(AND($F1814="内部转账",$Q1814=""),"△内部转账建议在「往来单位」写上对方账户",IF($M1814&lt;0,"△这一笔之后该账户余额成负数了，核一下","")))))))))))</f>
        <v/>
      </c>
    </row>
    <row r="1815" ht="16.5" spans="1:19">
      <c r="A1815" s="45"/>
      <c r="B1815" s="46"/>
      <c r="C1815" s="12" t="str">
        <f>IF($B1815="","",IFERROR(INDEX(账户银行,MATCH($B1815,账户名,0)),""))</f>
        <v/>
      </c>
      <c r="D1815" s="12" t="str">
        <f>IF($B1815="","",IFERROR(INDEX(账户币种,MATCH($B1815,账户名,0)),""))</f>
        <v/>
      </c>
      <c r="E1815" s="47"/>
      <c r="F1815" s="12" t="str">
        <f>IF($E1815="","",IFERROR(INDEX(类别属性,MATCH($E1815,类别表,0)),""))</f>
        <v/>
      </c>
      <c r="G1815" s="48"/>
      <c r="H1815" s="48"/>
      <c r="I1815" s="49"/>
      <c r="J1815" s="24" t="str">
        <f>IF(OR($A1815="",$B1815=""),"",IF($I1815&lt;&gt;"",$I1815,IF($D1815=本位币,1,IFERROR(LOOKUP(2,1/((汇率月份&lt;=$A1815)*(INDEX(记账汇率区,0,MATCH($D1815,汇率币种头,0))&lt;&gt;"")),INDEX(记账汇率区,0,MATCH($D1815,汇率币种头,0))),""))))</f>
        <v/>
      </c>
      <c r="K1815" s="23" t="str">
        <f t="shared" si="56"/>
        <v/>
      </c>
      <c r="L1815" s="23" t="str">
        <f t="shared" si="57"/>
        <v/>
      </c>
      <c r="M1815" s="23" t="str">
        <f>IF($B1815="","",ROUND(SUMIF(账户名,$B1815,账户期初)+SUMIFS($K$6:K1815,$B$6:B1815,$B1815),2))</f>
        <v/>
      </c>
      <c r="N1815" s="23" t="str">
        <f>IF($B1815="","",IFERROR(ROUND(INDEX(账户期初本位,MATCH($B1815,账户名,0))+SUMIFS($L$6:L1815,$B$6:B1815,$B1815),2),""))</f>
        <v/>
      </c>
      <c r="O1815" s="46"/>
      <c r="P1815" s="47"/>
      <c r="Q1815" s="46"/>
      <c r="R1815" s="46"/>
      <c r="S1815" s="6" t="str">
        <f>IF($B1815="","",IF(ISNA(MATCH($B1815,账户名,0)),"※这个账户不在【参数设置】的账户档案里",IF($A1815="","※没填日期，这一笔不会进任何月份的报表",IF(AND($G1815&lt;&gt;"",$H1815&lt;&gt;""),"※收入和支出不能同时填",IF(AND(N($G1815)=0,N($H1815)=0),"※收入和支出都没填",IF($E1815="","※没填收支类别，分类报表会漏掉这一笔",IF(ISNA(MATCH($E1815,类别表,0)),"※收支类别不在【参数设置】的清单里",IF($J1815="","△"&amp;$D1815&amp;" 还没填汇率，去【月度汇率】补上就自动算了",IF(YEAR($A1815)&lt;&gt;管理年度,"△不是管理年度的单据，年报里看不到",IF(AND($F1815="内部转账",$Q1815=""),"△内部转账建议在「往来单位」写上对方账户",IF($M1815&lt;0,"△这一笔之后该账户余额成负数了，核一下","")))))))))))</f>
        <v/>
      </c>
    </row>
    <row r="1816" ht="16.5" spans="1:19">
      <c r="A1816" s="45"/>
      <c r="B1816" s="46"/>
      <c r="C1816" s="12" t="str">
        <f>IF($B1816="","",IFERROR(INDEX(账户银行,MATCH($B1816,账户名,0)),""))</f>
        <v/>
      </c>
      <c r="D1816" s="12" t="str">
        <f>IF($B1816="","",IFERROR(INDEX(账户币种,MATCH($B1816,账户名,0)),""))</f>
        <v/>
      </c>
      <c r="E1816" s="47"/>
      <c r="F1816" s="12" t="str">
        <f>IF($E1816="","",IFERROR(INDEX(类别属性,MATCH($E1816,类别表,0)),""))</f>
        <v/>
      </c>
      <c r="G1816" s="48"/>
      <c r="H1816" s="48"/>
      <c r="I1816" s="49"/>
      <c r="J1816" s="24" t="str">
        <f>IF(OR($A1816="",$B1816=""),"",IF($I1816&lt;&gt;"",$I1816,IF($D1816=本位币,1,IFERROR(LOOKUP(2,1/((汇率月份&lt;=$A1816)*(INDEX(记账汇率区,0,MATCH($D1816,汇率币种头,0))&lt;&gt;"")),INDEX(记账汇率区,0,MATCH($D1816,汇率币种头,0))),""))))</f>
        <v/>
      </c>
      <c r="K1816" s="23" t="str">
        <f t="shared" si="56"/>
        <v/>
      </c>
      <c r="L1816" s="23" t="str">
        <f t="shared" si="57"/>
        <v/>
      </c>
      <c r="M1816" s="23" t="str">
        <f>IF($B1816="","",ROUND(SUMIF(账户名,$B1816,账户期初)+SUMIFS($K$6:K1816,$B$6:B1816,$B1816),2))</f>
        <v/>
      </c>
      <c r="N1816" s="23" t="str">
        <f>IF($B1816="","",IFERROR(ROUND(INDEX(账户期初本位,MATCH($B1816,账户名,0))+SUMIFS($L$6:L1816,$B$6:B1816,$B1816),2),""))</f>
        <v/>
      </c>
      <c r="O1816" s="46"/>
      <c r="P1816" s="47"/>
      <c r="Q1816" s="46"/>
      <c r="R1816" s="46"/>
      <c r="S1816" s="6" t="str">
        <f>IF($B1816="","",IF(ISNA(MATCH($B1816,账户名,0)),"※这个账户不在【参数设置】的账户档案里",IF($A1816="","※没填日期，这一笔不会进任何月份的报表",IF(AND($G1816&lt;&gt;"",$H1816&lt;&gt;""),"※收入和支出不能同时填",IF(AND(N($G1816)=0,N($H1816)=0),"※收入和支出都没填",IF($E1816="","※没填收支类别，分类报表会漏掉这一笔",IF(ISNA(MATCH($E1816,类别表,0)),"※收支类别不在【参数设置】的清单里",IF($J1816="","△"&amp;$D1816&amp;" 还没填汇率，去【月度汇率】补上就自动算了",IF(YEAR($A1816)&lt;&gt;管理年度,"△不是管理年度的单据，年报里看不到",IF(AND($F1816="内部转账",$Q1816=""),"△内部转账建议在「往来单位」写上对方账户",IF($M1816&lt;0,"△这一笔之后该账户余额成负数了，核一下","")))))))))))</f>
        <v/>
      </c>
    </row>
    <row r="1817" ht="16.5" spans="1:19">
      <c r="A1817" s="45"/>
      <c r="B1817" s="46"/>
      <c r="C1817" s="12" t="str">
        <f>IF($B1817="","",IFERROR(INDEX(账户银行,MATCH($B1817,账户名,0)),""))</f>
        <v/>
      </c>
      <c r="D1817" s="12" t="str">
        <f>IF($B1817="","",IFERROR(INDEX(账户币种,MATCH($B1817,账户名,0)),""))</f>
        <v/>
      </c>
      <c r="E1817" s="47"/>
      <c r="F1817" s="12" t="str">
        <f>IF($E1817="","",IFERROR(INDEX(类别属性,MATCH($E1817,类别表,0)),""))</f>
        <v/>
      </c>
      <c r="G1817" s="48"/>
      <c r="H1817" s="48"/>
      <c r="I1817" s="49"/>
      <c r="J1817" s="24" t="str">
        <f>IF(OR($A1817="",$B1817=""),"",IF($I1817&lt;&gt;"",$I1817,IF($D1817=本位币,1,IFERROR(LOOKUP(2,1/((汇率月份&lt;=$A1817)*(INDEX(记账汇率区,0,MATCH($D1817,汇率币种头,0))&lt;&gt;"")),INDEX(记账汇率区,0,MATCH($D1817,汇率币种头,0))),""))))</f>
        <v/>
      </c>
      <c r="K1817" s="23" t="str">
        <f t="shared" si="56"/>
        <v/>
      </c>
      <c r="L1817" s="23" t="str">
        <f t="shared" si="57"/>
        <v/>
      </c>
      <c r="M1817" s="23" t="str">
        <f>IF($B1817="","",ROUND(SUMIF(账户名,$B1817,账户期初)+SUMIFS($K$6:K1817,$B$6:B1817,$B1817),2))</f>
        <v/>
      </c>
      <c r="N1817" s="23" t="str">
        <f>IF($B1817="","",IFERROR(ROUND(INDEX(账户期初本位,MATCH($B1817,账户名,0))+SUMIFS($L$6:L1817,$B$6:B1817,$B1817),2),""))</f>
        <v/>
      </c>
      <c r="O1817" s="46"/>
      <c r="P1817" s="47"/>
      <c r="Q1817" s="46"/>
      <c r="R1817" s="46"/>
      <c r="S1817" s="6" t="str">
        <f>IF($B1817="","",IF(ISNA(MATCH($B1817,账户名,0)),"※这个账户不在【参数设置】的账户档案里",IF($A1817="","※没填日期，这一笔不会进任何月份的报表",IF(AND($G1817&lt;&gt;"",$H1817&lt;&gt;""),"※收入和支出不能同时填",IF(AND(N($G1817)=0,N($H1817)=0),"※收入和支出都没填",IF($E1817="","※没填收支类别，分类报表会漏掉这一笔",IF(ISNA(MATCH($E1817,类别表,0)),"※收支类别不在【参数设置】的清单里",IF($J1817="","△"&amp;$D1817&amp;" 还没填汇率，去【月度汇率】补上就自动算了",IF(YEAR($A1817)&lt;&gt;管理年度,"△不是管理年度的单据，年报里看不到",IF(AND($F1817="内部转账",$Q1817=""),"△内部转账建议在「往来单位」写上对方账户",IF($M1817&lt;0,"△这一笔之后该账户余额成负数了，核一下","")))))))))))</f>
        <v/>
      </c>
    </row>
    <row r="1818" ht="16.5" spans="1:19">
      <c r="A1818" s="45"/>
      <c r="B1818" s="46"/>
      <c r="C1818" s="12" t="str">
        <f>IF($B1818="","",IFERROR(INDEX(账户银行,MATCH($B1818,账户名,0)),""))</f>
        <v/>
      </c>
      <c r="D1818" s="12" t="str">
        <f>IF($B1818="","",IFERROR(INDEX(账户币种,MATCH($B1818,账户名,0)),""))</f>
        <v/>
      </c>
      <c r="E1818" s="47"/>
      <c r="F1818" s="12" t="str">
        <f>IF($E1818="","",IFERROR(INDEX(类别属性,MATCH($E1818,类别表,0)),""))</f>
        <v/>
      </c>
      <c r="G1818" s="48"/>
      <c r="H1818" s="48"/>
      <c r="I1818" s="49"/>
      <c r="J1818" s="24" t="str">
        <f>IF(OR($A1818="",$B1818=""),"",IF($I1818&lt;&gt;"",$I1818,IF($D1818=本位币,1,IFERROR(LOOKUP(2,1/((汇率月份&lt;=$A1818)*(INDEX(记账汇率区,0,MATCH($D1818,汇率币种头,0))&lt;&gt;"")),INDEX(记账汇率区,0,MATCH($D1818,汇率币种头,0))),""))))</f>
        <v/>
      </c>
      <c r="K1818" s="23" t="str">
        <f t="shared" si="56"/>
        <v/>
      </c>
      <c r="L1818" s="23" t="str">
        <f t="shared" si="57"/>
        <v/>
      </c>
      <c r="M1818" s="23" t="str">
        <f>IF($B1818="","",ROUND(SUMIF(账户名,$B1818,账户期初)+SUMIFS($K$6:K1818,$B$6:B1818,$B1818),2))</f>
        <v/>
      </c>
      <c r="N1818" s="23" t="str">
        <f>IF($B1818="","",IFERROR(ROUND(INDEX(账户期初本位,MATCH($B1818,账户名,0))+SUMIFS($L$6:L1818,$B$6:B1818,$B1818),2),""))</f>
        <v/>
      </c>
      <c r="O1818" s="46"/>
      <c r="P1818" s="47"/>
      <c r="Q1818" s="46"/>
      <c r="R1818" s="46"/>
      <c r="S1818" s="6" t="str">
        <f>IF($B1818="","",IF(ISNA(MATCH($B1818,账户名,0)),"※这个账户不在【参数设置】的账户档案里",IF($A1818="","※没填日期，这一笔不会进任何月份的报表",IF(AND($G1818&lt;&gt;"",$H1818&lt;&gt;""),"※收入和支出不能同时填",IF(AND(N($G1818)=0,N($H1818)=0),"※收入和支出都没填",IF($E1818="","※没填收支类别，分类报表会漏掉这一笔",IF(ISNA(MATCH($E1818,类别表,0)),"※收支类别不在【参数设置】的清单里",IF($J1818="","△"&amp;$D1818&amp;" 还没填汇率，去【月度汇率】补上就自动算了",IF(YEAR($A1818)&lt;&gt;管理年度,"△不是管理年度的单据，年报里看不到",IF(AND($F1818="内部转账",$Q1818=""),"△内部转账建议在「往来单位」写上对方账户",IF($M1818&lt;0,"△这一笔之后该账户余额成负数了，核一下","")))))))))))</f>
        <v/>
      </c>
    </row>
    <row r="1819" ht="16.5" spans="1:19">
      <c r="A1819" s="45"/>
      <c r="B1819" s="46"/>
      <c r="C1819" s="12" t="str">
        <f>IF($B1819="","",IFERROR(INDEX(账户银行,MATCH($B1819,账户名,0)),""))</f>
        <v/>
      </c>
      <c r="D1819" s="12" t="str">
        <f>IF($B1819="","",IFERROR(INDEX(账户币种,MATCH($B1819,账户名,0)),""))</f>
        <v/>
      </c>
      <c r="E1819" s="47"/>
      <c r="F1819" s="12" t="str">
        <f>IF($E1819="","",IFERROR(INDEX(类别属性,MATCH($E1819,类别表,0)),""))</f>
        <v/>
      </c>
      <c r="G1819" s="48"/>
      <c r="H1819" s="48"/>
      <c r="I1819" s="49"/>
      <c r="J1819" s="24" t="str">
        <f>IF(OR($A1819="",$B1819=""),"",IF($I1819&lt;&gt;"",$I1819,IF($D1819=本位币,1,IFERROR(LOOKUP(2,1/((汇率月份&lt;=$A1819)*(INDEX(记账汇率区,0,MATCH($D1819,汇率币种头,0))&lt;&gt;"")),INDEX(记账汇率区,0,MATCH($D1819,汇率币种头,0))),""))))</f>
        <v/>
      </c>
      <c r="K1819" s="23" t="str">
        <f t="shared" si="56"/>
        <v/>
      </c>
      <c r="L1819" s="23" t="str">
        <f t="shared" si="57"/>
        <v/>
      </c>
      <c r="M1819" s="23" t="str">
        <f>IF($B1819="","",ROUND(SUMIF(账户名,$B1819,账户期初)+SUMIFS($K$6:K1819,$B$6:B1819,$B1819),2))</f>
        <v/>
      </c>
      <c r="N1819" s="23" t="str">
        <f>IF($B1819="","",IFERROR(ROUND(INDEX(账户期初本位,MATCH($B1819,账户名,0))+SUMIFS($L$6:L1819,$B$6:B1819,$B1819),2),""))</f>
        <v/>
      </c>
      <c r="O1819" s="46"/>
      <c r="P1819" s="47"/>
      <c r="Q1819" s="46"/>
      <c r="R1819" s="46"/>
      <c r="S1819" s="6" t="str">
        <f>IF($B1819="","",IF(ISNA(MATCH($B1819,账户名,0)),"※这个账户不在【参数设置】的账户档案里",IF($A1819="","※没填日期，这一笔不会进任何月份的报表",IF(AND($G1819&lt;&gt;"",$H1819&lt;&gt;""),"※收入和支出不能同时填",IF(AND(N($G1819)=0,N($H1819)=0),"※收入和支出都没填",IF($E1819="","※没填收支类别，分类报表会漏掉这一笔",IF(ISNA(MATCH($E1819,类别表,0)),"※收支类别不在【参数设置】的清单里",IF($J1819="","△"&amp;$D1819&amp;" 还没填汇率，去【月度汇率】补上就自动算了",IF(YEAR($A1819)&lt;&gt;管理年度,"△不是管理年度的单据，年报里看不到",IF(AND($F1819="内部转账",$Q1819=""),"△内部转账建议在「往来单位」写上对方账户",IF($M1819&lt;0,"△这一笔之后该账户余额成负数了，核一下","")))))))))))</f>
        <v/>
      </c>
    </row>
    <row r="1820" ht="16.5" spans="1:19">
      <c r="A1820" s="45"/>
      <c r="B1820" s="46"/>
      <c r="C1820" s="12" t="str">
        <f>IF($B1820="","",IFERROR(INDEX(账户银行,MATCH($B1820,账户名,0)),""))</f>
        <v/>
      </c>
      <c r="D1820" s="12" t="str">
        <f>IF($B1820="","",IFERROR(INDEX(账户币种,MATCH($B1820,账户名,0)),""))</f>
        <v/>
      </c>
      <c r="E1820" s="47"/>
      <c r="F1820" s="12" t="str">
        <f>IF($E1820="","",IFERROR(INDEX(类别属性,MATCH($E1820,类别表,0)),""))</f>
        <v/>
      </c>
      <c r="G1820" s="48"/>
      <c r="H1820" s="48"/>
      <c r="I1820" s="49"/>
      <c r="J1820" s="24" t="str">
        <f>IF(OR($A1820="",$B1820=""),"",IF($I1820&lt;&gt;"",$I1820,IF($D1820=本位币,1,IFERROR(LOOKUP(2,1/((汇率月份&lt;=$A1820)*(INDEX(记账汇率区,0,MATCH($D1820,汇率币种头,0))&lt;&gt;"")),INDEX(记账汇率区,0,MATCH($D1820,汇率币种头,0))),""))))</f>
        <v/>
      </c>
      <c r="K1820" s="23" t="str">
        <f t="shared" si="56"/>
        <v/>
      </c>
      <c r="L1820" s="23" t="str">
        <f t="shared" si="57"/>
        <v/>
      </c>
      <c r="M1820" s="23" t="str">
        <f>IF($B1820="","",ROUND(SUMIF(账户名,$B1820,账户期初)+SUMIFS($K$6:K1820,$B$6:B1820,$B1820),2))</f>
        <v/>
      </c>
      <c r="N1820" s="23" t="str">
        <f>IF($B1820="","",IFERROR(ROUND(INDEX(账户期初本位,MATCH($B1820,账户名,0))+SUMIFS($L$6:L1820,$B$6:B1820,$B1820),2),""))</f>
        <v/>
      </c>
      <c r="O1820" s="46"/>
      <c r="P1820" s="47"/>
      <c r="Q1820" s="46"/>
      <c r="R1820" s="46"/>
      <c r="S1820" s="6" t="str">
        <f>IF($B1820="","",IF(ISNA(MATCH($B1820,账户名,0)),"※这个账户不在【参数设置】的账户档案里",IF($A1820="","※没填日期，这一笔不会进任何月份的报表",IF(AND($G1820&lt;&gt;"",$H1820&lt;&gt;""),"※收入和支出不能同时填",IF(AND(N($G1820)=0,N($H1820)=0),"※收入和支出都没填",IF($E1820="","※没填收支类别，分类报表会漏掉这一笔",IF(ISNA(MATCH($E1820,类别表,0)),"※收支类别不在【参数设置】的清单里",IF($J1820="","△"&amp;$D1820&amp;" 还没填汇率，去【月度汇率】补上就自动算了",IF(YEAR($A1820)&lt;&gt;管理年度,"△不是管理年度的单据，年报里看不到",IF(AND($F1820="内部转账",$Q1820=""),"△内部转账建议在「往来单位」写上对方账户",IF($M1820&lt;0,"△这一笔之后该账户余额成负数了，核一下","")))))))))))</f>
        <v/>
      </c>
    </row>
    <row r="1821" ht="16.5" spans="1:19">
      <c r="A1821" s="45"/>
      <c r="B1821" s="46"/>
      <c r="C1821" s="12" t="str">
        <f>IF($B1821="","",IFERROR(INDEX(账户银行,MATCH($B1821,账户名,0)),""))</f>
        <v/>
      </c>
      <c r="D1821" s="12" t="str">
        <f>IF($B1821="","",IFERROR(INDEX(账户币种,MATCH($B1821,账户名,0)),""))</f>
        <v/>
      </c>
      <c r="E1821" s="47"/>
      <c r="F1821" s="12" t="str">
        <f>IF($E1821="","",IFERROR(INDEX(类别属性,MATCH($E1821,类别表,0)),""))</f>
        <v/>
      </c>
      <c r="G1821" s="48"/>
      <c r="H1821" s="48"/>
      <c r="I1821" s="49"/>
      <c r="J1821" s="24" t="str">
        <f>IF(OR($A1821="",$B1821=""),"",IF($I1821&lt;&gt;"",$I1821,IF($D1821=本位币,1,IFERROR(LOOKUP(2,1/((汇率月份&lt;=$A1821)*(INDEX(记账汇率区,0,MATCH($D1821,汇率币种头,0))&lt;&gt;"")),INDEX(记账汇率区,0,MATCH($D1821,汇率币种头,0))),""))))</f>
        <v/>
      </c>
      <c r="K1821" s="23" t="str">
        <f t="shared" si="56"/>
        <v/>
      </c>
      <c r="L1821" s="23" t="str">
        <f t="shared" si="57"/>
        <v/>
      </c>
      <c r="M1821" s="23" t="str">
        <f>IF($B1821="","",ROUND(SUMIF(账户名,$B1821,账户期初)+SUMIFS($K$6:K1821,$B$6:B1821,$B1821),2))</f>
        <v/>
      </c>
      <c r="N1821" s="23" t="str">
        <f>IF($B1821="","",IFERROR(ROUND(INDEX(账户期初本位,MATCH($B1821,账户名,0))+SUMIFS($L$6:L1821,$B$6:B1821,$B1821),2),""))</f>
        <v/>
      </c>
      <c r="O1821" s="46"/>
      <c r="P1821" s="47"/>
      <c r="Q1821" s="46"/>
      <c r="R1821" s="46"/>
      <c r="S1821" s="6" t="str">
        <f>IF($B1821="","",IF(ISNA(MATCH($B1821,账户名,0)),"※这个账户不在【参数设置】的账户档案里",IF($A1821="","※没填日期，这一笔不会进任何月份的报表",IF(AND($G1821&lt;&gt;"",$H1821&lt;&gt;""),"※收入和支出不能同时填",IF(AND(N($G1821)=0,N($H1821)=0),"※收入和支出都没填",IF($E1821="","※没填收支类别，分类报表会漏掉这一笔",IF(ISNA(MATCH($E1821,类别表,0)),"※收支类别不在【参数设置】的清单里",IF($J1821="","△"&amp;$D1821&amp;" 还没填汇率，去【月度汇率】补上就自动算了",IF(YEAR($A1821)&lt;&gt;管理年度,"△不是管理年度的单据，年报里看不到",IF(AND($F1821="内部转账",$Q1821=""),"△内部转账建议在「往来单位」写上对方账户",IF($M1821&lt;0,"△这一笔之后该账户余额成负数了，核一下","")))))))))))</f>
        <v/>
      </c>
    </row>
    <row r="1822" ht="16.5" spans="1:19">
      <c r="A1822" s="45"/>
      <c r="B1822" s="46"/>
      <c r="C1822" s="12" t="str">
        <f>IF($B1822="","",IFERROR(INDEX(账户银行,MATCH($B1822,账户名,0)),""))</f>
        <v/>
      </c>
      <c r="D1822" s="12" t="str">
        <f>IF($B1822="","",IFERROR(INDEX(账户币种,MATCH($B1822,账户名,0)),""))</f>
        <v/>
      </c>
      <c r="E1822" s="47"/>
      <c r="F1822" s="12" t="str">
        <f>IF($E1822="","",IFERROR(INDEX(类别属性,MATCH($E1822,类别表,0)),""))</f>
        <v/>
      </c>
      <c r="G1822" s="48"/>
      <c r="H1822" s="48"/>
      <c r="I1822" s="49"/>
      <c r="J1822" s="24" t="str">
        <f>IF(OR($A1822="",$B1822=""),"",IF($I1822&lt;&gt;"",$I1822,IF($D1822=本位币,1,IFERROR(LOOKUP(2,1/((汇率月份&lt;=$A1822)*(INDEX(记账汇率区,0,MATCH($D1822,汇率币种头,0))&lt;&gt;"")),INDEX(记账汇率区,0,MATCH($D1822,汇率币种头,0))),""))))</f>
        <v/>
      </c>
      <c r="K1822" s="23" t="str">
        <f t="shared" si="56"/>
        <v/>
      </c>
      <c r="L1822" s="23" t="str">
        <f t="shared" si="57"/>
        <v/>
      </c>
      <c r="M1822" s="23" t="str">
        <f>IF($B1822="","",ROUND(SUMIF(账户名,$B1822,账户期初)+SUMIFS($K$6:K1822,$B$6:B1822,$B1822),2))</f>
        <v/>
      </c>
      <c r="N1822" s="23" t="str">
        <f>IF($B1822="","",IFERROR(ROUND(INDEX(账户期初本位,MATCH($B1822,账户名,0))+SUMIFS($L$6:L1822,$B$6:B1822,$B1822),2),""))</f>
        <v/>
      </c>
      <c r="O1822" s="46"/>
      <c r="P1822" s="47"/>
      <c r="Q1822" s="46"/>
      <c r="R1822" s="46"/>
      <c r="S1822" s="6" t="str">
        <f>IF($B1822="","",IF(ISNA(MATCH($B1822,账户名,0)),"※这个账户不在【参数设置】的账户档案里",IF($A1822="","※没填日期，这一笔不会进任何月份的报表",IF(AND($G1822&lt;&gt;"",$H1822&lt;&gt;""),"※收入和支出不能同时填",IF(AND(N($G1822)=0,N($H1822)=0),"※收入和支出都没填",IF($E1822="","※没填收支类别，分类报表会漏掉这一笔",IF(ISNA(MATCH($E1822,类别表,0)),"※收支类别不在【参数设置】的清单里",IF($J1822="","△"&amp;$D1822&amp;" 还没填汇率，去【月度汇率】补上就自动算了",IF(YEAR($A1822)&lt;&gt;管理年度,"△不是管理年度的单据，年报里看不到",IF(AND($F1822="内部转账",$Q1822=""),"△内部转账建议在「往来单位」写上对方账户",IF($M1822&lt;0,"△这一笔之后该账户余额成负数了，核一下","")))))))))))</f>
        <v/>
      </c>
    </row>
    <row r="1823" ht="16.5" spans="1:19">
      <c r="A1823" s="45"/>
      <c r="B1823" s="46"/>
      <c r="C1823" s="12" t="str">
        <f>IF($B1823="","",IFERROR(INDEX(账户银行,MATCH($B1823,账户名,0)),""))</f>
        <v/>
      </c>
      <c r="D1823" s="12" t="str">
        <f>IF($B1823="","",IFERROR(INDEX(账户币种,MATCH($B1823,账户名,0)),""))</f>
        <v/>
      </c>
      <c r="E1823" s="47"/>
      <c r="F1823" s="12" t="str">
        <f>IF($E1823="","",IFERROR(INDEX(类别属性,MATCH($E1823,类别表,0)),""))</f>
        <v/>
      </c>
      <c r="G1823" s="48"/>
      <c r="H1823" s="48"/>
      <c r="I1823" s="49"/>
      <c r="J1823" s="24" t="str">
        <f>IF(OR($A1823="",$B1823=""),"",IF($I1823&lt;&gt;"",$I1823,IF($D1823=本位币,1,IFERROR(LOOKUP(2,1/((汇率月份&lt;=$A1823)*(INDEX(记账汇率区,0,MATCH($D1823,汇率币种头,0))&lt;&gt;"")),INDEX(记账汇率区,0,MATCH($D1823,汇率币种头,0))),""))))</f>
        <v/>
      </c>
      <c r="K1823" s="23" t="str">
        <f t="shared" si="56"/>
        <v/>
      </c>
      <c r="L1823" s="23" t="str">
        <f t="shared" si="57"/>
        <v/>
      </c>
      <c r="M1823" s="23" t="str">
        <f>IF($B1823="","",ROUND(SUMIF(账户名,$B1823,账户期初)+SUMIFS($K$6:K1823,$B$6:B1823,$B1823),2))</f>
        <v/>
      </c>
      <c r="N1823" s="23" t="str">
        <f>IF($B1823="","",IFERROR(ROUND(INDEX(账户期初本位,MATCH($B1823,账户名,0))+SUMIFS($L$6:L1823,$B$6:B1823,$B1823),2),""))</f>
        <v/>
      </c>
      <c r="O1823" s="46"/>
      <c r="P1823" s="47"/>
      <c r="Q1823" s="46"/>
      <c r="R1823" s="46"/>
      <c r="S1823" s="6" t="str">
        <f>IF($B1823="","",IF(ISNA(MATCH($B1823,账户名,0)),"※这个账户不在【参数设置】的账户档案里",IF($A1823="","※没填日期，这一笔不会进任何月份的报表",IF(AND($G1823&lt;&gt;"",$H1823&lt;&gt;""),"※收入和支出不能同时填",IF(AND(N($G1823)=0,N($H1823)=0),"※收入和支出都没填",IF($E1823="","※没填收支类别，分类报表会漏掉这一笔",IF(ISNA(MATCH($E1823,类别表,0)),"※收支类别不在【参数设置】的清单里",IF($J1823="","△"&amp;$D1823&amp;" 还没填汇率，去【月度汇率】补上就自动算了",IF(YEAR($A1823)&lt;&gt;管理年度,"△不是管理年度的单据，年报里看不到",IF(AND($F1823="内部转账",$Q1823=""),"△内部转账建议在「往来单位」写上对方账户",IF($M1823&lt;0,"△这一笔之后该账户余额成负数了，核一下","")))))))))))</f>
        <v/>
      </c>
    </row>
    <row r="1824" ht="16.5" spans="1:19">
      <c r="A1824" s="45"/>
      <c r="B1824" s="46"/>
      <c r="C1824" s="12" t="str">
        <f>IF($B1824="","",IFERROR(INDEX(账户银行,MATCH($B1824,账户名,0)),""))</f>
        <v/>
      </c>
      <c r="D1824" s="12" t="str">
        <f>IF($B1824="","",IFERROR(INDEX(账户币种,MATCH($B1824,账户名,0)),""))</f>
        <v/>
      </c>
      <c r="E1824" s="47"/>
      <c r="F1824" s="12" t="str">
        <f>IF($E1824="","",IFERROR(INDEX(类别属性,MATCH($E1824,类别表,0)),""))</f>
        <v/>
      </c>
      <c r="G1824" s="48"/>
      <c r="H1824" s="48"/>
      <c r="I1824" s="49"/>
      <c r="J1824" s="24" t="str">
        <f>IF(OR($A1824="",$B1824=""),"",IF($I1824&lt;&gt;"",$I1824,IF($D1824=本位币,1,IFERROR(LOOKUP(2,1/((汇率月份&lt;=$A1824)*(INDEX(记账汇率区,0,MATCH($D1824,汇率币种头,0))&lt;&gt;"")),INDEX(记账汇率区,0,MATCH($D1824,汇率币种头,0))),""))))</f>
        <v/>
      </c>
      <c r="K1824" s="23" t="str">
        <f t="shared" si="56"/>
        <v/>
      </c>
      <c r="L1824" s="23" t="str">
        <f t="shared" si="57"/>
        <v/>
      </c>
      <c r="M1824" s="23" t="str">
        <f>IF($B1824="","",ROUND(SUMIF(账户名,$B1824,账户期初)+SUMIFS($K$6:K1824,$B$6:B1824,$B1824),2))</f>
        <v/>
      </c>
      <c r="N1824" s="23" t="str">
        <f>IF($B1824="","",IFERROR(ROUND(INDEX(账户期初本位,MATCH($B1824,账户名,0))+SUMIFS($L$6:L1824,$B$6:B1824,$B1824),2),""))</f>
        <v/>
      </c>
      <c r="O1824" s="46"/>
      <c r="P1824" s="47"/>
      <c r="Q1824" s="46"/>
      <c r="R1824" s="46"/>
      <c r="S1824" s="6" t="str">
        <f>IF($B1824="","",IF(ISNA(MATCH($B1824,账户名,0)),"※这个账户不在【参数设置】的账户档案里",IF($A1824="","※没填日期，这一笔不会进任何月份的报表",IF(AND($G1824&lt;&gt;"",$H1824&lt;&gt;""),"※收入和支出不能同时填",IF(AND(N($G1824)=0,N($H1824)=0),"※收入和支出都没填",IF($E1824="","※没填收支类别，分类报表会漏掉这一笔",IF(ISNA(MATCH($E1824,类别表,0)),"※收支类别不在【参数设置】的清单里",IF($J1824="","△"&amp;$D1824&amp;" 还没填汇率，去【月度汇率】补上就自动算了",IF(YEAR($A1824)&lt;&gt;管理年度,"△不是管理年度的单据，年报里看不到",IF(AND($F1824="内部转账",$Q1824=""),"△内部转账建议在「往来单位」写上对方账户",IF($M1824&lt;0,"△这一笔之后该账户余额成负数了，核一下","")))))))))))</f>
        <v/>
      </c>
    </row>
    <row r="1825" ht="16.5" spans="1:19">
      <c r="A1825" s="45"/>
      <c r="B1825" s="46"/>
      <c r="C1825" s="12" t="str">
        <f>IF($B1825="","",IFERROR(INDEX(账户银行,MATCH($B1825,账户名,0)),""))</f>
        <v/>
      </c>
      <c r="D1825" s="12" t="str">
        <f>IF($B1825="","",IFERROR(INDEX(账户币种,MATCH($B1825,账户名,0)),""))</f>
        <v/>
      </c>
      <c r="E1825" s="47"/>
      <c r="F1825" s="12" t="str">
        <f>IF($E1825="","",IFERROR(INDEX(类别属性,MATCH($E1825,类别表,0)),""))</f>
        <v/>
      </c>
      <c r="G1825" s="48"/>
      <c r="H1825" s="48"/>
      <c r="I1825" s="49"/>
      <c r="J1825" s="24" t="str">
        <f>IF(OR($A1825="",$B1825=""),"",IF($I1825&lt;&gt;"",$I1825,IF($D1825=本位币,1,IFERROR(LOOKUP(2,1/((汇率月份&lt;=$A1825)*(INDEX(记账汇率区,0,MATCH($D1825,汇率币种头,0))&lt;&gt;"")),INDEX(记账汇率区,0,MATCH($D1825,汇率币种头,0))),""))))</f>
        <v/>
      </c>
      <c r="K1825" s="23" t="str">
        <f t="shared" si="56"/>
        <v/>
      </c>
      <c r="L1825" s="23" t="str">
        <f t="shared" si="57"/>
        <v/>
      </c>
      <c r="M1825" s="23" t="str">
        <f>IF($B1825="","",ROUND(SUMIF(账户名,$B1825,账户期初)+SUMIFS($K$6:K1825,$B$6:B1825,$B1825),2))</f>
        <v/>
      </c>
      <c r="N1825" s="23" t="str">
        <f>IF($B1825="","",IFERROR(ROUND(INDEX(账户期初本位,MATCH($B1825,账户名,0))+SUMIFS($L$6:L1825,$B$6:B1825,$B1825),2),""))</f>
        <v/>
      </c>
      <c r="O1825" s="46"/>
      <c r="P1825" s="47"/>
      <c r="Q1825" s="46"/>
      <c r="R1825" s="46"/>
      <c r="S1825" s="6" t="str">
        <f>IF($B1825="","",IF(ISNA(MATCH($B1825,账户名,0)),"※这个账户不在【参数设置】的账户档案里",IF($A1825="","※没填日期，这一笔不会进任何月份的报表",IF(AND($G1825&lt;&gt;"",$H1825&lt;&gt;""),"※收入和支出不能同时填",IF(AND(N($G1825)=0,N($H1825)=0),"※收入和支出都没填",IF($E1825="","※没填收支类别，分类报表会漏掉这一笔",IF(ISNA(MATCH($E1825,类别表,0)),"※收支类别不在【参数设置】的清单里",IF($J1825="","△"&amp;$D1825&amp;" 还没填汇率，去【月度汇率】补上就自动算了",IF(YEAR($A1825)&lt;&gt;管理年度,"△不是管理年度的单据，年报里看不到",IF(AND($F1825="内部转账",$Q1825=""),"△内部转账建议在「往来单位」写上对方账户",IF($M1825&lt;0,"△这一笔之后该账户余额成负数了，核一下","")))))))))))</f>
        <v/>
      </c>
    </row>
    <row r="1826" ht="16.5" spans="1:19">
      <c r="A1826" s="45"/>
      <c r="B1826" s="46"/>
      <c r="C1826" s="12" t="str">
        <f>IF($B1826="","",IFERROR(INDEX(账户银行,MATCH($B1826,账户名,0)),""))</f>
        <v/>
      </c>
      <c r="D1826" s="12" t="str">
        <f>IF($B1826="","",IFERROR(INDEX(账户币种,MATCH($B1826,账户名,0)),""))</f>
        <v/>
      </c>
      <c r="E1826" s="47"/>
      <c r="F1826" s="12" t="str">
        <f>IF($E1826="","",IFERROR(INDEX(类别属性,MATCH($E1826,类别表,0)),""))</f>
        <v/>
      </c>
      <c r="G1826" s="48"/>
      <c r="H1826" s="48"/>
      <c r="I1826" s="49"/>
      <c r="J1826" s="24" t="str">
        <f>IF(OR($A1826="",$B1826=""),"",IF($I1826&lt;&gt;"",$I1826,IF($D1826=本位币,1,IFERROR(LOOKUP(2,1/((汇率月份&lt;=$A1826)*(INDEX(记账汇率区,0,MATCH($D1826,汇率币种头,0))&lt;&gt;"")),INDEX(记账汇率区,0,MATCH($D1826,汇率币种头,0))),""))))</f>
        <v/>
      </c>
      <c r="K1826" s="23" t="str">
        <f t="shared" si="56"/>
        <v/>
      </c>
      <c r="L1826" s="23" t="str">
        <f t="shared" si="57"/>
        <v/>
      </c>
      <c r="M1826" s="23" t="str">
        <f>IF($B1826="","",ROUND(SUMIF(账户名,$B1826,账户期初)+SUMIFS($K$6:K1826,$B$6:B1826,$B1826),2))</f>
        <v/>
      </c>
      <c r="N1826" s="23" t="str">
        <f>IF($B1826="","",IFERROR(ROUND(INDEX(账户期初本位,MATCH($B1826,账户名,0))+SUMIFS($L$6:L1826,$B$6:B1826,$B1826),2),""))</f>
        <v/>
      </c>
      <c r="O1826" s="46"/>
      <c r="P1826" s="47"/>
      <c r="Q1826" s="46"/>
      <c r="R1826" s="46"/>
      <c r="S1826" s="6" t="str">
        <f>IF($B1826="","",IF(ISNA(MATCH($B1826,账户名,0)),"※这个账户不在【参数设置】的账户档案里",IF($A1826="","※没填日期，这一笔不会进任何月份的报表",IF(AND($G1826&lt;&gt;"",$H1826&lt;&gt;""),"※收入和支出不能同时填",IF(AND(N($G1826)=0,N($H1826)=0),"※收入和支出都没填",IF($E1826="","※没填收支类别，分类报表会漏掉这一笔",IF(ISNA(MATCH($E1826,类别表,0)),"※收支类别不在【参数设置】的清单里",IF($J1826="","△"&amp;$D1826&amp;" 还没填汇率，去【月度汇率】补上就自动算了",IF(YEAR($A1826)&lt;&gt;管理年度,"△不是管理年度的单据，年报里看不到",IF(AND($F1826="内部转账",$Q1826=""),"△内部转账建议在「往来单位」写上对方账户",IF($M1826&lt;0,"△这一笔之后该账户余额成负数了，核一下","")))))))))))</f>
        <v/>
      </c>
    </row>
    <row r="1827" ht="16.5" spans="1:19">
      <c r="A1827" s="45"/>
      <c r="B1827" s="46"/>
      <c r="C1827" s="12" t="str">
        <f>IF($B1827="","",IFERROR(INDEX(账户银行,MATCH($B1827,账户名,0)),""))</f>
        <v/>
      </c>
      <c r="D1827" s="12" t="str">
        <f>IF($B1827="","",IFERROR(INDEX(账户币种,MATCH($B1827,账户名,0)),""))</f>
        <v/>
      </c>
      <c r="E1827" s="47"/>
      <c r="F1827" s="12" t="str">
        <f>IF($E1827="","",IFERROR(INDEX(类别属性,MATCH($E1827,类别表,0)),""))</f>
        <v/>
      </c>
      <c r="G1827" s="48"/>
      <c r="H1827" s="48"/>
      <c r="I1827" s="49"/>
      <c r="J1827" s="24" t="str">
        <f>IF(OR($A1827="",$B1827=""),"",IF($I1827&lt;&gt;"",$I1827,IF($D1827=本位币,1,IFERROR(LOOKUP(2,1/((汇率月份&lt;=$A1827)*(INDEX(记账汇率区,0,MATCH($D1827,汇率币种头,0))&lt;&gt;"")),INDEX(记账汇率区,0,MATCH($D1827,汇率币种头,0))),""))))</f>
        <v/>
      </c>
      <c r="K1827" s="23" t="str">
        <f t="shared" si="56"/>
        <v/>
      </c>
      <c r="L1827" s="23" t="str">
        <f t="shared" si="57"/>
        <v/>
      </c>
      <c r="M1827" s="23" t="str">
        <f>IF($B1827="","",ROUND(SUMIF(账户名,$B1827,账户期初)+SUMIFS($K$6:K1827,$B$6:B1827,$B1827),2))</f>
        <v/>
      </c>
      <c r="N1827" s="23" t="str">
        <f>IF($B1827="","",IFERROR(ROUND(INDEX(账户期初本位,MATCH($B1827,账户名,0))+SUMIFS($L$6:L1827,$B$6:B1827,$B1827),2),""))</f>
        <v/>
      </c>
      <c r="O1827" s="46"/>
      <c r="P1827" s="47"/>
      <c r="Q1827" s="46"/>
      <c r="R1827" s="46"/>
      <c r="S1827" s="6" t="str">
        <f>IF($B1827="","",IF(ISNA(MATCH($B1827,账户名,0)),"※这个账户不在【参数设置】的账户档案里",IF($A1827="","※没填日期，这一笔不会进任何月份的报表",IF(AND($G1827&lt;&gt;"",$H1827&lt;&gt;""),"※收入和支出不能同时填",IF(AND(N($G1827)=0,N($H1827)=0),"※收入和支出都没填",IF($E1827="","※没填收支类别，分类报表会漏掉这一笔",IF(ISNA(MATCH($E1827,类别表,0)),"※收支类别不在【参数设置】的清单里",IF($J1827="","△"&amp;$D1827&amp;" 还没填汇率，去【月度汇率】补上就自动算了",IF(YEAR($A1827)&lt;&gt;管理年度,"△不是管理年度的单据，年报里看不到",IF(AND($F1827="内部转账",$Q1827=""),"△内部转账建议在「往来单位」写上对方账户",IF($M1827&lt;0,"△这一笔之后该账户余额成负数了，核一下","")))))))))))</f>
        <v/>
      </c>
    </row>
    <row r="1828" ht="16.5" spans="1:19">
      <c r="A1828" s="45"/>
      <c r="B1828" s="46"/>
      <c r="C1828" s="12" t="str">
        <f>IF($B1828="","",IFERROR(INDEX(账户银行,MATCH($B1828,账户名,0)),""))</f>
        <v/>
      </c>
      <c r="D1828" s="12" t="str">
        <f>IF($B1828="","",IFERROR(INDEX(账户币种,MATCH($B1828,账户名,0)),""))</f>
        <v/>
      </c>
      <c r="E1828" s="47"/>
      <c r="F1828" s="12" t="str">
        <f>IF($E1828="","",IFERROR(INDEX(类别属性,MATCH($E1828,类别表,0)),""))</f>
        <v/>
      </c>
      <c r="G1828" s="48"/>
      <c r="H1828" s="48"/>
      <c r="I1828" s="49"/>
      <c r="J1828" s="24" t="str">
        <f>IF(OR($A1828="",$B1828=""),"",IF($I1828&lt;&gt;"",$I1828,IF($D1828=本位币,1,IFERROR(LOOKUP(2,1/((汇率月份&lt;=$A1828)*(INDEX(记账汇率区,0,MATCH($D1828,汇率币种头,0))&lt;&gt;"")),INDEX(记账汇率区,0,MATCH($D1828,汇率币种头,0))),""))))</f>
        <v/>
      </c>
      <c r="K1828" s="23" t="str">
        <f t="shared" si="56"/>
        <v/>
      </c>
      <c r="L1828" s="23" t="str">
        <f t="shared" si="57"/>
        <v/>
      </c>
      <c r="M1828" s="23" t="str">
        <f>IF($B1828="","",ROUND(SUMIF(账户名,$B1828,账户期初)+SUMIFS($K$6:K1828,$B$6:B1828,$B1828),2))</f>
        <v/>
      </c>
      <c r="N1828" s="23" t="str">
        <f>IF($B1828="","",IFERROR(ROUND(INDEX(账户期初本位,MATCH($B1828,账户名,0))+SUMIFS($L$6:L1828,$B$6:B1828,$B1828),2),""))</f>
        <v/>
      </c>
      <c r="O1828" s="46"/>
      <c r="P1828" s="47"/>
      <c r="Q1828" s="46"/>
      <c r="R1828" s="46"/>
      <c r="S1828" s="6" t="str">
        <f>IF($B1828="","",IF(ISNA(MATCH($B1828,账户名,0)),"※这个账户不在【参数设置】的账户档案里",IF($A1828="","※没填日期，这一笔不会进任何月份的报表",IF(AND($G1828&lt;&gt;"",$H1828&lt;&gt;""),"※收入和支出不能同时填",IF(AND(N($G1828)=0,N($H1828)=0),"※收入和支出都没填",IF($E1828="","※没填收支类别，分类报表会漏掉这一笔",IF(ISNA(MATCH($E1828,类别表,0)),"※收支类别不在【参数设置】的清单里",IF($J1828="","△"&amp;$D1828&amp;" 还没填汇率，去【月度汇率】补上就自动算了",IF(YEAR($A1828)&lt;&gt;管理年度,"△不是管理年度的单据，年报里看不到",IF(AND($F1828="内部转账",$Q1828=""),"△内部转账建议在「往来单位」写上对方账户",IF($M1828&lt;0,"△这一笔之后该账户余额成负数了，核一下","")))))))))))</f>
        <v/>
      </c>
    </row>
    <row r="1829" ht="16.5" spans="1:19">
      <c r="A1829" s="45"/>
      <c r="B1829" s="46"/>
      <c r="C1829" s="12" t="str">
        <f>IF($B1829="","",IFERROR(INDEX(账户银行,MATCH($B1829,账户名,0)),""))</f>
        <v/>
      </c>
      <c r="D1829" s="12" t="str">
        <f>IF($B1829="","",IFERROR(INDEX(账户币种,MATCH($B1829,账户名,0)),""))</f>
        <v/>
      </c>
      <c r="E1829" s="47"/>
      <c r="F1829" s="12" t="str">
        <f>IF($E1829="","",IFERROR(INDEX(类别属性,MATCH($E1829,类别表,0)),""))</f>
        <v/>
      </c>
      <c r="G1829" s="48"/>
      <c r="H1829" s="48"/>
      <c r="I1829" s="49"/>
      <c r="J1829" s="24" t="str">
        <f>IF(OR($A1829="",$B1829=""),"",IF($I1829&lt;&gt;"",$I1829,IF($D1829=本位币,1,IFERROR(LOOKUP(2,1/((汇率月份&lt;=$A1829)*(INDEX(记账汇率区,0,MATCH($D1829,汇率币种头,0))&lt;&gt;"")),INDEX(记账汇率区,0,MATCH($D1829,汇率币种头,0))),""))))</f>
        <v/>
      </c>
      <c r="K1829" s="23" t="str">
        <f t="shared" si="56"/>
        <v/>
      </c>
      <c r="L1829" s="23" t="str">
        <f t="shared" si="57"/>
        <v/>
      </c>
      <c r="M1829" s="23" t="str">
        <f>IF($B1829="","",ROUND(SUMIF(账户名,$B1829,账户期初)+SUMIFS($K$6:K1829,$B$6:B1829,$B1829),2))</f>
        <v/>
      </c>
      <c r="N1829" s="23" t="str">
        <f>IF($B1829="","",IFERROR(ROUND(INDEX(账户期初本位,MATCH($B1829,账户名,0))+SUMIFS($L$6:L1829,$B$6:B1829,$B1829),2),""))</f>
        <v/>
      </c>
      <c r="O1829" s="46"/>
      <c r="P1829" s="47"/>
      <c r="Q1829" s="46"/>
      <c r="R1829" s="46"/>
      <c r="S1829" s="6" t="str">
        <f>IF($B1829="","",IF(ISNA(MATCH($B1829,账户名,0)),"※这个账户不在【参数设置】的账户档案里",IF($A1829="","※没填日期，这一笔不会进任何月份的报表",IF(AND($G1829&lt;&gt;"",$H1829&lt;&gt;""),"※收入和支出不能同时填",IF(AND(N($G1829)=0,N($H1829)=0),"※收入和支出都没填",IF($E1829="","※没填收支类别，分类报表会漏掉这一笔",IF(ISNA(MATCH($E1829,类别表,0)),"※收支类别不在【参数设置】的清单里",IF($J1829="","△"&amp;$D1829&amp;" 还没填汇率，去【月度汇率】补上就自动算了",IF(YEAR($A1829)&lt;&gt;管理年度,"△不是管理年度的单据，年报里看不到",IF(AND($F1829="内部转账",$Q1829=""),"△内部转账建议在「往来单位」写上对方账户",IF($M1829&lt;0,"△这一笔之后该账户余额成负数了，核一下","")))))))))))</f>
        <v/>
      </c>
    </row>
    <row r="1830" ht="16.5" spans="1:19">
      <c r="A1830" s="45"/>
      <c r="B1830" s="46"/>
      <c r="C1830" s="12" t="str">
        <f>IF($B1830="","",IFERROR(INDEX(账户银行,MATCH($B1830,账户名,0)),""))</f>
        <v/>
      </c>
      <c r="D1830" s="12" t="str">
        <f>IF($B1830="","",IFERROR(INDEX(账户币种,MATCH($B1830,账户名,0)),""))</f>
        <v/>
      </c>
      <c r="E1830" s="47"/>
      <c r="F1830" s="12" t="str">
        <f>IF($E1830="","",IFERROR(INDEX(类别属性,MATCH($E1830,类别表,0)),""))</f>
        <v/>
      </c>
      <c r="G1830" s="48"/>
      <c r="H1830" s="48"/>
      <c r="I1830" s="49"/>
      <c r="J1830" s="24" t="str">
        <f>IF(OR($A1830="",$B1830=""),"",IF($I1830&lt;&gt;"",$I1830,IF($D1830=本位币,1,IFERROR(LOOKUP(2,1/((汇率月份&lt;=$A1830)*(INDEX(记账汇率区,0,MATCH($D1830,汇率币种头,0))&lt;&gt;"")),INDEX(记账汇率区,0,MATCH($D1830,汇率币种头,0))),""))))</f>
        <v/>
      </c>
      <c r="K1830" s="23" t="str">
        <f t="shared" si="56"/>
        <v/>
      </c>
      <c r="L1830" s="23" t="str">
        <f t="shared" si="57"/>
        <v/>
      </c>
      <c r="M1830" s="23" t="str">
        <f>IF($B1830="","",ROUND(SUMIF(账户名,$B1830,账户期初)+SUMIFS($K$6:K1830,$B$6:B1830,$B1830),2))</f>
        <v/>
      </c>
      <c r="N1830" s="23" t="str">
        <f>IF($B1830="","",IFERROR(ROUND(INDEX(账户期初本位,MATCH($B1830,账户名,0))+SUMIFS($L$6:L1830,$B$6:B1830,$B1830),2),""))</f>
        <v/>
      </c>
      <c r="O1830" s="46"/>
      <c r="P1830" s="47"/>
      <c r="Q1830" s="46"/>
      <c r="R1830" s="46"/>
      <c r="S1830" s="6" t="str">
        <f>IF($B1830="","",IF(ISNA(MATCH($B1830,账户名,0)),"※这个账户不在【参数设置】的账户档案里",IF($A1830="","※没填日期，这一笔不会进任何月份的报表",IF(AND($G1830&lt;&gt;"",$H1830&lt;&gt;""),"※收入和支出不能同时填",IF(AND(N($G1830)=0,N($H1830)=0),"※收入和支出都没填",IF($E1830="","※没填收支类别，分类报表会漏掉这一笔",IF(ISNA(MATCH($E1830,类别表,0)),"※收支类别不在【参数设置】的清单里",IF($J1830="","△"&amp;$D1830&amp;" 还没填汇率，去【月度汇率】补上就自动算了",IF(YEAR($A1830)&lt;&gt;管理年度,"△不是管理年度的单据，年报里看不到",IF(AND($F1830="内部转账",$Q1830=""),"△内部转账建议在「往来单位」写上对方账户",IF($M1830&lt;0,"△这一笔之后该账户余额成负数了，核一下","")))))))))))</f>
        <v/>
      </c>
    </row>
    <row r="1831" ht="16.5" spans="1:19">
      <c r="A1831" s="45"/>
      <c r="B1831" s="46"/>
      <c r="C1831" s="12" t="str">
        <f>IF($B1831="","",IFERROR(INDEX(账户银行,MATCH($B1831,账户名,0)),""))</f>
        <v/>
      </c>
      <c r="D1831" s="12" t="str">
        <f>IF($B1831="","",IFERROR(INDEX(账户币种,MATCH($B1831,账户名,0)),""))</f>
        <v/>
      </c>
      <c r="E1831" s="47"/>
      <c r="F1831" s="12" t="str">
        <f>IF($E1831="","",IFERROR(INDEX(类别属性,MATCH($E1831,类别表,0)),""))</f>
        <v/>
      </c>
      <c r="G1831" s="48"/>
      <c r="H1831" s="48"/>
      <c r="I1831" s="49"/>
      <c r="J1831" s="24" t="str">
        <f>IF(OR($A1831="",$B1831=""),"",IF($I1831&lt;&gt;"",$I1831,IF($D1831=本位币,1,IFERROR(LOOKUP(2,1/((汇率月份&lt;=$A1831)*(INDEX(记账汇率区,0,MATCH($D1831,汇率币种头,0))&lt;&gt;"")),INDEX(记账汇率区,0,MATCH($D1831,汇率币种头,0))),""))))</f>
        <v/>
      </c>
      <c r="K1831" s="23" t="str">
        <f t="shared" si="56"/>
        <v/>
      </c>
      <c r="L1831" s="23" t="str">
        <f t="shared" si="57"/>
        <v/>
      </c>
      <c r="M1831" s="23" t="str">
        <f>IF($B1831="","",ROUND(SUMIF(账户名,$B1831,账户期初)+SUMIFS($K$6:K1831,$B$6:B1831,$B1831),2))</f>
        <v/>
      </c>
      <c r="N1831" s="23" t="str">
        <f>IF($B1831="","",IFERROR(ROUND(INDEX(账户期初本位,MATCH($B1831,账户名,0))+SUMIFS($L$6:L1831,$B$6:B1831,$B1831),2),""))</f>
        <v/>
      </c>
      <c r="O1831" s="46"/>
      <c r="P1831" s="47"/>
      <c r="Q1831" s="46"/>
      <c r="R1831" s="46"/>
      <c r="S1831" s="6" t="str">
        <f>IF($B1831="","",IF(ISNA(MATCH($B1831,账户名,0)),"※这个账户不在【参数设置】的账户档案里",IF($A1831="","※没填日期，这一笔不会进任何月份的报表",IF(AND($G1831&lt;&gt;"",$H1831&lt;&gt;""),"※收入和支出不能同时填",IF(AND(N($G1831)=0,N($H1831)=0),"※收入和支出都没填",IF($E1831="","※没填收支类别，分类报表会漏掉这一笔",IF(ISNA(MATCH($E1831,类别表,0)),"※收支类别不在【参数设置】的清单里",IF($J1831="","△"&amp;$D1831&amp;" 还没填汇率，去【月度汇率】补上就自动算了",IF(YEAR($A1831)&lt;&gt;管理年度,"△不是管理年度的单据，年报里看不到",IF(AND($F1831="内部转账",$Q1831=""),"△内部转账建议在「往来单位」写上对方账户",IF($M1831&lt;0,"△这一笔之后该账户余额成负数了，核一下","")))))))))))</f>
        <v/>
      </c>
    </row>
    <row r="1832" ht="16.5" spans="1:19">
      <c r="A1832" s="45"/>
      <c r="B1832" s="46"/>
      <c r="C1832" s="12" t="str">
        <f>IF($B1832="","",IFERROR(INDEX(账户银行,MATCH($B1832,账户名,0)),""))</f>
        <v/>
      </c>
      <c r="D1832" s="12" t="str">
        <f>IF($B1832="","",IFERROR(INDEX(账户币种,MATCH($B1832,账户名,0)),""))</f>
        <v/>
      </c>
      <c r="E1832" s="47"/>
      <c r="F1832" s="12" t="str">
        <f>IF($E1832="","",IFERROR(INDEX(类别属性,MATCH($E1832,类别表,0)),""))</f>
        <v/>
      </c>
      <c r="G1832" s="48"/>
      <c r="H1832" s="48"/>
      <c r="I1832" s="49"/>
      <c r="J1832" s="24" t="str">
        <f>IF(OR($A1832="",$B1832=""),"",IF($I1832&lt;&gt;"",$I1832,IF($D1832=本位币,1,IFERROR(LOOKUP(2,1/((汇率月份&lt;=$A1832)*(INDEX(记账汇率区,0,MATCH($D1832,汇率币种头,0))&lt;&gt;"")),INDEX(记账汇率区,0,MATCH($D1832,汇率币种头,0))),""))))</f>
        <v/>
      </c>
      <c r="K1832" s="23" t="str">
        <f t="shared" si="56"/>
        <v/>
      </c>
      <c r="L1832" s="23" t="str">
        <f t="shared" si="57"/>
        <v/>
      </c>
      <c r="M1832" s="23" t="str">
        <f>IF($B1832="","",ROUND(SUMIF(账户名,$B1832,账户期初)+SUMIFS($K$6:K1832,$B$6:B1832,$B1832),2))</f>
        <v/>
      </c>
      <c r="N1832" s="23" t="str">
        <f>IF($B1832="","",IFERROR(ROUND(INDEX(账户期初本位,MATCH($B1832,账户名,0))+SUMIFS($L$6:L1832,$B$6:B1832,$B1832),2),""))</f>
        <v/>
      </c>
      <c r="O1832" s="46"/>
      <c r="P1832" s="47"/>
      <c r="Q1832" s="46"/>
      <c r="R1832" s="46"/>
      <c r="S1832" s="6" t="str">
        <f>IF($B1832="","",IF(ISNA(MATCH($B1832,账户名,0)),"※这个账户不在【参数设置】的账户档案里",IF($A1832="","※没填日期，这一笔不会进任何月份的报表",IF(AND($G1832&lt;&gt;"",$H1832&lt;&gt;""),"※收入和支出不能同时填",IF(AND(N($G1832)=0,N($H1832)=0),"※收入和支出都没填",IF($E1832="","※没填收支类别，分类报表会漏掉这一笔",IF(ISNA(MATCH($E1832,类别表,0)),"※收支类别不在【参数设置】的清单里",IF($J1832="","△"&amp;$D1832&amp;" 还没填汇率，去【月度汇率】补上就自动算了",IF(YEAR($A1832)&lt;&gt;管理年度,"△不是管理年度的单据，年报里看不到",IF(AND($F1832="内部转账",$Q1832=""),"△内部转账建议在「往来单位」写上对方账户",IF($M1832&lt;0,"△这一笔之后该账户余额成负数了，核一下","")))))))))))</f>
        <v/>
      </c>
    </row>
    <row r="1833" ht="16.5" spans="1:19">
      <c r="A1833" s="45"/>
      <c r="B1833" s="46"/>
      <c r="C1833" s="12" t="str">
        <f>IF($B1833="","",IFERROR(INDEX(账户银行,MATCH($B1833,账户名,0)),""))</f>
        <v/>
      </c>
      <c r="D1833" s="12" t="str">
        <f>IF($B1833="","",IFERROR(INDEX(账户币种,MATCH($B1833,账户名,0)),""))</f>
        <v/>
      </c>
      <c r="E1833" s="47"/>
      <c r="F1833" s="12" t="str">
        <f>IF($E1833="","",IFERROR(INDEX(类别属性,MATCH($E1833,类别表,0)),""))</f>
        <v/>
      </c>
      <c r="G1833" s="48"/>
      <c r="H1833" s="48"/>
      <c r="I1833" s="49"/>
      <c r="J1833" s="24" t="str">
        <f>IF(OR($A1833="",$B1833=""),"",IF($I1833&lt;&gt;"",$I1833,IF($D1833=本位币,1,IFERROR(LOOKUP(2,1/((汇率月份&lt;=$A1833)*(INDEX(记账汇率区,0,MATCH($D1833,汇率币种头,0))&lt;&gt;"")),INDEX(记账汇率区,0,MATCH($D1833,汇率币种头,0))),""))))</f>
        <v/>
      </c>
      <c r="K1833" s="23" t="str">
        <f t="shared" si="56"/>
        <v/>
      </c>
      <c r="L1833" s="23" t="str">
        <f t="shared" si="57"/>
        <v/>
      </c>
      <c r="M1833" s="23" t="str">
        <f>IF($B1833="","",ROUND(SUMIF(账户名,$B1833,账户期初)+SUMIFS($K$6:K1833,$B$6:B1833,$B1833),2))</f>
        <v/>
      </c>
      <c r="N1833" s="23" t="str">
        <f>IF($B1833="","",IFERROR(ROUND(INDEX(账户期初本位,MATCH($B1833,账户名,0))+SUMIFS($L$6:L1833,$B$6:B1833,$B1833),2),""))</f>
        <v/>
      </c>
      <c r="O1833" s="46"/>
      <c r="P1833" s="47"/>
      <c r="Q1833" s="46"/>
      <c r="R1833" s="46"/>
      <c r="S1833" s="6" t="str">
        <f>IF($B1833="","",IF(ISNA(MATCH($B1833,账户名,0)),"※这个账户不在【参数设置】的账户档案里",IF($A1833="","※没填日期，这一笔不会进任何月份的报表",IF(AND($G1833&lt;&gt;"",$H1833&lt;&gt;""),"※收入和支出不能同时填",IF(AND(N($G1833)=0,N($H1833)=0),"※收入和支出都没填",IF($E1833="","※没填收支类别，分类报表会漏掉这一笔",IF(ISNA(MATCH($E1833,类别表,0)),"※收支类别不在【参数设置】的清单里",IF($J1833="","△"&amp;$D1833&amp;" 还没填汇率，去【月度汇率】补上就自动算了",IF(YEAR($A1833)&lt;&gt;管理年度,"△不是管理年度的单据，年报里看不到",IF(AND($F1833="内部转账",$Q1833=""),"△内部转账建议在「往来单位」写上对方账户",IF($M1833&lt;0,"△这一笔之后该账户余额成负数了，核一下","")))))))))))</f>
        <v/>
      </c>
    </row>
    <row r="1834" ht="16.5" spans="1:19">
      <c r="A1834" s="45"/>
      <c r="B1834" s="46"/>
      <c r="C1834" s="12" t="str">
        <f>IF($B1834="","",IFERROR(INDEX(账户银行,MATCH($B1834,账户名,0)),""))</f>
        <v/>
      </c>
      <c r="D1834" s="12" t="str">
        <f>IF($B1834="","",IFERROR(INDEX(账户币种,MATCH($B1834,账户名,0)),""))</f>
        <v/>
      </c>
      <c r="E1834" s="47"/>
      <c r="F1834" s="12" t="str">
        <f>IF($E1834="","",IFERROR(INDEX(类别属性,MATCH($E1834,类别表,0)),""))</f>
        <v/>
      </c>
      <c r="G1834" s="48"/>
      <c r="H1834" s="48"/>
      <c r="I1834" s="49"/>
      <c r="J1834" s="24" t="str">
        <f>IF(OR($A1834="",$B1834=""),"",IF($I1834&lt;&gt;"",$I1834,IF($D1834=本位币,1,IFERROR(LOOKUP(2,1/((汇率月份&lt;=$A1834)*(INDEX(记账汇率区,0,MATCH($D1834,汇率币种头,0))&lt;&gt;"")),INDEX(记账汇率区,0,MATCH($D1834,汇率币种头,0))),""))))</f>
        <v/>
      </c>
      <c r="K1834" s="23" t="str">
        <f t="shared" si="56"/>
        <v/>
      </c>
      <c r="L1834" s="23" t="str">
        <f t="shared" si="57"/>
        <v/>
      </c>
      <c r="M1834" s="23" t="str">
        <f>IF($B1834="","",ROUND(SUMIF(账户名,$B1834,账户期初)+SUMIFS($K$6:K1834,$B$6:B1834,$B1834),2))</f>
        <v/>
      </c>
      <c r="N1834" s="23" t="str">
        <f>IF($B1834="","",IFERROR(ROUND(INDEX(账户期初本位,MATCH($B1834,账户名,0))+SUMIFS($L$6:L1834,$B$6:B1834,$B1834),2),""))</f>
        <v/>
      </c>
      <c r="O1834" s="46"/>
      <c r="P1834" s="47"/>
      <c r="Q1834" s="46"/>
      <c r="R1834" s="46"/>
      <c r="S1834" s="6" t="str">
        <f>IF($B1834="","",IF(ISNA(MATCH($B1834,账户名,0)),"※这个账户不在【参数设置】的账户档案里",IF($A1834="","※没填日期，这一笔不会进任何月份的报表",IF(AND($G1834&lt;&gt;"",$H1834&lt;&gt;""),"※收入和支出不能同时填",IF(AND(N($G1834)=0,N($H1834)=0),"※收入和支出都没填",IF($E1834="","※没填收支类别，分类报表会漏掉这一笔",IF(ISNA(MATCH($E1834,类别表,0)),"※收支类别不在【参数设置】的清单里",IF($J1834="","△"&amp;$D1834&amp;" 还没填汇率，去【月度汇率】补上就自动算了",IF(YEAR($A1834)&lt;&gt;管理年度,"△不是管理年度的单据，年报里看不到",IF(AND($F1834="内部转账",$Q1834=""),"△内部转账建议在「往来单位」写上对方账户",IF($M1834&lt;0,"△这一笔之后该账户余额成负数了，核一下","")))))))))))</f>
        <v/>
      </c>
    </row>
    <row r="1835" ht="16.5" spans="1:19">
      <c r="A1835" s="45"/>
      <c r="B1835" s="46"/>
      <c r="C1835" s="12" t="str">
        <f>IF($B1835="","",IFERROR(INDEX(账户银行,MATCH($B1835,账户名,0)),""))</f>
        <v/>
      </c>
      <c r="D1835" s="12" t="str">
        <f>IF($B1835="","",IFERROR(INDEX(账户币种,MATCH($B1835,账户名,0)),""))</f>
        <v/>
      </c>
      <c r="E1835" s="47"/>
      <c r="F1835" s="12" t="str">
        <f>IF($E1835="","",IFERROR(INDEX(类别属性,MATCH($E1835,类别表,0)),""))</f>
        <v/>
      </c>
      <c r="G1835" s="48"/>
      <c r="H1835" s="48"/>
      <c r="I1835" s="49"/>
      <c r="J1835" s="24" t="str">
        <f>IF(OR($A1835="",$B1835=""),"",IF($I1835&lt;&gt;"",$I1835,IF($D1835=本位币,1,IFERROR(LOOKUP(2,1/((汇率月份&lt;=$A1835)*(INDEX(记账汇率区,0,MATCH($D1835,汇率币种头,0))&lt;&gt;"")),INDEX(记账汇率区,0,MATCH($D1835,汇率币种头,0))),""))))</f>
        <v/>
      </c>
      <c r="K1835" s="23" t="str">
        <f t="shared" si="56"/>
        <v/>
      </c>
      <c r="L1835" s="23" t="str">
        <f t="shared" si="57"/>
        <v/>
      </c>
      <c r="M1835" s="23" t="str">
        <f>IF($B1835="","",ROUND(SUMIF(账户名,$B1835,账户期初)+SUMIFS($K$6:K1835,$B$6:B1835,$B1835),2))</f>
        <v/>
      </c>
      <c r="N1835" s="23" t="str">
        <f>IF($B1835="","",IFERROR(ROUND(INDEX(账户期初本位,MATCH($B1835,账户名,0))+SUMIFS($L$6:L1835,$B$6:B1835,$B1835),2),""))</f>
        <v/>
      </c>
      <c r="O1835" s="46"/>
      <c r="P1835" s="47"/>
      <c r="Q1835" s="46"/>
      <c r="R1835" s="46"/>
      <c r="S1835" s="6" t="str">
        <f>IF($B1835="","",IF(ISNA(MATCH($B1835,账户名,0)),"※这个账户不在【参数设置】的账户档案里",IF($A1835="","※没填日期，这一笔不会进任何月份的报表",IF(AND($G1835&lt;&gt;"",$H1835&lt;&gt;""),"※收入和支出不能同时填",IF(AND(N($G1835)=0,N($H1835)=0),"※收入和支出都没填",IF($E1835="","※没填收支类别，分类报表会漏掉这一笔",IF(ISNA(MATCH($E1835,类别表,0)),"※收支类别不在【参数设置】的清单里",IF($J1835="","△"&amp;$D1835&amp;" 还没填汇率，去【月度汇率】补上就自动算了",IF(YEAR($A1835)&lt;&gt;管理年度,"△不是管理年度的单据，年报里看不到",IF(AND($F1835="内部转账",$Q1835=""),"△内部转账建议在「往来单位」写上对方账户",IF($M1835&lt;0,"△这一笔之后该账户余额成负数了，核一下","")))))))))))</f>
        <v/>
      </c>
    </row>
    <row r="1836" ht="16.5" spans="1:19">
      <c r="A1836" s="45"/>
      <c r="B1836" s="46"/>
      <c r="C1836" s="12" t="str">
        <f>IF($B1836="","",IFERROR(INDEX(账户银行,MATCH($B1836,账户名,0)),""))</f>
        <v/>
      </c>
      <c r="D1836" s="12" t="str">
        <f>IF($B1836="","",IFERROR(INDEX(账户币种,MATCH($B1836,账户名,0)),""))</f>
        <v/>
      </c>
      <c r="E1836" s="47"/>
      <c r="F1836" s="12" t="str">
        <f>IF($E1836="","",IFERROR(INDEX(类别属性,MATCH($E1836,类别表,0)),""))</f>
        <v/>
      </c>
      <c r="G1836" s="48"/>
      <c r="H1836" s="48"/>
      <c r="I1836" s="49"/>
      <c r="J1836" s="24" t="str">
        <f>IF(OR($A1836="",$B1836=""),"",IF($I1836&lt;&gt;"",$I1836,IF($D1836=本位币,1,IFERROR(LOOKUP(2,1/((汇率月份&lt;=$A1836)*(INDEX(记账汇率区,0,MATCH($D1836,汇率币种头,0))&lt;&gt;"")),INDEX(记账汇率区,0,MATCH($D1836,汇率币种头,0))),""))))</f>
        <v/>
      </c>
      <c r="K1836" s="23" t="str">
        <f t="shared" si="56"/>
        <v/>
      </c>
      <c r="L1836" s="23" t="str">
        <f t="shared" si="57"/>
        <v/>
      </c>
      <c r="M1836" s="23" t="str">
        <f>IF($B1836="","",ROUND(SUMIF(账户名,$B1836,账户期初)+SUMIFS($K$6:K1836,$B$6:B1836,$B1836),2))</f>
        <v/>
      </c>
      <c r="N1836" s="23" t="str">
        <f>IF($B1836="","",IFERROR(ROUND(INDEX(账户期初本位,MATCH($B1836,账户名,0))+SUMIFS($L$6:L1836,$B$6:B1836,$B1836),2),""))</f>
        <v/>
      </c>
      <c r="O1836" s="46"/>
      <c r="P1836" s="47"/>
      <c r="Q1836" s="46"/>
      <c r="R1836" s="46"/>
      <c r="S1836" s="6" t="str">
        <f>IF($B1836="","",IF(ISNA(MATCH($B1836,账户名,0)),"※这个账户不在【参数设置】的账户档案里",IF($A1836="","※没填日期，这一笔不会进任何月份的报表",IF(AND($G1836&lt;&gt;"",$H1836&lt;&gt;""),"※收入和支出不能同时填",IF(AND(N($G1836)=0,N($H1836)=0),"※收入和支出都没填",IF($E1836="","※没填收支类别，分类报表会漏掉这一笔",IF(ISNA(MATCH($E1836,类别表,0)),"※收支类别不在【参数设置】的清单里",IF($J1836="","△"&amp;$D1836&amp;" 还没填汇率，去【月度汇率】补上就自动算了",IF(YEAR($A1836)&lt;&gt;管理年度,"△不是管理年度的单据，年报里看不到",IF(AND($F1836="内部转账",$Q1836=""),"△内部转账建议在「往来单位」写上对方账户",IF($M1836&lt;0,"△这一笔之后该账户余额成负数了，核一下","")))))))))))</f>
        <v/>
      </c>
    </row>
    <row r="1837" ht="16.5" spans="1:19">
      <c r="A1837" s="45"/>
      <c r="B1837" s="46"/>
      <c r="C1837" s="12" t="str">
        <f>IF($B1837="","",IFERROR(INDEX(账户银行,MATCH($B1837,账户名,0)),""))</f>
        <v/>
      </c>
      <c r="D1837" s="12" t="str">
        <f>IF($B1837="","",IFERROR(INDEX(账户币种,MATCH($B1837,账户名,0)),""))</f>
        <v/>
      </c>
      <c r="E1837" s="47"/>
      <c r="F1837" s="12" t="str">
        <f>IF($E1837="","",IFERROR(INDEX(类别属性,MATCH($E1837,类别表,0)),""))</f>
        <v/>
      </c>
      <c r="G1837" s="48"/>
      <c r="H1837" s="48"/>
      <c r="I1837" s="49"/>
      <c r="J1837" s="24" t="str">
        <f>IF(OR($A1837="",$B1837=""),"",IF($I1837&lt;&gt;"",$I1837,IF($D1837=本位币,1,IFERROR(LOOKUP(2,1/((汇率月份&lt;=$A1837)*(INDEX(记账汇率区,0,MATCH($D1837,汇率币种头,0))&lt;&gt;"")),INDEX(记账汇率区,0,MATCH($D1837,汇率币种头,0))),""))))</f>
        <v/>
      </c>
      <c r="K1837" s="23" t="str">
        <f t="shared" si="56"/>
        <v/>
      </c>
      <c r="L1837" s="23" t="str">
        <f t="shared" si="57"/>
        <v/>
      </c>
      <c r="M1837" s="23" t="str">
        <f>IF($B1837="","",ROUND(SUMIF(账户名,$B1837,账户期初)+SUMIFS($K$6:K1837,$B$6:B1837,$B1837),2))</f>
        <v/>
      </c>
      <c r="N1837" s="23" t="str">
        <f>IF($B1837="","",IFERROR(ROUND(INDEX(账户期初本位,MATCH($B1837,账户名,0))+SUMIFS($L$6:L1837,$B$6:B1837,$B1837),2),""))</f>
        <v/>
      </c>
      <c r="O1837" s="46"/>
      <c r="P1837" s="47"/>
      <c r="Q1837" s="46"/>
      <c r="R1837" s="46"/>
      <c r="S1837" s="6" t="str">
        <f>IF($B1837="","",IF(ISNA(MATCH($B1837,账户名,0)),"※这个账户不在【参数设置】的账户档案里",IF($A1837="","※没填日期，这一笔不会进任何月份的报表",IF(AND($G1837&lt;&gt;"",$H1837&lt;&gt;""),"※收入和支出不能同时填",IF(AND(N($G1837)=0,N($H1837)=0),"※收入和支出都没填",IF($E1837="","※没填收支类别，分类报表会漏掉这一笔",IF(ISNA(MATCH($E1837,类别表,0)),"※收支类别不在【参数设置】的清单里",IF($J1837="","△"&amp;$D1837&amp;" 还没填汇率，去【月度汇率】补上就自动算了",IF(YEAR($A1837)&lt;&gt;管理年度,"△不是管理年度的单据，年报里看不到",IF(AND($F1837="内部转账",$Q1837=""),"△内部转账建议在「往来单位」写上对方账户",IF($M1837&lt;0,"△这一笔之后该账户余额成负数了，核一下","")))))))))))</f>
        <v/>
      </c>
    </row>
    <row r="1838" ht="16.5" spans="1:19">
      <c r="A1838" s="45"/>
      <c r="B1838" s="46"/>
      <c r="C1838" s="12" t="str">
        <f>IF($B1838="","",IFERROR(INDEX(账户银行,MATCH($B1838,账户名,0)),""))</f>
        <v/>
      </c>
      <c r="D1838" s="12" t="str">
        <f>IF($B1838="","",IFERROR(INDEX(账户币种,MATCH($B1838,账户名,0)),""))</f>
        <v/>
      </c>
      <c r="E1838" s="47"/>
      <c r="F1838" s="12" t="str">
        <f>IF($E1838="","",IFERROR(INDEX(类别属性,MATCH($E1838,类别表,0)),""))</f>
        <v/>
      </c>
      <c r="G1838" s="48"/>
      <c r="H1838" s="48"/>
      <c r="I1838" s="49"/>
      <c r="J1838" s="24" t="str">
        <f>IF(OR($A1838="",$B1838=""),"",IF($I1838&lt;&gt;"",$I1838,IF($D1838=本位币,1,IFERROR(LOOKUP(2,1/((汇率月份&lt;=$A1838)*(INDEX(记账汇率区,0,MATCH($D1838,汇率币种头,0))&lt;&gt;"")),INDEX(记账汇率区,0,MATCH($D1838,汇率币种头,0))),""))))</f>
        <v/>
      </c>
      <c r="K1838" s="23" t="str">
        <f t="shared" si="56"/>
        <v/>
      </c>
      <c r="L1838" s="23" t="str">
        <f t="shared" si="57"/>
        <v/>
      </c>
      <c r="M1838" s="23" t="str">
        <f>IF($B1838="","",ROUND(SUMIF(账户名,$B1838,账户期初)+SUMIFS($K$6:K1838,$B$6:B1838,$B1838),2))</f>
        <v/>
      </c>
      <c r="N1838" s="23" t="str">
        <f>IF($B1838="","",IFERROR(ROUND(INDEX(账户期初本位,MATCH($B1838,账户名,0))+SUMIFS($L$6:L1838,$B$6:B1838,$B1838),2),""))</f>
        <v/>
      </c>
      <c r="O1838" s="46"/>
      <c r="P1838" s="47"/>
      <c r="Q1838" s="46"/>
      <c r="R1838" s="46"/>
      <c r="S1838" s="6" t="str">
        <f>IF($B1838="","",IF(ISNA(MATCH($B1838,账户名,0)),"※这个账户不在【参数设置】的账户档案里",IF($A1838="","※没填日期，这一笔不会进任何月份的报表",IF(AND($G1838&lt;&gt;"",$H1838&lt;&gt;""),"※收入和支出不能同时填",IF(AND(N($G1838)=0,N($H1838)=0),"※收入和支出都没填",IF($E1838="","※没填收支类别，分类报表会漏掉这一笔",IF(ISNA(MATCH($E1838,类别表,0)),"※收支类别不在【参数设置】的清单里",IF($J1838="","△"&amp;$D1838&amp;" 还没填汇率，去【月度汇率】补上就自动算了",IF(YEAR($A1838)&lt;&gt;管理年度,"△不是管理年度的单据，年报里看不到",IF(AND($F1838="内部转账",$Q1838=""),"△内部转账建议在「往来单位」写上对方账户",IF($M1838&lt;0,"△这一笔之后该账户余额成负数了，核一下","")))))))))))</f>
        <v/>
      </c>
    </row>
    <row r="1839" ht="16.5" spans="1:19">
      <c r="A1839" s="45"/>
      <c r="B1839" s="46"/>
      <c r="C1839" s="12" t="str">
        <f>IF($B1839="","",IFERROR(INDEX(账户银行,MATCH($B1839,账户名,0)),""))</f>
        <v/>
      </c>
      <c r="D1839" s="12" t="str">
        <f>IF($B1839="","",IFERROR(INDEX(账户币种,MATCH($B1839,账户名,0)),""))</f>
        <v/>
      </c>
      <c r="E1839" s="47"/>
      <c r="F1839" s="12" t="str">
        <f>IF($E1839="","",IFERROR(INDEX(类别属性,MATCH($E1839,类别表,0)),""))</f>
        <v/>
      </c>
      <c r="G1839" s="48"/>
      <c r="H1839" s="48"/>
      <c r="I1839" s="49"/>
      <c r="J1839" s="24" t="str">
        <f>IF(OR($A1839="",$B1839=""),"",IF($I1839&lt;&gt;"",$I1839,IF($D1839=本位币,1,IFERROR(LOOKUP(2,1/((汇率月份&lt;=$A1839)*(INDEX(记账汇率区,0,MATCH($D1839,汇率币种头,0))&lt;&gt;"")),INDEX(记账汇率区,0,MATCH($D1839,汇率币种头,0))),""))))</f>
        <v/>
      </c>
      <c r="K1839" s="23" t="str">
        <f t="shared" si="56"/>
        <v/>
      </c>
      <c r="L1839" s="23" t="str">
        <f t="shared" si="57"/>
        <v/>
      </c>
      <c r="M1839" s="23" t="str">
        <f>IF($B1839="","",ROUND(SUMIF(账户名,$B1839,账户期初)+SUMIFS($K$6:K1839,$B$6:B1839,$B1839),2))</f>
        <v/>
      </c>
      <c r="N1839" s="23" t="str">
        <f>IF($B1839="","",IFERROR(ROUND(INDEX(账户期初本位,MATCH($B1839,账户名,0))+SUMIFS($L$6:L1839,$B$6:B1839,$B1839),2),""))</f>
        <v/>
      </c>
      <c r="O1839" s="46"/>
      <c r="P1839" s="47"/>
      <c r="Q1839" s="46"/>
      <c r="R1839" s="46"/>
      <c r="S1839" s="6" t="str">
        <f>IF($B1839="","",IF(ISNA(MATCH($B1839,账户名,0)),"※这个账户不在【参数设置】的账户档案里",IF($A1839="","※没填日期，这一笔不会进任何月份的报表",IF(AND($G1839&lt;&gt;"",$H1839&lt;&gt;""),"※收入和支出不能同时填",IF(AND(N($G1839)=0,N($H1839)=0),"※收入和支出都没填",IF($E1839="","※没填收支类别，分类报表会漏掉这一笔",IF(ISNA(MATCH($E1839,类别表,0)),"※收支类别不在【参数设置】的清单里",IF($J1839="","△"&amp;$D1839&amp;" 还没填汇率，去【月度汇率】补上就自动算了",IF(YEAR($A1839)&lt;&gt;管理年度,"△不是管理年度的单据，年报里看不到",IF(AND($F1839="内部转账",$Q1839=""),"△内部转账建议在「往来单位」写上对方账户",IF($M1839&lt;0,"△这一笔之后该账户余额成负数了，核一下","")))))))))))</f>
        <v/>
      </c>
    </row>
    <row r="1840" ht="16.5" spans="1:19">
      <c r="A1840" s="45"/>
      <c r="B1840" s="46"/>
      <c r="C1840" s="12" t="str">
        <f>IF($B1840="","",IFERROR(INDEX(账户银行,MATCH($B1840,账户名,0)),""))</f>
        <v/>
      </c>
      <c r="D1840" s="12" t="str">
        <f>IF($B1840="","",IFERROR(INDEX(账户币种,MATCH($B1840,账户名,0)),""))</f>
        <v/>
      </c>
      <c r="E1840" s="47"/>
      <c r="F1840" s="12" t="str">
        <f>IF($E1840="","",IFERROR(INDEX(类别属性,MATCH($E1840,类别表,0)),""))</f>
        <v/>
      </c>
      <c r="G1840" s="48"/>
      <c r="H1840" s="48"/>
      <c r="I1840" s="49"/>
      <c r="J1840" s="24" t="str">
        <f>IF(OR($A1840="",$B1840=""),"",IF($I1840&lt;&gt;"",$I1840,IF($D1840=本位币,1,IFERROR(LOOKUP(2,1/((汇率月份&lt;=$A1840)*(INDEX(记账汇率区,0,MATCH($D1840,汇率币种头,0))&lt;&gt;"")),INDEX(记账汇率区,0,MATCH($D1840,汇率币种头,0))),""))))</f>
        <v/>
      </c>
      <c r="K1840" s="23" t="str">
        <f t="shared" si="56"/>
        <v/>
      </c>
      <c r="L1840" s="23" t="str">
        <f t="shared" si="57"/>
        <v/>
      </c>
      <c r="M1840" s="23" t="str">
        <f>IF($B1840="","",ROUND(SUMIF(账户名,$B1840,账户期初)+SUMIFS($K$6:K1840,$B$6:B1840,$B1840),2))</f>
        <v/>
      </c>
      <c r="N1840" s="23" t="str">
        <f>IF($B1840="","",IFERROR(ROUND(INDEX(账户期初本位,MATCH($B1840,账户名,0))+SUMIFS($L$6:L1840,$B$6:B1840,$B1840),2),""))</f>
        <v/>
      </c>
      <c r="O1840" s="46"/>
      <c r="P1840" s="47"/>
      <c r="Q1840" s="46"/>
      <c r="R1840" s="46"/>
      <c r="S1840" s="6" t="str">
        <f>IF($B1840="","",IF(ISNA(MATCH($B1840,账户名,0)),"※这个账户不在【参数设置】的账户档案里",IF($A1840="","※没填日期，这一笔不会进任何月份的报表",IF(AND($G1840&lt;&gt;"",$H1840&lt;&gt;""),"※收入和支出不能同时填",IF(AND(N($G1840)=0,N($H1840)=0),"※收入和支出都没填",IF($E1840="","※没填收支类别，分类报表会漏掉这一笔",IF(ISNA(MATCH($E1840,类别表,0)),"※收支类别不在【参数设置】的清单里",IF($J1840="","△"&amp;$D1840&amp;" 还没填汇率，去【月度汇率】补上就自动算了",IF(YEAR($A1840)&lt;&gt;管理年度,"△不是管理年度的单据，年报里看不到",IF(AND($F1840="内部转账",$Q1840=""),"△内部转账建议在「往来单位」写上对方账户",IF($M1840&lt;0,"△这一笔之后该账户余额成负数了，核一下","")))))))))))</f>
        <v/>
      </c>
    </row>
    <row r="1841" ht="16.5" spans="1:19">
      <c r="A1841" s="45"/>
      <c r="B1841" s="46"/>
      <c r="C1841" s="12" t="str">
        <f>IF($B1841="","",IFERROR(INDEX(账户银行,MATCH($B1841,账户名,0)),""))</f>
        <v/>
      </c>
      <c r="D1841" s="12" t="str">
        <f>IF($B1841="","",IFERROR(INDEX(账户币种,MATCH($B1841,账户名,0)),""))</f>
        <v/>
      </c>
      <c r="E1841" s="47"/>
      <c r="F1841" s="12" t="str">
        <f>IF($E1841="","",IFERROR(INDEX(类别属性,MATCH($E1841,类别表,0)),""))</f>
        <v/>
      </c>
      <c r="G1841" s="48"/>
      <c r="H1841" s="48"/>
      <c r="I1841" s="49"/>
      <c r="J1841" s="24" t="str">
        <f>IF(OR($A1841="",$B1841=""),"",IF($I1841&lt;&gt;"",$I1841,IF($D1841=本位币,1,IFERROR(LOOKUP(2,1/((汇率月份&lt;=$A1841)*(INDEX(记账汇率区,0,MATCH($D1841,汇率币种头,0))&lt;&gt;"")),INDEX(记账汇率区,0,MATCH($D1841,汇率币种头,0))),""))))</f>
        <v/>
      </c>
      <c r="K1841" s="23" t="str">
        <f t="shared" si="56"/>
        <v/>
      </c>
      <c r="L1841" s="23" t="str">
        <f t="shared" si="57"/>
        <v/>
      </c>
      <c r="M1841" s="23" t="str">
        <f>IF($B1841="","",ROUND(SUMIF(账户名,$B1841,账户期初)+SUMIFS($K$6:K1841,$B$6:B1841,$B1841),2))</f>
        <v/>
      </c>
      <c r="N1841" s="23" t="str">
        <f>IF($B1841="","",IFERROR(ROUND(INDEX(账户期初本位,MATCH($B1841,账户名,0))+SUMIFS($L$6:L1841,$B$6:B1841,$B1841),2),""))</f>
        <v/>
      </c>
      <c r="O1841" s="46"/>
      <c r="P1841" s="47"/>
      <c r="Q1841" s="46"/>
      <c r="R1841" s="46"/>
      <c r="S1841" s="6" t="str">
        <f>IF($B1841="","",IF(ISNA(MATCH($B1841,账户名,0)),"※这个账户不在【参数设置】的账户档案里",IF($A1841="","※没填日期，这一笔不会进任何月份的报表",IF(AND($G1841&lt;&gt;"",$H1841&lt;&gt;""),"※收入和支出不能同时填",IF(AND(N($G1841)=0,N($H1841)=0),"※收入和支出都没填",IF($E1841="","※没填收支类别，分类报表会漏掉这一笔",IF(ISNA(MATCH($E1841,类别表,0)),"※收支类别不在【参数设置】的清单里",IF($J1841="","△"&amp;$D1841&amp;" 还没填汇率，去【月度汇率】补上就自动算了",IF(YEAR($A1841)&lt;&gt;管理年度,"△不是管理年度的单据，年报里看不到",IF(AND($F1841="内部转账",$Q1841=""),"△内部转账建议在「往来单位」写上对方账户",IF($M1841&lt;0,"△这一笔之后该账户余额成负数了，核一下","")))))))))))</f>
        <v/>
      </c>
    </row>
    <row r="1842" ht="16.5" spans="1:19">
      <c r="A1842" s="45"/>
      <c r="B1842" s="46"/>
      <c r="C1842" s="12" t="str">
        <f>IF($B1842="","",IFERROR(INDEX(账户银行,MATCH($B1842,账户名,0)),""))</f>
        <v/>
      </c>
      <c r="D1842" s="12" t="str">
        <f>IF($B1842="","",IFERROR(INDEX(账户币种,MATCH($B1842,账户名,0)),""))</f>
        <v/>
      </c>
      <c r="E1842" s="47"/>
      <c r="F1842" s="12" t="str">
        <f>IF($E1842="","",IFERROR(INDEX(类别属性,MATCH($E1842,类别表,0)),""))</f>
        <v/>
      </c>
      <c r="G1842" s="48"/>
      <c r="H1842" s="48"/>
      <c r="I1842" s="49"/>
      <c r="J1842" s="24" t="str">
        <f>IF(OR($A1842="",$B1842=""),"",IF($I1842&lt;&gt;"",$I1842,IF($D1842=本位币,1,IFERROR(LOOKUP(2,1/((汇率月份&lt;=$A1842)*(INDEX(记账汇率区,0,MATCH($D1842,汇率币种头,0))&lt;&gt;"")),INDEX(记账汇率区,0,MATCH($D1842,汇率币种头,0))),""))))</f>
        <v/>
      </c>
      <c r="K1842" s="23" t="str">
        <f t="shared" si="56"/>
        <v/>
      </c>
      <c r="L1842" s="23" t="str">
        <f t="shared" si="57"/>
        <v/>
      </c>
      <c r="M1842" s="23" t="str">
        <f>IF($B1842="","",ROUND(SUMIF(账户名,$B1842,账户期初)+SUMIFS($K$6:K1842,$B$6:B1842,$B1842),2))</f>
        <v/>
      </c>
      <c r="N1842" s="23" t="str">
        <f>IF($B1842="","",IFERROR(ROUND(INDEX(账户期初本位,MATCH($B1842,账户名,0))+SUMIFS($L$6:L1842,$B$6:B1842,$B1842),2),""))</f>
        <v/>
      </c>
      <c r="O1842" s="46"/>
      <c r="P1842" s="47"/>
      <c r="Q1842" s="46"/>
      <c r="R1842" s="46"/>
      <c r="S1842" s="6" t="str">
        <f>IF($B1842="","",IF(ISNA(MATCH($B1842,账户名,0)),"※这个账户不在【参数设置】的账户档案里",IF($A1842="","※没填日期，这一笔不会进任何月份的报表",IF(AND($G1842&lt;&gt;"",$H1842&lt;&gt;""),"※收入和支出不能同时填",IF(AND(N($G1842)=0,N($H1842)=0),"※收入和支出都没填",IF($E1842="","※没填收支类别，分类报表会漏掉这一笔",IF(ISNA(MATCH($E1842,类别表,0)),"※收支类别不在【参数设置】的清单里",IF($J1842="","△"&amp;$D1842&amp;" 还没填汇率，去【月度汇率】补上就自动算了",IF(YEAR($A1842)&lt;&gt;管理年度,"△不是管理年度的单据，年报里看不到",IF(AND($F1842="内部转账",$Q1842=""),"△内部转账建议在「往来单位」写上对方账户",IF($M1842&lt;0,"△这一笔之后该账户余额成负数了，核一下","")))))))))))</f>
        <v/>
      </c>
    </row>
    <row r="1843" ht="16.5" spans="1:19">
      <c r="A1843" s="45"/>
      <c r="B1843" s="46"/>
      <c r="C1843" s="12" t="str">
        <f>IF($B1843="","",IFERROR(INDEX(账户银行,MATCH($B1843,账户名,0)),""))</f>
        <v/>
      </c>
      <c r="D1843" s="12" t="str">
        <f>IF($B1843="","",IFERROR(INDEX(账户币种,MATCH($B1843,账户名,0)),""))</f>
        <v/>
      </c>
      <c r="E1843" s="47"/>
      <c r="F1843" s="12" t="str">
        <f>IF($E1843="","",IFERROR(INDEX(类别属性,MATCH($E1843,类别表,0)),""))</f>
        <v/>
      </c>
      <c r="G1843" s="48"/>
      <c r="H1843" s="48"/>
      <c r="I1843" s="49"/>
      <c r="J1843" s="24" t="str">
        <f>IF(OR($A1843="",$B1843=""),"",IF($I1843&lt;&gt;"",$I1843,IF($D1843=本位币,1,IFERROR(LOOKUP(2,1/((汇率月份&lt;=$A1843)*(INDEX(记账汇率区,0,MATCH($D1843,汇率币种头,0))&lt;&gt;"")),INDEX(记账汇率区,0,MATCH($D1843,汇率币种头,0))),""))))</f>
        <v/>
      </c>
      <c r="K1843" s="23" t="str">
        <f t="shared" si="56"/>
        <v/>
      </c>
      <c r="L1843" s="23" t="str">
        <f t="shared" si="57"/>
        <v/>
      </c>
      <c r="M1843" s="23" t="str">
        <f>IF($B1843="","",ROUND(SUMIF(账户名,$B1843,账户期初)+SUMIFS($K$6:K1843,$B$6:B1843,$B1843),2))</f>
        <v/>
      </c>
      <c r="N1843" s="23" t="str">
        <f>IF($B1843="","",IFERROR(ROUND(INDEX(账户期初本位,MATCH($B1843,账户名,0))+SUMIFS($L$6:L1843,$B$6:B1843,$B1843),2),""))</f>
        <v/>
      </c>
      <c r="O1843" s="46"/>
      <c r="P1843" s="47"/>
      <c r="Q1843" s="46"/>
      <c r="R1843" s="46"/>
      <c r="S1843" s="6" t="str">
        <f>IF($B1843="","",IF(ISNA(MATCH($B1843,账户名,0)),"※这个账户不在【参数设置】的账户档案里",IF($A1843="","※没填日期，这一笔不会进任何月份的报表",IF(AND($G1843&lt;&gt;"",$H1843&lt;&gt;""),"※收入和支出不能同时填",IF(AND(N($G1843)=0,N($H1843)=0),"※收入和支出都没填",IF($E1843="","※没填收支类别，分类报表会漏掉这一笔",IF(ISNA(MATCH($E1843,类别表,0)),"※收支类别不在【参数设置】的清单里",IF($J1843="","△"&amp;$D1843&amp;" 还没填汇率，去【月度汇率】补上就自动算了",IF(YEAR($A1843)&lt;&gt;管理年度,"△不是管理年度的单据，年报里看不到",IF(AND($F1843="内部转账",$Q1843=""),"△内部转账建议在「往来单位」写上对方账户",IF($M1843&lt;0,"△这一笔之后该账户余额成负数了，核一下","")))))))))))</f>
        <v/>
      </c>
    </row>
    <row r="1844" ht="16.5" spans="1:19">
      <c r="A1844" s="45"/>
      <c r="B1844" s="46"/>
      <c r="C1844" s="12" t="str">
        <f>IF($B1844="","",IFERROR(INDEX(账户银行,MATCH($B1844,账户名,0)),""))</f>
        <v/>
      </c>
      <c r="D1844" s="12" t="str">
        <f>IF($B1844="","",IFERROR(INDEX(账户币种,MATCH($B1844,账户名,0)),""))</f>
        <v/>
      </c>
      <c r="E1844" s="47"/>
      <c r="F1844" s="12" t="str">
        <f>IF($E1844="","",IFERROR(INDEX(类别属性,MATCH($E1844,类别表,0)),""))</f>
        <v/>
      </c>
      <c r="G1844" s="48"/>
      <c r="H1844" s="48"/>
      <c r="I1844" s="49"/>
      <c r="J1844" s="24" t="str">
        <f>IF(OR($A1844="",$B1844=""),"",IF($I1844&lt;&gt;"",$I1844,IF($D1844=本位币,1,IFERROR(LOOKUP(2,1/((汇率月份&lt;=$A1844)*(INDEX(记账汇率区,0,MATCH($D1844,汇率币种头,0))&lt;&gt;"")),INDEX(记账汇率区,0,MATCH($D1844,汇率币种头,0))),""))))</f>
        <v/>
      </c>
      <c r="K1844" s="23" t="str">
        <f t="shared" si="56"/>
        <v/>
      </c>
      <c r="L1844" s="23" t="str">
        <f t="shared" si="57"/>
        <v/>
      </c>
      <c r="M1844" s="23" t="str">
        <f>IF($B1844="","",ROUND(SUMIF(账户名,$B1844,账户期初)+SUMIFS($K$6:K1844,$B$6:B1844,$B1844),2))</f>
        <v/>
      </c>
      <c r="N1844" s="23" t="str">
        <f>IF($B1844="","",IFERROR(ROUND(INDEX(账户期初本位,MATCH($B1844,账户名,0))+SUMIFS($L$6:L1844,$B$6:B1844,$B1844),2),""))</f>
        <v/>
      </c>
      <c r="O1844" s="46"/>
      <c r="P1844" s="47"/>
      <c r="Q1844" s="46"/>
      <c r="R1844" s="46"/>
      <c r="S1844" s="6" t="str">
        <f>IF($B1844="","",IF(ISNA(MATCH($B1844,账户名,0)),"※这个账户不在【参数设置】的账户档案里",IF($A1844="","※没填日期，这一笔不会进任何月份的报表",IF(AND($G1844&lt;&gt;"",$H1844&lt;&gt;""),"※收入和支出不能同时填",IF(AND(N($G1844)=0,N($H1844)=0),"※收入和支出都没填",IF($E1844="","※没填收支类别，分类报表会漏掉这一笔",IF(ISNA(MATCH($E1844,类别表,0)),"※收支类别不在【参数设置】的清单里",IF($J1844="","△"&amp;$D1844&amp;" 还没填汇率，去【月度汇率】补上就自动算了",IF(YEAR($A1844)&lt;&gt;管理年度,"△不是管理年度的单据，年报里看不到",IF(AND($F1844="内部转账",$Q1844=""),"△内部转账建议在「往来单位」写上对方账户",IF($M1844&lt;0,"△这一笔之后该账户余额成负数了，核一下","")))))))))))</f>
        <v/>
      </c>
    </row>
    <row r="1845" ht="16.5" spans="1:19">
      <c r="A1845" s="45"/>
      <c r="B1845" s="46"/>
      <c r="C1845" s="12" t="str">
        <f>IF($B1845="","",IFERROR(INDEX(账户银行,MATCH($B1845,账户名,0)),""))</f>
        <v/>
      </c>
      <c r="D1845" s="12" t="str">
        <f>IF($B1845="","",IFERROR(INDEX(账户币种,MATCH($B1845,账户名,0)),""))</f>
        <v/>
      </c>
      <c r="E1845" s="47"/>
      <c r="F1845" s="12" t="str">
        <f>IF($E1845="","",IFERROR(INDEX(类别属性,MATCH($E1845,类别表,0)),""))</f>
        <v/>
      </c>
      <c r="G1845" s="48"/>
      <c r="H1845" s="48"/>
      <c r="I1845" s="49"/>
      <c r="J1845" s="24" t="str">
        <f>IF(OR($A1845="",$B1845=""),"",IF($I1845&lt;&gt;"",$I1845,IF($D1845=本位币,1,IFERROR(LOOKUP(2,1/((汇率月份&lt;=$A1845)*(INDEX(记账汇率区,0,MATCH($D1845,汇率币种头,0))&lt;&gt;"")),INDEX(记账汇率区,0,MATCH($D1845,汇率币种头,0))),""))))</f>
        <v/>
      </c>
      <c r="K1845" s="23" t="str">
        <f t="shared" si="56"/>
        <v/>
      </c>
      <c r="L1845" s="23" t="str">
        <f t="shared" si="57"/>
        <v/>
      </c>
      <c r="M1845" s="23" t="str">
        <f>IF($B1845="","",ROUND(SUMIF(账户名,$B1845,账户期初)+SUMIFS($K$6:K1845,$B$6:B1845,$B1845),2))</f>
        <v/>
      </c>
      <c r="N1845" s="23" t="str">
        <f>IF($B1845="","",IFERROR(ROUND(INDEX(账户期初本位,MATCH($B1845,账户名,0))+SUMIFS($L$6:L1845,$B$6:B1845,$B1845),2),""))</f>
        <v/>
      </c>
      <c r="O1845" s="46"/>
      <c r="P1845" s="47"/>
      <c r="Q1845" s="46"/>
      <c r="R1845" s="46"/>
      <c r="S1845" s="6" t="str">
        <f>IF($B1845="","",IF(ISNA(MATCH($B1845,账户名,0)),"※这个账户不在【参数设置】的账户档案里",IF($A1845="","※没填日期，这一笔不会进任何月份的报表",IF(AND($G1845&lt;&gt;"",$H1845&lt;&gt;""),"※收入和支出不能同时填",IF(AND(N($G1845)=0,N($H1845)=0),"※收入和支出都没填",IF($E1845="","※没填收支类别，分类报表会漏掉这一笔",IF(ISNA(MATCH($E1845,类别表,0)),"※收支类别不在【参数设置】的清单里",IF($J1845="","△"&amp;$D1845&amp;" 还没填汇率，去【月度汇率】补上就自动算了",IF(YEAR($A1845)&lt;&gt;管理年度,"△不是管理年度的单据，年报里看不到",IF(AND($F1845="内部转账",$Q1845=""),"△内部转账建议在「往来单位」写上对方账户",IF($M1845&lt;0,"△这一笔之后该账户余额成负数了，核一下","")))))))))))</f>
        <v/>
      </c>
    </row>
    <row r="1846" ht="16.5" spans="1:19">
      <c r="A1846" s="45"/>
      <c r="B1846" s="46"/>
      <c r="C1846" s="12" t="str">
        <f>IF($B1846="","",IFERROR(INDEX(账户银行,MATCH($B1846,账户名,0)),""))</f>
        <v/>
      </c>
      <c r="D1846" s="12" t="str">
        <f>IF($B1846="","",IFERROR(INDEX(账户币种,MATCH($B1846,账户名,0)),""))</f>
        <v/>
      </c>
      <c r="E1846" s="47"/>
      <c r="F1846" s="12" t="str">
        <f>IF($E1846="","",IFERROR(INDEX(类别属性,MATCH($E1846,类别表,0)),""))</f>
        <v/>
      </c>
      <c r="G1846" s="48"/>
      <c r="H1846" s="48"/>
      <c r="I1846" s="49"/>
      <c r="J1846" s="24" t="str">
        <f>IF(OR($A1846="",$B1846=""),"",IF($I1846&lt;&gt;"",$I1846,IF($D1846=本位币,1,IFERROR(LOOKUP(2,1/((汇率月份&lt;=$A1846)*(INDEX(记账汇率区,0,MATCH($D1846,汇率币种头,0))&lt;&gt;"")),INDEX(记账汇率区,0,MATCH($D1846,汇率币种头,0))),""))))</f>
        <v/>
      </c>
      <c r="K1846" s="23" t="str">
        <f t="shared" si="56"/>
        <v/>
      </c>
      <c r="L1846" s="23" t="str">
        <f t="shared" si="57"/>
        <v/>
      </c>
      <c r="M1846" s="23" t="str">
        <f>IF($B1846="","",ROUND(SUMIF(账户名,$B1846,账户期初)+SUMIFS($K$6:K1846,$B$6:B1846,$B1846),2))</f>
        <v/>
      </c>
      <c r="N1846" s="23" t="str">
        <f>IF($B1846="","",IFERROR(ROUND(INDEX(账户期初本位,MATCH($B1846,账户名,0))+SUMIFS($L$6:L1846,$B$6:B1846,$B1846),2),""))</f>
        <v/>
      </c>
      <c r="O1846" s="46"/>
      <c r="P1846" s="47"/>
      <c r="Q1846" s="46"/>
      <c r="R1846" s="46"/>
      <c r="S1846" s="6" t="str">
        <f>IF($B1846="","",IF(ISNA(MATCH($B1846,账户名,0)),"※这个账户不在【参数设置】的账户档案里",IF($A1846="","※没填日期，这一笔不会进任何月份的报表",IF(AND($G1846&lt;&gt;"",$H1846&lt;&gt;""),"※收入和支出不能同时填",IF(AND(N($G1846)=0,N($H1846)=0),"※收入和支出都没填",IF($E1846="","※没填收支类别，分类报表会漏掉这一笔",IF(ISNA(MATCH($E1846,类别表,0)),"※收支类别不在【参数设置】的清单里",IF($J1846="","△"&amp;$D1846&amp;" 还没填汇率，去【月度汇率】补上就自动算了",IF(YEAR($A1846)&lt;&gt;管理年度,"△不是管理年度的单据，年报里看不到",IF(AND($F1846="内部转账",$Q1846=""),"△内部转账建议在「往来单位」写上对方账户",IF($M1846&lt;0,"△这一笔之后该账户余额成负数了，核一下","")))))))))))</f>
        <v/>
      </c>
    </row>
    <row r="1847" ht="16.5" spans="1:19">
      <c r="A1847" s="45"/>
      <c r="B1847" s="46"/>
      <c r="C1847" s="12" t="str">
        <f>IF($B1847="","",IFERROR(INDEX(账户银行,MATCH($B1847,账户名,0)),""))</f>
        <v/>
      </c>
      <c r="D1847" s="12" t="str">
        <f>IF($B1847="","",IFERROR(INDEX(账户币种,MATCH($B1847,账户名,0)),""))</f>
        <v/>
      </c>
      <c r="E1847" s="47"/>
      <c r="F1847" s="12" t="str">
        <f>IF($E1847="","",IFERROR(INDEX(类别属性,MATCH($E1847,类别表,0)),""))</f>
        <v/>
      </c>
      <c r="G1847" s="48"/>
      <c r="H1847" s="48"/>
      <c r="I1847" s="49"/>
      <c r="J1847" s="24" t="str">
        <f>IF(OR($A1847="",$B1847=""),"",IF($I1847&lt;&gt;"",$I1847,IF($D1847=本位币,1,IFERROR(LOOKUP(2,1/((汇率月份&lt;=$A1847)*(INDEX(记账汇率区,0,MATCH($D1847,汇率币种头,0))&lt;&gt;"")),INDEX(记账汇率区,0,MATCH($D1847,汇率币种头,0))),""))))</f>
        <v/>
      </c>
      <c r="K1847" s="23" t="str">
        <f t="shared" si="56"/>
        <v/>
      </c>
      <c r="L1847" s="23" t="str">
        <f t="shared" si="57"/>
        <v/>
      </c>
      <c r="M1847" s="23" t="str">
        <f>IF($B1847="","",ROUND(SUMIF(账户名,$B1847,账户期初)+SUMIFS($K$6:K1847,$B$6:B1847,$B1847),2))</f>
        <v/>
      </c>
      <c r="N1847" s="23" t="str">
        <f>IF($B1847="","",IFERROR(ROUND(INDEX(账户期初本位,MATCH($B1847,账户名,0))+SUMIFS($L$6:L1847,$B$6:B1847,$B1847),2),""))</f>
        <v/>
      </c>
      <c r="O1847" s="46"/>
      <c r="P1847" s="47"/>
      <c r="Q1847" s="46"/>
      <c r="R1847" s="46"/>
      <c r="S1847" s="6" t="str">
        <f>IF($B1847="","",IF(ISNA(MATCH($B1847,账户名,0)),"※这个账户不在【参数设置】的账户档案里",IF($A1847="","※没填日期，这一笔不会进任何月份的报表",IF(AND($G1847&lt;&gt;"",$H1847&lt;&gt;""),"※收入和支出不能同时填",IF(AND(N($G1847)=0,N($H1847)=0),"※收入和支出都没填",IF($E1847="","※没填收支类别，分类报表会漏掉这一笔",IF(ISNA(MATCH($E1847,类别表,0)),"※收支类别不在【参数设置】的清单里",IF($J1847="","△"&amp;$D1847&amp;" 还没填汇率，去【月度汇率】补上就自动算了",IF(YEAR($A1847)&lt;&gt;管理年度,"△不是管理年度的单据，年报里看不到",IF(AND($F1847="内部转账",$Q1847=""),"△内部转账建议在「往来单位」写上对方账户",IF($M1847&lt;0,"△这一笔之后该账户余额成负数了，核一下","")))))))))))</f>
        <v/>
      </c>
    </row>
    <row r="1848" ht="16.5" spans="1:19">
      <c r="A1848" s="45"/>
      <c r="B1848" s="46"/>
      <c r="C1848" s="12" t="str">
        <f>IF($B1848="","",IFERROR(INDEX(账户银行,MATCH($B1848,账户名,0)),""))</f>
        <v/>
      </c>
      <c r="D1848" s="12" t="str">
        <f>IF($B1848="","",IFERROR(INDEX(账户币种,MATCH($B1848,账户名,0)),""))</f>
        <v/>
      </c>
      <c r="E1848" s="47"/>
      <c r="F1848" s="12" t="str">
        <f>IF($E1848="","",IFERROR(INDEX(类别属性,MATCH($E1848,类别表,0)),""))</f>
        <v/>
      </c>
      <c r="G1848" s="48"/>
      <c r="H1848" s="48"/>
      <c r="I1848" s="49"/>
      <c r="J1848" s="24" t="str">
        <f>IF(OR($A1848="",$B1848=""),"",IF($I1848&lt;&gt;"",$I1848,IF($D1848=本位币,1,IFERROR(LOOKUP(2,1/((汇率月份&lt;=$A1848)*(INDEX(记账汇率区,0,MATCH($D1848,汇率币种头,0))&lt;&gt;"")),INDEX(记账汇率区,0,MATCH($D1848,汇率币种头,0))),""))))</f>
        <v/>
      </c>
      <c r="K1848" s="23" t="str">
        <f t="shared" si="56"/>
        <v/>
      </c>
      <c r="L1848" s="23" t="str">
        <f t="shared" si="57"/>
        <v/>
      </c>
      <c r="M1848" s="23" t="str">
        <f>IF($B1848="","",ROUND(SUMIF(账户名,$B1848,账户期初)+SUMIFS($K$6:K1848,$B$6:B1848,$B1848),2))</f>
        <v/>
      </c>
      <c r="N1848" s="23" t="str">
        <f>IF($B1848="","",IFERROR(ROUND(INDEX(账户期初本位,MATCH($B1848,账户名,0))+SUMIFS($L$6:L1848,$B$6:B1848,$B1848),2),""))</f>
        <v/>
      </c>
      <c r="O1848" s="46"/>
      <c r="P1848" s="47"/>
      <c r="Q1848" s="46"/>
      <c r="R1848" s="46"/>
      <c r="S1848" s="6" t="str">
        <f>IF($B1848="","",IF(ISNA(MATCH($B1848,账户名,0)),"※这个账户不在【参数设置】的账户档案里",IF($A1848="","※没填日期，这一笔不会进任何月份的报表",IF(AND($G1848&lt;&gt;"",$H1848&lt;&gt;""),"※收入和支出不能同时填",IF(AND(N($G1848)=0,N($H1848)=0),"※收入和支出都没填",IF($E1848="","※没填收支类别，分类报表会漏掉这一笔",IF(ISNA(MATCH($E1848,类别表,0)),"※收支类别不在【参数设置】的清单里",IF($J1848="","△"&amp;$D1848&amp;" 还没填汇率，去【月度汇率】补上就自动算了",IF(YEAR($A1848)&lt;&gt;管理年度,"△不是管理年度的单据，年报里看不到",IF(AND($F1848="内部转账",$Q1848=""),"△内部转账建议在「往来单位」写上对方账户",IF($M1848&lt;0,"△这一笔之后该账户余额成负数了，核一下","")))))))))))</f>
        <v/>
      </c>
    </row>
    <row r="1849" ht="16.5" spans="1:19">
      <c r="A1849" s="45"/>
      <c r="B1849" s="46"/>
      <c r="C1849" s="12" t="str">
        <f>IF($B1849="","",IFERROR(INDEX(账户银行,MATCH($B1849,账户名,0)),""))</f>
        <v/>
      </c>
      <c r="D1849" s="12" t="str">
        <f>IF($B1849="","",IFERROR(INDEX(账户币种,MATCH($B1849,账户名,0)),""))</f>
        <v/>
      </c>
      <c r="E1849" s="47"/>
      <c r="F1849" s="12" t="str">
        <f>IF($E1849="","",IFERROR(INDEX(类别属性,MATCH($E1849,类别表,0)),""))</f>
        <v/>
      </c>
      <c r="G1849" s="48"/>
      <c r="H1849" s="48"/>
      <c r="I1849" s="49"/>
      <c r="J1849" s="24" t="str">
        <f>IF(OR($A1849="",$B1849=""),"",IF($I1849&lt;&gt;"",$I1849,IF($D1849=本位币,1,IFERROR(LOOKUP(2,1/((汇率月份&lt;=$A1849)*(INDEX(记账汇率区,0,MATCH($D1849,汇率币种头,0))&lt;&gt;"")),INDEX(记账汇率区,0,MATCH($D1849,汇率币种头,0))),""))))</f>
        <v/>
      </c>
      <c r="K1849" s="23" t="str">
        <f t="shared" si="56"/>
        <v/>
      </c>
      <c r="L1849" s="23" t="str">
        <f t="shared" si="57"/>
        <v/>
      </c>
      <c r="M1849" s="23" t="str">
        <f>IF($B1849="","",ROUND(SUMIF(账户名,$B1849,账户期初)+SUMIFS($K$6:K1849,$B$6:B1849,$B1849),2))</f>
        <v/>
      </c>
      <c r="N1849" s="23" t="str">
        <f>IF($B1849="","",IFERROR(ROUND(INDEX(账户期初本位,MATCH($B1849,账户名,0))+SUMIFS($L$6:L1849,$B$6:B1849,$B1849),2),""))</f>
        <v/>
      </c>
      <c r="O1849" s="46"/>
      <c r="P1849" s="47"/>
      <c r="Q1849" s="46"/>
      <c r="R1849" s="46"/>
      <c r="S1849" s="6" t="str">
        <f>IF($B1849="","",IF(ISNA(MATCH($B1849,账户名,0)),"※这个账户不在【参数设置】的账户档案里",IF($A1849="","※没填日期，这一笔不会进任何月份的报表",IF(AND($G1849&lt;&gt;"",$H1849&lt;&gt;""),"※收入和支出不能同时填",IF(AND(N($G1849)=0,N($H1849)=0),"※收入和支出都没填",IF($E1849="","※没填收支类别，分类报表会漏掉这一笔",IF(ISNA(MATCH($E1849,类别表,0)),"※收支类别不在【参数设置】的清单里",IF($J1849="","△"&amp;$D1849&amp;" 还没填汇率，去【月度汇率】补上就自动算了",IF(YEAR($A1849)&lt;&gt;管理年度,"△不是管理年度的单据，年报里看不到",IF(AND($F1849="内部转账",$Q1849=""),"△内部转账建议在「往来单位」写上对方账户",IF($M1849&lt;0,"△这一笔之后该账户余额成负数了，核一下","")))))))))))</f>
        <v/>
      </c>
    </row>
    <row r="1850" ht="16.5" spans="1:19">
      <c r="A1850" s="45"/>
      <c r="B1850" s="46"/>
      <c r="C1850" s="12" t="str">
        <f>IF($B1850="","",IFERROR(INDEX(账户银行,MATCH($B1850,账户名,0)),""))</f>
        <v/>
      </c>
      <c r="D1850" s="12" t="str">
        <f>IF($B1850="","",IFERROR(INDEX(账户币种,MATCH($B1850,账户名,0)),""))</f>
        <v/>
      </c>
      <c r="E1850" s="47"/>
      <c r="F1850" s="12" t="str">
        <f>IF($E1850="","",IFERROR(INDEX(类别属性,MATCH($E1850,类别表,0)),""))</f>
        <v/>
      </c>
      <c r="G1850" s="48"/>
      <c r="H1850" s="48"/>
      <c r="I1850" s="49"/>
      <c r="J1850" s="24" t="str">
        <f>IF(OR($A1850="",$B1850=""),"",IF($I1850&lt;&gt;"",$I1850,IF($D1850=本位币,1,IFERROR(LOOKUP(2,1/((汇率月份&lt;=$A1850)*(INDEX(记账汇率区,0,MATCH($D1850,汇率币种头,0))&lt;&gt;"")),INDEX(记账汇率区,0,MATCH($D1850,汇率币种头,0))),""))))</f>
        <v/>
      </c>
      <c r="K1850" s="23" t="str">
        <f t="shared" si="56"/>
        <v/>
      </c>
      <c r="L1850" s="23" t="str">
        <f t="shared" si="57"/>
        <v/>
      </c>
      <c r="M1850" s="23" t="str">
        <f>IF($B1850="","",ROUND(SUMIF(账户名,$B1850,账户期初)+SUMIFS($K$6:K1850,$B$6:B1850,$B1850),2))</f>
        <v/>
      </c>
      <c r="N1850" s="23" t="str">
        <f>IF($B1850="","",IFERROR(ROUND(INDEX(账户期初本位,MATCH($B1850,账户名,0))+SUMIFS($L$6:L1850,$B$6:B1850,$B1850),2),""))</f>
        <v/>
      </c>
      <c r="O1850" s="46"/>
      <c r="P1850" s="47"/>
      <c r="Q1850" s="46"/>
      <c r="R1850" s="46"/>
      <c r="S1850" s="6" t="str">
        <f>IF($B1850="","",IF(ISNA(MATCH($B1850,账户名,0)),"※这个账户不在【参数设置】的账户档案里",IF($A1850="","※没填日期，这一笔不会进任何月份的报表",IF(AND($G1850&lt;&gt;"",$H1850&lt;&gt;""),"※收入和支出不能同时填",IF(AND(N($G1850)=0,N($H1850)=0),"※收入和支出都没填",IF($E1850="","※没填收支类别，分类报表会漏掉这一笔",IF(ISNA(MATCH($E1850,类别表,0)),"※收支类别不在【参数设置】的清单里",IF($J1850="","△"&amp;$D1850&amp;" 还没填汇率，去【月度汇率】补上就自动算了",IF(YEAR($A1850)&lt;&gt;管理年度,"△不是管理年度的单据，年报里看不到",IF(AND($F1850="内部转账",$Q1850=""),"△内部转账建议在「往来单位」写上对方账户",IF($M1850&lt;0,"△这一笔之后该账户余额成负数了，核一下","")))))))))))</f>
        <v/>
      </c>
    </row>
    <row r="1851" ht="16.5" spans="1:19">
      <c r="A1851" s="45"/>
      <c r="B1851" s="46"/>
      <c r="C1851" s="12" t="str">
        <f>IF($B1851="","",IFERROR(INDEX(账户银行,MATCH($B1851,账户名,0)),""))</f>
        <v/>
      </c>
      <c r="D1851" s="12" t="str">
        <f>IF($B1851="","",IFERROR(INDEX(账户币种,MATCH($B1851,账户名,0)),""))</f>
        <v/>
      </c>
      <c r="E1851" s="47"/>
      <c r="F1851" s="12" t="str">
        <f>IF($E1851="","",IFERROR(INDEX(类别属性,MATCH($E1851,类别表,0)),""))</f>
        <v/>
      </c>
      <c r="G1851" s="48"/>
      <c r="H1851" s="48"/>
      <c r="I1851" s="49"/>
      <c r="J1851" s="24" t="str">
        <f>IF(OR($A1851="",$B1851=""),"",IF($I1851&lt;&gt;"",$I1851,IF($D1851=本位币,1,IFERROR(LOOKUP(2,1/((汇率月份&lt;=$A1851)*(INDEX(记账汇率区,0,MATCH($D1851,汇率币种头,0))&lt;&gt;"")),INDEX(记账汇率区,0,MATCH($D1851,汇率币种头,0))),""))))</f>
        <v/>
      </c>
      <c r="K1851" s="23" t="str">
        <f t="shared" si="56"/>
        <v/>
      </c>
      <c r="L1851" s="23" t="str">
        <f t="shared" si="57"/>
        <v/>
      </c>
      <c r="M1851" s="23" t="str">
        <f>IF($B1851="","",ROUND(SUMIF(账户名,$B1851,账户期初)+SUMIFS($K$6:K1851,$B$6:B1851,$B1851),2))</f>
        <v/>
      </c>
      <c r="N1851" s="23" t="str">
        <f>IF($B1851="","",IFERROR(ROUND(INDEX(账户期初本位,MATCH($B1851,账户名,0))+SUMIFS($L$6:L1851,$B$6:B1851,$B1851),2),""))</f>
        <v/>
      </c>
      <c r="O1851" s="46"/>
      <c r="P1851" s="47"/>
      <c r="Q1851" s="46"/>
      <c r="R1851" s="46"/>
      <c r="S1851" s="6" t="str">
        <f>IF($B1851="","",IF(ISNA(MATCH($B1851,账户名,0)),"※这个账户不在【参数设置】的账户档案里",IF($A1851="","※没填日期，这一笔不会进任何月份的报表",IF(AND($G1851&lt;&gt;"",$H1851&lt;&gt;""),"※收入和支出不能同时填",IF(AND(N($G1851)=0,N($H1851)=0),"※收入和支出都没填",IF($E1851="","※没填收支类别，分类报表会漏掉这一笔",IF(ISNA(MATCH($E1851,类别表,0)),"※收支类别不在【参数设置】的清单里",IF($J1851="","△"&amp;$D1851&amp;" 还没填汇率，去【月度汇率】补上就自动算了",IF(YEAR($A1851)&lt;&gt;管理年度,"△不是管理年度的单据，年报里看不到",IF(AND($F1851="内部转账",$Q1851=""),"△内部转账建议在「往来单位」写上对方账户",IF($M1851&lt;0,"△这一笔之后该账户余额成负数了，核一下","")))))))))))</f>
        <v/>
      </c>
    </row>
    <row r="1852" ht="16.5" spans="1:19">
      <c r="A1852" s="45"/>
      <c r="B1852" s="46"/>
      <c r="C1852" s="12" t="str">
        <f>IF($B1852="","",IFERROR(INDEX(账户银行,MATCH($B1852,账户名,0)),""))</f>
        <v/>
      </c>
      <c r="D1852" s="12" t="str">
        <f>IF($B1852="","",IFERROR(INDEX(账户币种,MATCH($B1852,账户名,0)),""))</f>
        <v/>
      </c>
      <c r="E1852" s="47"/>
      <c r="F1852" s="12" t="str">
        <f>IF($E1852="","",IFERROR(INDEX(类别属性,MATCH($E1852,类别表,0)),""))</f>
        <v/>
      </c>
      <c r="G1852" s="48"/>
      <c r="H1852" s="48"/>
      <c r="I1852" s="49"/>
      <c r="J1852" s="24" t="str">
        <f>IF(OR($A1852="",$B1852=""),"",IF($I1852&lt;&gt;"",$I1852,IF($D1852=本位币,1,IFERROR(LOOKUP(2,1/((汇率月份&lt;=$A1852)*(INDEX(记账汇率区,0,MATCH($D1852,汇率币种头,0))&lt;&gt;"")),INDEX(记账汇率区,0,MATCH($D1852,汇率币种头,0))),""))))</f>
        <v/>
      </c>
      <c r="K1852" s="23" t="str">
        <f t="shared" si="56"/>
        <v/>
      </c>
      <c r="L1852" s="23" t="str">
        <f t="shared" si="57"/>
        <v/>
      </c>
      <c r="M1852" s="23" t="str">
        <f>IF($B1852="","",ROUND(SUMIF(账户名,$B1852,账户期初)+SUMIFS($K$6:K1852,$B$6:B1852,$B1852),2))</f>
        <v/>
      </c>
      <c r="N1852" s="23" t="str">
        <f>IF($B1852="","",IFERROR(ROUND(INDEX(账户期初本位,MATCH($B1852,账户名,0))+SUMIFS($L$6:L1852,$B$6:B1852,$B1852),2),""))</f>
        <v/>
      </c>
      <c r="O1852" s="46"/>
      <c r="P1852" s="47"/>
      <c r="Q1852" s="46"/>
      <c r="R1852" s="46"/>
      <c r="S1852" s="6" t="str">
        <f>IF($B1852="","",IF(ISNA(MATCH($B1852,账户名,0)),"※这个账户不在【参数设置】的账户档案里",IF($A1852="","※没填日期，这一笔不会进任何月份的报表",IF(AND($G1852&lt;&gt;"",$H1852&lt;&gt;""),"※收入和支出不能同时填",IF(AND(N($G1852)=0,N($H1852)=0),"※收入和支出都没填",IF($E1852="","※没填收支类别，分类报表会漏掉这一笔",IF(ISNA(MATCH($E1852,类别表,0)),"※收支类别不在【参数设置】的清单里",IF($J1852="","△"&amp;$D1852&amp;" 还没填汇率，去【月度汇率】补上就自动算了",IF(YEAR($A1852)&lt;&gt;管理年度,"△不是管理年度的单据，年报里看不到",IF(AND($F1852="内部转账",$Q1852=""),"△内部转账建议在「往来单位」写上对方账户",IF($M1852&lt;0,"△这一笔之后该账户余额成负数了，核一下","")))))))))))</f>
        <v/>
      </c>
    </row>
    <row r="1853" ht="16.5" spans="1:19">
      <c r="A1853" s="45"/>
      <c r="B1853" s="46"/>
      <c r="C1853" s="12" t="str">
        <f>IF($B1853="","",IFERROR(INDEX(账户银行,MATCH($B1853,账户名,0)),""))</f>
        <v/>
      </c>
      <c r="D1853" s="12" t="str">
        <f>IF($B1853="","",IFERROR(INDEX(账户币种,MATCH($B1853,账户名,0)),""))</f>
        <v/>
      </c>
      <c r="E1853" s="47"/>
      <c r="F1853" s="12" t="str">
        <f>IF($E1853="","",IFERROR(INDEX(类别属性,MATCH($E1853,类别表,0)),""))</f>
        <v/>
      </c>
      <c r="G1853" s="48"/>
      <c r="H1853" s="48"/>
      <c r="I1853" s="49"/>
      <c r="J1853" s="24" t="str">
        <f>IF(OR($A1853="",$B1853=""),"",IF($I1853&lt;&gt;"",$I1853,IF($D1853=本位币,1,IFERROR(LOOKUP(2,1/((汇率月份&lt;=$A1853)*(INDEX(记账汇率区,0,MATCH($D1853,汇率币种头,0))&lt;&gt;"")),INDEX(记账汇率区,0,MATCH($D1853,汇率币种头,0))),""))))</f>
        <v/>
      </c>
      <c r="K1853" s="23" t="str">
        <f t="shared" si="56"/>
        <v/>
      </c>
      <c r="L1853" s="23" t="str">
        <f t="shared" si="57"/>
        <v/>
      </c>
      <c r="M1853" s="23" t="str">
        <f>IF($B1853="","",ROUND(SUMIF(账户名,$B1853,账户期初)+SUMIFS($K$6:K1853,$B$6:B1853,$B1853),2))</f>
        <v/>
      </c>
      <c r="N1853" s="23" t="str">
        <f>IF($B1853="","",IFERROR(ROUND(INDEX(账户期初本位,MATCH($B1853,账户名,0))+SUMIFS($L$6:L1853,$B$6:B1853,$B1853),2),""))</f>
        <v/>
      </c>
      <c r="O1853" s="46"/>
      <c r="P1853" s="47"/>
      <c r="Q1853" s="46"/>
      <c r="R1853" s="46"/>
      <c r="S1853" s="6" t="str">
        <f>IF($B1853="","",IF(ISNA(MATCH($B1853,账户名,0)),"※这个账户不在【参数设置】的账户档案里",IF($A1853="","※没填日期，这一笔不会进任何月份的报表",IF(AND($G1853&lt;&gt;"",$H1853&lt;&gt;""),"※收入和支出不能同时填",IF(AND(N($G1853)=0,N($H1853)=0),"※收入和支出都没填",IF($E1853="","※没填收支类别，分类报表会漏掉这一笔",IF(ISNA(MATCH($E1853,类别表,0)),"※收支类别不在【参数设置】的清单里",IF($J1853="","△"&amp;$D1853&amp;" 还没填汇率，去【月度汇率】补上就自动算了",IF(YEAR($A1853)&lt;&gt;管理年度,"△不是管理年度的单据，年报里看不到",IF(AND($F1853="内部转账",$Q1853=""),"△内部转账建议在「往来单位」写上对方账户",IF($M1853&lt;0,"△这一笔之后该账户余额成负数了，核一下","")))))))))))</f>
        <v/>
      </c>
    </row>
    <row r="1854" ht="16.5" spans="1:19">
      <c r="A1854" s="45"/>
      <c r="B1854" s="46"/>
      <c r="C1854" s="12" t="str">
        <f>IF($B1854="","",IFERROR(INDEX(账户银行,MATCH($B1854,账户名,0)),""))</f>
        <v/>
      </c>
      <c r="D1854" s="12" t="str">
        <f>IF($B1854="","",IFERROR(INDEX(账户币种,MATCH($B1854,账户名,0)),""))</f>
        <v/>
      </c>
      <c r="E1854" s="47"/>
      <c r="F1854" s="12" t="str">
        <f>IF($E1854="","",IFERROR(INDEX(类别属性,MATCH($E1854,类别表,0)),""))</f>
        <v/>
      </c>
      <c r="G1854" s="48"/>
      <c r="H1854" s="48"/>
      <c r="I1854" s="49"/>
      <c r="J1854" s="24" t="str">
        <f>IF(OR($A1854="",$B1854=""),"",IF($I1854&lt;&gt;"",$I1854,IF($D1854=本位币,1,IFERROR(LOOKUP(2,1/((汇率月份&lt;=$A1854)*(INDEX(记账汇率区,0,MATCH($D1854,汇率币种头,0))&lt;&gt;"")),INDEX(记账汇率区,0,MATCH($D1854,汇率币种头,0))),""))))</f>
        <v/>
      </c>
      <c r="K1854" s="23" t="str">
        <f t="shared" si="56"/>
        <v/>
      </c>
      <c r="L1854" s="23" t="str">
        <f t="shared" si="57"/>
        <v/>
      </c>
      <c r="M1854" s="23" t="str">
        <f>IF($B1854="","",ROUND(SUMIF(账户名,$B1854,账户期初)+SUMIFS($K$6:K1854,$B$6:B1854,$B1854),2))</f>
        <v/>
      </c>
      <c r="N1854" s="23" t="str">
        <f>IF($B1854="","",IFERROR(ROUND(INDEX(账户期初本位,MATCH($B1854,账户名,0))+SUMIFS($L$6:L1854,$B$6:B1854,$B1854),2),""))</f>
        <v/>
      </c>
      <c r="O1854" s="46"/>
      <c r="P1854" s="47"/>
      <c r="Q1854" s="46"/>
      <c r="R1854" s="46"/>
      <c r="S1854" s="6" t="str">
        <f>IF($B1854="","",IF(ISNA(MATCH($B1854,账户名,0)),"※这个账户不在【参数设置】的账户档案里",IF($A1854="","※没填日期，这一笔不会进任何月份的报表",IF(AND($G1854&lt;&gt;"",$H1854&lt;&gt;""),"※收入和支出不能同时填",IF(AND(N($G1854)=0,N($H1854)=0),"※收入和支出都没填",IF($E1854="","※没填收支类别，分类报表会漏掉这一笔",IF(ISNA(MATCH($E1854,类别表,0)),"※收支类别不在【参数设置】的清单里",IF($J1854="","△"&amp;$D1854&amp;" 还没填汇率，去【月度汇率】补上就自动算了",IF(YEAR($A1854)&lt;&gt;管理年度,"△不是管理年度的单据，年报里看不到",IF(AND($F1854="内部转账",$Q1854=""),"△内部转账建议在「往来单位」写上对方账户",IF($M1854&lt;0,"△这一笔之后该账户余额成负数了，核一下","")))))))))))</f>
        <v/>
      </c>
    </row>
    <row r="1855" ht="16.5" spans="1:19">
      <c r="A1855" s="45"/>
      <c r="B1855" s="46"/>
      <c r="C1855" s="12" t="str">
        <f>IF($B1855="","",IFERROR(INDEX(账户银行,MATCH($B1855,账户名,0)),""))</f>
        <v/>
      </c>
      <c r="D1855" s="12" t="str">
        <f>IF($B1855="","",IFERROR(INDEX(账户币种,MATCH($B1855,账户名,0)),""))</f>
        <v/>
      </c>
      <c r="E1855" s="47"/>
      <c r="F1855" s="12" t="str">
        <f>IF($E1855="","",IFERROR(INDEX(类别属性,MATCH($E1855,类别表,0)),""))</f>
        <v/>
      </c>
      <c r="G1855" s="48"/>
      <c r="H1855" s="48"/>
      <c r="I1855" s="49"/>
      <c r="J1855" s="24" t="str">
        <f>IF(OR($A1855="",$B1855=""),"",IF($I1855&lt;&gt;"",$I1855,IF($D1855=本位币,1,IFERROR(LOOKUP(2,1/((汇率月份&lt;=$A1855)*(INDEX(记账汇率区,0,MATCH($D1855,汇率币种头,0))&lt;&gt;"")),INDEX(记账汇率区,0,MATCH($D1855,汇率币种头,0))),""))))</f>
        <v/>
      </c>
      <c r="K1855" s="23" t="str">
        <f t="shared" si="56"/>
        <v/>
      </c>
      <c r="L1855" s="23" t="str">
        <f t="shared" si="57"/>
        <v/>
      </c>
      <c r="M1855" s="23" t="str">
        <f>IF($B1855="","",ROUND(SUMIF(账户名,$B1855,账户期初)+SUMIFS($K$6:K1855,$B$6:B1855,$B1855),2))</f>
        <v/>
      </c>
      <c r="N1855" s="23" t="str">
        <f>IF($B1855="","",IFERROR(ROUND(INDEX(账户期初本位,MATCH($B1855,账户名,0))+SUMIFS($L$6:L1855,$B$6:B1855,$B1855),2),""))</f>
        <v/>
      </c>
      <c r="O1855" s="46"/>
      <c r="P1855" s="47"/>
      <c r="Q1855" s="46"/>
      <c r="R1855" s="46"/>
      <c r="S1855" s="6" t="str">
        <f>IF($B1855="","",IF(ISNA(MATCH($B1855,账户名,0)),"※这个账户不在【参数设置】的账户档案里",IF($A1855="","※没填日期，这一笔不会进任何月份的报表",IF(AND($G1855&lt;&gt;"",$H1855&lt;&gt;""),"※收入和支出不能同时填",IF(AND(N($G1855)=0,N($H1855)=0),"※收入和支出都没填",IF($E1855="","※没填收支类别，分类报表会漏掉这一笔",IF(ISNA(MATCH($E1855,类别表,0)),"※收支类别不在【参数设置】的清单里",IF($J1855="","△"&amp;$D1855&amp;" 还没填汇率，去【月度汇率】补上就自动算了",IF(YEAR($A1855)&lt;&gt;管理年度,"△不是管理年度的单据，年报里看不到",IF(AND($F1855="内部转账",$Q1855=""),"△内部转账建议在「往来单位」写上对方账户",IF($M1855&lt;0,"△这一笔之后该账户余额成负数了，核一下","")))))))))))</f>
        <v/>
      </c>
    </row>
    <row r="1856" ht="16.5" spans="1:19">
      <c r="A1856" s="45"/>
      <c r="B1856" s="46"/>
      <c r="C1856" s="12" t="str">
        <f>IF($B1856="","",IFERROR(INDEX(账户银行,MATCH($B1856,账户名,0)),""))</f>
        <v/>
      </c>
      <c r="D1856" s="12" t="str">
        <f>IF($B1856="","",IFERROR(INDEX(账户币种,MATCH($B1856,账户名,0)),""))</f>
        <v/>
      </c>
      <c r="E1856" s="47"/>
      <c r="F1856" s="12" t="str">
        <f>IF($E1856="","",IFERROR(INDEX(类别属性,MATCH($E1856,类别表,0)),""))</f>
        <v/>
      </c>
      <c r="G1856" s="48"/>
      <c r="H1856" s="48"/>
      <c r="I1856" s="49"/>
      <c r="J1856" s="24" t="str">
        <f>IF(OR($A1856="",$B1856=""),"",IF($I1856&lt;&gt;"",$I1856,IF($D1856=本位币,1,IFERROR(LOOKUP(2,1/((汇率月份&lt;=$A1856)*(INDEX(记账汇率区,0,MATCH($D1856,汇率币种头,0))&lt;&gt;"")),INDEX(记账汇率区,0,MATCH($D1856,汇率币种头,0))),""))))</f>
        <v/>
      </c>
      <c r="K1856" s="23" t="str">
        <f t="shared" si="56"/>
        <v/>
      </c>
      <c r="L1856" s="23" t="str">
        <f t="shared" si="57"/>
        <v/>
      </c>
      <c r="M1856" s="23" t="str">
        <f>IF($B1856="","",ROUND(SUMIF(账户名,$B1856,账户期初)+SUMIFS($K$6:K1856,$B$6:B1856,$B1856),2))</f>
        <v/>
      </c>
      <c r="N1856" s="23" t="str">
        <f>IF($B1856="","",IFERROR(ROUND(INDEX(账户期初本位,MATCH($B1856,账户名,0))+SUMIFS($L$6:L1856,$B$6:B1856,$B1856),2),""))</f>
        <v/>
      </c>
      <c r="O1856" s="46"/>
      <c r="P1856" s="47"/>
      <c r="Q1856" s="46"/>
      <c r="R1856" s="46"/>
      <c r="S1856" s="6" t="str">
        <f>IF($B1856="","",IF(ISNA(MATCH($B1856,账户名,0)),"※这个账户不在【参数设置】的账户档案里",IF($A1856="","※没填日期，这一笔不会进任何月份的报表",IF(AND($G1856&lt;&gt;"",$H1856&lt;&gt;""),"※收入和支出不能同时填",IF(AND(N($G1856)=0,N($H1856)=0),"※收入和支出都没填",IF($E1856="","※没填收支类别，分类报表会漏掉这一笔",IF(ISNA(MATCH($E1856,类别表,0)),"※收支类别不在【参数设置】的清单里",IF($J1856="","△"&amp;$D1856&amp;" 还没填汇率，去【月度汇率】补上就自动算了",IF(YEAR($A1856)&lt;&gt;管理年度,"△不是管理年度的单据，年报里看不到",IF(AND($F1856="内部转账",$Q1856=""),"△内部转账建议在「往来单位」写上对方账户",IF($M1856&lt;0,"△这一笔之后该账户余额成负数了，核一下","")))))))))))</f>
        <v/>
      </c>
    </row>
    <row r="1857" ht="16.5" spans="1:19">
      <c r="A1857" s="45"/>
      <c r="B1857" s="46"/>
      <c r="C1857" s="12" t="str">
        <f>IF($B1857="","",IFERROR(INDEX(账户银行,MATCH($B1857,账户名,0)),""))</f>
        <v/>
      </c>
      <c r="D1857" s="12" t="str">
        <f>IF($B1857="","",IFERROR(INDEX(账户币种,MATCH($B1857,账户名,0)),""))</f>
        <v/>
      </c>
      <c r="E1857" s="47"/>
      <c r="F1857" s="12" t="str">
        <f>IF($E1857="","",IFERROR(INDEX(类别属性,MATCH($E1857,类别表,0)),""))</f>
        <v/>
      </c>
      <c r="G1857" s="48"/>
      <c r="H1857" s="48"/>
      <c r="I1857" s="49"/>
      <c r="J1857" s="24" t="str">
        <f>IF(OR($A1857="",$B1857=""),"",IF($I1857&lt;&gt;"",$I1857,IF($D1857=本位币,1,IFERROR(LOOKUP(2,1/((汇率月份&lt;=$A1857)*(INDEX(记账汇率区,0,MATCH($D1857,汇率币种头,0))&lt;&gt;"")),INDEX(记账汇率区,0,MATCH($D1857,汇率币种头,0))),""))))</f>
        <v/>
      </c>
      <c r="K1857" s="23" t="str">
        <f t="shared" si="56"/>
        <v/>
      </c>
      <c r="L1857" s="23" t="str">
        <f t="shared" si="57"/>
        <v/>
      </c>
      <c r="M1857" s="23" t="str">
        <f>IF($B1857="","",ROUND(SUMIF(账户名,$B1857,账户期初)+SUMIFS($K$6:K1857,$B$6:B1857,$B1857),2))</f>
        <v/>
      </c>
      <c r="N1857" s="23" t="str">
        <f>IF($B1857="","",IFERROR(ROUND(INDEX(账户期初本位,MATCH($B1857,账户名,0))+SUMIFS($L$6:L1857,$B$6:B1857,$B1857),2),""))</f>
        <v/>
      </c>
      <c r="O1857" s="46"/>
      <c r="P1857" s="47"/>
      <c r="Q1857" s="46"/>
      <c r="R1857" s="46"/>
      <c r="S1857" s="6" t="str">
        <f>IF($B1857="","",IF(ISNA(MATCH($B1857,账户名,0)),"※这个账户不在【参数设置】的账户档案里",IF($A1857="","※没填日期，这一笔不会进任何月份的报表",IF(AND($G1857&lt;&gt;"",$H1857&lt;&gt;""),"※收入和支出不能同时填",IF(AND(N($G1857)=0,N($H1857)=0),"※收入和支出都没填",IF($E1857="","※没填收支类别，分类报表会漏掉这一笔",IF(ISNA(MATCH($E1857,类别表,0)),"※收支类别不在【参数设置】的清单里",IF($J1857="","△"&amp;$D1857&amp;" 还没填汇率，去【月度汇率】补上就自动算了",IF(YEAR($A1857)&lt;&gt;管理年度,"△不是管理年度的单据，年报里看不到",IF(AND($F1857="内部转账",$Q1857=""),"△内部转账建议在「往来单位」写上对方账户",IF($M1857&lt;0,"△这一笔之后该账户余额成负数了，核一下","")))))))))))</f>
        <v/>
      </c>
    </row>
    <row r="1858" ht="16.5" spans="1:19">
      <c r="A1858" s="45"/>
      <c r="B1858" s="46"/>
      <c r="C1858" s="12" t="str">
        <f>IF($B1858="","",IFERROR(INDEX(账户银行,MATCH($B1858,账户名,0)),""))</f>
        <v/>
      </c>
      <c r="D1858" s="12" t="str">
        <f>IF($B1858="","",IFERROR(INDEX(账户币种,MATCH($B1858,账户名,0)),""))</f>
        <v/>
      </c>
      <c r="E1858" s="47"/>
      <c r="F1858" s="12" t="str">
        <f>IF($E1858="","",IFERROR(INDEX(类别属性,MATCH($E1858,类别表,0)),""))</f>
        <v/>
      </c>
      <c r="G1858" s="48"/>
      <c r="H1858" s="48"/>
      <c r="I1858" s="49"/>
      <c r="J1858" s="24" t="str">
        <f>IF(OR($A1858="",$B1858=""),"",IF($I1858&lt;&gt;"",$I1858,IF($D1858=本位币,1,IFERROR(LOOKUP(2,1/((汇率月份&lt;=$A1858)*(INDEX(记账汇率区,0,MATCH($D1858,汇率币种头,0))&lt;&gt;"")),INDEX(记账汇率区,0,MATCH($D1858,汇率币种头,0))),""))))</f>
        <v/>
      </c>
      <c r="K1858" s="23" t="str">
        <f t="shared" si="56"/>
        <v/>
      </c>
      <c r="L1858" s="23" t="str">
        <f t="shared" si="57"/>
        <v/>
      </c>
      <c r="M1858" s="23" t="str">
        <f>IF($B1858="","",ROUND(SUMIF(账户名,$B1858,账户期初)+SUMIFS($K$6:K1858,$B$6:B1858,$B1858),2))</f>
        <v/>
      </c>
      <c r="N1858" s="23" t="str">
        <f>IF($B1858="","",IFERROR(ROUND(INDEX(账户期初本位,MATCH($B1858,账户名,0))+SUMIFS($L$6:L1858,$B$6:B1858,$B1858),2),""))</f>
        <v/>
      </c>
      <c r="O1858" s="46"/>
      <c r="P1858" s="47"/>
      <c r="Q1858" s="46"/>
      <c r="R1858" s="46"/>
      <c r="S1858" s="6" t="str">
        <f>IF($B1858="","",IF(ISNA(MATCH($B1858,账户名,0)),"※这个账户不在【参数设置】的账户档案里",IF($A1858="","※没填日期，这一笔不会进任何月份的报表",IF(AND($G1858&lt;&gt;"",$H1858&lt;&gt;""),"※收入和支出不能同时填",IF(AND(N($G1858)=0,N($H1858)=0),"※收入和支出都没填",IF($E1858="","※没填收支类别，分类报表会漏掉这一笔",IF(ISNA(MATCH($E1858,类别表,0)),"※收支类别不在【参数设置】的清单里",IF($J1858="","△"&amp;$D1858&amp;" 还没填汇率，去【月度汇率】补上就自动算了",IF(YEAR($A1858)&lt;&gt;管理年度,"△不是管理年度的单据，年报里看不到",IF(AND($F1858="内部转账",$Q1858=""),"△内部转账建议在「往来单位」写上对方账户",IF($M1858&lt;0,"△这一笔之后该账户余额成负数了，核一下","")))))))))))</f>
        <v/>
      </c>
    </row>
    <row r="1859" ht="16.5" spans="1:19">
      <c r="A1859" s="45"/>
      <c r="B1859" s="46"/>
      <c r="C1859" s="12" t="str">
        <f>IF($B1859="","",IFERROR(INDEX(账户银行,MATCH($B1859,账户名,0)),""))</f>
        <v/>
      </c>
      <c r="D1859" s="12" t="str">
        <f>IF($B1859="","",IFERROR(INDEX(账户币种,MATCH($B1859,账户名,0)),""))</f>
        <v/>
      </c>
      <c r="E1859" s="47"/>
      <c r="F1859" s="12" t="str">
        <f>IF($E1859="","",IFERROR(INDEX(类别属性,MATCH($E1859,类别表,0)),""))</f>
        <v/>
      </c>
      <c r="G1859" s="48"/>
      <c r="H1859" s="48"/>
      <c r="I1859" s="49"/>
      <c r="J1859" s="24" t="str">
        <f>IF(OR($A1859="",$B1859=""),"",IF($I1859&lt;&gt;"",$I1859,IF($D1859=本位币,1,IFERROR(LOOKUP(2,1/((汇率月份&lt;=$A1859)*(INDEX(记账汇率区,0,MATCH($D1859,汇率币种头,0))&lt;&gt;"")),INDEX(记账汇率区,0,MATCH($D1859,汇率币种头,0))),""))))</f>
        <v/>
      </c>
      <c r="K1859" s="23" t="str">
        <f t="shared" si="56"/>
        <v/>
      </c>
      <c r="L1859" s="23" t="str">
        <f t="shared" si="57"/>
        <v/>
      </c>
      <c r="M1859" s="23" t="str">
        <f>IF($B1859="","",ROUND(SUMIF(账户名,$B1859,账户期初)+SUMIFS($K$6:K1859,$B$6:B1859,$B1859),2))</f>
        <v/>
      </c>
      <c r="N1859" s="23" t="str">
        <f>IF($B1859="","",IFERROR(ROUND(INDEX(账户期初本位,MATCH($B1859,账户名,0))+SUMIFS($L$6:L1859,$B$6:B1859,$B1859),2),""))</f>
        <v/>
      </c>
      <c r="O1859" s="46"/>
      <c r="P1859" s="47"/>
      <c r="Q1859" s="46"/>
      <c r="R1859" s="46"/>
      <c r="S1859" s="6" t="str">
        <f>IF($B1859="","",IF(ISNA(MATCH($B1859,账户名,0)),"※这个账户不在【参数设置】的账户档案里",IF($A1859="","※没填日期，这一笔不会进任何月份的报表",IF(AND($G1859&lt;&gt;"",$H1859&lt;&gt;""),"※收入和支出不能同时填",IF(AND(N($G1859)=0,N($H1859)=0),"※收入和支出都没填",IF($E1859="","※没填收支类别，分类报表会漏掉这一笔",IF(ISNA(MATCH($E1859,类别表,0)),"※收支类别不在【参数设置】的清单里",IF($J1859="","△"&amp;$D1859&amp;" 还没填汇率，去【月度汇率】补上就自动算了",IF(YEAR($A1859)&lt;&gt;管理年度,"△不是管理年度的单据，年报里看不到",IF(AND($F1859="内部转账",$Q1859=""),"△内部转账建议在「往来单位」写上对方账户",IF($M1859&lt;0,"△这一笔之后该账户余额成负数了，核一下","")))))))))))</f>
        <v/>
      </c>
    </row>
    <row r="1860" ht="16.5" spans="1:19">
      <c r="A1860" s="45"/>
      <c r="B1860" s="46"/>
      <c r="C1860" s="12" t="str">
        <f>IF($B1860="","",IFERROR(INDEX(账户银行,MATCH($B1860,账户名,0)),""))</f>
        <v/>
      </c>
      <c r="D1860" s="12" t="str">
        <f>IF($B1860="","",IFERROR(INDEX(账户币种,MATCH($B1860,账户名,0)),""))</f>
        <v/>
      </c>
      <c r="E1860" s="47"/>
      <c r="F1860" s="12" t="str">
        <f>IF($E1860="","",IFERROR(INDEX(类别属性,MATCH($E1860,类别表,0)),""))</f>
        <v/>
      </c>
      <c r="G1860" s="48"/>
      <c r="H1860" s="48"/>
      <c r="I1860" s="49"/>
      <c r="J1860" s="24" t="str">
        <f>IF(OR($A1860="",$B1860=""),"",IF($I1860&lt;&gt;"",$I1860,IF($D1860=本位币,1,IFERROR(LOOKUP(2,1/((汇率月份&lt;=$A1860)*(INDEX(记账汇率区,0,MATCH($D1860,汇率币种头,0))&lt;&gt;"")),INDEX(记账汇率区,0,MATCH($D1860,汇率币种头,0))),""))))</f>
        <v/>
      </c>
      <c r="K1860" s="23" t="str">
        <f t="shared" si="56"/>
        <v/>
      </c>
      <c r="L1860" s="23" t="str">
        <f t="shared" si="57"/>
        <v/>
      </c>
      <c r="M1860" s="23" t="str">
        <f>IF($B1860="","",ROUND(SUMIF(账户名,$B1860,账户期初)+SUMIFS($K$6:K1860,$B$6:B1860,$B1860),2))</f>
        <v/>
      </c>
      <c r="N1860" s="23" t="str">
        <f>IF($B1860="","",IFERROR(ROUND(INDEX(账户期初本位,MATCH($B1860,账户名,0))+SUMIFS($L$6:L1860,$B$6:B1860,$B1860),2),""))</f>
        <v/>
      </c>
      <c r="O1860" s="46"/>
      <c r="P1860" s="47"/>
      <c r="Q1860" s="46"/>
      <c r="R1860" s="46"/>
      <c r="S1860" s="6" t="str">
        <f>IF($B1860="","",IF(ISNA(MATCH($B1860,账户名,0)),"※这个账户不在【参数设置】的账户档案里",IF($A1860="","※没填日期，这一笔不会进任何月份的报表",IF(AND($G1860&lt;&gt;"",$H1860&lt;&gt;""),"※收入和支出不能同时填",IF(AND(N($G1860)=0,N($H1860)=0),"※收入和支出都没填",IF($E1860="","※没填收支类别，分类报表会漏掉这一笔",IF(ISNA(MATCH($E1860,类别表,0)),"※收支类别不在【参数设置】的清单里",IF($J1860="","△"&amp;$D1860&amp;" 还没填汇率，去【月度汇率】补上就自动算了",IF(YEAR($A1860)&lt;&gt;管理年度,"△不是管理年度的单据，年报里看不到",IF(AND($F1860="内部转账",$Q1860=""),"△内部转账建议在「往来单位」写上对方账户",IF($M1860&lt;0,"△这一笔之后该账户余额成负数了，核一下","")))))))))))</f>
        <v/>
      </c>
    </row>
    <row r="1861" ht="16.5" spans="1:19">
      <c r="A1861" s="45"/>
      <c r="B1861" s="46"/>
      <c r="C1861" s="12" t="str">
        <f>IF($B1861="","",IFERROR(INDEX(账户银行,MATCH($B1861,账户名,0)),""))</f>
        <v/>
      </c>
      <c r="D1861" s="12" t="str">
        <f>IF($B1861="","",IFERROR(INDEX(账户币种,MATCH($B1861,账户名,0)),""))</f>
        <v/>
      </c>
      <c r="E1861" s="47"/>
      <c r="F1861" s="12" t="str">
        <f>IF($E1861="","",IFERROR(INDEX(类别属性,MATCH($E1861,类别表,0)),""))</f>
        <v/>
      </c>
      <c r="G1861" s="48"/>
      <c r="H1861" s="48"/>
      <c r="I1861" s="49"/>
      <c r="J1861" s="24" t="str">
        <f>IF(OR($A1861="",$B1861=""),"",IF($I1861&lt;&gt;"",$I1861,IF($D1861=本位币,1,IFERROR(LOOKUP(2,1/((汇率月份&lt;=$A1861)*(INDEX(记账汇率区,0,MATCH($D1861,汇率币种头,0))&lt;&gt;"")),INDEX(记账汇率区,0,MATCH($D1861,汇率币种头,0))),""))))</f>
        <v/>
      </c>
      <c r="K1861" s="23" t="str">
        <f t="shared" si="56"/>
        <v/>
      </c>
      <c r="L1861" s="23" t="str">
        <f t="shared" si="57"/>
        <v/>
      </c>
      <c r="M1861" s="23" t="str">
        <f>IF($B1861="","",ROUND(SUMIF(账户名,$B1861,账户期初)+SUMIFS($K$6:K1861,$B$6:B1861,$B1861),2))</f>
        <v/>
      </c>
      <c r="N1861" s="23" t="str">
        <f>IF($B1861="","",IFERROR(ROUND(INDEX(账户期初本位,MATCH($B1861,账户名,0))+SUMIFS($L$6:L1861,$B$6:B1861,$B1861),2),""))</f>
        <v/>
      </c>
      <c r="O1861" s="46"/>
      <c r="P1861" s="47"/>
      <c r="Q1861" s="46"/>
      <c r="R1861" s="46"/>
      <c r="S1861" s="6" t="str">
        <f>IF($B1861="","",IF(ISNA(MATCH($B1861,账户名,0)),"※这个账户不在【参数设置】的账户档案里",IF($A1861="","※没填日期，这一笔不会进任何月份的报表",IF(AND($G1861&lt;&gt;"",$H1861&lt;&gt;""),"※收入和支出不能同时填",IF(AND(N($G1861)=0,N($H1861)=0),"※收入和支出都没填",IF($E1861="","※没填收支类别，分类报表会漏掉这一笔",IF(ISNA(MATCH($E1861,类别表,0)),"※收支类别不在【参数设置】的清单里",IF($J1861="","△"&amp;$D1861&amp;" 还没填汇率，去【月度汇率】补上就自动算了",IF(YEAR($A1861)&lt;&gt;管理年度,"△不是管理年度的单据，年报里看不到",IF(AND($F1861="内部转账",$Q1861=""),"△内部转账建议在「往来单位」写上对方账户",IF($M1861&lt;0,"△这一笔之后该账户余额成负数了，核一下","")))))))))))</f>
        <v/>
      </c>
    </row>
    <row r="1862" ht="16.5" spans="1:19">
      <c r="A1862" s="45"/>
      <c r="B1862" s="46"/>
      <c r="C1862" s="12" t="str">
        <f>IF($B1862="","",IFERROR(INDEX(账户银行,MATCH($B1862,账户名,0)),""))</f>
        <v/>
      </c>
      <c r="D1862" s="12" t="str">
        <f>IF($B1862="","",IFERROR(INDEX(账户币种,MATCH($B1862,账户名,0)),""))</f>
        <v/>
      </c>
      <c r="E1862" s="47"/>
      <c r="F1862" s="12" t="str">
        <f>IF($E1862="","",IFERROR(INDEX(类别属性,MATCH($E1862,类别表,0)),""))</f>
        <v/>
      </c>
      <c r="G1862" s="48"/>
      <c r="H1862" s="48"/>
      <c r="I1862" s="49"/>
      <c r="J1862" s="24" t="str">
        <f>IF(OR($A1862="",$B1862=""),"",IF($I1862&lt;&gt;"",$I1862,IF($D1862=本位币,1,IFERROR(LOOKUP(2,1/((汇率月份&lt;=$A1862)*(INDEX(记账汇率区,0,MATCH($D1862,汇率币种头,0))&lt;&gt;"")),INDEX(记账汇率区,0,MATCH($D1862,汇率币种头,0))),""))))</f>
        <v/>
      </c>
      <c r="K1862" s="23" t="str">
        <f t="shared" ref="K1862:K1925" si="58">IF(AND($G1862="",$H1862=""),"",ROUND(N($G1862)-N($H1862),2))</f>
        <v/>
      </c>
      <c r="L1862" s="23" t="str">
        <f t="shared" ref="L1862:L1925" si="59">IF(OR($K1862="",$J1862=""),"",ROUND($K1862*$J1862,2))</f>
        <v/>
      </c>
      <c r="M1862" s="23" t="str">
        <f>IF($B1862="","",ROUND(SUMIF(账户名,$B1862,账户期初)+SUMIFS($K$6:K1862,$B$6:B1862,$B1862),2))</f>
        <v/>
      </c>
      <c r="N1862" s="23" t="str">
        <f>IF($B1862="","",IFERROR(ROUND(INDEX(账户期初本位,MATCH($B1862,账户名,0))+SUMIFS($L$6:L1862,$B$6:B1862,$B1862),2),""))</f>
        <v/>
      </c>
      <c r="O1862" s="46"/>
      <c r="P1862" s="47"/>
      <c r="Q1862" s="46"/>
      <c r="R1862" s="46"/>
      <c r="S1862" s="6" t="str">
        <f>IF($B1862="","",IF(ISNA(MATCH($B1862,账户名,0)),"※这个账户不在【参数设置】的账户档案里",IF($A1862="","※没填日期，这一笔不会进任何月份的报表",IF(AND($G1862&lt;&gt;"",$H1862&lt;&gt;""),"※收入和支出不能同时填",IF(AND(N($G1862)=0,N($H1862)=0),"※收入和支出都没填",IF($E1862="","※没填收支类别，分类报表会漏掉这一笔",IF(ISNA(MATCH($E1862,类别表,0)),"※收支类别不在【参数设置】的清单里",IF($J1862="","△"&amp;$D1862&amp;" 还没填汇率，去【月度汇率】补上就自动算了",IF(YEAR($A1862)&lt;&gt;管理年度,"△不是管理年度的单据，年报里看不到",IF(AND($F1862="内部转账",$Q1862=""),"△内部转账建议在「往来单位」写上对方账户",IF($M1862&lt;0,"△这一笔之后该账户余额成负数了，核一下","")))))))))))</f>
        <v/>
      </c>
    </row>
    <row r="1863" ht="16.5" spans="1:19">
      <c r="A1863" s="45"/>
      <c r="B1863" s="46"/>
      <c r="C1863" s="12" t="str">
        <f>IF($B1863="","",IFERROR(INDEX(账户银行,MATCH($B1863,账户名,0)),""))</f>
        <v/>
      </c>
      <c r="D1863" s="12" t="str">
        <f>IF($B1863="","",IFERROR(INDEX(账户币种,MATCH($B1863,账户名,0)),""))</f>
        <v/>
      </c>
      <c r="E1863" s="47"/>
      <c r="F1863" s="12" t="str">
        <f>IF($E1863="","",IFERROR(INDEX(类别属性,MATCH($E1863,类别表,0)),""))</f>
        <v/>
      </c>
      <c r="G1863" s="48"/>
      <c r="H1863" s="48"/>
      <c r="I1863" s="49"/>
      <c r="J1863" s="24" t="str">
        <f>IF(OR($A1863="",$B1863=""),"",IF($I1863&lt;&gt;"",$I1863,IF($D1863=本位币,1,IFERROR(LOOKUP(2,1/((汇率月份&lt;=$A1863)*(INDEX(记账汇率区,0,MATCH($D1863,汇率币种头,0))&lt;&gt;"")),INDEX(记账汇率区,0,MATCH($D1863,汇率币种头,0))),""))))</f>
        <v/>
      </c>
      <c r="K1863" s="23" t="str">
        <f t="shared" si="58"/>
        <v/>
      </c>
      <c r="L1863" s="23" t="str">
        <f t="shared" si="59"/>
        <v/>
      </c>
      <c r="M1863" s="23" t="str">
        <f>IF($B1863="","",ROUND(SUMIF(账户名,$B1863,账户期初)+SUMIFS($K$6:K1863,$B$6:B1863,$B1863),2))</f>
        <v/>
      </c>
      <c r="N1863" s="23" t="str">
        <f>IF($B1863="","",IFERROR(ROUND(INDEX(账户期初本位,MATCH($B1863,账户名,0))+SUMIFS($L$6:L1863,$B$6:B1863,$B1863),2),""))</f>
        <v/>
      </c>
      <c r="O1863" s="46"/>
      <c r="P1863" s="47"/>
      <c r="Q1863" s="46"/>
      <c r="R1863" s="46"/>
      <c r="S1863" s="6" t="str">
        <f>IF($B1863="","",IF(ISNA(MATCH($B1863,账户名,0)),"※这个账户不在【参数设置】的账户档案里",IF($A1863="","※没填日期，这一笔不会进任何月份的报表",IF(AND($G1863&lt;&gt;"",$H1863&lt;&gt;""),"※收入和支出不能同时填",IF(AND(N($G1863)=0,N($H1863)=0),"※收入和支出都没填",IF($E1863="","※没填收支类别，分类报表会漏掉这一笔",IF(ISNA(MATCH($E1863,类别表,0)),"※收支类别不在【参数设置】的清单里",IF($J1863="","△"&amp;$D1863&amp;" 还没填汇率，去【月度汇率】补上就自动算了",IF(YEAR($A1863)&lt;&gt;管理年度,"△不是管理年度的单据，年报里看不到",IF(AND($F1863="内部转账",$Q1863=""),"△内部转账建议在「往来单位」写上对方账户",IF($M1863&lt;0,"△这一笔之后该账户余额成负数了，核一下","")))))))))))</f>
        <v/>
      </c>
    </row>
    <row r="1864" ht="16.5" spans="1:19">
      <c r="A1864" s="45"/>
      <c r="B1864" s="46"/>
      <c r="C1864" s="12" t="str">
        <f>IF($B1864="","",IFERROR(INDEX(账户银行,MATCH($B1864,账户名,0)),""))</f>
        <v/>
      </c>
      <c r="D1864" s="12" t="str">
        <f>IF($B1864="","",IFERROR(INDEX(账户币种,MATCH($B1864,账户名,0)),""))</f>
        <v/>
      </c>
      <c r="E1864" s="47"/>
      <c r="F1864" s="12" t="str">
        <f>IF($E1864="","",IFERROR(INDEX(类别属性,MATCH($E1864,类别表,0)),""))</f>
        <v/>
      </c>
      <c r="G1864" s="48"/>
      <c r="H1864" s="48"/>
      <c r="I1864" s="49"/>
      <c r="J1864" s="24" t="str">
        <f>IF(OR($A1864="",$B1864=""),"",IF($I1864&lt;&gt;"",$I1864,IF($D1864=本位币,1,IFERROR(LOOKUP(2,1/((汇率月份&lt;=$A1864)*(INDEX(记账汇率区,0,MATCH($D1864,汇率币种头,0))&lt;&gt;"")),INDEX(记账汇率区,0,MATCH($D1864,汇率币种头,0))),""))))</f>
        <v/>
      </c>
      <c r="K1864" s="23" t="str">
        <f t="shared" si="58"/>
        <v/>
      </c>
      <c r="L1864" s="23" t="str">
        <f t="shared" si="59"/>
        <v/>
      </c>
      <c r="M1864" s="23" t="str">
        <f>IF($B1864="","",ROUND(SUMIF(账户名,$B1864,账户期初)+SUMIFS($K$6:K1864,$B$6:B1864,$B1864),2))</f>
        <v/>
      </c>
      <c r="N1864" s="23" t="str">
        <f>IF($B1864="","",IFERROR(ROUND(INDEX(账户期初本位,MATCH($B1864,账户名,0))+SUMIFS($L$6:L1864,$B$6:B1864,$B1864),2),""))</f>
        <v/>
      </c>
      <c r="O1864" s="46"/>
      <c r="P1864" s="47"/>
      <c r="Q1864" s="46"/>
      <c r="R1864" s="46"/>
      <c r="S1864" s="6" t="str">
        <f>IF($B1864="","",IF(ISNA(MATCH($B1864,账户名,0)),"※这个账户不在【参数设置】的账户档案里",IF($A1864="","※没填日期，这一笔不会进任何月份的报表",IF(AND($G1864&lt;&gt;"",$H1864&lt;&gt;""),"※收入和支出不能同时填",IF(AND(N($G1864)=0,N($H1864)=0),"※收入和支出都没填",IF($E1864="","※没填收支类别，分类报表会漏掉这一笔",IF(ISNA(MATCH($E1864,类别表,0)),"※收支类别不在【参数设置】的清单里",IF($J1864="","△"&amp;$D1864&amp;" 还没填汇率，去【月度汇率】补上就自动算了",IF(YEAR($A1864)&lt;&gt;管理年度,"△不是管理年度的单据，年报里看不到",IF(AND($F1864="内部转账",$Q1864=""),"△内部转账建议在「往来单位」写上对方账户",IF($M1864&lt;0,"△这一笔之后该账户余额成负数了，核一下","")))))))))))</f>
        <v/>
      </c>
    </row>
    <row r="1865" ht="16.5" spans="1:19">
      <c r="A1865" s="45"/>
      <c r="B1865" s="46"/>
      <c r="C1865" s="12" t="str">
        <f>IF($B1865="","",IFERROR(INDEX(账户银行,MATCH($B1865,账户名,0)),""))</f>
        <v/>
      </c>
      <c r="D1865" s="12" t="str">
        <f>IF($B1865="","",IFERROR(INDEX(账户币种,MATCH($B1865,账户名,0)),""))</f>
        <v/>
      </c>
      <c r="E1865" s="47"/>
      <c r="F1865" s="12" t="str">
        <f>IF($E1865="","",IFERROR(INDEX(类别属性,MATCH($E1865,类别表,0)),""))</f>
        <v/>
      </c>
      <c r="G1865" s="48"/>
      <c r="H1865" s="48"/>
      <c r="I1865" s="49"/>
      <c r="J1865" s="24" t="str">
        <f>IF(OR($A1865="",$B1865=""),"",IF($I1865&lt;&gt;"",$I1865,IF($D1865=本位币,1,IFERROR(LOOKUP(2,1/((汇率月份&lt;=$A1865)*(INDEX(记账汇率区,0,MATCH($D1865,汇率币种头,0))&lt;&gt;"")),INDEX(记账汇率区,0,MATCH($D1865,汇率币种头,0))),""))))</f>
        <v/>
      </c>
      <c r="K1865" s="23" t="str">
        <f t="shared" si="58"/>
        <v/>
      </c>
      <c r="L1865" s="23" t="str">
        <f t="shared" si="59"/>
        <v/>
      </c>
      <c r="M1865" s="23" t="str">
        <f>IF($B1865="","",ROUND(SUMIF(账户名,$B1865,账户期初)+SUMIFS($K$6:K1865,$B$6:B1865,$B1865),2))</f>
        <v/>
      </c>
      <c r="N1865" s="23" t="str">
        <f>IF($B1865="","",IFERROR(ROUND(INDEX(账户期初本位,MATCH($B1865,账户名,0))+SUMIFS($L$6:L1865,$B$6:B1865,$B1865),2),""))</f>
        <v/>
      </c>
      <c r="O1865" s="46"/>
      <c r="P1865" s="47"/>
      <c r="Q1865" s="46"/>
      <c r="R1865" s="46"/>
      <c r="S1865" s="6" t="str">
        <f>IF($B1865="","",IF(ISNA(MATCH($B1865,账户名,0)),"※这个账户不在【参数设置】的账户档案里",IF($A1865="","※没填日期，这一笔不会进任何月份的报表",IF(AND($G1865&lt;&gt;"",$H1865&lt;&gt;""),"※收入和支出不能同时填",IF(AND(N($G1865)=0,N($H1865)=0),"※收入和支出都没填",IF($E1865="","※没填收支类别，分类报表会漏掉这一笔",IF(ISNA(MATCH($E1865,类别表,0)),"※收支类别不在【参数设置】的清单里",IF($J1865="","△"&amp;$D1865&amp;" 还没填汇率，去【月度汇率】补上就自动算了",IF(YEAR($A1865)&lt;&gt;管理年度,"△不是管理年度的单据，年报里看不到",IF(AND($F1865="内部转账",$Q1865=""),"△内部转账建议在「往来单位」写上对方账户",IF($M1865&lt;0,"△这一笔之后该账户余额成负数了，核一下","")))))))))))</f>
        <v/>
      </c>
    </row>
    <row r="1866" ht="16.5" spans="1:19">
      <c r="A1866" s="45"/>
      <c r="B1866" s="46"/>
      <c r="C1866" s="12" t="str">
        <f>IF($B1866="","",IFERROR(INDEX(账户银行,MATCH($B1866,账户名,0)),""))</f>
        <v/>
      </c>
      <c r="D1866" s="12" t="str">
        <f>IF($B1866="","",IFERROR(INDEX(账户币种,MATCH($B1866,账户名,0)),""))</f>
        <v/>
      </c>
      <c r="E1866" s="47"/>
      <c r="F1866" s="12" t="str">
        <f>IF($E1866="","",IFERROR(INDEX(类别属性,MATCH($E1866,类别表,0)),""))</f>
        <v/>
      </c>
      <c r="G1866" s="48"/>
      <c r="H1866" s="48"/>
      <c r="I1866" s="49"/>
      <c r="J1866" s="24" t="str">
        <f>IF(OR($A1866="",$B1866=""),"",IF($I1866&lt;&gt;"",$I1866,IF($D1866=本位币,1,IFERROR(LOOKUP(2,1/((汇率月份&lt;=$A1866)*(INDEX(记账汇率区,0,MATCH($D1866,汇率币种头,0))&lt;&gt;"")),INDEX(记账汇率区,0,MATCH($D1866,汇率币种头,0))),""))))</f>
        <v/>
      </c>
      <c r="K1866" s="23" t="str">
        <f t="shared" si="58"/>
        <v/>
      </c>
      <c r="L1866" s="23" t="str">
        <f t="shared" si="59"/>
        <v/>
      </c>
      <c r="M1866" s="23" t="str">
        <f>IF($B1866="","",ROUND(SUMIF(账户名,$B1866,账户期初)+SUMIFS($K$6:K1866,$B$6:B1866,$B1866),2))</f>
        <v/>
      </c>
      <c r="N1866" s="23" t="str">
        <f>IF($B1866="","",IFERROR(ROUND(INDEX(账户期初本位,MATCH($B1866,账户名,0))+SUMIFS($L$6:L1866,$B$6:B1866,$B1866),2),""))</f>
        <v/>
      </c>
      <c r="O1866" s="46"/>
      <c r="P1866" s="47"/>
      <c r="Q1866" s="46"/>
      <c r="R1866" s="46"/>
      <c r="S1866" s="6" t="str">
        <f>IF($B1866="","",IF(ISNA(MATCH($B1866,账户名,0)),"※这个账户不在【参数设置】的账户档案里",IF($A1866="","※没填日期，这一笔不会进任何月份的报表",IF(AND($G1866&lt;&gt;"",$H1866&lt;&gt;""),"※收入和支出不能同时填",IF(AND(N($G1866)=0,N($H1866)=0),"※收入和支出都没填",IF($E1866="","※没填收支类别，分类报表会漏掉这一笔",IF(ISNA(MATCH($E1866,类别表,0)),"※收支类别不在【参数设置】的清单里",IF($J1866="","△"&amp;$D1866&amp;" 还没填汇率，去【月度汇率】补上就自动算了",IF(YEAR($A1866)&lt;&gt;管理年度,"△不是管理年度的单据，年报里看不到",IF(AND($F1866="内部转账",$Q1866=""),"△内部转账建议在「往来单位」写上对方账户",IF($M1866&lt;0,"△这一笔之后该账户余额成负数了，核一下","")))))))))))</f>
        <v/>
      </c>
    </row>
    <row r="1867" ht="16.5" spans="1:19">
      <c r="A1867" s="45"/>
      <c r="B1867" s="46"/>
      <c r="C1867" s="12" t="str">
        <f>IF($B1867="","",IFERROR(INDEX(账户银行,MATCH($B1867,账户名,0)),""))</f>
        <v/>
      </c>
      <c r="D1867" s="12" t="str">
        <f>IF($B1867="","",IFERROR(INDEX(账户币种,MATCH($B1867,账户名,0)),""))</f>
        <v/>
      </c>
      <c r="E1867" s="47"/>
      <c r="F1867" s="12" t="str">
        <f>IF($E1867="","",IFERROR(INDEX(类别属性,MATCH($E1867,类别表,0)),""))</f>
        <v/>
      </c>
      <c r="G1867" s="48"/>
      <c r="H1867" s="48"/>
      <c r="I1867" s="49"/>
      <c r="J1867" s="24" t="str">
        <f>IF(OR($A1867="",$B1867=""),"",IF($I1867&lt;&gt;"",$I1867,IF($D1867=本位币,1,IFERROR(LOOKUP(2,1/((汇率月份&lt;=$A1867)*(INDEX(记账汇率区,0,MATCH($D1867,汇率币种头,0))&lt;&gt;"")),INDEX(记账汇率区,0,MATCH($D1867,汇率币种头,0))),""))))</f>
        <v/>
      </c>
      <c r="K1867" s="23" t="str">
        <f t="shared" si="58"/>
        <v/>
      </c>
      <c r="L1867" s="23" t="str">
        <f t="shared" si="59"/>
        <v/>
      </c>
      <c r="M1867" s="23" t="str">
        <f>IF($B1867="","",ROUND(SUMIF(账户名,$B1867,账户期初)+SUMIFS($K$6:K1867,$B$6:B1867,$B1867),2))</f>
        <v/>
      </c>
      <c r="N1867" s="23" t="str">
        <f>IF($B1867="","",IFERROR(ROUND(INDEX(账户期初本位,MATCH($B1867,账户名,0))+SUMIFS($L$6:L1867,$B$6:B1867,$B1867),2),""))</f>
        <v/>
      </c>
      <c r="O1867" s="46"/>
      <c r="P1867" s="47"/>
      <c r="Q1867" s="46"/>
      <c r="R1867" s="46"/>
      <c r="S1867" s="6" t="str">
        <f>IF($B1867="","",IF(ISNA(MATCH($B1867,账户名,0)),"※这个账户不在【参数设置】的账户档案里",IF($A1867="","※没填日期，这一笔不会进任何月份的报表",IF(AND($G1867&lt;&gt;"",$H1867&lt;&gt;""),"※收入和支出不能同时填",IF(AND(N($G1867)=0,N($H1867)=0),"※收入和支出都没填",IF($E1867="","※没填收支类别，分类报表会漏掉这一笔",IF(ISNA(MATCH($E1867,类别表,0)),"※收支类别不在【参数设置】的清单里",IF($J1867="","△"&amp;$D1867&amp;" 还没填汇率，去【月度汇率】补上就自动算了",IF(YEAR($A1867)&lt;&gt;管理年度,"△不是管理年度的单据，年报里看不到",IF(AND($F1867="内部转账",$Q1867=""),"△内部转账建议在「往来单位」写上对方账户",IF($M1867&lt;0,"△这一笔之后该账户余额成负数了，核一下","")))))))))))</f>
        <v/>
      </c>
    </row>
    <row r="1868" ht="16.5" spans="1:19">
      <c r="A1868" s="45"/>
      <c r="B1868" s="46"/>
      <c r="C1868" s="12" t="str">
        <f>IF($B1868="","",IFERROR(INDEX(账户银行,MATCH($B1868,账户名,0)),""))</f>
        <v/>
      </c>
      <c r="D1868" s="12" t="str">
        <f>IF($B1868="","",IFERROR(INDEX(账户币种,MATCH($B1868,账户名,0)),""))</f>
        <v/>
      </c>
      <c r="E1868" s="47"/>
      <c r="F1868" s="12" t="str">
        <f>IF($E1868="","",IFERROR(INDEX(类别属性,MATCH($E1868,类别表,0)),""))</f>
        <v/>
      </c>
      <c r="G1868" s="48"/>
      <c r="H1868" s="48"/>
      <c r="I1868" s="49"/>
      <c r="J1868" s="24" t="str">
        <f>IF(OR($A1868="",$B1868=""),"",IF($I1868&lt;&gt;"",$I1868,IF($D1868=本位币,1,IFERROR(LOOKUP(2,1/((汇率月份&lt;=$A1868)*(INDEX(记账汇率区,0,MATCH($D1868,汇率币种头,0))&lt;&gt;"")),INDEX(记账汇率区,0,MATCH($D1868,汇率币种头,0))),""))))</f>
        <v/>
      </c>
      <c r="K1868" s="23" t="str">
        <f t="shared" si="58"/>
        <v/>
      </c>
      <c r="L1868" s="23" t="str">
        <f t="shared" si="59"/>
        <v/>
      </c>
      <c r="M1868" s="23" t="str">
        <f>IF($B1868="","",ROUND(SUMIF(账户名,$B1868,账户期初)+SUMIFS($K$6:K1868,$B$6:B1868,$B1868),2))</f>
        <v/>
      </c>
      <c r="N1868" s="23" t="str">
        <f>IF($B1868="","",IFERROR(ROUND(INDEX(账户期初本位,MATCH($B1868,账户名,0))+SUMIFS($L$6:L1868,$B$6:B1868,$B1868),2),""))</f>
        <v/>
      </c>
      <c r="O1868" s="46"/>
      <c r="P1868" s="47"/>
      <c r="Q1868" s="46"/>
      <c r="R1868" s="46"/>
      <c r="S1868" s="6" t="str">
        <f>IF($B1868="","",IF(ISNA(MATCH($B1868,账户名,0)),"※这个账户不在【参数设置】的账户档案里",IF($A1868="","※没填日期，这一笔不会进任何月份的报表",IF(AND($G1868&lt;&gt;"",$H1868&lt;&gt;""),"※收入和支出不能同时填",IF(AND(N($G1868)=0,N($H1868)=0),"※收入和支出都没填",IF($E1868="","※没填收支类别，分类报表会漏掉这一笔",IF(ISNA(MATCH($E1868,类别表,0)),"※收支类别不在【参数设置】的清单里",IF($J1868="","△"&amp;$D1868&amp;" 还没填汇率，去【月度汇率】补上就自动算了",IF(YEAR($A1868)&lt;&gt;管理年度,"△不是管理年度的单据，年报里看不到",IF(AND($F1868="内部转账",$Q1868=""),"△内部转账建议在「往来单位」写上对方账户",IF($M1868&lt;0,"△这一笔之后该账户余额成负数了，核一下","")))))))))))</f>
        <v/>
      </c>
    </row>
    <row r="1869" ht="16.5" spans="1:19">
      <c r="A1869" s="45"/>
      <c r="B1869" s="46"/>
      <c r="C1869" s="12" t="str">
        <f>IF($B1869="","",IFERROR(INDEX(账户银行,MATCH($B1869,账户名,0)),""))</f>
        <v/>
      </c>
      <c r="D1869" s="12" t="str">
        <f>IF($B1869="","",IFERROR(INDEX(账户币种,MATCH($B1869,账户名,0)),""))</f>
        <v/>
      </c>
      <c r="E1869" s="47"/>
      <c r="F1869" s="12" t="str">
        <f>IF($E1869="","",IFERROR(INDEX(类别属性,MATCH($E1869,类别表,0)),""))</f>
        <v/>
      </c>
      <c r="G1869" s="48"/>
      <c r="H1869" s="48"/>
      <c r="I1869" s="49"/>
      <c r="J1869" s="24" t="str">
        <f>IF(OR($A1869="",$B1869=""),"",IF($I1869&lt;&gt;"",$I1869,IF($D1869=本位币,1,IFERROR(LOOKUP(2,1/((汇率月份&lt;=$A1869)*(INDEX(记账汇率区,0,MATCH($D1869,汇率币种头,0))&lt;&gt;"")),INDEX(记账汇率区,0,MATCH($D1869,汇率币种头,0))),""))))</f>
        <v/>
      </c>
      <c r="K1869" s="23" t="str">
        <f t="shared" si="58"/>
        <v/>
      </c>
      <c r="L1869" s="23" t="str">
        <f t="shared" si="59"/>
        <v/>
      </c>
      <c r="M1869" s="23" t="str">
        <f>IF($B1869="","",ROUND(SUMIF(账户名,$B1869,账户期初)+SUMIFS($K$6:K1869,$B$6:B1869,$B1869),2))</f>
        <v/>
      </c>
      <c r="N1869" s="23" t="str">
        <f>IF($B1869="","",IFERROR(ROUND(INDEX(账户期初本位,MATCH($B1869,账户名,0))+SUMIFS($L$6:L1869,$B$6:B1869,$B1869),2),""))</f>
        <v/>
      </c>
      <c r="O1869" s="46"/>
      <c r="P1869" s="47"/>
      <c r="Q1869" s="46"/>
      <c r="R1869" s="46"/>
      <c r="S1869" s="6" t="str">
        <f>IF($B1869="","",IF(ISNA(MATCH($B1869,账户名,0)),"※这个账户不在【参数设置】的账户档案里",IF($A1869="","※没填日期，这一笔不会进任何月份的报表",IF(AND($G1869&lt;&gt;"",$H1869&lt;&gt;""),"※收入和支出不能同时填",IF(AND(N($G1869)=0,N($H1869)=0),"※收入和支出都没填",IF($E1869="","※没填收支类别，分类报表会漏掉这一笔",IF(ISNA(MATCH($E1869,类别表,0)),"※收支类别不在【参数设置】的清单里",IF($J1869="","△"&amp;$D1869&amp;" 还没填汇率，去【月度汇率】补上就自动算了",IF(YEAR($A1869)&lt;&gt;管理年度,"△不是管理年度的单据，年报里看不到",IF(AND($F1869="内部转账",$Q1869=""),"△内部转账建议在「往来单位」写上对方账户",IF($M1869&lt;0,"△这一笔之后该账户余额成负数了，核一下","")))))))))))</f>
        <v/>
      </c>
    </row>
    <row r="1870" ht="16.5" spans="1:19">
      <c r="A1870" s="45"/>
      <c r="B1870" s="46"/>
      <c r="C1870" s="12" t="str">
        <f>IF($B1870="","",IFERROR(INDEX(账户银行,MATCH($B1870,账户名,0)),""))</f>
        <v/>
      </c>
      <c r="D1870" s="12" t="str">
        <f>IF($B1870="","",IFERROR(INDEX(账户币种,MATCH($B1870,账户名,0)),""))</f>
        <v/>
      </c>
      <c r="E1870" s="47"/>
      <c r="F1870" s="12" t="str">
        <f>IF($E1870="","",IFERROR(INDEX(类别属性,MATCH($E1870,类别表,0)),""))</f>
        <v/>
      </c>
      <c r="G1870" s="48"/>
      <c r="H1870" s="48"/>
      <c r="I1870" s="49"/>
      <c r="J1870" s="24" t="str">
        <f>IF(OR($A1870="",$B1870=""),"",IF($I1870&lt;&gt;"",$I1870,IF($D1870=本位币,1,IFERROR(LOOKUP(2,1/((汇率月份&lt;=$A1870)*(INDEX(记账汇率区,0,MATCH($D1870,汇率币种头,0))&lt;&gt;"")),INDEX(记账汇率区,0,MATCH($D1870,汇率币种头,0))),""))))</f>
        <v/>
      </c>
      <c r="K1870" s="23" t="str">
        <f t="shared" si="58"/>
        <v/>
      </c>
      <c r="L1870" s="23" t="str">
        <f t="shared" si="59"/>
        <v/>
      </c>
      <c r="M1870" s="23" t="str">
        <f>IF($B1870="","",ROUND(SUMIF(账户名,$B1870,账户期初)+SUMIFS($K$6:K1870,$B$6:B1870,$B1870),2))</f>
        <v/>
      </c>
      <c r="N1870" s="23" t="str">
        <f>IF($B1870="","",IFERROR(ROUND(INDEX(账户期初本位,MATCH($B1870,账户名,0))+SUMIFS($L$6:L1870,$B$6:B1870,$B1870),2),""))</f>
        <v/>
      </c>
      <c r="O1870" s="46"/>
      <c r="P1870" s="47"/>
      <c r="Q1870" s="46"/>
      <c r="R1870" s="46"/>
      <c r="S1870" s="6" t="str">
        <f>IF($B1870="","",IF(ISNA(MATCH($B1870,账户名,0)),"※这个账户不在【参数设置】的账户档案里",IF($A1870="","※没填日期，这一笔不会进任何月份的报表",IF(AND($G1870&lt;&gt;"",$H1870&lt;&gt;""),"※收入和支出不能同时填",IF(AND(N($G1870)=0,N($H1870)=0),"※收入和支出都没填",IF($E1870="","※没填收支类别，分类报表会漏掉这一笔",IF(ISNA(MATCH($E1870,类别表,0)),"※收支类别不在【参数设置】的清单里",IF($J1870="","△"&amp;$D1870&amp;" 还没填汇率，去【月度汇率】补上就自动算了",IF(YEAR($A1870)&lt;&gt;管理年度,"△不是管理年度的单据，年报里看不到",IF(AND($F1870="内部转账",$Q1870=""),"△内部转账建议在「往来单位」写上对方账户",IF($M1870&lt;0,"△这一笔之后该账户余额成负数了，核一下","")))))))))))</f>
        <v/>
      </c>
    </row>
    <row r="1871" ht="16.5" spans="1:19">
      <c r="A1871" s="45"/>
      <c r="B1871" s="46"/>
      <c r="C1871" s="12" t="str">
        <f>IF($B1871="","",IFERROR(INDEX(账户银行,MATCH($B1871,账户名,0)),""))</f>
        <v/>
      </c>
      <c r="D1871" s="12" t="str">
        <f>IF($B1871="","",IFERROR(INDEX(账户币种,MATCH($B1871,账户名,0)),""))</f>
        <v/>
      </c>
      <c r="E1871" s="47"/>
      <c r="F1871" s="12" t="str">
        <f>IF($E1871="","",IFERROR(INDEX(类别属性,MATCH($E1871,类别表,0)),""))</f>
        <v/>
      </c>
      <c r="G1871" s="48"/>
      <c r="H1871" s="48"/>
      <c r="I1871" s="49"/>
      <c r="J1871" s="24" t="str">
        <f>IF(OR($A1871="",$B1871=""),"",IF($I1871&lt;&gt;"",$I1871,IF($D1871=本位币,1,IFERROR(LOOKUP(2,1/((汇率月份&lt;=$A1871)*(INDEX(记账汇率区,0,MATCH($D1871,汇率币种头,0))&lt;&gt;"")),INDEX(记账汇率区,0,MATCH($D1871,汇率币种头,0))),""))))</f>
        <v/>
      </c>
      <c r="K1871" s="23" t="str">
        <f t="shared" si="58"/>
        <v/>
      </c>
      <c r="L1871" s="23" t="str">
        <f t="shared" si="59"/>
        <v/>
      </c>
      <c r="M1871" s="23" t="str">
        <f>IF($B1871="","",ROUND(SUMIF(账户名,$B1871,账户期初)+SUMIFS($K$6:K1871,$B$6:B1871,$B1871),2))</f>
        <v/>
      </c>
      <c r="N1871" s="23" t="str">
        <f>IF($B1871="","",IFERROR(ROUND(INDEX(账户期初本位,MATCH($B1871,账户名,0))+SUMIFS($L$6:L1871,$B$6:B1871,$B1871),2),""))</f>
        <v/>
      </c>
      <c r="O1871" s="46"/>
      <c r="P1871" s="47"/>
      <c r="Q1871" s="46"/>
      <c r="R1871" s="46"/>
      <c r="S1871" s="6" t="str">
        <f>IF($B1871="","",IF(ISNA(MATCH($B1871,账户名,0)),"※这个账户不在【参数设置】的账户档案里",IF($A1871="","※没填日期，这一笔不会进任何月份的报表",IF(AND($G1871&lt;&gt;"",$H1871&lt;&gt;""),"※收入和支出不能同时填",IF(AND(N($G1871)=0,N($H1871)=0),"※收入和支出都没填",IF($E1871="","※没填收支类别，分类报表会漏掉这一笔",IF(ISNA(MATCH($E1871,类别表,0)),"※收支类别不在【参数设置】的清单里",IF($J1871="","△"&amp;$D1871&amp;" 还没填汇率，去【月度汇率】补上就自动算了",IF(YEAR($A1871)&lt;&gt;管理年度,"△不是管理年度的单据，年报里看不到",IF(AND($F1871="内部转账",$Q1871=""),"△内部转账建议在「往来单位」写上对方账户",IF($M1871&lt;0,"△这一笔之后该账户余额成负数了，核一下","")))))))))))</f>
        <v/>
      </c>
    </row>
    <row r="1872" ht="16.5" spans="1:19">
      <c r="A1872" s="45"/>
      <c r="B1872" s="46"/>
      <c r="C1872" s="12" t="str">
        <f>IF($B1872="","",IFERROR(INDEX(账户银行,MATCH($B1872,账户名,0)),""))</f>
        <v/>
      </c>
      <c r="D1872" s="12" t="str">
        <f>IF($B1872="","",IFERROR(INDEX(账户币种,MATCH($B1872,账户名,0)),""))</f>
        <v/>
      </c>
      <c r="E1872" s="47"/>
      <c r="F1872" s="12" t="str">
        <f>IF($E1872="","",IFERROR(INDEX(类别属性,MATCH($E1872,类别表,0)),""))</f>
        <v/>
      </c>
      <c r="G1872" s="48"/>
      <c r="H1872" s="48"/>
      <c r="I1872" s="49"/>
      <c r="J1872" s="24" t="str">
        <f>IF(OR($A1872="",$B1872=""),"",IF($I1872&lt;&gt;"",$I1872,IF($D1872=本位币,1,IFERROR(LOOKUP(2,1/((汇率月份&lt;=$A1872)*(INDEX(记账汇率区,0,MATCH($D1872,汇率币种头,0))&lt;&gt;"")),INDEX(记账汇率区,0,MATCH($D1872,汇率币种头,0))),""))))</f>
        <v/>
      </c>
      <c r="K1872" s="23" t="str">
        <f t="shared" si="58"/>
        <v/>
      </c>
      <c r="L1872" s="23" t="str">
        <f t="shared" si="59"/>
        <v/>
      </c>
      <c r="M1872" s="23" t="str">
        <f>IF($B1872="","",ROUND(SUMIF(账户名,$B1872,账户期初)+SUMIFS($K$6:K1872,$B$6:B1872,$B1872),2))</f>
        <v/>
      </c>
      <c r="N1872" s="23" t="str">
        <f>IF($B1872="","",IFERROR(ROUND(INDEX(账户期初本位,MATCH($B1872,账户名,0))+SUMIFS($L$6:L1872,$B$6:B1872,$B1872),2),""))</f>
        <v/>
      </c>
      <c r="O1872" s="46"/>
      <c r="P1872" s="47"/>
      <c r="Q1872" s="46"/>
      <c r="R1872" s="46"/>
      <c r="S1872" s="6" t="str">
        <f>IF($B1872="","",IF(ISNA(MATCH($B1872,账户名,0)),"※这个账户不在【参数设置】的账户档案里",IF($A1872="","※没填日期，这一笔不会进任何月份的报表",IF(AND($G1872&lt;&gt;"",$H1872&lt;&gt;""),"※收入和支出不能同时填",IF(AND(N($G1872)=0,N($H1872)=0),"※收入和支出都没填",IF($E1872="","※没填收支类别，分类报表会漏掉这一笔",IF(ISNA(MATCH($E1872,类别表,0)),"※收支类别不在【参数设置】的清单里",IF($J1872="","△"&amp;$D1872&amp;" 还没填汇率，去【月度汇率】补上就自动算了",IF(YEAR($A1872)&lt;&gt;管理年度,"△不是管理年度的单据，年报里看不到",IF(AND($F1872="内部转账",$Q1872=""),"△内部转账建议在「往来单位」写上对方账户",IF($M1872&lt;0,"△这一笔之后该账户余额成负数了，核一下","")))))))))))</f>
        <v/>
      </c>
    </row>
    <row r="1873" ht="16.5" spans="1:19">
      <c r="A1873" s="45"/>
      <c r="B1873" s="46"/>
      <c r="C1873" s="12" t="str">
        <f>IF($B1873="","",IFERROR(INDEX(账户银行,MATCH($B1873,账户名,0)),""))</f>
        <v/>
      </c>
      <c r="D1873" s="12" t="str">
        <f>IF($B1873="","",IFERROR(INDEX(账户币种,MATCH($B1873,账户名,0)),""))</f>
        <v/>
      </c>
      <c r="E1873" s="47"/>
      <c r="F1873" s="12" t="str">
        <f>IF($E1873="","",IFERROR(INDEX(类别属性,MATCH($E1873,类别表,0)),""))</f>
        <v/>
      </c>
      <c r="G1873" s="48"/>
      <c r="H1873" s="48"/>
      <c r="I1873" s="49"/>
      <c r="J1873" s="24" t="str">
        <f>IF(OR($A1873="",$B1873=""),"",IF($I1873&lt;&gt;"",$I1873,IF($D1873=本位币,1,IFERROR(LOOKUP(2,1/((汇率月份&lt;=$A1873)*(INDEX(记账汇率区,0,MATCH($D1873,汇率币种头,0))&lt;&gt;"")),INDEX(记账汇率区,0,MATCH($D1873,汇率币种头,0))),""))))</f>
        <v/>
      </c>
      <c r="K1873" s="23" t="str">
        <f t="shared" si="58"/>
        <v/>
      </c>
      <c r="L1873" s="23" t="str">
        <f t="shared" si="59"/>
        <v/>
      </c>
      <c r="M1873" s="23" t="str">
        <f>IF($B1873="","",ROUND(SUMIF(账户名,$B1873,账户期初)+SUMIFS($K$6:K1873,$B$6:B1873,$B1873),2))</f>
        <v/>
      </c>
      <c r="N1873" s="23" t="str">
        <f>IF($B1873="","",IFERROR(ROUND(INDEX(账户期初本位,MATCH($B1873,账户名,0))+SUMIFS($L$6:L1873,$B$6:B1873,$B1873),2),""))</f>
        <v/>
      </c>
      <c r="O1873" s="46"/>
      <c r="P1873" s="47"/>
      <c r="Q1873" s="46"/>
      <c r="R1873" s="46"/>
      <c r="S1873" s="6" t="str">
        <f>IF($B1873="","",IF(ISNA(MATCH($B1873,账户名,0)),"※这个账户不在【参数设置】的账户档案里",IF($A1873="","※没填日期，这一笔不会进任何月份的报表",IF(AND($G1873&lt;&gt;"",$H1873&lt;&gt;""),"※收入和支出不能同时填",IF(AND(N($G1873)=0,N($H1873)=0),"※收入和支出都没填",IF($E1873="","※没填收支类别，分类报表会漏掉这一笔",IF(ISNA(MATCH($E1873,类别表,0)),"※收支类别不在【参数设置】的清单里",IF($J1873="","△"&amp;$D1873&amp;" 还没填汇率，去【月度汇率】补上就自动算了",IF(YEAR($A1873)&lt;&gt;管理年度,"△不是管理年度的单据，年报里看不到",IF(AND($F1873="内部转账",$Q1873=""),"△内部转账建议在「往来单位」写上对方账户",IF($M1873&lt;0,"△这一笔之后该账户余额成负数了，核一下","")))))))))))</f>
        <v/>
      </c>
    </row>
    <row r="1874" ht="16.5" spans="1:19">
      <c r="A1874" s="45"/>
      <c r="B1874" s="46"/>
      <c r="C1874" s="12" t="str">
        <f>IF($B1874="","",IFERROR(INDEX(账户银行,MATCH($B1874,账户名,0)),""))</f>
        <v/>
      </c>
      <c r="D1874" s="12" t="str">
        <f>IF($B1874="","",IFERROR(INDEX(账户币种,MATCH($B1874,账户名,0)),""))</f>
        <v/>
      </c>
      <c r="E1874" s="47"/>
      <c r="F1874" s="12" t="str">
        <f>IF($E1874="","",IFERROR(INDEX(类别属性,MATCH($E1874,类别表,0)),""))</f>
        <v/>
      </c>
      <c r="G1874" s="48"/>
      <c r="H1874" s="48"/>
      <c r="I1874" s="49"/>
      <c r="J1874" s="24" t="str">
        <f>IF(OR($A1874="",$B1874=""),"",IF($I1874&lt;&gt;"",$I1874,IF($D1874=本位币,1,IFERROR(LOOKUP(2,1/((汇率月份&lt;=$A1874)*(INDEX(记账汇率区,0,MATCH($D1874,汇率币种头,0))&lt;&gt;"")),INDEX(记账汇率区,0,MATCH($D1874,汇率币种头,0))),""))))</f>
        <v/>
      </c>
      <c r="K1874" s="23" t="str">
        <f t="shared" si="58"/>
        <v/>
      </c>
      <c r="L1874" s="23" t="str">
        <f t="shared" si="59"/>
        <v/>
      </c>
      <c r="M1874" s="23" t="str">
        <f>IF($B1874="","",ROUND(SUMIF(账户名,$B1874,账户期初)+SUMIFS($K$6:K1874,$B$6:B1874,$B1874),2))</f>
        <v/>
      </c>
      <c r="N1874" s="23" t="str">
        <f>IF($B1874="","",IFERROR(ROUND(INDEX(账户期初本位,MATCH($B1874,账户名,0))+SUMIFS($L$6:L1874,$B$6:B1874,$B1874),2),""))</f>
        <v/>
      </c>
      <c r="O1874" s="46"/>
      <c r="P1874" s="47"/>
      <c r="Q1874" s="46"/>
      <c r="R1874" s="46"/>
      <c r="S1874" s="6" t="str">
        <f>IF($B1874="","",IF(ISNA(MATCH($B1874,账户名,0)),"※这个账户不在【参数设置】的账户档案里",IF($A1874="","※没填日期，这一笔不会进任何月份的报表",IF(AND($G1874&lt;&gt;"",$H1874&lt;&gt;""),"※收入和支出不能同时填",IF(AND(N($G1874)=0,N($H1874)=0),"※收入和支出都没填",IF($E1874="","※没填收支类别，分类报表会漏掉这一笔",IF(ISNA(MATCH($E1874,类别表,0)),"※收支类别不在【参数设置】的清单里",IF($J1874="","△"&amp;$D1874&amp;" 还没填汇率，去【月度汇率】补上就自动算了",IF(YEAR($A1874)&lt;&gt;管理年度,"△不是管理年度的单据，年报里看不到",IF(AND($F1874="内部转账",$Q1874=""),"△内部转账建议在「往来单位」写上对方账户",IF($M1874&lt;0,"△这一笔之后该账户余额成负数了，核一下","")))))))))))</f>
        <v/>
      </c>
    </row>
    <row r="1875" ht="16.5" spans="1:19">
      <c r="A1875" s="45"/>
      <c r="B1875" s="46"/>
      <c r="C1875" s="12" t="str">
        <f>IF($B1875="","",IFERROR(INDEX(账户银行,MATCH($B1875,账户名,0)),""))</f>
        <v/>
      </c>
      <c r="D1875" s="12" t="str">
        <f>IF($B1875="","",IFERROR(INDEX(账户币种,MATCH($B1875,账户名,0)),""))</f>
        <v/>
      </c>
      <c r="E1875" s="47"/>
      <c r="F1875" s="12" t="str">
        <f>IF($E1875="","",IFERROR(INDEX(类别属性,MATCH($E1875,类别表,0)),""))</f>
        <v/>
      </c>
      <c r="G1875" s="48"/>
      <c r="H1875" s="48"/>
      <c r="I1875" s="49"/>
      <c r="J1875" s="24" t="str">
        <f>IF(OR($A1875="",$B1875=""),"",IF($I1875&lt;&gt;"",$I1875,IF($D1875=本位币,1,IFERROR(LOOKUP(2,1/((汇率月份&lt;=$A1875)*(INDEX(记账汇率区,0,MATCH($D1875,汇率币种头,0))&lt;&gt;"")),INDEX(记账汇率区,0,MATCH($D1875,汇率币种头,0))),""))))</f>
        <v/>
      </c>
      <c r="K1875" s="23" t="str">
        <f t="shared" si="58"/>
        <v/>
      </c>
      <c r="L1875" s="23" t="str">
        <f t="shared" si="59"/>
        <v/>
      </c>
      <c r="M1875" s="23" t="str">
        <f>IF($B1875="","",ROUND(SUMIF(账户名,$B1875,账户期初)+SUMIFS($K$6:K1875,$B$6:B1875,$B1875),2))</f>
        <v/>
      </c>
      <c r="N1875" s="23" t="str">
        <f>IF($B1875="","",IFERROR(ROUND(INDEX(账户期初本位,MATCH($B1875,账户名,0))+SUMIFS($L$6:L1875,$B$6:B1875,$B1875),2),""))</f>
        <v/>
      </c>
      <c r="O1875" s="46"/>
      <c r="P1875" s="47"/>
      <c r="Q1875" s="46"/>
      <c r="R1875" s="46"/>
      <c r="S1875" s="6" t="str">
        <f>IF($B1875="","",IF(ISNA(MATCH($B1875,账户名,0)),"※这个账户不在【参数设置】的账户档案里",IF($A1875="","※没填日期，这一笔不会进任何月份的报表",IF(AND($G1875&lt;&gt;"",$H1875&lt;&gt;""),"※收入和支出不能同时填",IF(AND(N($G1875)=0,N($H1875)=0),"※收入和支出都没填",IF($E1875="","※没填收支类别，分类报表会漏掉这一笔",IF(ISNA(MATCH($E1875,类别表,0)),"※收支类别不在【参数设置】的清单里",IF($J1875="","△"&amp;$D1875&amp;" 还没填汇率，去【月度汇率】补上就自动算了",IF(YEAR($A1875)&lt;&gt;管理年度,"△不是管理年度的单据，年报里看不到",IF(AND($F1875="内部转账",$Q1875=""),"△内部转账建议在「往来单位」写上对方账户",IF($M1875&lt;0,"△这一笔之后该账户余额成负数了，核一下","")))))))))))</f>
        <v/>
      </c>
    </row>
    <row r="1876" ht="16.5" spans="1:19">
      <c r="A1876" s="45"/>
      <c r="B1876" s="46"/>
      <c r="C1876" s="12" t="str">
        <f>IF($B1876="","",IFERROR(INDEX(账户银行,MATCH($B1876,账户名,0)),""))</f>
        <v/>
      </c>
      <c r="D1876" s="12" t="str">
        <f>IF($B1876="","",IFERROR(INDEX(账户币种,MATCH($B1876,账户名,0)),""))</f>
        <v/>
      </c>
      <c r="E1876" s="47"/>
      <c r="F1876" s="12" t="str">
        <f>IF($E1876="","",IFERROR(INDEX(类别属性,MATCH($E1876,类别表,0)),""))</f>
        <v/>
      </c>
      <c r="G1876" s="48"/>
      <c r="H1876" s="48"/>
      <c r="I1876" s="49"/>
      <c r="J1876" s="24" t="str">
        <f>IF(OR($A1876="",$B1876=""),"",IF($I1876&lt;&gt;"",$I1876,IF($D1876=本位币,1,IFERROR(LOOKUP(2,1/((汇率月份&lt;=$A1876)*(INDEX(记账汇率区,0,MATCH($D1876,汇率币种头,0))&lt;&gt;"")),INDEX(记账汇率区,0,MATCH($D1876,汇率币种头,0))),""))))</f>
        <v/>
      </c>
      <c r="K1876" s="23" t="str">
        <f t="shared" si="58"/>
        <v/>
      </c>
      <c r="L1876" s="23" t="str">
        <f t="shared" si="59"/>
        <v/>
      </c>
      <c r="M1876" s="23" t="str">
        <f>IF($B1876="","",ROUND(SUMIF(账户名,$B1876,账户期初)+SUMIFS($K$6:K1876,$B$6:B1876,$B1876),2))</f>
        <v/>
      </c>
      <c r="N1876" s="23" t="str">
        <f>IF($B1876="","",IFERROR(ROUND(INDEX(账户期初本位,MATCH($B1876,账户名,0))+SUMIFS($L$6:L1876,$B$6:B1876,$B1876),2),""))</f>
        <v/>
      </c>
      <c r="O1876" s="46"/>
      <c r="P1876" s="47"/>
      <c r="Q1876" s="46"/>
      <c r="R1876" s="46"/>
      <c r="S1876" s="6" t="str">
        <f>IF($B1876="","",IF(ISNA(MATCH($B1876,账户名,0)),"※这个账户不在【参数设置】的账户档案里",IF($A1876="","※没填日期，这一笔不会进任何月份的报表",IF(AND($G1876&lt;&gt;"",$H1876&lt;&gt;""),"※收入和支出不能同时填",IF(AND(N($G1876)=0,N($H1876)=0),"※收入和支出都没填",IF($E1876="","※没填收支类别，分类报表会漏掉这一笔",IF(ISNA(MATCH($E1876,类别表,0)),"※收支类别不在【参数设置】的清单里",IF($J1876="","△"&amp;$D1876&amp;" 还没填汇率，去【月度汇率】补上就自动算了",IF(YEAR($A1876)&lt;&gt;管理年度,"△不是管理年度的单据，年报里看不到",IF(AND($F1876="内部转账",$Q1876=""),"△内部转账建议在「往来单位」写上对方账户",IF($M1876&lt;0,"△这一笔之后该账户余额成负数了，核一下","")))))))))))</f>
        <v/>
      </c>
    </row>
    <row r="1877" ht="16.5" spans="1:19">
      <c r="A1877" s="45"/>
      <c r="B1877" s="46"/>
      <c r="C1877" s="12" t="str">
        <f>IF($B1877="","",IFERROR(INDEX(账户银行,MATCH($B1877,账户名,0)),""))</f>
        <v/>
      </c>
      <c r="D1877" s="12" t="str">
        <f>IF($B1877="","",IFERROR(INDEX(账户币种,MATCH($B1877,账户名,0)),""))</f>
        <v/>
      </c>
      <c r="E1877" s="47"/>
      <c r="F1877" s="12" t="str">
        <f>IF($E1877="","",IFERROR(INDEX(类别属性,MATCH($E1877,类别表,0)),""))</f>
        <v/>
      </c>
      <c r="G1877" s="48"/>
      <c r="H1877" s="48"/>
      <c r="I1877" s="49"/>
      <c r="J1877" s="24" t="str">
        <f>IF(OR($A1877="",$B1877=""),"",IF($I1877&lt;&gt;"",$I1877,IF($D1877=本位币,1,IFERROR(LOOKUP(2,1/((汇率月份&lt;=$A1877)*(INDEX(记账汇率区,0,MATCH($D1877,汇率币种头,0))&lt;&gt;"")),INDEX(记账汇率区,0,MATCH($D1877,汇率币种头,0))),""))))</f>
        <v/>
      </c>
      <c r="K1877" s="23" t="str">
        <f t="shared" si="58"/>
        <v/>
      </c>
      <c r="L1877" s="23" t="str">
        <f t="shared" si="59"/>
        <v/>
      </c>
      <c r="M1877" s="23" t="str">
        <f>IF($B1877="","",ROUND(SUMIF(账户名,$B1877,账户期初)+SUMIFS($K$6:K1877,$B$6:B1877,$B1877),2))</f>
        <v/>
      </c>
      <c r="N1877" s="23" t="str">
        <f>IF($B1877="","",IFERROR(ROUND(INDEX(账户期初本位,MATCH($B1877,账户名,0))+SUMIFS($L$6:L1877,$B$6:B1877,$B1877),2),""))</f>
        <v/>
      </c>
      <c r="O1877" s="46"/>
      <c r="P1877" s="47"/>
      <c r="Q1877" s="46"/>
      <c r="R1877" s="46"/>
      <c r="S1877" s="6" t="str">
        <f>IF($B1877="","",IF(ISNA(MATCH($B1877,账户名,0)),"※这个账户不在【参数设置】的账户档案里",IF($A1877="","※没填日期，这一笔不会进任何月份的报表",IF(AND($G1877&lt;&gt;"",$H1877&lt;&gt;""),"※收入和支出不能同时填",IF(AND(N($G1877)=0,N($H1877)=0),"※收入和支出都没填",IF($E1877="","※没填收支类别，分类报表会漏掉这一笔",IF(ISNA(MATCH($E1877,类别表,0)),"※收支类别不在【参数设置】的清单里",IF($J1877="","△"&amp;$D1877&amp;" 还没填汇率，去【月度汇率】补上就自动算了",IF(YEAR($A1877)&lt;&gt;管理年度,"△不是管理年度的单据，年报里看不到",IF(AND($F1877="内部转账",$Q1877=""),"△内部转账建议在「往来单位」写上对方账户",IF($M1877&lt;0,"△这一笔之后该账户余额成负数了，核一下","")))))))))))</f>
        <v/>
      </c>
    </row>
    <row r="1878" ht="16.5" spans="1:19">
      <c r="A1878" s="45"/>
      <c r="B1878" s="46"/>
      <c r="C1878" s="12" t="str">
        <f>IF($B1878="","",IFERROR(INDEX(账户银行,MATCH($B1878,账户名,0)),""))</f>
        <v/>
      </c>
      <c r="D1878" s="12" t="str">
        <f>IF($B1878="","",IFERROR(INDEX(账户币种,MATCH($B1878,账户名,0)),""))</f>
        <v/>
      </c>
      <c r="E1878" s="47"/>
      <c r="F1878" s="12" t="str">
        <f>IF($E1878="","",IFERROR(INDEX(类别属性,MATCH($E1878,类别表,0)),""))</f>
        <v/>
      </c>
      <c r="G1878" s="48"/>
      <c r="H1878" s="48"/>
      <c r="I1878" s="49"/>
      <c r="J1878" s="24" t="str">
        <f>IF(OR($A1878="",$B1878=""),"",IF($I1878&lt;&gt;"",$I1878,IF($D1878=本位币,1,IFERROR(LOOKUP(2,1/((汇率月份&lt;=$A1878)*(INDEX(记账汇率区,0,MATCH($D1878,汇率币种头,0))&lt;&gt;"")),INDEX(记账汇率区,0,MATCH($D1878,汇率币种头,0))),""))))</f>
        <v/>
      </c>
      <c r="K1878" s="23" t="str">
        <f t="shared" si="58"/>
        <v/>
      </c>
      <c r="L1878" s="23" t="str">
        <f t="shared" si="59"/>
        <v/>
      </c>
      <c r="M1878" s="23" t="str">
        <f>IF($B1878="","",ROUND(SUMIF(账户名,$B1878,账户期初)+SUMIFS($K$6:K1878,$B$6:B1878,$B1878),2))</f>
        <v/>
      </c>
      <c r="N1878" s="23" t="str">
        <f>IF($B1878="","",IFERROR(ROUND(INDEX(账户期初本位,MATCH($B1878,账户名,0))+SUMIFS($L$6:L1878,$B$6:B1878,$B1878),2),""))</f>
        <v/>
      </c>
      <c r="O1878" s="46"/>
      <c r="P1878" s="47"/>
      <c r="Q1878" s="46"/>
      <c r="R1878" s="46"/>
      <c r="S1878" s="6" t="str">
        <f>IF($B1878="","",IF(ISNA(MATCH($B1878,账户名,0)),"※这个账户不在【参数设置】的账户档案里",IF($A1878="","※没填日期，这一笔不会进任何月份的报表",IF(AND($G1878&lt;&gt;"",$H1878&lt;&gt;""),"※收入和支出不能同时填",IF(AND(N($G1878)=0,N($H1878)=0),"※收入和支出都没填",IF($E1878="","※没填收支类别，分类报表会漏掉这一笔",IF(ISNA(MATCH($E1878,类别表,0)),"※收支类别不在【参数设置】的清单里",IF($J1878="","△"&amp;$D1878&amp;" 还没填汇率，去【月度汇率】补上就自动算了",IF(YEAR($A1878)&lt;&gt;管理年度,"△不是管理年度的单据，年报里看不到",IF(AND($F1878="内部转账",$Q1878=""),"△内部转账建议在「往来单位」写上对方账户",IF($M1878&lt;0,"△这一笔之后该账户余额成负数了，核一下","")))))))))))</f>
        <v/>
      </c>
    </row>
    <row r="1879" ht="16.5" spans="1:19">
      <c r="A1879" s="45"/>
      <c r="B1879" s="46"/>
      <c r="C1879" s="12" t="str">
        <f>IF($B1879="","",IFERROR(INDEX(账户银行,MATCH($B1879,账户名,0)),""))</f>
        <v/>
      </c>
      <c r="D1879" s="12" t="str">
        <f>IF($B1879="","",IFERROR(INDEX(账户币种,MATCH($B1879,账户名,0)),""))</f>
        <v/>
      </c>
      <c r="E1879" s="47"/>
      <c r="F1879" s="12" t="str">
        <f>IF($E1879="","",IFERROR(INDEX(类别属性,MATCH($E1879,类别表,0)),""))</f>
        <v/>
      </c>
      <c r="G1879" s="48"/>
      <c r="H1879" s="48"/>
      <c r="I1879" s="49"/>
      <c r="J1879" s="24" t="str">
        <f>IF(OR($A1879="",$B1879=""),"",IF($I1879&lt;&gt;"",$I1879,IF($D1879=本位币,1,IFERROR(LOOKUP(2,1/((汇率月份&lt;=$A1879)*(INDEX(记账汇率区,0,MATCH($D1879,汇率币种头,0))&lt;&gt;"")),INDEX(记账汇率区,0,MATCH($D1879,汇率币种头,0))),""))))</f>
        <v/>
      </c>
      <c r="K1879" s="23" t="str">
        <f t="shared" si="58"/>
        <v/>
      </c>
      <c r="L1879" s="23" t="str">
        <f t="shared" si="59"/>
        <v/>
      </c>
      <c r="M1879" s="23" t="str">
        <f>IF($B1879="","",ROUND(SUMIF(账户名,$B1879,账户期初)+SUMIFS($K$6:K1879,$B$6:B1879,$B1879),2))</f>
        <v/>
      </c>
      <c r="N1879" s="23" t="str">
        <f>IF($B1879="","",IFERROR(ROUND(INDEX(账户期初本位,MATCH($B1879,账户名,0))+SUMIFS($L$6:L1879,$B$6:B1879,$B1879),2),""))</f>
        <v/>
      </c>
      <c r="O1879" s="46"/>
      <c r="P1879" s="47"/>
      <c r="Q1879" s="46"/>
      <c r="R1879" s="46"/>
      <c r="S1879" s="6" t="str">
        <f>IF($B1879="","",IF(ISNA(MATCH($B1879,账户名,0)),"※这个账户不在【参数设置】的账户档案里",IF($A1879="","※没填日期，这一笔不会进任何月份的报表",IF(AND($G1879&lt;&gt;"",$H1879&lt;&gt;""),"※收入和支出不能同时填",IF(AND(N($G1879)=0,N($H1879)=0),"※收入和支出都没填",IF($E1879="","※没填收支类别，分类报表会漏掉这一笔",IF(ISNA(MATCH($E1879,类别表,0)),"※收支类别不在【参数设置】的清单里",IF($J1879="","△"&amp;$D1879&amp;" 还没填汇率，去【月度汇率】补上就自动算了",IF(YEAR($A1879)&lt;&gt;管理年度,"△不是管理年度的单据，年报里看不到",IF(AND($F1879="内部转账",$Q1879=""),"△内部转账建议在「往来单位」写上对方账户",IF($M1879&lt;0,"△这一笔之后该账户余额成负数了，核一下","")))))))))))</f>
        <v/>
      </c>
    </row>
    <row r="1880" ht="16.5" spans="1:19">
      <c r="A1880" s="45"/>
      <c r="B1880" s="46"/>
      <c r="C1880" s="12" t="str">
        <f>IF($B1880="","",IFERROR(INDEX(账户银行,MATCH($B1880,账户名,0)),""))</f>
        <v/>
      </c>
      <c r="D1880" s="12" t="str">
        <f>IF($B1880="","",IFERROR(INDEX(账户币种,MATCH($B1880,账户名,0)),""))</f>
        <v/>
      </c>
      <c r="E1880" s="47"/>
      <c r="F1880" s="12" t="str">
        <f>IF($E1880="","",IFERROR(INDEX(类别属性,MATCH($E1880,类别表,0)),""))</f>
        <v/>
      </c>
      <c r="G1880" s="48"/>
      <c r="H1880" s="48"/>
      <c r="I1880" s="49"/>
      <c r="J1880" s="24" t="str">
        <f>IF(OR($A1880="",$B1880=""),"",IF($I1880&lt;&gt;"",$I1880,IF($D1880=本位币,1,IFERROR(LOOKUP(2,1/((汇率月份&lt;=$A1880)*(INDEX(记账汇率区,0,MATCH($D1880,汇率币种头,0))&lt;&gt;"")),INDEX(记账汇率区,0,MATCH($D1880,汇率币种头,0))),""))))</f>
        <v/>
      </c>
      <c r="K1880" s="23" t="str">
        <f t="shared" si="58"/>
        <v/>
      </c>
      <c r="L1880" s="23" t="str">
        <f t="shared" si="59"/>
        <v/>
      </c>
      <c r="M1880" s="23" t="str">
        <f>IF($B1880="","",ROUND(SUMIF(账户名,$B1880,账户期初)+SUMIFS($K$6:K1880,$B$6:B1880,$B1880),2))</f>
        <v/>
      </c>
      <c r="N1880" s="23" t="str">
        <f>IF($B1880="","",IFERROR(ROUND(INDEX(账户期初本位,MATCH($B1880,账户名,0))+SUMIFS($L$6:L1880,$B$6:B1880,$B1880),2),""))</f>
        <v/>
      </c>
      <c r="O1880" s="46"/>
      <c r="P1880" s="47"/>
      <c r="Q1880" s="46"/>
      <c r="R1880" s="46"/>
      <c r="S1880" s="6" t="str">
        <f>IF($B1880="","",IF(ISNA(MATCH($B1880,账户名,0)),"※这个账户不在【参数设置】的账户档案里",IF($A1880="","※没填日期，这一笔不会进任何月份的报表",IF(AND($G1880&lt;&gt;"",$H1880&lt;&gt;""),"※收入和支出不能同时填",IF(AND(N($G1880)=0,N($H1880)=0),"※收入和支出都没填",IF($E1880="","※没填收支类别，分类报表会漏掉这一笔",IF(ISNA(MATCH($E1880,类别表,0)),"※收支类别不在【参数设置】的清单里",IF($J1880="","△"&amp;$D1880&amp;" 还没填汇率，去【月度汇率】补上就自动算了",IF(YEAR($A1880)&lt;&gt;管理年度,"△不是管理年度的单据，年报里看不到",IF(AND($F1880="内部转账",$Q1880=""),"△内部转账建议在「往来单位」写上对方账户",IF($M1880&lt;0,"△这一笔之后该账户余额成负数了，核一下","")))))))))))</f>
        <v/>
      </c>
    </row>
    <row r="1881" ht="16.5" spans="1:19">
      <c r="A1881" s="45"/>
      <c r="B1881" s="46"/>
      <c r="C1881" s="12" t="str">
        <f>IF($B1881="","",IFERROR(INDEX(账户银行,MATCH($B1881,账户名,0)),""))</f>
        <v/>
      </c>
      <c r="D1881" s="12" t="str">
        <f>IF($B1881="","",IFERROR(INDEX(账户币种,MATCH($B1881,账户名,0)),""))</f>
        <v/>
      </c>
      <c r="E1881" s="47"/>
      <c r="F1881" s="12" t="str">
        <f>IF($E1881="","",IFERROR(INDEX(类别属性,MATCH($E1881,类别表,0)),""))</f>
        <v/>
      </c>
      <c r="G1881" s="48"/>
      <c r="H1881" s="48"/>
      <c r="I1881" s="49"/>
      <c r="J1881" s="24" t="str">
        <f>IF(OR($A1881="",$B1881=""),"",IF($I1881&lt;&gt;"",$I1881,IF($D1881=本位币,1,IFERROR(LOOKUP(2,1/((汇率月份&lt;=$A1881)*(INDEX(记账汇率区,0,MATCH($D1881,汇率币种头,0))&lt;&gt;"")),INDEX(记账汇率区,0,MATCH($D1881,汇率币种头,0))),""))))</f>
        <v/>
      </c>
      <c r="K1881" s="23" t="str">
        <f t="shared" si="58"/>
        <v/>
      </c>
      <c r="L1881" s="23" t="str">
        <f t="shared" si="59"/>
        <v/>
      </c>
      <c r="M1881" s="23" t="str">
        <f>IF($B1881="","",ROUND(SUMIF(账户名,$B1881,账户期初)+SUMIFS($K$6:K1881,$B$6:B1881,$B1881),2))</f>
        <v/>
      </c>
      <c r="N1881" s="23" t="str">
        <f>IF($B1881="","",IFERROR(ROUND(INDEX(账户期初本位,MATCH($B1881,账户名,0))+SUMIFS($L$6:L1881,$B$6:B1881,$B1881),2),""))</f>
        <v/>
      </c>
      <c r="O1881" s="46"/>
      <c r="P1881" s="47"/>
      <c r="Q1881" s="46"/>
      <c r="R1881" s="46"/>
      <c r="S1881" s="6" t="str">
        <f>IF($B1881="","",IF(ISNA(MATCH($B1881,账户名,0)),"※这个账户不在【参数设置】的账户档案里",IF($A1881="","※没填日期，这一笔不会进任何月份的报表",IF(AND($G1881&lt;&gt;"",$H1881&lt;&gt;""),"※收入和支出不能同时填",IF(AND(N($G1881)=0,N($H1881)=0),"※收入和支出都没填",IF($E1881="","※没填收支类别，分类报表会漏掉这一笔",IF(ISNA(MATCH($E1881,类别表,0)),"※收支类别不在【参数设置】的清单里",IF($J1881="","△"&amp;$D1881&amp;" 还没填汇率，去【月度汇率】补上就自动算了",IF(YEAR($A1881)&lt;&gt;管理年度,"△不是管理年度的单据，年报里看不到",IF(AND($F1881="内部转账",$Q1881=""),"△内部转账建议在「往来单位」写上对方账户",IF($M1881&lt;0,"△这一笔之后该账户余额成负数了，核一下","")))))))))))</f>
        <v/>
      </c>
    </row>
    <row r="1882" ht="16.5" spans="1:19">
      <c r="A1882" s="45"/>
      <c r="B1882" s="46"/>
      <c r="C1882" s="12" t="str">
        <f>IF($B1882="","",IFERROR(INDEX(账户银行,MATCH($B1882,账户名,0)),""))</f>
        <v/>
      </c>
      <c r="D1882" s="12" t="str">
        <f>IF($B1882="","",IFERROR(INDEX(账户币种,MATCH($B1882,账户名,0)),""))</f>
        <v/>
      </c>
      <c r="E1882" s="47"/>
      <c r="F1882" s="12" t="str">
        <f>IF($E1882="","",IFERROR(INDEX(类别属性,MATCH($E1882,类别表,0)),""))</f>
        <v/>
      </c>
      <c r="G1882" s="48"/>
      <c r="H1882" s="48"/>
      <c r="I1882" s="49"/>
      <c r="J1882" s="24" t="str">
        <f>IF(OR($A1882="",$B1882=""),"",IF($I1882&lt;&gt;"",$I1882,IF($D1882=本位币,1,IFERROR(LOOKUP(2,1/((汇率月份&lt;=$A1882)*(INDEX(记账汇率区,0,MATCH($D1882,汇率币种头,0))&lt;&gt;"")),INDEX(记账汇率区,0,MATCH($D1882,汇率币种头,0))),""))))</f>
        <v/>
      </c>
      <c r="K1882" s="23" t="str">
        <f t="shared" si="58"/>
        <v/>
      </c>
      <c r="L1882" s="23" t="str">
        <f t="shared" si="59"/>
        <v/>
      </c>
      <c r="M1882" s="23" t="str">
        <f>IF($B1882="","",ROUND(SUMIF(账户名,$B1882,账户期初)+SUMIFS($K$6:K1882,$B$6:B1882,$B1882),2))</f>
        <v/>
      </c>
      <c r="N1882" s="23" t="str">
        <f>IF($B1882="","",IFERROR(ROUND(INDEX(账户期初本位,MATCH($B1882,账户名,0))+SUMIFS($L$6:L1882,$B$6:B1882,$B1882),2),""))</f>
        <v/>
      </c>
      <c r="O1882" s="46"/>
      <c r="P1882" s="47"/>
      <c r="Q1882" s="46"/>
      <c r="R1882" s="46"/>
      <c r="S1882" s="6" t="str">
        <f>IF($B1882="","",IF(ISNA(MATCH($B1882,账户名,0)),"※这个账户不在【参数设置】的账户档案里",IF($A1882="","※没填日期，这一笔不会进任何月份的报表",IF(AND($G1882&lt;&gt;"",$H1882&lt;&gt;""),"※收入和支出不能同时填",IF(AND(N($G1882)=0,N($H1882)=0),"※收入和支出都没填",IF($E1882="","※没填收支类别，分类报表会漏掉这一笔",IF(ISNA(MATCH($E1882,类别表,0)),"※收支类别不在【参数设置】的清单里",IF($J1882="","△"&amp;$D1882&amp;" 还没填汇率，去【月度汇率】补上就自动算了",IF(YEAR($A1882)&lt;&gt;管理年度,"△不是管理年度的单据，年报里看不到",IF(AND($F1882="内部转账",$Q1882=""),"△内部转账建议在「往来单位」写上对方账户",IF($M1882&lt;0,"△这一笔之后该账户余额成负数了，核一下","")))))))))))</f>
        <v/>
      </c>
    </row>
    <row r="1883" ht="16.5" spans="1:19">
      <c r="A1883" s="45"/>
      <c r="B1883" s="46"/>
      <c r="C1883" s="12" t="str">
        <f>IF($B1883="","",IFERROR(INDEX(账户银行,MATCH($B1883,账户名,0)),""))</f>
        <v/>
      </c>
      <c r="D1883" s="12" t="str">
        <f>IF($B1883="","",IFERROR(INDEX(账户币种,MATCH($B1883,账户名,0)),""))</f>
        <v/>
      </c>
      <c r="E1883" s="47"/>
      <c r="F1883" s="12" t="str">
        <f>IF($E1883="","",IFERROR(INDEX(类别属性,MATCH($E1883,类别表,0)),""))</f>
        <v/>
      </c>
      <c r="G1883" s="48"/>
      <c r="H1883" s="48"/>
      <c r="I1883" s="49"/>
      <c r="J1883" s="24" t="str">
        <f>IF(OR($A1883="",$B1883=""),"",IF($I1883&lt;&gt;"",$I1883,IF($D1883=本位币,1,IFERROR(LOOKUP(2,1/((汇率月份&lt;=$A1883)*(INDEX(记账汇率区,0,MATCH($D1883,汇率币种头,0))&lt;&gt;"")),INDEX(记账汇率区,0,MATCH($D1883,汇率币种头,0))),""))))</f>
        <v/>
      </c>
      <c r="K1883" s="23" t="str">
        <f t="shared" si="58"/>
        <v/>
      </c>
      <c r="L1883" s="23" t="str">
        <f t="shared" si="59"/>
        <v/>
      </c>
      <c r="M1883" s="23" t="str">
        <f>IF($B1883="","",ROUND(SUMIF(账户名,$B1883,账户期初)+SUMIFS($K$6:K1883,$B$6:B1883,$B1883),2))</f>
        <v/>
      </c>
      <c r="N1883" s="23" t="str">
        <f>IF($B1883="","",IFERROR(ROUND(INDEX(账户期初本位,MATCH($B1883,账户名,0))+SUMIFS($L$6:L1883,$B$6:B1883,$B1883),2),""))</f>
        <v/>
      </c>
      <c r="O1883" s="46"/>
      <c r="P1883" s="47"/>
      <c r="Q1883" s="46"/>
      <c r="R1883" s="46"/>
      <c r="S1883" s="6" t="str">
        <f>IF($B1883="","",IF(ISNA(MATCH($B1883,账户名,0)),"※这个账户不在【参数设置】的账户档案里",IF($A1883="","※没填日期，这一笔不会进任何月份的报表",IF(AND($G1883&lt;&gt;"",$H1883&lt;&gt;""),"※收入和支出不能同时填",IF(AND(N($G1883)=0,N($H1883)=0),"※收入和支出都没填",IF($E1883="","※没填收支类别，分类报表会漏掉这一笔",IF(ISNA(MATCH($E1883,类别表,0)),"※收支类别不在【参数设置】的清单里",IF($J1883="","△"&amp;$D1883&amp;" 还没填汇率，去【月度汇率】补上就自动算了",IF(YEAR($A1883)&lt;&gt;管理年度,"△不是管理年度的单据，年报里看不到",IF(AND($F1883="内部转账",$Q1883=""),"△内部转账建议在「往来单位」写上对方账户",IF($M1883&lt;0,"△这一笔之后该账户余额成负数了，核一下","")))))))))))</f>
        <v/>
      </c>
    </row>
    <row r="1884" ht="16.5" spans="1:19">
      <c r="A1884" s="45"/>
      <c r="B1884" s="46"/>
      <c r="C1884" s="12" t="str">
        <f>IF($B1884="","",IFERROR(INDEX(账户银行,MATCH($B1884,账户名,0)),""))</f>
        <v/>
      </c>
      <c r="D1884" s="12" t="str">
        <f>IF($B1884="","",IFERROR(INDEX(账户币种,MATCH($B1884,账户名,0)),""))</f>
        <v/>
      </c>
      <c r="E1884" s="47"/>
      <c r="F1884" s="12" t="str">
        <f>IF($E1884="","",IFERROR(INDEX(类别属性,MATCH($E1884,类别表,0)),""))</f>
        <v/>
      </c>
      <c r="G1884" s="48"/>
      <c r="H1884" s="48"/>
      <c r="I1884" s="49"/>
      <c r="J1884" s="24" t="str">
        <f>IF(OR($A1884="",$B1884=""),"",IF($I1884&lt;&gt;"",$I1884,IF($D1884=本位币,1,IFERROR(LOOKUP(2,1/((汇率月份&lt;=$A1884)*(INDEX(记账汇率区,0,MATCH($D1884,汇率币种头,0))&lt;&gt;"")),INDEX(记账汇率区,0,MATCH($D1884,汇率币种头,0))),""))))</f>
        <v/>
      </c>
      <c r="K1884" s="23" t="str">
        <f t="shared" si="58"/>
        <v/>
      </c>
      <c r="L1884" s="23" t="str">
        <f t="shared" si="59"/>
        <v/>
      </c>
      <c r="M1884" s="23" t="str">
        <f>IF($B1884="","",ROUND(SUMIF(账户名,$B1884,账户期初)+SUMIFS($K$6:K1884,$B$6:B1884,$B1884),2))</f>
        <v/>
      </c>
      <c r="N1884" s="23" t="str">
        <f>IF($B1884="","",IFERROR(ROUND(INDEX(账户期初本位,MATCH($B1884,账户名,0))+SUMIFS($L$6:L1884,$B$6:B1884,$B1884),2),""))</f>
        <v/>
      </c>
      <c r="O1884" s="46"/>
      <c r="P1884" s="47"/>
      <c r="Q1884" s="46"/>
      <c r="R1884" s="46"/>
      <c r="S1884" s="6" t="str">
        <f>IF($B1884="","",IF(ISNA(MATCH($B1884,账户名,0)),"※这个账户不在【参数设置】的账户档案里",IF($A1884="","※没填日期，这一笔不会进任何月份的报表",IF(AND($G1884&lt;&gt;"",$H1884&lt;&gt;""),"※收入和支出不能同时填",IF(AND(N($G1884)=0,N($H1884)=0),"※收入和支出都没填",IF($E1884="","※没填收支类别，分类报表会漏掉这一笔",IF(ISNA(MATCH($E1884,类别表,0)),"※收支类别不在【参数设置】的清单里",IF($J1884="","△"&amp;$D1884&amp;" 还没填汇率，去【月度汇率】补上就自动算了",IF(YEAR($A1884)&lt;&gt;管理年度,"△不是管理年度的单据，年报里看不到",IF(AND($F1884="内部转账",$Q1884=""),"△内部转账建议在「往来单位」写上对方账户",IF($M1884&lt;0,"△这一笔之后该账户余额成负数了，核一下","")))))))))))</f>
        <v/>
      </c>
    </row>
    <row r="1885" ht="16.5" spans="1:19">
      <c r="A1885" s="45"/>
      <c r="B1885" s="46"/>
      <c r="C1885" s="12" t="str">
        <f>IF($B1885="","",IFERROR(INDEX(账户银行,MATCH($B1885,账户名,0)),""))</f>
        <v/>
      </c>
      <c r="D1885" s="12" t="str">
        <f>IF($B1885="","",IFERROR(INDEX(账户币种,MATCH($B1885,账户名,0)),""))</f>
        <v/>
      </c>
      <c r="E1885" s="47"/>
      <c r="F1885" s="12" t="str">
        <f>IF($E1885="","",IFERROR(INDEX(类别属性,MATCH($E1885,类别表,0)),""))</f>
        <v/>
      </c>
      <c r="G1885" s="48"/>
      <c r="H1885" s="48"/>
      <c r="I1885" s="49"/>
      <c r="J1885" s="24" t="str">
        <f>IF(OR($A1885="",$B1885=""),"",IF($I1885&lt;&gt;"",$I1885,IF($D1885=本位币,1,IFERROR(LOOKUP(2,1/((汇率月份&lt;=$A1885)*(INDEX(记账汇率区,0,MATCH($D1885,汇率币种头,0))&lt;&gt;"")),INDEX(记账汇率区,0,MATCH($D1885,汇率币种头,0))),""))))</f>
        <v/>
      </c>
      <c r="K1885" s="23" t="str">
        <f t="shared" si="58"/>
        <v/>
      </c>
      <c r="L1885" s="23" t="str">
        <f t="shared" si="59"/>
        <v/>
      </c>
      <c r="M1885" s="23" t="str">
        <f>IF($B1885="","",ROUND(SUMIF(账户名,$B1885,账户期初)+SUMIFS($K$6:K1885,$B$6:B1885,$B1885),2))</f>
        <v/>
      </c>
      <c r="N1885" s="23" t="str">
        <f>IF($B1885="","",IFERROR(ROUND(INDEX(账户期初本位,MATCH($B1885,账户名,0))+SUMIFS($L$6:L1885,$B$6:B1885,$B1885),2),""))</f>
        <v/>
      </c>
      <c r="O1885" s="46"/>
      <c r="P1885" s="47"/>
      <c r="Q1885" s="46"/>
      <c r="R1885" s="46"/>
      <c r="S1885" s="6" t="str">
        <f>IF($B1885="","",IF(ISNA(MATCH($B1885,账户名,0)),"※这个账户不在【参数设置】的账户档案里",IF($A1885="","※没填日期，这一笔不会进任何月份的报表",IF(AND($G1885&lt;&gt;"",$H1885&lt;&gt;""),"※收入和支出不能同时填",IF(AND(N($G1885)=0,N($H1885)=0),"※收入和支出都没填",IF($E1885="","※没填收支类别，分类报表会漏掉这一笔",IF(ISNA(MATCH($E1885,类别表,0)),"※收支类别不在【参数设置】的清单里",IF($J1885="","△"&amp;$D1885&amp;" 还没填汇率，去【月度汇率】补上就自动算了",IF(YEAR($A1885)&lt;&gt;管理年度,"△不是管理年度的单据，年报里看不到",IF(AND($F1885="内部转账",$Q1885=""),"△内部转账建议在「往来单位」写上对方账户",IF($M1885&lt;0,"△这一笔之后该账户余额成负数了，核一下","")))))))))))</f>
        <v/>
      </c>
    </row>
    <row r="1886" ht="16.5" spans="1:19">
      <c r="A1886" s="45"/>
      <c r="B1886" s="46"/>
      <c r="C1886" s="12" t="str">
        <f>IF($B1886="","",IFERROR(INDEX(账户银行,MATCH($B1886,账户名,0)),""))</f>
        <v/>
      </c>
      <c r="D1886" s="12" t="str">
        <f>IF($B1886="","",IFERROR(INDEX(账户币种,MATCH($B1886,账户名,0)),""))</f>
        <v/>
      </c>
      <c r="E1886" s="47"/>
      <c r="F1886" s="12" t="str">
        <f>IF($E1886="","",IFERROR(INDEX(类别属性,MATCH($E1886,类别表,0)),""))</f>
        <v/>
      </c>
      <c r="G1886" s="48"/>
      <c r="H1886" s="48"/>
      <c r="I1886" s="49"/>
      <c r="J1886" s="24" t="str">
        <f>IF(OR($A1886="",$B1886=""),"",IF($I1886&lt;&gt;"",$I1886,IF($D1886=本位币,1,IFERROR(LOOKUP(2,1/((汇率月份&lt;=$A1886)*(INDEX(记账汇率区,0,MATCH($D1886,汇率币种头,0))&lt;&gt;"")),INDEX(记账汇率区,0,MATCH($D1886,汇率币种头,0))),""))))</f>
        <v/>
      </c>
      <c r="K1886" s="23" t="str">
        <f t="shared" si="58"/>
        <v/>
      </c>
      <c r="L1886" s="23" t="str">
        <f t="shared" si="59"/>
        <v/>
      </c>
      <c r="M1886" s="23" t="str">
        <f>IF($B1886="","",ROUND(SUMIF(账户名,$B1886,账户期初)+SUMIFS($K$6:K1886,$B$6:B1886,$B1886),2))</f>
        <v/>
      </c>
      <c r="N1886" s="23" t="str">
        <f>IF($B1886="","",IFERROR(ROUND(INDEX(账户期初本位,MATCH($B1886,账户名,0))+SUMIFS($L$6:L1886,$B$6:B1886,$B1886),2),""))</f>
        <v/>
      </c>
      <c r="O1886" s="46"/>
      <c r="P1886" s="47"/>
      <c r="Q1886" s="46"/>
      <c r="R1886" s="46"/>
      <c r="S1886" s="6" t="str">
        <f>IF($B1886="","",IF(ISNA(MATCH($B1886,账户名,0)),"※这个账户不在【参数设置】的账户档案里",IF($A1886="","※没填日期，这一笔不会进任何月份的报表",IF(AND($G1886&lt;&gt;"",$H1886&lt;&gt;""),"※收入和支出不能同时填",IF(AND(N($G1886)=0,N($H1886)=0),"※收入和支出都没填",IF($E1886="","※没填收支类别，分类报表会漏掉这一笔",IF(ISNA(MATCH($E1886,类别表,0)),"※收支类别不在【参数设置】的清单里",IF($J1886="","△"&amp;$D1886&amp;" 还没填汇率，去【月度汇率】补上就自动算了",IF(YEAR($A1886)&lt;&gt;管理年度,"△不是管理年度的单据，年报里看不到",IF(AND($F1886="内部转账",$Q1886=""),"△内部转账建议在「往来单位」写上对方账户",IF($M1886&lt;0,"△这一笔之后该账户余额成负数了，核一下","")))))))))))</f>
        <v/>
      </c>
    </row>
    <row r="1887" ht="16.5" spans="1:19">
      <c r="A1887" s="45"/>
      <c r="B1887" s="46"/>
      <c r="C1887" s="12" t="str">
        <f>IF($B1887="","",IFERROR(INDEX(账户银行,MATCH($B1887,账户名,0)),""))</f>
        <v/>
      </c>
      <c r="D1887" s="12" t="str">
        <f>IF($B1887="","",IFERROR(INDEX(账户币种,MATCH($B1887,账户名,0)),""))</f>
        <v/>
      </c>
      <c r="E1887" s="47"/>
      <c r="F1887" s="12" t="str">
        <f>IF($E1887="","",IFERROR(INDEX(类别属性,MATCH($E1887,类别表,0)),""))</f>
        <v/>
      </c>
      <c r="G1887" s="48"/>
      <c r="H1887" s="48"/>
      <c r="I1887" s="49"/>
      <c r="J1887" s="24" t="str">
        <f>IF(OR($A1887="",$B1887=""),"",IF($I1887&lt;&gt;"",$I1887,IF($D1887=本位币,1,IFERROR(LOOKUP(2,1/((汇率月份&lt;=$A1887)*(INDEX(记账汇率区,0,MATCH($D1887,汇率币种头,0))&lt;&gt;"")),INDEX(记账汇率区,0,MATCH($D1887,汇率币种头,0))),""))))</f>
        <v/>
      </c>
      <c r="K1887" s="23" t="str">
        <f t="shared" si="58"/>
        <v/>
      </c>
      <c r="L1887" s="23" t="str">
        <f t="shared" si="59"/>
        <v/>
      </c>
      <c r="M1887" s="23" t="str">
        <f>IF($B1887="","",ROUND(SUMIF(账户名,$B1887,账户期初)+SUMIFS($K$6:K1887,$B$6:B1887,$B1887),2))</f>
        <v/>
      </c>
      <c r="N1887" s="23" t="str">
        <f>IF($B1887="","",IFERROR(ROUND(INDEX(账户期初本位,MATCH($B1887,账户名,0))+SUMIFS($L$6:L1887,$B$6:B1887,$B1887),2),""))</f>
        <v/>
      </c>
      <c r="O1887" s="46"/>
      <c r="P1887" s="47"/>
      <c r="Q1887" s="46"/>
      <c r="R1887" s="46"/>
      <c r="S1887" s="6" t="str">
        <f>IF($B1887="","",IF(ISNA(MATCH($B1887,账户名,0)),"※这个账户不在【参数设置】的账户档案里",IF($A1887="","※没填日期，这一笔不会进任何月份的报表",IF(AND($G1887&lt;&gt;"",$H1887&lt;&gt;""),"※收入和支出不能同时填",IF(AND(N($G1887)=0,N($H1887)=0),"※收入和支出都没填",IF($E1887="","※没填收支类别，分类报表会漏掉这一笔",IF(ISNA(MATCH($E1887,类别表,0)),"※收支类别不在【参数设置】的清单里",IF($J1887="","△"&amp;$D1887&amp;" 还没填汇率，去【月度汇率】补上就自动算了",IF(YEAR($A1887)&lt;&gt;管理年度,"△不是管理年度的单据，年报里看不到",IF(AND($F1887="内部转账",$Q1887=""),"△内部转账建议在「往来单位」写上对方账户",IF($M1887&lt;0,"△这一笔之后该账户余额成负数了，核一下","")))))))))))</f>
        <v/>
      </c>
    </row>
    <row r="1888" ht="16.5" spans="1:19">
      <c r="A1888" s="45"/>
      <c r="B1888" s="46"/>
      <c r="C1888" s="12" t="str">
        <f>IF($B1888="","",IFERROR(INDEX(账户银行,MATCH($B1888,账户名,0)),""))</f>
        <v/>
      </c>
      <c r="D1888" s="12" t="str">
        <f>IF($B1888="","",IFERROR(INDEX(账户币种,MATCH($B1888,账户名,0)),""))</f>
        <v/>
      </c>
      <c r="E1888" s="47"/>
      <c r="F1888" s="12" t="str">
        <f>IF($E1888="","",IFERROR(INDEX(类别属性,MATCH($E1888,类别表,0)),""))</f>
        <v/>
      </c>
      <c r="G1888" s="48"/>
      <c r="H1888" s="48"/>
      <c r="I1888" s="49"/>
      <c r="J1888" s="24" t="str">
        <f>IF(OR($A1888="",$B1888=""),"",IF($I1888&lt;&gt;"",$I1888,IF($D1888=本位币,1,IFERROR(LOOKUP(2,1/((汇率月份&lt;=$A1888)*(INDEX(记账汇率区,0,MATCH($D1888,汇率币种头,0))&lt;&gt;"")),INDEX(记账汇率区,0,MATCH($D1888,汇率币种头,0))),""))))</f>
        <v/>
      </c>
      <c r="K1888" s="23" t="str">
        <f t="shared" si="58"/>
        <v/>
      </c>
      <c r="L1888" s="23" t="str">
        <f t="shared" si="59"/>
        <v/>
      </c>
      <c r="M1888" s="23" t="str">
        <f>IF($B1888="","",ROUND(SUMIF(账户名,$B1888,账户期初)+SUMIFS($K$6:K1888,$B$6:B1888,$B1888),2))</f>
        <v/>
      </c>
      <c r="N1888" s="23" t="str">
        <f>IF($B1888="","",IFERROR(ROUND(INDEX(账户期初本位,MATCH($B1888,账户名,0))+SUMIFS($L$6:L1888,$B$6:B1888,$B1888),2),""))</f>
        <v/>
      </c>
      <c r="O1888" s="46"/>
      <c r="P1888" s="47"/>
      <c r="Q1888" s="46"/>
      <c r="R1888" s="46"/>
      <c r="S1888" s="6" t="str">
        <f>IF($B1888="","",IF(ISNA(MATCH($B1888,账户名,0)),"※这个账户不在【参数设置】的账户档案里",IF($A1888="","※没填日期，这一笔不会进任何月份的报表",IF(AND($G1888&lt;&gt;"",$H1888&lt;&gt;""),"※收入和支出不能同时填",IF(AND(N($G1888)=0,N($H1888)=0),"※收入和支出都没填",IF($E1888="","※没填收支类别，分类报表会漏掉这一笔",IF(ISNA(MATCH($E1888,类别表,0)),"※收支类别不在【参数设置】的清单里",IF($J1888="","△"&amp;$D1888&amp;" 还没填汇率，去【月度汇率】补上就自动算了",IF(YEAR($A1888)&lt;&gt;管理年度,"△不是管理年度的单据，年报里看不到",IF(AND($F1888="内部转账",$Q1888=""),"△内部转账建议在「往来单位」写上对方账户",IF($M1888&lt;0,"△这一笔之后该账户余额成负数了，核一下","")))))))))))</f>
        <v/>
      </c>
    </row>
    <row r="1889" ht="16.5" spans="1:19">
      <c r="A1889" s="45"/>
      <c r="B1889" s="46"/>
      <c r="C1889" s="12" t="str">
        <f>IF($B1889="","",IFERROR(INDEX(账户银行,MATCH($B1889,账户名,0)),""))</f>
        <v/>
      </c>
      <c r="D1889" s="12" t="str">
        <f>IF($B1889="","",IFERROR(INDEX(账户币种,MATCH($B1889,账户名,0)),""))</f>
        <v/>
      </c>
      <c r="E1889" s="47"/>
      <c r="F1889" s="12" t="str">
        <f>IF($E1889="","",IFERROR(INDEX(类别属性,MATCH($E1889,类别表,0)),""))</f>
        <v/>
      </c>
      <c r="G1889" s="48"/>
      <c r="H1889" s="48"/>
      <c r="I1889" s="49"/>
      <c r="J1889" s="24" t="str">
        <f>IF(OR($A1889="",$B1889=""),"",IF($I1889&lt;&gt;"",$I1889,IF($D1889=本位币,1,IFERROR(LOOKUP(2,1/((汇率月份&lt;=$A1889)*(INDEX(记账汇率区,0,MATCH($D1889,汇率币种头,0))&lt;&gt;"")),INDEX(记账汇率区,0,MATCH($D1889,汇率币种头,0))),""))))</f>
        <v/>
      </c>
      <c r="K1889" s="23" t="str">
        <f t="shared" si="58"/>
        <v/>
      </c>
      <c r="L1889" s="23" t="str">
        <f t="shared" si="59"/>
        <v/>
      </c>
      <c r="M1889" s="23" t="str">
        <f>IF($B1889="","",ROUND(SUMIF(账户名,$B1889,账户期初)+SUMIFS($K$6:K1889,$B$6:B1889,$B1889),2))</f>
        <v/>
      </c>
      <c r="N1889" s="23" t="str">
        <f>IF($B1889="","",IFERROR(ROUND(INDEX(账户期初本位,MATCH($B1889,账户名,0))+SUMIFS($L$6:L1889,$B$6:B1889,$B1889),2),""))</f>
        <v/>
      </c>
      <c r="O1889" s="46"/>
      <c r="P1889" s="47"/>
      <c r="Q1889" s="46"/>
      <c r="R1889" s="46"/>
      <c r="S1889" s="6" t="str">
        <f>IF($B1889="","",IF(ISNA(MATCH($B1889,账户名,0)),"※这个账户不在【参数设置】的账户档案里",IF($A1889="","※没填日期，这一笔不会进任何月份的报表",IF(AND($G1889&lt;&gt;"",$H1889&lt;&gt;""),"※收入和支出不能同时填",IF(AND(N($G1889)=0,N($H1889)=0),"※收入和支出都没填",IF($E1889="","※没填收支类别，分类报表会漏掉这一笔",IF(ISNA(MATCH($E1889,类别表,0)),"※收支类别不在【参数设置】的清单里",IF($J1889="","△"&amp;$D1889&amp;" 还没填汇率，去【月度汇率】补上就自动算了",IF(YEAR($A1889)&lt;&gt;管理年度,"△不是管理年度的单据，年报里看不到",IF(AND($F1889="内部转账",$Q1889=""),"△内部转账建议在「往来单位」写上对方账户",IF($M1889&lt;0,"△这一笔之后该账户余额成负数了，核一下","")))))))))))</f>
        <v/>
      </c>
    </row>
    <row r="1890" ht="16.5" spans="1:19">
      <c r="A1890" s="45"/>
      <c r="B1890" s="46"/>
      <c r="C1890" s="12" t="str">
        <f>IF($B1890="","",IFERROR(INDEX(账户银行,MATCH($B1890,账户名,0)),""))</f>
        <v/>
      </c>
      <c r="D1890" s="12" t="str">
        <f>IF($B1890="","",IFERROR(INDEX(账户币种,MATCH($B1890,账户名,0)),""))</f>
        <v/>
      </c>
      <c r="E1890" s="47"/>
      <c r="F1890" s="12" t="str">
        <f>IF($E1890="","",IFERROR(INDEX(类别属性,MATCH($E1890,类别表,0)),""))</f>
        <v/>
      </c>
      <c r="G1890" s="48"/>
      <c r="H1890" s="48"/>
      <c r="I1890" s="49"/>
      <c r="J1890" s="24" t="str">
        <f>IF(OR($A1890="",$B1890=""),"",IF($I1890&lt;&gt;"",$I1890,IF($D1890=本位币,1,IFERROR(LOOKUP(2,1/((汇率月份&lt;=$A1890)*(INDEX(记账汇率区,0,MATCH($D1890,汇率币种头,0))&lt;&gt;"")),INDEX(记账汇率区,0,MATCH($D1890,汇率币种头,0))),""))))</f>
        <v/>
      </c>
      <c r="K1890" s="23" t="str">
        <f t="shared" si="58"/>
        <v/>
      </c>
      <c r="L1890" s="23" t="str">
        <f t="shared" si="59"/>
        <v/>
      </c>
      <c r="M1890" s="23" t="str">
        <f>IF($B1890="","",ROUND(SUMIF(账户名,$B1890,账户期初)+SUMIFS($K$6:K1890,$B$6:B1890,$B1890),2))</f>
        <v/>
      </c>
      <c r="N1890" s="23" t="str">
        <f>IF($B1890="","",IFERROR(ROUND(INDEX(账户期初本位,MATCH($B1890,账户名,0))+SUMIFS($L$6:L1890,$B$6:B1890,$B1890),2),""))</f>
        <v/>
      </c>
      <c r="O1890" s="46"/>
      <c r="P1890" s="47"/>
      <c r="Q1890" s="46"/>
      <c r="R1890" s="46"/>
      <c r="S1890" s="6" t="str">
        <f>IF($B1890="","",IF(ISNA(MATCH($B1890,账户名,0)),"※这个账户不在【参数设置】的账户档案里",IF($A1890="","※没填日期，这一笔不会进任何月份的报表",IF(AND($G1890&lt;&gt;"",$H1890&lt;&gt;""),"※收入和支出不能同时填",IF(AND(N($G1890)=0,N($H1890)=0),"※收入和支出都没填",IF($E1890="","※没填收支类别，分类报表会漏掉这一笔",IF(ISNA(MATCH($E1890,类别表,0)),"※收支类别不在【参数设置】的清单里",IF($J1890="","△"&amp;$D1890&amp;" 还没填汇率，去【月度汇率】补上就自动算了",IF(YEAR($A1890)&lt;&gt;管理年度,"△不是管理年度的单据，年报里看不到",IF(AND($F1890="内部转账",$Q1890=""),"△内部转账建议在「往来单位」写上对方账户",IF($M1890&lt;0,"△这一笔之后该账户余额成负数了，核一下","")))))))))))</f>
        <v/>
      </c>
    </row>
    <row r="1891" ht="16.5" spans="1:19">
      <c r="A1891" s="45"/>
      <c r="B1891" s="46"/>
      <c r="C1891" s="12" t="str">
        <f>IF($B1891="","",IFERROR(INDEX(账户银行,MATCH($B1891,账户名,0)),""))</f>
        <v/>
      </c>
      <c r="D1891" s="12" t="str">
        <f>IF($B1891="","",IFERROR(INDEX(账户币种,MATCH($B1891,账户名,0)),""))</f>
        <v/>
      </c>
      <c r="E1891" s="47"/>
      <c r="F1891" s="12" t="str">
        <f>IF($E1891="","",IFERROR(INDEX(类别属性,MATCH($E1891,类别表,0)),""))</f>
        <v/>
      </c>
      <c r="G1891" s="48"/>
      <c r="H1891" s="48"/>
      <c r="I1891" s="49"/>
      <c r="J1891" s="24" t="str">
        <f>IF(OR($A1891="",$B1891=""),"",IF($I1891&lt;&gt;"",$I1891,IF($D1891=本位币,1,IFERROR(LOOKUP(2,1/((汇率月份&lt;=$A1891)*(INDEX(记账汇率区,0,MATCH($D1891,汇率币种头,0))&lt;&gt;"")),INDEX(记账汇率区,0,MATCH($D1891,汇率币种头,0))),""))))</f>
        <v/>
      </c>
      <c r="K1891" s="23" t="str">
        <f t="shared" si="58"/>
        <v/>
      </c>
      <c r="L1891" s="23" t="str">
        <f t="shared" si="59"/>
        <v/>
      </c>
      <c r="M1891" s="23" t="str">
        <f>IF($B1891="","",ROUND(SUMIF(账户名,$B1891,账户期初)+SUMIFS($K$6:K1891,$B$6:B1891,$B1891),2))</f>
        <v/>
      </c>
      <c r="N1891" s="23" t="str">
        <f>IF($B1891="","",IFERROR(ROUND(INDEX(账户期初本位,MATCH($B1891,账户名,0))+SUMIFS($L$6:L1891,$B$6:B1891,$B1891),2),""))</f>
        <v/>
      </c>
      <c r="O1891" s="46"/>
      <c r="P1891" s="47"/>
      <c r="Q1891" s="46"/>
      <c r="R1891" s="46"/>
      <c r="S1891" s="6" t="str">
        <f>IF($B1891="","",IF(ISNA(MATCH($B1891,账户名,0)),"※这个账户不在【参数设置】的账户档案里",IF($A1891="","※没填日期，这一笔不会进任何月份的报表",IF(AND($G1891&lt;&gt;"",$H1891&lt;&gt;""),"※收入和支出不能同时填",IF(AND(N($G1891)=0,N($H1891)=0),"※收入和支出都没填",IF($E1891="","※没填收支类别，分类报表会漏掉这一笔",IF(ISNA(MATCH($E1891,类别表,0)),"※收支类别不在【参数设置】的清单里",IF($J1891="","△"&amp;$D1891&amp;" 还没填汇率，去【月度汇率】补上就自动算了",IF(YEAR($A1891)&lt;&gt;管理年度,"△不是管理年度的单据，年报里看不到",IF(AND($F1891="内部转账",$Q1891=""),"△内部转账建议在「往来单位」写上对方账户",IF($M1891&lt;0,"△这一笔之后该账户余额成负数了，核一下","")))))))))))</f>
        <v/>
      </c>
    </row>
    <row r="1892" ht="16.5" spans="1:19">
      <c r="A1892" s="45"/>
      <c r="B1892" s="46"/>
      <c r="C1892" s="12" t="str">
        <f>IF($B1892="","",IFERROR(INDEX(账户银行,MATCH($B1892,账户名,0)),""))</f>
        <v/>
      </c>
      <c r="D1892" s="12" t="str">
        <f>IF($B1892="","",IFERROR(INDEX(账户币种,MATCH($B1892,账户名,0)),""))</f>
        <v/>
      </c>
      <c r="E1892" s="47"/>
      <c r="F1892" s="12" t="str">
        <f>IF($E1892="","",IFERROR(INDEX(类别属性,MATCH($E1892,类别表,0)),""))</f>
        <v/>
      </c>
      <c r="G1892" s="48"/>
      <c r="H1892" s="48"/>
      <c r="I1892" s="49"/>
      <c r="J1892" s="24" t="str">
        <f>IF(OR($A1892="",$B1892=""),"",IF($I1892&lt;&gt;"",$I1892,IF($D1892=本位币,1,IFERROR(LOOKUP(2,1/((汇率月份&lt;=$A1892)*(INDEX(记账汇率区,0,MATCH($D1892,汇率币种头,0))&lt;&gt;"")),INDEX(记账汇率区,0,MATCH($D1892,汇率币种头,0))),""))))</f>
        <v/>
      </c>
      <c r="K1892" s="23" t="str">
        <f t="shared" si="58"/>
        <v/>
      </c>
      <c r="L1892" s="23" t="str">
        <f t="shared" si="59"/>
        <v/>
      </c>
      <c r="M1892" s="23" t="str">
        <f>IF($B1892="","",ROUND(SUMIF(账户名,$B1892,账户期初)+SUMIFS($K$6:K1892,$B$6:B1892,$B1892),2))</f>
        <v/>
      </c>
      <c r="N1892" s="23" t="str">
        <f>IF($B1892="","",IFERROR(ROUND(INDEX(账户期初本位,MATCH($B1892,账户名,0))+SUMIFS($L$6:L1892,$B$6:B1892,$B1892),2),""))</f>
        <v/>
      </c>
      <c r="O1892" s="46"/>
      <c r="P1892" s="47"/>
      <c r="Q1892" s="46"/>
      <c r="R1892" s="46"/>
      <c r="S1892" s="6" t="str">
        <f>IF($B1892="","",IF(ISNA(MATCH($B1892,账户名,0)),"※这个账户不在【参数设置】的账户档案里",IF($A1892="","※没填日期，这一笔不会进任何月份的报表",IF(AND($G1892&lt;&gt;"",$H1892&lt;&gt;""),"※收入和支出不能同时填",IF(AND(N($G1892)=0,N($H1892)=0),"※收入和支出都没填",IF($E1892="","※没填收支类别，分类报表会漏掉这一笔",IF(ISNA(MATCH($E1892,类别表,0)),"※收支类别不在【参数设置】的清单里",IF($J1892="","△"&amp;$D1892&amp;" 还没填汇率，去【月度汇率】补上就自动算了",IF(YEAR($A1892)&lt;&gt;管理年度,"△不是管理年度的单据，年报里看不到",IF(AND($F1892="内部转账",$Q1892=""),"△内部转账建议在「往来单位」写上对方账户",IF($M1892&lt;0,"△这一笔之后该账户余额成负数了，核一下","")))))))))))</f>
        <v/>
      </c>
    </row>
    <row r="1893" ht="16.5" spans="1:19">
      <c r="A1893" s="45"/>
      <c r="B1893" s="46"/>
      <c r="C1893" s="12" t="str">
        <f>IF($B1893="","",IFERROR(INDEX(账户银行,MATCH($B1893,账户名,0)),""))</f>
        <v/>
      </c>
      <c r="D1893" s="12" t="str">
        <f>IF($B1893="","",IFERROR(INDEX(账户币种,MATCH($B1893,账户名,0)),""))</f>
        <v/>
      </c>
      <c r="E1893" s="47"/>
      <c r="F1893" s="12" t="str">
        <f>IF($E1893="","",IFERROR(INDEX(类别属性,MATCH($E1893,类别表,0)),""))</f>
        <v/>
      </c>
      <c r="G1893" s="48"/>
      <c r="H1893" s="48"/>
      <c r="I1893" s="49"/>
      <c r="J1893" s="24" t="str">
        <f>IF(OR($A1893="",$B1893=""),"",IF($I1893&lt;&gt;"",$I1893,IF($D1893=本位币,1,IFERROR(LOOKUP(2,1/((汇率月份&lt;=$A1893)*(INDEX(记账汇率区,0,MATCH($D1893,汇率币种头,0))&lt;&gt;"")),INDEX(记账汇率区,0,MATCH($D1893,汇率币种头,0))),""))))</f>
        <v/>
      </c>
      <c r="K1893" s="23" t="str">
        <f t="shared" si="58"/>
        <v/>
      </c>
      <c r="L1893" s="23" t="str">
        <f t="shared" si="59"/>
        <v/>
      </c>
      <c r="M1893" s="23" t="str">
        <f>IF($B1893="","",ROUND(SUMIF(账户名,$B1893,账户期初)+SUMIFS($K$6:K1893,$B$6:B1893,$B1893),2))</f>
        <v/>
      </c>
      <c r="N1893" s="23" t="str">
        <f>IF($B1893="","",IFERROR(ROUND(INDEX(账户期初本位,MATCH($B1893,账户名,0))+SUMIFS($L$6:L1893,$B$6:B1893,$B1893),2),""))</f>
        <v/>
      </c>
      <c r="O1893" s="46"/>
      <c r="P1893" s="47"/>
      <c r="Q1893" s="46"/>
      <c r="R1893" s="46"/>
      <c r="S1893" s="6" t="str">
        <f>IF($B1893="","",IF(ISNA(MATCH($B1893,账户名,0)),"※这个账户不在【参数设置】的账户档案里",IF($A1893="","※没填日期，这一笔不会进任何月份的报表",IF(AND($G1893&lt;&gt;"",$H1893&lt;&gt;""),"※收入和支出不能同时填",IF(AND(N($G1893)=0,N($H1893)=0),"※收入和支出都没填",IF($E1893="","※没填收支类别，分类报表会漏掉这一笔",IF(ISNA(MATCH($E1893,类别表,0)),"※收支类别不在【参数设置】的清单里",IF($J1893="","△"&amp;$D1893&amp;" 还没填汇率，去【月度汇率】补上就自动算了",IF(YEAR($A1893)&lt;&gt;管理年度,"△不是管理年度的单据，年报里看不到",IF(AND($F1893="内部转账",$Q1893=""),"△内部转账建议在「往来单位」写上对方账户",IF($M1893&lt;0,"△这一笔之后该账户余额成负数了，核一下","")))))))))))</f>
        <v/>
      </c>
    </row>
    <row r="1894" ht="16.5" spans="1:19">
      <c r="A1894" s="45"/>
      <c r="B1894" s="46"/>
      <c r="C1894" s="12" t="str">
        <f>IF($B1894="","",IFERROR(INDEX(账户银行,MATCH($B1894,账户名,0)),""))</f>
        <v/>
      </c>
      <c r="D1894" s="12" t="str">
        <f>IF($B1894="","",IFERROR(INDEX(账户币种,MATCH($B1894,账户名,0)),""))</f>
        <v/>
      </c>
      <c r="E1894" s="47"/>
      <c r="F1894" s="12" t="str">
        <f>IF($E1894="","",IFERROR(INDEX(类别属性,MATCH($E1894,类别表,0)),""))</f>
        <v/>
      </c>
      <c r="G1894" s="48"/>
      <c r="H1894" s="48"/>
      <c r="I1894" s="49"/>
      <c r="J1894" s="24" t="str">
        <f>IF(OR($A1894="",$B1894=""),"",IF($I1894&lt;&gt;"",$I1894,IF($D1894=本位币,1,IFERROR(LOOKUP(2,1/((汇率月份&lt;=$A1894)*(INDEX(记账汇率区,0,MATCH($D1894,汇率币种头,0))&lt;&gt;"")),INDEX(记账汇率区,0,MATCH($D1894,汇率币种头,0))),""))))</f>
        <v/>
      </c>
      <c r="K1894" s="23" t="str">
        <f t="shared" si="58"/>
        <v/>
      </c>
      <c r="L1894" s="23" t="str">
        <f t="shared" si="59"/>
        <v/>
      </c>
      <c r="M1894" s="23" t="str">
        <f>IF($B1894="","",ROUND(SUMIF(账户名,$B1894,账户期初)+SUMIFS($K$6:K1894,$B$6:B1894,$B1894),2))</f>
        <v/>
      </c>
      <c r="N1894" s="23" t="str">
        <f>IF($B1894="","",IFERROR(ROUND(INDEX(账户期初本位,MATCH($B1894,账户名,0))+SUMIFS($L$6:L1894,$B$6:B1894,$B1894),2),""))</f>
        <v/>
      </c>
      <c r="O1894" s="46"/>
      <c r="P1894" s="47"/>
      <c r="Q1894" s="46"/>
      <c r="R1894" s="46"/>
      <c r="S1894" s="6" t="str">
        <f>IF($B1894="","",IF(ISNA(MATCH($B1894,账户名,0)),"※这个账户不在【参数设置】的账户档案里",IF($A1894="","※没填日期，这一笔不会进任何月份的报表",IF(AND($G1894&lt;&gt;"",$H1894&lt;&gt;""),"※收入和支出不能同时填",IF(AND(N($G1894)=0,N($H1894)=0),"※收入和支出都没填",IF($E1894="","※没填收支类别，分类报表会漏掉这一笔",IF(ISNA(MATCH($E1894,类别表,0)),"※收支类别不在【参数设置】的清单里",IF($J1894="","△"&amp;$D1894&amp;" 还没填汇率，去【月度汇率】补上就自动算了",IF(YEAR($A1894)&lt;&gt;管理年度,"△不是管理年度的单据，年报里看不到",IF(AND($F1894="内部转账",$Q1894=""),"△内部转账建议在「往来单位」写上对方账户",IF($M1894&lt;0,"△这一笔之后该账户余额成负数了，核一下","")))))))))))</f>
        <v/>
      </c>
    </row>
    <row r="1895" ht="16.5" spans="1:19">
      <c r="A1895" s="45"/>
      <c r="B1895" s="46"/>
      <c r="C1895" s="12" t="str">
        <f>IF($B1895="","",IFERROR(INDEX(账户银行,MATCH($B1895,账户名,0)),""))</f>
        <v/>
      </c>
      <c r="D1895" s="12" t="str">
        <f>IF($B1895="","",IFERROR(INDEX(账户币种,MATCH($B1895,账户名,0)),""))</f>
        <v/>
      </c>
      <c r="E1895" s="47"/>
      <c r="F1895" s="12" t="str">
        <f>IF($E1895="","",IFERROR(INDEX(类别属性,MATCH($E1895,类别表,0)),""))</f>
        <v/>
      </c>
      <c r="G1895" s="48"/>
      <c r="H1895" s="48"/>
      <c r="I1895" s="49"/>
      <c r="J1895" s="24" t="str">
        <f>IF(OR($A1895="",$B1895=""),"",IF($I1895&lt;&gt;"",$I1895,IF($D1895=本位币,1,IFERROR(LOOKUP(2,1/((汇率月份&lt;=$A1895)*(INDEX(记账汇率区,0,MATCH($D1895,汇率币种头,0))&lt;&gt;"")),INDEX(记账汇率区,0,MATCH($D1895,汇率币种头,0))),""))))</f>
        <v/>
      </c>
      <c r="K1895" s="23" t="str">
        <f t="shared" si="58"/>
        <v/>
      </c>
      <c r="L1895" s="23" t="str">
        <f t="shared" si="59"/>
        <v/>
      </c>
      <c r="M1895" s="23" t="str">
        <f>IF($B1895="","",ROUND(SUMIF(账户名,$B1895,账户期初)+SUMIFS($K$6:K1895,$B$6:B1895,$B1895),2))</f>
        <v/>
      </c>
      <c r="N1895" s="23" t="str">
        <f>IF($B1895="","",IFERROR(ROUND(INDEX(账户期初本位,MATCH($B1895,账户名,0))+SUMIFS($L$6:L1895,$B$6:B1895,$B1895),2),""))</f>
        <v/>
      </c>
      <c r="O1895" s="46"/>
      <c r="P1895" s="47"/>
      <c r="Q1895" s="46"/>
      <c r="R1895" s="46"/>
      <c r="S1895" s="6" t="str">
        <f>IF($B1895="","",IF(ISNA(MATCH($B1895,账户名,0)),"※这个账户不在【参数设置】的账户档案里",IF($A1895="","※没填日期，这一笔不会进任何月份的报表",IF(AND($G1895&lt;&gt;"",$H1895&lt;&gt;""),"※收入和支出不能同时填",IF(AND(N($G1895)=0,N($H1895)=0),"※收入和支出都没填",IF($E1895="","※没填收支类别，分类报表会漏掉这一笔",IF(ISNA(MATCH($E1895,类别表,0)),"※收支类别不在【参数设置】的清单里",IF($J1895="","△"&amp;$D1895&amp;" 还没填汇率，去【月度汇率】补上就自动算了",IF(YEAR($A1895)&lt;&gt;管理年度,"△不是管理年度的单据，年报里看不到",IF(AND($F1895="内部转账",$Q1895=""),"△内部转账建议在「往来单位」写上对方账户",IF($M1895&lt;0,"△这一笔之后该账户余额成负数了，核一下","")))))))))))</f>
        <v/>
      </c>
    </row>
    <row r="1896" ht="16.5" spans="1:19">
      <c r="A1896" s="45"/>
      <c r="B1896" s="46"/>
      <c r="C1896" s="12" t="str">
        <f>IF($B1896="","",IFERROR(INDEX(账户银行,MATCH($B1896,账户名,0)),""))</f>
        <v/>
      </c>
      <c r="D1896" s="12" t="str">
        <f>IF($B1896="","",IFERROR(INDEX(账户币种,MATCH($B1896,账户名,0)),""))</f>
        <v/>
      </c>
      <c r="E1896" s="47"/>
      <c r="F1896" s="12" t="str">
        <f>IF($E1896="","",IFERROR(INDEX(类别属性,MATCH($E1896,类别表,0)),""))</f>
        <v/>
      </c>
      <c r="G1896" s="48"/>
      <c r="H1896" s="48"/>
      <c r="I1896" s="49"/>
      <c r="J1896" s="24" t="str">
        <f>IF(OR($A1896="",$B1896=""),"",IF($I1896&lt;&gt;"",$I1896,IF($D1896=本位币,1,IFERROR(LOOKUP(2,1/((汇率月份&lt;=$A1896)*(INDEX(记账汇率区,0,MATCH($D1896,汇率币种头,0))&lt;&gt;"")),INDEX(记账汇率区,0,MATCH($D1896,汇率币种头,0))),""))))</f>
        <v/>
      </c>
      <c r="K1896" s="23" t="str">
        <f t="shared" si="58"/>
        <v/>
      </c>
      <c r="L1896" s="23" t="str">
        <f t="shared" si="59"/>
        <v/>
      </c>
      <c r="M1896" s="23" t="str">
        <f>IF($B1896="","",ROUND(SUMIF(账户名,$B1896,账户期初)+SUMIFS($K$6:K1896,$B$6:B1896,$B1896),2))</f>
        <v/>
      </c>
      <c r="N1896" s="23" t="str">
        <f>IF($B1896="","",IFERROR(ROUND(INDEX(账户期初本位,MATCH($B1896,账户名,0))+SUMIFS($L$6:L1896,$B$6:B1896,$B1896),2),""))</f>
        <v/>
      </c>
      <c r="O1896" s="46"/>
      <c r="P1896" s="47"/>
      <c r="Q1896" s="46"/>
      <c r="R1896" s="46"/>
      <c r="S1896" s="6" t="str">
        <f>IF($B1896="","",IF(ISNA(MATCH($B1896,账户名,0)),"※这个账户不在【参数设置】的账户档案里",IF($A1896="","※没填日期，这一笔不会进任何月份的报表",IF(AND($G1896&lt;&gt;"",$H1896&lt;&gt;""),"※收入和支出不能同时填",IF(AND(N($G1896)=0,N($H1896)=0),"※收入和支出都没填",IF($E1896="","※没填收支类别，分类报表会漏掉这一笔",IF(ISNA(MATCH($E1896,类别表,0)),"※收支类别不在【参数设置】的清单里",IF($J1896="","△"&amp;$D1896&amp;" 还没填汇率，去【月度汇率】补上就自动算了",IF(YEAR($A1896)&lt;&gt;管理年度,"△不是管理年度的单据，年报里看不到",IF(AND($F1896="内部转账",$Q1896=""),"△内部转账建议在「往来单位」写上对方账户",IF($M1896&lt;0,"△这一笔之后该账户余额成负数了，核一下","")))))))))))</f>
        <v/>
      </c>
    </row>
    <row r="1897" ht="16.5" spans="1:19">
      <c r="A1897" s="45"/>
      <c r="B1897" s="46"/>
      <c r="C1897" s="12" t="str">
        <f>IF($B1897="","",IFERROR(INDEX(账户银行,MATCH($B1897,账户名,0)),""))</f>
        <v/>
      </c>
      <c r="D1897" s="12" t="str">
        <f>IF($B1897="","",IFERROR(INDEX(账户币种,MATCH($B1897,账户名,0)),""))</f>
        <v/>
      </c>
      <c r="E1897" s="47"/>
      <c r="F1897" s="12" t="str">
        <f>IF($E1897="","",IFERROR(INDEX(类别属性,MATCH($E1897,类别表,0)),""))</f>
        <v/>
      </c>
      <c r="G1897" s="48"/>
      <c r="H1897" s="48"/>
      <c r="I1897" s="49"/>
      <c r="J1897" s="24" t="str">
        <f>IF(OR($A1897="",$B1897=""),"",IF($I1897&lt;&gt;"",$I1897,IF($D1897=本位币,1,IFERROR(LOOKUP(2,1/((汇率月份&lt;=$A1897)*(INDEX(记账汇率区,0,MATCH($D1897,汇率币种头,0))&lt;&gt;"")),INDEX(记账汇率区,0,MATCH($D1897,汇率币种头,0))),""))))</f>
        <v/>
      </c>
      <c r="K1897" s="23" t="str">
        <f t="shared" si="58"/>
        <v/>
      </c>
      <c r="L1897" s="23" t="str">
        <f t="shared" si="59"/>
        <v/>
      </c>
      <c r="M1897" s="23" t="str">
        <f>IF($B1897="","",ROUND(SUMIF(账户名,$B1897,账户期初)+SUMIFS($K$6:K1897,$B$6:B1897,$B1897),2))</f>
        <v/>
      </c>
      <c r="N1897" s="23" t="str">
        <f>IF($B1897="","",IFERROR(ROUND(INDEX(账户期初本位,MATCH($B1897,账户名,0))+SUMIFS($L$6:L1897,$B$6:B1897,$B1897),2),""))</f>
        <v/>
      </c>
      <c r="O1897" s="46"/>
      <c r="P1897" s="47"/>
      <c r="Q1897" s="46"/>
      <c r="R1897" s="46"/>
      <c r="S1897" s="6" t="str">
        <f>IF($B1897="","",IF(ISNA(MATCH($B1897,账户名,0)),"※这个账户不在【参数设置】的账户档案里",IF($A1897="","※没填日期，这一笔不会进任何月份的报表",IF(AND($G1897&lt;&gt;"",$H1897&lt;&gt;""),"※收入和支出不能同时填",IF(AND(N($G1897)=0,N($H1897)=0),"※收入和支出都没填",IF($E1897="","※没填收支类别，分类报表会漏掉这一笔",IF(ISNA(MATCH($E1897,类别表,0)),"※收支类别不在【参数设置】的清单里",IF($J1897="","△"&amp;$D1897&amp;" 还没填汇率，去【月度汇率】补上就自动算了",IF(YEAR($A1897)&lt;&gt;管理年度,"△不是管理年度的单据，年报里看不到",IF(AND($F1897="内部转账",$Q1897=""),"△内部转账建议在「往来单位」写上对方账户",IF($M1897&lt;0,"△这一笔之后该账户余额成负数了，核一下","")))))))))))</f>
        <v/>
      </c>
    </row>
    <row r="1898" ht="16.5" spans="1:19">
      <c r="A1898" s="45"/>
      <c r="B1898" s="46"/>
      <c r="C1898" s="12" t="str">
        <f>IF($B1898="","",IFERROR(INDEX(账户银行,MATCH($B1898,账户名,0)),""))</f>
        <v/>
      </c>
      <c r="D1898" s="12" t="str">
        <f>IF($B1898="","",IFERROR(INDEX(账户币种,MATCH($B1898,账户名,0)),""))</f>
        <v/>
      </c>
      <c r="E1898" s="47"/>
      <c r="F1898" s="12" t="str">
        <f>IF($E1898="","",IFERROR(INDEX(类别属性,MATCH($E1898,类别表,0)),""))</f>
        <v/>
      </c>
      <c r="G1898" s="48"/>
      <c r="H1898" s="48"/>
      <c r="I1898" s="49"/>
      <c r="J1898" s="24" t="str">
        <f>IF(OR($A1898="",$B1898=""),"",IF($I1898&lt;&gt;"",$I1898,IF($D1898=本位币,1,IFERROR(LOOKUP(2,1/((汇率月份&lt;=$A1898)*(INDEX(记账汇率区,0,MATCH($D1898,汇率币种头,0))&lt;&gt;"")),INDEX(记账汇率区,0,MATCH($D1898,汇率币种头,0))),""))))</f>
        <v/>
      </c>
      <c r="K1898" s="23" t="str">
        <f t="shared" si="58"/>
        <v/>
      </c>
      <c r="L1898" s="23" t="str">
        <f t="shared" si="59"/>
        <v/>
      </c>
      <c r="M1898" s="23" t="str">
        <f>IF($B1898="","",ROUND(SUMIF(账户名,$B1898,账户期初)+SUMIFS($K$6:K1898,$B$6:B1898,$B1898),2))</f>
        <v/>
      </c>
      <c r="N1898" s="23" t="str">
        <f>IF($B1898="","",IFERROR(ROUND(INDEX(账户期初本位,MATCH($B1898,账户名,0))+SUMIFS($L$6:L1898,$B$6:B1898,$B1898),2),""))</f>
        <v/>
      </c>
      <c r="O1898" s="46"/>
      <c r="P1898" s="47"/>
      <c r="Q1898" s="46"/>
      <c r="R1898" s="46"/>
      <c r="S1898" s="6" t="str">
        <f>IF($B1898="","",IF(ISNA(MATCH($B1898,账户名,0)),"※这个账户不在【参数设置】的账户档案里",IF($A1898="","※没填日期，这一笔不会进任何月份的报表",IF(AND($G1898&lt;&gt;"",$H1898&lt;&gt;""),"※收入和支出不能同时填",IF(AND(N($G1898)=0,N($H1898)=0),"※收入和支出都没填",IF($E1898="","※没填收支类别，分类报表会漏掉这一笔",IF(ISNA(MATCH($E1898,类别表,0)),"※收支类别不在【参数设置】的清单里",IF($J1898="","△"&amp;$D1898&amp;" 还没填汇率，去【月度汇率】补上就自动算了",IF(YEAR($A1898)&lt;&gt;管理年度,"△不是管理年度的单据，年报里看不到",IF(AND($F1898="内部转账",$Q1898=""),"△内部转账建议在「往来单位」写上对方账户",IF($M1898&lt;0,"△这一笔之后该账户余额成负数了，核一下","")))))))))))</f>
        <v/>
      </c>
    </row>
    <row r="1899" ht="16.5" spans="1:19">
      <c r="A1899" s="45"/>
      <c r="B1899" s="46"/>
      <c r="C1899" s="12" t="str">
        <f>IF($B1899="","",IFERROR(INDEX(账户银行,MATCH($B1899,账户名,0)),""))</f>
        <v/>
      </c>
      <c r="D1899" s="12" t="str">
        <f>IF($B1899="","",IFERROR(INDEX(账户币种,MATCH($B1899,账户名,0)),""))</f>
        <v/>
      </c>
      <c r="E1899" s="47"/>
      <c r="F1899" s="12" t="str">
        <f>IF($E1899="","",IFERROR(INDEX(类别属性,MATCH($E1899,类别表,0)),""))</f>
        <v/>
      </c>
      <c r="G1899" s="48"/>
      <c r="H1899" s="48"/>
      <c r="I1899" s="49"/>
      <c r="J1899" s="24" t="str">
        <f>IF(OR($A1899="",$B1899=""),"",IF($I1899&lt;&gt;"",$I1899,IF($D1899=本位币,1,IFERROR(LOOKUP(2,1/((汇率月份&lt;=$A1899)*(INDEX(记账汇率区,0,MATCH($D1899,汇率币种头,0))&lt;&gt;"")),INDEX(记账汇率区,0,MATCH($D1899,汇率币种头,0))),""))))</f>
        <v/>
      </c>
      <c r="K1899" s="23" t="str">
        <f t="shared" si="58"/>
        <v/>
      </c>
      <c r="L1899" s="23" t="str">
        <f t="shared" si="59"/>
        <v/>
      </c>
      <c r="M1899" s="23" t="str">
        <f>IF($B1899="","",ROUND(SUMIF(账户名,$B1899,账户期初)+SUMIFS($K$6:K1899,$B$6:B1899,$B1899),2))</f>
        <v/>
      </c>
      <c r="N1899" s="23" t="str">
        <f>IF($B1899="","",IFERROR(ROUND(INDEX(账户期初本位,MATCH($B1899,账户名,0))+SUMIFS($L$6:L1899,$B$6:B1899,$B1899),2),""))</f>
        <v/>
      </c>
      <c r="O1899" s="46"/>
      <c r="P1899" s="47"/>
      <c r="Q1899" s="46"/>
      <c r="R1899" s="46"/>
      <c r="S1899" s="6" t="str">
        <f>IF($B1899="","",IF(ISNA(MATCH($B1899,账户名,0)),"※这个账户不在【参数设置】的账户档案里",IF($A1899="","※没填日期，这一笔不会进任何月份的报表",IF(AND($G1899&lt;&gt;"",$H1899&lt;&gt;""),"※收入和支出不能同时填",IF(AND(N($G1899)=0,N($H1899)=0),"※收入和支出都没填",IF($E1899="","※没填收支类别，分类报表会漏掉这一笔",IF(ISNA(MATCH($E1899,类别表,0)),"※收支类别不在【参数设置】的清单里",IF($J1899="","△"&amp;$D1899&amp;" 还没填汇率，去【月度汇率】补上就自动算了",IF(YEAR($A1899)&lt;&gt;管理年度,"△不是管理年度的单据，年报里看不到",IF(AND($F1899="内部转账",$Q1899=""),"△内部转账建议在「往来单位」写上对方账户",IF($M1899&lt;0,"△这一笔之后该账户余额成负数了，核一下","")))))))))))</f>
        <v/>
      </c>
    </row>
    <row r="1900" ht="16.5" spans="1:19">
      <c r="A1900" s="45"/>
      <c r="B1900" s="46"/>
      <c r="C1900" s="12" t="str">
        <f>IF($B1900="","",IFERROR(INDEX(账户银行,MATCH($B1900,账户名,0)),""))</f>
        <v/>
      </c>
      <c r="D1900" s="12" t="str">
        <f>IF($B1900="","",IFERROR(INDEX(账户币种,MATCH($B1900,账户名,0)),""))</f>
        <v/>
      </c>
      <c r="E1900" s="47"/>
      <c r="F1900" s="12" t="str">
        <f>IF($E1900="","",IFERROR(INDEX(类别属性,MATCH($E1900,类别表,0)),""))</f>
        <v/>
      </c>
      <c r="G1900" s="48"/>
      <c r="H1900" s="48"/>
      <c r="I1900" s="49"/>
      <c r="J1900" s="24" t="str">
        <f>IF(OR($A1900="",$B1900=""),"",IF($I1900&lt;&gt;"",$I1900,IF($D1900=本位币,1,IFERROR(LOOKUP(2,1/((汇率月份&lt;=$A1900)*(INDEX(记账汇率区,0,MATCH($D1900,汇率币种头,0))&lt;&gt;"")),INDEX(记账汇率区,0,MATCH($D1900,汇率币种头,0))),""))))</f>
        <v/>
      </c>
      <c r="K1900" s="23" t="str">
        <f t="shared" si="58"/>
        <v/>
      </c>
      <c r="L1900" s="23" t="str">
        <f t="shared" si="59"/>
        <v/>
      </c>
      <c r="M1900" s="23" t="str">
        <f>IF($B1900="","",ROUND(SUMIF(账户名,$B1900,账户期初)+SUMIFS($K$6:K1900,$B$6:B1900,$B1900),2))</f>
        <v/>
      </c>
      <c r="N1900" s="23" t="str">
        <f>IF($B1900="","",IFERROR(ROUND(INDEX(账户期初本位,MATCH($B1900,账户名,0))+SUMIFS($L$6:L1900,$B$6:B1900,$B1900),2),""))</f>
        <v/>
      </c>
      <c r="O1900" s="46"/>
      <c r="P1900" s="47"/>
      <c r="Q1900" s="46"/>
      <c r="R1900" s="46"/>
      <c r="S1900" s="6" t="str">
        <f>IF($B1900="","",IF(ISNA(MATCH($B1900,账户名,0)),"※这个账户不在【参数设置】的账户档案里",IF($A1900="","※没填日期，这一笔不会进任何月份的报表",IF(AND($G1900&lt;&gt;"",$H1900&lt;&gt;""),"※收入和支出不能同时填",IF(AND(N($G1900)=0,N($H1900)=0),"※收入和支出都没填",IF($E1900="","※没填收支类别，分类报表会漏掉这一笔",IF(ISNA(MATCH($E1900,类别表,0)),"※收支类别不在【参数设置】的清单里",IF($J1900="","△"&amp;$D1900&amp;" 还没填汇率，去【月度汇率】补上就自动算了",IF(YEAR($A1900)&lt;&gt;管理年度,"△不是管理年度的单据，年报里看不到",IF(AND($F1900="内部转账",$Q1900=""),"△内部转账建议在「往来单位」写上对方账户",IF($M1900&lt;0,"△这一笔之后该账户余额成负数了，核一下","")))))))))))</f>
        <v/>
      </c>
    </row>
    <row r="1901" ht="16.5" spans="1:19">
      <c r="A1901" s="45"/>
      <c r="B1901" s="46"/>
      <c r="C1901" s="12" t="str">
        <f>IF($B1901="","",IFERROR(INDEX(账户银行,MATCH($B1901,账户名,0)),""))</f>
        <v/>
      </c>
      <c r="D1901" s="12" t="str">
        <f>IF($B1901="","",IFERROR(INDEX(账户币种,MATCH($B1901,账户名,0)),""))</f>
        <v/>
      </c>
      <c r="E1901" s="47"/>
      <c r="F1901" s="12" t="str">
        <f>IF($E1901="","",IFERROR(INDEX(类别属性,MATCH($E1901,类别表,0)),""))</f>
        <v/>
      </c>
      <c r="G1901" s="48"/>
      <c r="H1901" s="48"/>
      <c r="I1901" s="49"/>
      <c r="J1901" s="24" t="str">
        <f>IF(OR($A1901="",$B1901=""),"",IF($I1901&lt;&gt;"",$I1901,IF($D1901=本位币,1,IFERROR(LOOKUP(2,1/((汇率月份&lt;=$A1901)*(INDEX(记账汇率区,0,MATCH($D1901,汇率币种头,0))&lt;&gt;"")),INDEX(记账汇率区,0,MATCH($D1901,汇率币种头,0))),""))))</f>
        <v/>
      </c>
      <c r="K1901" s="23" t="str">
        <f t="shared" si="58"/>
        <v/>
      </c>
      <c r="L1901" s="23" t="str">
        <f t="shared" si="59"/>
        <v/>
      </c>
      <c r="M1901" s="23" t="str">
        <f>IF($B1901="","",ROUND(SUMIF(账户名,$B1901,账户期初)+SUMIFS($K$6:K1901,$B$6:B1901,$B1901),2))</f>
        <v/>
      </c>
      <c r="N1901" s="23" t="str">
        <f>IF($B1901="","",IFERROR(ROUND(INDEX(账户期初本位,MATCH($B1901,账户名,0))+SUMIFS($L$6:L1901,$B$6:B1901,$B1901),2),""))</f>
        <v/>
      </c>
      <c r="O1901" s="46"/>
      <c r="P1901" s="47"/>
      <c r="Q1901" s="46"/>
      <c r="R1901" s="46"/>
      <c r="S1901" s="6" t="str">
        <f>IF($B1901="","",IF(ISNA(MATCH($B1901,账户名,0)),"※这个账户不在【参数设置】的账户档案里",IF($A1901="","※没填日期，这一笔不会进任何月份的报表",IF(AND($G1901&lt;&gt;"",$H1901&lt;&gt;""),"※收入和支出不能同时填",IF(AND(N($G1901)=0,N($H1901)=0),"※收入和支出都没填",IF($E1901="","※没填收支类别，分类报表会漏掉这一笔",IF(ISNA(MATCH($E1901,类别表,0)),"※收支类别不在【参数设置】的清单里",IF($J1901="","△"&amp;$D1901&amp;" 还没填汇率，去【月度汇率】补上就自动算了",IF(YEAR($A1901)&lt;&gt;管理年度,"△不是管理年度的单据，年报里看不到",IF(AND($F1901="内部转账",$Q1901=""),"△内部转账建议在「往来单位」写上对方账户",IF($M1901&lt;0,"△这一笔之后该账户余额成负数了，核一下","")))))))))))</f>
        <v/>
      </c>
    </row>
    <row r="1902" ht="16.5" spans="1:19">
      <c r="A1902" s="45"/>
      <c r="B1902" s="46"/>
      <c r="C1902" s="12" t="str">
        <f>IF($B1902="","",IFERROR(INDEX(账户银行,MATCH($B1902,账户名,0)),""))</f>
        <v/>
      </c>
      <c r="D1902" s="12" t="str">
        <f>IF($B1902="","",IFERROR(INDEX(账户币种,MATCH($B1902,账户名,0)),""))</f>
        <v/>
      </c>
      <c r="E1902" s="47"/>
      <c r="F1902" s="12" t="str">
        <f>IF($E1902="","",IFERROR(INDEX(类别属性,MATCH($E1902,类别表,0)),""))</f>
        <v/>
      </c>
      <c r="G1902" s="48"/>
      <c r="H1902" s="48"/>
      <c r="I1902" s="49"/>
      <c r="J1902" s="24" t="str">
        <f>IF(OR($A1902="",$B1902=""),"",IF($I1902&lt;&gt;"",$I1902,IF($D1902=本位币,1,IFERROR(LOOKUP(2,1/((汇率月份&lt;=$A1902)*(INDEX(记账汇率区,0,MATCH($D1902,汇率币种头,0))&lt;&gt;"")),INDEX(记账汇率区,0,MATCH($D1902,汇率币种头,0))),""))))</f>
        <v/>
      </c>
      <c r="K1902" s="23" t="str">
        <f t="shared" si="58"/>
        <v/>
      </c>
      <c r="L1902" s="23" t="str">
        <f t="shared" si="59"/>
        <v/>
      </c>
      <c r="M1902" s="23" t="str">
        <f>IF($B1902="","",ROUND(SUMIF(账户名,$B1902,账户期初)+SUMIFS($K$6:K1902,$B$6:B1902,$B1902),2))</f>
        <v/>
      </c>
      <c r="N1902" s="23" t="str">
        <f>IF($B1902="","",IFERROR(ROUND(INDEX(账户期初本位,MATCH($B1902,账户名,0))+SUMIFS($L$6:L1902,$B$6:B1902,$B1902),2),""))</f>
        <v/>
      </c>
      <c r="O1902" s="46"/>
      <c r="P1902" s="47"/>
      <c r="Q1902" s="46"/>
      <c r="R1902" s="46"/>
      <c r="S1902" s="6" t="str">
        <f>IF($B1902="","",IF(ISNA(MATCH($B1902,账户名,0)),"※这个账户不在【参数设置】的账户档案里",IF($A1902="","※没填日期，这一笔不会进任何月份的报表",IF(AND($G1902&lt;&gt;"",$H1902&lt;&gt;""),"※收入和支出不能同时填",IF(AND(N($G1902)=0,N($H1902)=0),"※收入和支出都没填",IF($E1902="","※没填收支类别，分类报表会漏掉这一笔",IF(ISNA(MATCH($E1902,类别表,0)),"※收支类别不在【参数设置】的清单里",IF($J1902="","△"&amp;$D1902&amp;" 还没填汇率，去【月度汇率】补上就自动算了",IF(YEAR($A1902)&lt;&gt;管理年度,"△不是管理年度的单据，年报里看不到",IF(AND($F1902="内部转账",$Q1902=""),"△内部转账建议在「往来单位」写上对方账户",IF($M1902&lt;0,"△这一笔之后该账户余额成负数了，核一下","")))))))))))</f>
        <v/>
      </c>
    </row>
    <row r="1903" ht="16.5" spans="1:19">
      <c r="A1903" s="45"/>
      <c r="B1903" s="46"/>
      <c r="C1903" s="12" t="str">
        <f>IF($B1903="","",IFERROR(INDEX(账户银行,MATCH($B1903,账户名,0)),""))</f>
        <v/>
      </c>
      <c r="D1903" s="12" t="str">
        <f>IF($B1903="","",IFERROR(INDEX(账户币种,MATCH($B1903,账户名,0)),""))</f>
        <v/>
      </c>
      <c r="E1903" s="47"/>
      <c r="F1903" s="12" t="str">
        <f>IF($E1903="","",IFERROR(INDEX(类别属性,MATCH($E1903,类别表,0)),""))</f>
        <v/>
      </c>
      <c r="G1903" s="48"/>
      <c r="H1903" s="48"/>
      <c r="I1903" s="49"/>
      <c r="J1903" s="24" t="str">
        <f>IF(OR($A1903="",$B1903=""),"",IF($I1903&lt;&gt;"",$I1903,IF($D1903=本位币,1,IFERROR(LOOKUP(2,1/((汇率月份&lt;=$A1903)*(INDEX(记账汇率区,0,MATCH($D1903,汇率币种头,0))&lt;&gt;"")),INDEX(记账汇率区,0,MATCH($D1903,汇率币种头,0))),""))))</f>
        <v/>
      </c>
      <c r="K1903" s="23" t="str">
        <f t="shared" si="58"/>
        <v/>
      </c>
      <c r="L1903" s="23" t="str">
        <f t="shared" si="59"/>
        <v/>
      </c>
      <c r="M1903" s="23" t="str">
        <f>IF($B1903="","",ROUND(SUMIF(账户名,$B1903,账户期初)+SUMIFS($K$6:K1903,$B$6:B1903,$B1903),2))</f>
        <v/>
      </c>
      <c r="N1903" s="23" t="str">
        <f>IF($B1903="","",IFERROR(ROUND(INDEX(账户期初本位,MATCH($B1903,账户名,0))+SUMIFS($L$6:L1903,$B$6:B1903,$B1903),2),""))</f>
        <v/>
      </c>
      <c r="O1903" s="46"/>
      <c r="P1903" s="47"/>
      <c r="Q1903" s="46"/>
      <c r="R1903" s="46"/>
      <c r="S1903" s="6" t="str">
        <f>IF($B1903="","",IF(ISNA(MATCH($B1903,账户名,0)),"※这个账户不在【参数设置】的账户档案里",IF($A1903="","※没填日期，这一笔不会进任何月份的报表",IF(AND($G1903&lt;&gt;"",$H1903&lt;&gt;""),"※收入和支出不能同时填",IF(AND(N($G1903)=0,N($H1903)=0),"※收入和支出都没填",IF($E1903="","※没填收支类别，分类报表会漏掉这一笔",IF(ISNA(MATCH($E1903,类别表,0)),"※收支类别不在【参数设置】的清单里",IF($J1903="","△"&amp;$D1903&amp;" 还没填汇率，去【月度汇率】补上就自动算了",IF(YEAR($A1903)&lt;&gt;管理年度,"△不是管理年度的单据，年报里看不到",IF(AND($F1903="内部转账",$Q1903=""),"△内部转账建议在「往来单位」写上对方账户",IF($M1903&lt;0,"△这一笔之后该账户余额成负数了，核一下","")))))))))))</f>
        <v/>
      </c>
    </row>
    <row r="1904" ht="16.5" spans="1:19">
      <c r="A1904" s="45"/>
      <c r="B1904" s="46"/>
      <c r="C1904" s="12" t="str">
        <f>IF($B1904="","",IFERROR(INDEX(账户银行,MATCH($B1904,账户名,0)),""))</f>
        <v/>
      </c>
      <c r="D1904" s="12" t="str">
        <f>IF($B1904="","",IFERROR(INDEX(账户币种,MATCH($B1904,账户名,0)),""))</f>
        <v/>
      </c>
      <c r="E1904" s="47"/>
      <c r="F1904" s="12" t="str">
        <f>IF($E1904="","",IFERROR(INDEX(类别属性,MATCH($E1904,类别表,0)),""))</f>
        <v/>
      </c>
      <c r="G1904" s="48"/>
      <c r="H1904" s="48"/>
      <c r="I1904" s="49"/>
      <c r="J1904" s="24" t="str">
        <f>IF(OR($A1904="",$B1904=""),"",IF($I1904&lt;&gt;"",$I1904,IF($D1904=本位币,1,IFERROR(LOOKUP(2,1/((汇率月份&lt;=$A1904)*(INDEX(记账汇率区,0,MATCH($D1904,汇率币种头,0))&lt;&gt;"")),INDEX(记账汇率区,0,MATCH($D1904,汇率币种头,0))),""))))</f>
        <v/>
      </c>
      <c r="K1904" s="23" t="str">
        <f t="shared" si="58"/>
        <v/>
      </c>
      <c r="L1904" s="23" t="str">
        <f t="shared" si="59"/>
        <v/>
      </c>
      <c r="M1904" s="23" t="str">
        <f>IF($B1904="","",ROUND(SUMIF(账户名,$B1904,账户期初)+SUMIFS($K$6:K1904,$B$6:B1904,$B1904),2))</f>
        <v/>
      </c>
      <c r="N1904" s="23" t="str">
        <f>IF($B1904="","",IFERROR(ROUND(INDEX(账户期初本位,MATCH($B1904,账户名,0))+SUMIFS($L$6:L1904,$B$6:B1904,$B1904),2),""))</f>
        <v/>
      </c>
      <c r="O1904" s="46"/>
      <c r="P1904" s="47"/>
      <c r="Q1904" s="46"/>
      <c r="R1904" s="46"/>
      <c r="S1904" s="6" t="str">
        <f>IF($B1904="","",IF(ISNA(MATCH($B1904,账户名,0)),"※这个账户不在【参数设置】的账户档案里",IF($A1904="","※没填日期，这一笔不会进任何月份的报表",IF(AND($G1904&lt;&gt;"",$H1904&lt;&gt;""),"※收入和支出不能同时填",IF(AND(N($G1904)=0,N($H1904)=0),"※收入和支出都没填",IF($E1904="","※没填收支类别，分类报表会漏掉这一笔",IF(ISNA(MATCH($E1904,类别表,0)),"※收支类别不在【参数设置】的清单里",IF($J1904="","△"&amp;$D1904&amp;" 还没填汇率，去【月度汇率】补上就自动算了",IF(YEAR($A1904)&lt;&gt;管理年度,"△不是管理年度的单据，年报里看不到",IF(AND($F1904="内部转账",$Q1904=""),"△内部转账建议在「往来单位」写上对方账户",IF($M1904&lt;0,"△这一笔之后该账户余额成负数了，核一下","")))))))))))</f>
        <v/>
      </c>
    </row>
    <row r="1905" ht="16.5" spans="1:19">
      <c r="A1905" s="45"/>
      <c r="B1905" s="46"/>
      <c r="C1905" s="12" t="str">
        <f>IF($B1905="","",IFERROR(INDEX(账户银行,MATCH($B1905,账户名,0)),""))</f>
        <v/>
      </c>
      <c r="D1905" s="12" t="str">
        <f>IF($B1905="","",IFERROR(INDEX(账户币种,MATCH($B1905,账户名,0)),""))</f>
        <v/>
      </c>
      <c r="E1905" s="47"/>
      <c r="F1905" s="12" t="str">
        <f>IF($E1905="","",IFERROR(INDEX(类别属性,MATCH($E1905,类别表,0)),""))</f>
        <v/>
      </c>
      <c r="G1905" s="48"/>
      <c r="H1905" s="48"/>
      <c r="I1905" s="49"/>
      <c r="J1905" s="24" t="str">
        <f>IF(OR($A1905="",$B1905=""),"",IF($I1905&lt;&gt;"",$I1905,IF($D1905=本位币,1,IFERROR(LOOKUP(2,1/((汇率月份&lt;=$A1905)*(INDEX(记账汇率区,0,MATCH($D1905,汇率币种头,0))&lt;&gt;"")),INDEX(记账汇率区,0,MATCH($D1905,汇率币种头,0))),""))))</f>
        <v/>
      </c>
      <c r="K1905" s="23" t="str">
        <f t="shared" si="58"/>
        <v/>
      </c>
      <c r="L1905" s="23" t="str">
        <f t="shared" si="59"/>
        <v/>
      </c>
      <c r="M1905" s="23" t="str">
        <f>IF($B1905="","",ROUND(SUMIF(账户名,$B1905,账户期初)+SUMIFS($K$6:K1905,$B$6:B1905,$B1905),2))</f>
        <v/>
      </c>
      <c r="N1905" s="23" t="str">
        <f>IF($B1905="","",IFERROR(ROUND(INDEX(账户期初本位,MATCH($B1905,账户名,0))+SUMIFS($L$6:L1905,$B$6:B1905,$B1905),2),""))</f>
        <v/>
      </c>
      <c r="O1905" s="46"/>
      <c r="P1905" s="47"/>
      <c r="Q1905" s="46"/>
      <c r="R1905" s="46"/>
      <c r="S1905" s="6" t="str">
        <f>IF($B1905="","",IF(ISNA(MATCH($B1905,账户名,0)),"※这个账户不在【参数设置】的账户档案里",IF($A1905="","※没填日期，这一笔不会进任何月份的报表",IF(AND($G1905&lt;&gt;"",$H1905&lt;&gt;""),"※收入和支出不能同时填",IF(AND(N($G1905)=0,N($H1905)=0),"※收入和支出都没填",IF($E1905="","※没填收支类别，分类报表会漏掉这一笔",IF(ISNA(MATCH($E1905,类别表,0)),"※收支类别不在【参数设置】的清单里",IF($J1905="","△"&amp;$D1905&amp;" 还没填汇率，去【月度汇率】补上就自动算了",IF(YEAR($A1905)&lt;&gt;管理年度,"△不是管理年度的单据，年报里看不到",IF(AND($F1905="内部转账",$Q1905=""),"△内部转账建议在「往来单位」写上对方账户",IF($M1905&lt;0,"△这一笔之后该账户余额成负数了，核一下","")))))))))))</f>
        <v/>
      </c>
    </row>
    <row r="1906" ht="16.5" spans="1:19">
      <c r="A1906" s="45"/>
      <c r="B1906" s="46"/>
      <c r="C1906" s="12" t="str">
        <f>IF($B1906="","",IFERROR(INDEX(账户银行,MATCH($B1906,账户名,0)),""))</f>
        <v/>
      </c>
      <c r="D1906" s="12" t="str">
        <f>IF($B1906="","",IFERROR(INDEX(账户币种,MATCH($B1906,账户名,0)),""))</f>
        <v/>
      </c>
      <c r="E1906" s="47"/>
      <c r="F1906" s="12" t="str">
        <f>IF($E1906="","",IFERROR(INDEX(类别属性,MATCH($E1906,类别表,0)),""))</f>
        <v/>
      </c>
      <c r="G1906" s="48"/>
      <c r="H1906" s="48"/>
      <c r="I1906" s="49"/>
      <c r="J1906" s="24" t="str">
        <f>IF(OR($A1906="",$B1906=""),"",IF($I1906&lt;&gt;"",$I1906,IF($D1906=本位币,1,IFERROR(LOOKUP(2,1/((汇率月份&lt;=$A1906)*(INDEX(记账汇率区,0,MATCH($D1906,汇率币种头,0))&lt;&gt;"")),INDEX(记账汇率区,0,MATCH($D1906,汇率币种头,0))),""))))</f>
        <v/>
      </c>
      <c r="K1906" s="23" t="str">
        <f t="shared" si="58"/>
        <v/>
      </c>
      <c r="L1906" s="23" t="str">
        <f t="shared" si="59"/>
        <v/>
      </c>
      <c r="M1906" s="23" t="str">
        <f>IF($B1906="","",ROUND(SUMIF(账户名,$B1906,账户期初)+SUMIFS($K$6:K1906,$B$6:B1906,$B1906),2))</f>
        <v/>
      </c>
      <c r="N1906" s="23" t="str">
        <f>IF($B1906="","",IFERROR(ROUND(INDEX(账户期初本位,MATCH($B1906,账户名,0))+SUMIFS($L$6:L1906,$B$6:B1906,$B1906),2),""))</f>
        <v/>
      </c>
      <c r="O1906" s="46"/>
      <c r="P1906" s="47"/>
      <c r="Q1906" s="46"/>
      <c r="R1906" s="46"/>
      <c r="S1906" s="6" t="str">
        <f>IF($B1906="","",IF(ISNA(MATCH($B1906,账户名,0)),"※这个账户不在【参数设置】的账户档案里",IF($A1906="","※没填日期，这一笔不会进任何月份的报表",IF(AND($G1906&lt;&gt;"",$H1906&lt;&gt;""),"※收入和支出不能同时填",IF(AND(N($G1906)=0,N($H1906)=0),"※收入和支出都没填",IF($E1906="","※没填收支类别，分类报表会漏掉这一笔",IF(ISNA(MATCH($E1906,类别表,0)),"※收支类别不在【参数设置】的清单里",IF($J1906="","△"&amp;$D1906&amp;" 还没填汇率，去【月度汇率】补上就自动算了",IF(YEAR($A1906)&lt;&gt;管理年度,"△不是管理年度的单据，年报里看不到",IF(AND($F1906="内部转账",$Q1906=""),"△内部转账建议在「往来单位」写上对方账户",IF($M1906&lt;0,"△这一笔之后该账户余额成负数了，核一下","")))))))))))</f>
        <v/>
      </c>
    </row>
    <row r="1907" ht="16.5" spans="1:19">
      <c r="A1907" s="45"/>
      <c r="B1907" s="46"/>
      <c r="C1907" s="12" t="str">
        <f>IF($B1907="","",IFERROR(INDEX(账户银行,MATCH($B1907,账户名,0)),""))</f>
        <v/>
      </c>
      <c r="D1907" s="12" t="str">
        <f>IF($B1907="","",IFERROR(INDEX(账户币种,MATCH($B1907,账户名,0)),""))</f>
        <v/>
      </c>
      <c r="E1907" s="47"/>
      <c r="F1907" s="12" t="str">
        <f>IF($E1907="","",IFERROR(INDEX(类别属性,MATCH($E1907,类别表,0)),""))</f>
        <v/>
      </c>
      <c r="G1907" s="48"/>
      <c r="H1907" s="48"/>
      <c r="I1907" s="49"/>
      <c r="J1907" s="24" t="str">
        <f>IF(OR($A1907="",$B1907=""),"",IF($I1907&lt;&gt;"",$I1907,IF($D1907=本位币,1,IFERROR(LOOKUP(2,1/((汇率月份&lt;=$A1907)*(INDEX(记账汇率区,0,MATCH($D1907,汇率币种头,0))&lt;&gt;"")),INDEX(记账汇率区,0,MATCH($D1907,汇率币种头,0))),""))))</f>
        <v/>
      </c>
      <c r="K1907" s="23" t="str">
        <f t="shared" si="58"/>
        <v/>
      </c>
      <c r="L1907" s="23" t="str">
        <f t="shared" si="59"/>
        <v/>
      </c>
      <c r="M1907" s="23" t="str">
        <f>IF($B1907="","",ROUND(SUMIF(账户名,$B1907,账户期初)+SUMIFS($K$6:K1907,$B$6:B1907,$B1907),2))</f>
        <v/>
      </c>
      <c r="N1907" s="23" t="str">
        <f>IF($B1907="","",IFERROR(ROUND(INDEX(账户期初本位,MATCH($B1907,账户名,0))+SUMIFS($L$6:L1907,$B$6:B1907,$B1907),2),""))</f>
        <v/>
      </c>
      <c r="O1907" s="46"/>
      <c r="P1907" s="47"/>
      <c r="Q1907" s="46"/>
      <c r="R1907" s="46"/>
      <c r="S1907" s="6" t="str">
        <f>IF($B1907="","",IF(ISNA(MATCH($B1907,账户名,0)),"※这个账户不在【参数设置】的账户档案里",IF($A1907="","※没填日期，这一笔不会进任何月份的报表",IF(AND($G1907&lt;&gt;"",$H1907&lt;&gt;""),"※收入和支出不能同时填",IF(AND(N($G1907)=0,N($H1907)=0),"※收入和支出都没填",IF($E1907="","※没填收支类别，分类报表会漏掉这一笔",IF(ISNA(MATCH($E1907,类别表,0)),"※收支类别不在【参数设置】的清单里",IF($J1907="","△"&amp;$D1907&amp;" 还没填汇率，去【月度汇率】补上就自动算了",IF(YEAR($A1907)&lt;&gt;管理年度,"△不是管理年度的单据，年报里看不到",IF(AND($F1907="内部转账",$Q1907=""),"△内部转账建议在「往来单位」写上对方账户",IF($M1907&lt;0,"△这一笔之后该账户余额成负数了，核一下","")))))))))))</f>
        <v/>
      </c>
    </row>
    <row r="1908" ht="16.5" spans="1:19">
      <c r="A1908" s="45"/>
      <c r="B1908" s="46"/>
      <c r="C1908" s="12" t="str">
        <f>IF($B1908="","",IFERROR(INDEX(账户银行,MATCH($B1908,账户名,0)),""))</f>
        <v/>
      </c>
      <c r="D1908" s="12" t="str">
        <f>IF($B1908="","",IFERROR(INDEX(账户币种,MATCH($B1908,账户名,0)),""))</f>
        <v/>
      </c>
      <c r="E1908" s="47"/>
      <c r="F1908" s="12" t="str">
        <f>IF($E1908="","",IFERROR(INDEX(类别属性,MATCH($E1908,类别表,0)),""))</f>
        <v/>
      </c>
      <c r="G1908" s="48"/>
      <c r="H1908" s="48"/>
      <c r="I1908" s="49"/>
      <c r="J1908" s="24" t="str">
        <f>IF(OR($A1908="",$B1908=""),"",IF($I1908&lt;&gt;"",$I1908,IF($D1908=本位币,1,IFERROR(LOOKUP(2,1/((汇率月份&lt;=$A1908)*(INDEX(记账汇率区,0,MATCH($D1908,汇率币种头,0))&lt;&gt;"")),INDEX(记账汇率区,0,MATCH($D1908,汇率币种头,0))),""))))</f>
        <v/>
      </c>
      <c r="K1908" s="23" t="str">
        <f t="shared" si="58"/>
        <v/>
      </c>
      <c r="L1908" s="23" t="str">
        <f t="shared" si="59"/>
        <v/>
      </c>
      <c r="M1908" s="23" t="str">
        <f>IF($B1908="","",ROUND(SUMIF(账户名,$B1908,账户期初)+SUMIFS($K$6:K1908,$B$6:B1908,$B1908),2))</f>
        <v/>
      </c>
      <c r="N1908" s="23" t="str">
        <f>IF($B1908="","",IFERROR(ROUND(INDEX(账户期初本位,MATCH($B1908,账户名,0))+SUMIFS($L$6:L1908,$B$6:B1908,$B1908),2),""))</f>
        <v/>
      </c>
      <c r="O1908" s="46"/>
      <c r="P1908" s="47"/>
      <c r="Q1908" s="46"/>
      <c r="R1908" s="46"/>
      <c r="S1908" s="6" t="str">
        <f>IF($B1908="","",IF(ISNA(MATCH($B1908,账户名,0)),"※这个账户不在【参数设置】的账户档案里",IF($A1908="","※没填日期，这一笔不会进任何月份的报表",IF(AND($G1908&lt;&gt;"",$H1908&lt;&gt;""),"※收入和支出不能同时填",IF(AND(N($G1908)=0,N($H1908)=0),"※收入和支出都没填",IF($E1908="","※没填收支类别，分类报表会漏掉这一笔",IF(ISNA(MATCH($E1908,类别表,0)),"※收支类别不在【参数设置】的清单里",IF($J1908="","△"&amp;$D1908&amp;" 还没填汇率，去【月度汇率】补上就自动算了",IF(YEAR($A1908)&lt;&gt;管理年度,"△不是管理年度的单据，年报里看不到",IF(AND($F1908="内部转账",$Q1908=""),"△内部转账建议在「往来单位」写上对方账户",IF($M1908&lt;0,"△这一笔之后该账户余额成负数了，核一下","")))))))))))</f>
        <v/>
      </c>
    </row>
    <row r="1909" ht="16.5" spans="1:19">
      <c r="A1909" s="45"/>
      <c r="B1909" s="46"/>
      <c r="C1909" s="12" t="str">
        <f>IF($B1909="","",IFERROR(INDEX(账户银行,MATCH($B1909,账户名,0)),""))</f>
        <v/>
      </c>
      <c r="D1909" s="12" t="str">
        <f>IF($B1909="","",IFERROR(INDEX(账户币种,MATCH($B1909,账户名,0)),""))</f>
        <v/>
      </c>
      <c r="E1909" s="47"/>
      <c r="F1909" s="12" t="str">
        <f>IF($E1909="","",IFERROR(INDEX(类别属性,MATCH($E1909,类别表,0)),""))</f>
        <v/>
      </c>
      <c r="G1909" s="48"/>
      <c r="H1909" s="48"/>
      <c r="I1909" s="49"/>
      <c r="J1909" s="24" t="str">
        <f>IF(OR($A1909="",$B1909=""),"",IF($I1909&lt;&gt;"",$I1909,IF($D1909=本位币,1,IFERROR(LOOKUP(2,1/((汇率月份&lt;=$A1909)*(INDEX(记账汇率区,0,MATCH($D1909,汇率币种头,0))&lt;&gt;"")),INDEX(记账汇率区,0,MATCH($D1909,汇率币种头,0))),""))))</f>
        <v/>
      </c>
      <c r="K1909" s="23" t="str">
        <f t="shared" si="58"/>
        <v/>
      </c>
      <c r="L1909" s="23" t="str">
        <f t="shared" si="59"/>
        <v/>
      </c>
      <c r="M1909" s="23" t="str">
        <f>IF($B1909="","",ROUND(SUMIF(账户名,$B1909,账户期初)+SUMIFS($K$6:K1909,$B$6:B1909,$B1909),2))</f>
        <v/>
      </c>
      <c r="N1909" s="23" t="str">
        <f>IF($B1909="","",IFERROR(ROUND(INDEX(账户期初本位,MATCH($B1909,账户名,0))+SUMIFS($L$6:L1909,$B$6:B1909,$B1909),2),""))</f>
        <v/>
      </c>
      <c r="O1909" s="46"/>
      <c r="P1909" s="47"/>
      <c r="Q1909" s="46"/>
      <c r="R1909" s="46"/>
      <c r="S1909" s="6" t="str">
        <f>IF($B1909="","",IF(ISNA(MATCH($B1909,账户名,0)),"※这个账户不在【参数设置】的账户档案里",IF($A1909="","※没填日期，这一笔不会进任何月份的报表",IF(AND($G1909&lt;&gt;"",$H1909&lt;&gt;""),"※收入和支出不能同时填",IF(AND(N($G1909)=0,N($H1909)=0),"※收入和支出都没填",IF($E1909="","※没填收支类别，分类报表会漏掉这一笔",IF(ISNA(MATCH($E1909,类别表,0)),"※收支类别不在【参数设置】的清单里",IF($J1909="","△"&amp;$D1909&amp;" 还没填汇率，去【月度汇率】补上就自动算了",IF(YEAR($A1909)&lt;&gt;管理年度,"△不是管理年度的单据，年报里看不到",IF(AND($F1909="内部转账",$Q1909=""),"△内部转账建议在「往来单位」写上对方账户",IF($M1909&lt;0,"△这一笔之后该账户余额成负数了，核一下","")))))))))))</f>
        <v/>
      </c>
    </row>
    <row r="1910" ht="16.5" spans="1:19">
      <c r="A1910" s="45"/>
      <c r="B1910" s="46"/>
      <c r="C1910" s="12" t="str">
        <f>IF($B1910="","",IFERROR(INDEX(账户银行,MATCH($B1910,账户名,0)),""))</f>
        <v/>
      </c>
      <c r="D1910" s="12" t="str">
        <f>IF($B1910="","",IFERROR(INDEX(账户币种,MATCH($B1910,账户名,0)),""))</f>
        <v/>
      </c>
      <c r="E1910" s="47"/>
      <c r="F1910" s="12" t="str">
        <f>IF($E1910="","",IFERROR(INDEX(类别属性,MATCH($E1910,类别表,0)),""))</f>
        <v/>
      </c>
      <c r="G1910" s="48"/>
      <c r="H1910" s="48"/>
      <c r="I1910" s="49"/>
      <c r="J1910" s="24" t="str">
        <f>IF(OR($A1910="",$B1910=""),"",IF($I1910&lt;&gt;"",$I1910,IF($D1910=本位币,1,IFERROR(LOOKUP(2,1/((汇率月份&lt;=$A1910)*(INDEX(记账汇率区,0,MATCH($D1910,汇率币种头,0))&lt;&gt;"")),INDEX(记账汇率区,0,MATCH($D1910,汇率币种头,0))),""))))</f>
        <v/>
      </c>
      <c r="K1910" s="23" t="str">
        <f t="shared" si="58"/>
        <v/>
      </c>
      <c r="L1910" s="23" t="str">
        <f t="shared" si="59"/>
        <v/>
      </c>
      <c r="M1910" s="23" t="str">
        <f>IF($B1910="","",ROUND(SUMIF(账户名,$B1910,账户期初)+SUMIFS($K$6:K1910,$B$6:B1910,$B1910),2))</f>
        <v/>
      </c>
      <c r="N1910" s="23" t="str">
        <f>IF($B1910="","",IFERROR(ROUND(INDEX(账户期初本位,MATCH($B1910,账户名,0))+SUMIFS($L$6:L1910,$B$6:B1910,$B1910),2),""))</f>
        <v/>
      </c>
      <c r="O1910" s="46"/>
      <c r="P1910" s="47"/>
      <c r="Q1910" s="46"/>
      <c r="R1910" s="46"/>
      <c r="S1910" s="6" t="str">
        <f>IF($B1910="","",IF(ISNA(MATCH($B1910,账户名,0)),"※这个账户不在【参数设置】的账户档案里",IF($A1910="","※没填日期，这一笔不会进任何月份的报表",IF(AND($G1910&lt;&gt;"",$H1910&lt;&gt;""),"※收入和支出不能同时填",IF(AND(N($G1910)=0,N($H1910)=0),"※收入和支出都没填",IF($E1910="","※没填收支类别，分类报表会漏掉这一笔",IF(ISNA(MATCH($E1910,类别表,0)),"※收支类别不在【参数设置】的清单里",IF($J1910="","△"&amp;$D1910&amp;" 还没填汇率，去【月度汇率】补上就自动算了",IF(YEAR($A1910)&lt;&gt;管理年度,"△不是管理年度的单据，年报里看不到",IF(AND($F1910="内部转账",$Q1910=""),"△内部转账建议在「往来单位」写上对方账户",IF($M1910&lt;0,"△这一笔之后该账户余额成负数了，核一下","")))))))))))</f>
        <v/>
      </c>
    </row>
    <row r="1911" ht="16.5" spans="1:19">
      <c r="A1911" s="45"/>
      <c r="B1911" s="46"/>
      <c r="C1911" s="12" t="str">
        <f>IF($B1911="","",IFERROR(INDEX(账户银行,MATCH($B1911,账户名,0)),""))</f>
        <v/>
      </c>
      <c r="D1911" s="12" t="str">
        <f>IF($B1911="","",IFERROR(INDEX(账户币种,MATCH($B1911,账户名,0)),""))</f>
        <v/>
      </c>
      <c r="E1911" s="47"/>
      <c r="F1911" s="12" t="str">
        <f>IF($E1911="","",IFERROR(INDEX(类别属性,MATCH($E1911,类别表,0)),""))</f>
        <v/>
      </c>
      <c r="G1911" s="48"/>
      <c r="H1911" s="48"/>
      <c r="I1911" s="49"/>
      <c r="J1911" s="24" t="str">
        <f>IF(OR($A1911="",$B1911=""),"",IF($I1911&lt;&gt;"",$I1911,IF($D1911=本位币,1,IFERROR(LOOKUP(2,1/((汇率月份&lt;=$A1911)*(INDEX(记账汇率区,0,MATCH($D1911,汇率币种头,0))&lt;&gt;"")),INDEX(记账汇率区,0,MATCH($D1911,汇率币种头,0))),""))))</f>
        <v/>
      </c>
      <c r="K1911" s="23" t="str">
        <f t="shared" si="58"/>
        <v/>
      </c>
      <c r="L1911" s="23" t="str">
        <f t="shared" si="59"/>
        <v/>
      </c>
      <c r="M1911" s="23" t="str">
        <f>IF($B1911="","",ROUND(SUMIF(账户名,$B1911,账户期初)+SUMIFS($K$6:K1911,$B$6:B1911,$B1911),2))</f>
        <v/>
      </c>
      <c r="N1911" s="23" t="str">
        <f>IF($B1911="","",IFERROR(ROUND(INDEX(账户期初本位,MATCH($B1911,账户名,0))+SUMIFS($L$6:L1911,$B$6:B1911,$B1911),2),""))</f>
        <v/>
      </c>
      <c r="O1911" s="46"/>
      <c r="P1911" s="47"/>
      <c r="Q1911" s="46"/>
      <c r="R1911" s="46"/>
      <c r="S1911" s="6" t="str">
        <f>IF($B1911="","",IF(ISNA(MATCH($B1911,账户名,0)),"※这个账户不在【参数设置】的账户档案里",IF($A1911="","※没填日期，这一笔不会进任何月份的报表",IF(AND($G1911&lt;&gt;"",$H1911&lt;&gt;""),"※收入和支出不能同时填",IF(AND(N($G1911)=0,N($H1911)=0),"※收入和支出都没填",IF($E1911="","※没填收支类别，分类报表会漏掉这一笔",IF(ISNA(MATCH($E1911,类别表,0)),"※收支类别不在【参数设置】的清单里",IF($J1911="","△"&amp;$D1911&amp;" 还没填汇率，去【月度汇率】补上就自动算了",IF(YEAR($A1911)&lt;&gt;管理年度,"△不是管理年度的单据，年报里看不到",IF(AND($F1911="内部转账",$Q1911=""),"△内部转账建议在「往来单位」写上对方账户",IF($M1911&lt;0,"△这一笔之后该账户余额成负数了，核一下","")))))))))))</f>
        <v/>
      </c>
    </row>
    <row r="1912" ht="16.5" spans="1:19">
      <c r="A1912" s="45"/>
      <c r="B1912" s="46"/>
      <c r="C1912" s="12" t="str">
        <f>IF($B1912="","",IFERROR(INDEX(账户银行,MATCH($B1912,账户名,0)),""))</f>
        <v/>
      </c>
      <c r="D1912" s="12" t="str">
        <f>IF($B1912="","",IFERROR(INDEX(账户币种,MATCH($B1912,账户名,0)),""))</f>
        <v/>
      </c>
      <c r="E1912" s="47"/>
      <c r="F1912" s="12" t="str">
        <f>IF($E1912="","",IFERROR(INDEX(类别属性,MATCH($E1912,类别表,0)),""))</f>
        <v/>
      </c>
      <c r="G1912" s="48"/>
      <c r="H1912" s="48"/>
      <c r="I1912" s="49"/>
      <c r="J1912" s="24" t="str">
        <f>IF(OR($A1912="",$B1912=""),"",IF($I1912&lt;&gt;"",$I1912,IF($D1912=本位币,1,IFERROR(LOOKUP(2,1/((汇率月份&lt;=$A1912)*(INDEX(记账汇率区,0,MATCH($D1912,汇率币种头,0))&lt;&gt;"")),INDEX(记账汇率区,0,MATCH($D1912,汇率币种头,0))),""))))</f>
        <v/>
      </c>
      <c r="K1912" s="23" t="str">
        <f t="shared" si="58"/>
        <v/>
      </c>
      <c r="L1912" s="23" t="str">
        <f t="shared" si="59"/>
        <v/>
      </c>
      <c r="M1912" s="23" t="str">
        <f>IF($B1912="","",ROUND(SUMIF(账户名,$B1912,账户期初)+SUMIFS($K$6:K1912,$B$6:B1912,$B1912),2))</f>
        <v/>
      </c>
      <c r="N1912" s="23" t="str">
        <f>IF($B1912="","",IFERROR(ROUND(INDEX(账户期初本位,MATCH($B1912,账户名,0))+SUMIFS($L$6:L1912,$B$6:B1912,$B1912),2),""))</f>
        <v/>
      </c>
      <c r="O1912" s="46"/>
      <c r="P1912" s="47"/>
      <c r="Q1912" s="46"/>
      <c r="R1912" s="46"/>
      <c r="S1912" s="6" t="str">
        <f>IF($B1912="","",IF(ISNA(MATCH($B1912,账户名,0)),"※这个账户不在【参数设置】的账户档案里",IF($A1912="","※没填日期，这一笔不会进任何月份的报表",IF(AND($G1912&lt;&gt;"",$H1912&lt;&gt;""),"※收入和支出不能同时填",IF(AND(N($G1912)=0,N($H1912)=0),"※收入和支出都没填",IF($E1912="","※没填收支类别，分类报表会漏掉这一笔",IF(ISNA(MATCH($E1912,类别表,0)),"※收支类别不在【参数设置】的清单里",IF($J1912="","△"&amp;$D1912&amp;" 还没填汇率，去【月度汇率】补上就自动算了",IF(YEAR($A1912)&lt;&gt;管理年度,"△不是管理年度的单据，年报里看不到",IF(AND($F1912="内部转账",$Q1912=""),"△内部转账建议在「往来单位」写上对方账户",IF($M1912&lt;0,"△这一笔之后该账户余额成负数了，核一下","")))))))))))</f>
        <v/>
      </c>
    </row>
    <row r="1913" ht="16.5" spans="1:19">
      <c r="A1913" s="45"/>
      <c r="B1913" s="46"/>
      <c r="C1913" s="12" t="str">
        <f>IF($B1913="","",IFERROR(INDEX(账户银行,MATCH($B1913,账户名,0)),""))</f>
        <v/>
      </c>
      <c r="D1913" s="12" t="str">
        <f>IF($B1913="","",IFERROR(INDEX(账户币种,MATCH($B1913,账户名,0)),""))</f>
        <v/>
      </c>
      <c r="E1913" s="47"/>
      <c r="F1913" s="12" t="str">
        <f>IF($E1913="","",IFERROR(INDEX(类别属性,MATCH($E1913,类别表,0)),""))</f>
        <v/>
      </c>
      <c r="G1913" s="48"/>
      <c r="H1913" s="48"/>
      <c r="I1913" s="49"/>
      <c r="J1913" s="24" t="str">
        <f>IF(OR($A1913="",$B1913=""),"",IF($I1913&lt;&gt;"",$I1913,IF($D1913=本位币,1,IFERROR(LOOKUP(2,1/((汇率月份&lt;=$A1913)*(INDEX(记账汇率区,0,MATCH($D1913,汇率币种头,0))&lt;&gt;"")),INDEX(记账汇率区,0,MATCH($D1913,汇率币种头,0))),""))))</f>
        <v/>
      </c>
      <c r="K1913" s="23" t="str">
        <f t="shared" si="58"/>
        <v/>
      </c>
      <c r="L1913" s="23" t="str">
        <f t="shared" si="59"/>
        <v/>
      </c>
      <c r="M1913" s="23" t="str">
        <f>IF($B1913="","",ROUND(SUMIF(账户名,$B1913,账户期初)+SUMIFS($K$6:K1913,$B$6:B1913,$B1913),2))</f>
        <v/>
      </c>
      <c r="N1913" s="23" t="str">
        <f>IF($B1913="","",IFERROR(ROUND(INDEX(账户期初本位,MATCH($B1913,账户名,0))+SUMIFS($L$6:L1913,$B$6:B1913,$B1913),2),""))</f>
        <v/>
      </c>
      <c r="O1913" s="46"/>
      <c r="P1913" s="47"/>
      <c r="Q1913" s="46"/>
      <c r="R1913" s="46"/>
      <c r="S1913" s="6" t="str">
        <f>IF($B1913="","",IF(ISNA(MATCH($B1913,账户名,0)),"※这个账户不在【参数设置】的账户档案里",IF($A1913="","※没填日期，这一笔不会进任何月份的报表",IF(AND($G1913&lt;&gt;"",$H1913&lt;&gt;""),"※收入和支出不能同时填",IF(AND(N($G1913)=0,N($H1913)=0),"※收入和支出都没填",IF($E1913="","※没填收支类别，分类报表会漏掉这一笔",IF(ISNA(MATCH($E1913,类别表,0)),"※收支类别不在【参数设置】的清单里",IF($J1913="","△"&amp;$D1913&amp;" 还没填汇率，去【月度汇率】补上就自动算了",IF(YEAR($A1913)&lt;&gt;管理年度,"△不是管理年度的单据，年报里看不到",IF(AND($F1913="内部转账",$Q1913=""),"△内部转账建议在「往来单位」写上对方账户",IF($M1913&lt;0,"△这一笔之后该账户余额成负数了，核一下","")))))))))))</f>
        <v/>
      </c>
    </row>
    <row r="1914" ht="16.5" spans="1:19">
      <c r="A1914" s="45"/>
      <c r="B1914" s="46"/>
      <c r="C1914" s="12" t="str">
        <f>IF($B1914="","",IFERROR(INDEX(账户银行,MATCH($B1914,账户名,0)),""))</f>
        <v/>
      </c>
      <c r="D1914" s="12" t="str">
        <f>IF($B1914="","",IFERROR(INDEX(账户币种,MATCH($B1914,账户名,0)),""))</f>
        <v/>
      </c>
      <c r="E1914" s="47"/>
      <c r="F1914" s="12" t="str">
        <f>IF($E1914="","",IFERROR(INDEX(类别属性,MATCH($E1914,类别表,0)),""))</f>
        <v/>
      </c>
      <c r="G1914" s="48"/>
      <c r="H1914" s="48"/>
      <c r="I1914" s="49"/>
      <c r="J1914" s="24" t="str">
        <f>IF(OR($A1914="",$B1914=""),"",IF($I1914&lt;&gt;"",$I1914,IF($D1914=本位币,1,IFERROR(LOOKUP(2,1/((汇率月份&lt;=$A1914)*(INDEX(记账汇率区,0,MATCH($D1914,汇率币种头,0))&lt;&gt;"")),INDEX(记账汇率区,0,MATCH($D1914,汇率币种头,0))),""))))</f>
        <v/>
      </c>
      <c r="K1914" s="23" t="str">
        <f t="shared" si="58"/>
        <v/>
      </c>
      <c r="L1914" s="23" t="str">
        <f t="shared" si="59"/>
        <v/>
      </c>
      <c r="M1914" s="23" t="str">
        <f>IF($B1914="","",ROUND(SUMIF(账户名,$B1914,账户期初)+SUMIFS($K$6:K1914,$B$6:B1914,$B1914),2))</f>
        <v/>
      </c>
      <c r="N1914" s="23" t="str">
        <f>IF($B1914="","",IFERROR(ROUND(INDEX(账户期初本位,MATCH($B1914,账户名,0))+SUMIFS($L$6:L1914,$B$6:B1914,$B1914),2),""))</f>
        <v/>
      </c>
      <c r="O1914" s="46"/>
      <c r="P1914" s="47"/>
      <c r="Q1914" s="46"/>
      <c r="R1914" s="46"/>
      <c r="S1914" s="6" t="str">
        <f>IF($B1914="","",IF(ISNA(MATCH($B1914,账户名,0)),"※这个账户不在【参数设置】的账户档案里",IF($A1914="","※没填日期，这一笔不会进任何月份的报表",IF(AND($G1914&lt;&gt;"",$H1914&lt;&gt;""),"※收入和支出不能同时填",IF(AND(N($G1914)=0,N($H1914)=0),"※收入和支出都没填",IF($E1914="","※没填收支类别，分类报表会漏掉这一笔",IF(ISNA(MATCH($E1914,类别表,0)),"※收支类别不在【参数设置】的清单里",IF($J1914="","△"&amp;$D1914&amp;" 还没填汇率，去【月度汇率】补上就自动算了",IF(YEAR($A1914)&lt;&gt;管理年度,"△不是管理年度的单据，年报里看不到",IF(AND($F1914="内部转账",$Q1914=""),"△内部转账建议在「往来单位」写上对方账户",IF($M1914&lt;0,"△这一笔之后该账户余额成负数了，核一下","")))))))))))</f>
        <v/>
      </c>
    </row>
    <row r="1915" ht="16.5" spans="1:19">
      <c r="A1915" s="45"/>
      <c r="B1915" s="46"/>
      <c r="C1915" s="12" t="str">
        <f>IF($B1915="","",IFERROR(INDEX(账户银行,MATCH($B1915,账户名,0)),""))</f>
        <v/>
      </c>
      <c r="D1915" s="12" t="str">
        <f>IF($B1915="","",IFERROR(INDEX(账户币种,MATCH($B1915,账户名,0)),""))</f>
        <v/>
      </c>
      <c r="E1915" s="47"/>
      <c r="F1915" s="12" t="str">
        <f>IF($E1915="","",IFERROR(INDEX(类别属性,MATCH($E1915,类别表,0)),""))</f>
        <v/>
      </c>
      <c r="G1915" s="48"/>
      <c r="H1915" s="48"/>
      <c r="I1915" s="49"/>
      <c r="J1915" s="24" t="str">
        <f>IF(OR($A1915="",$B1915=""),"",IF($I1915&lt;&gt;"",$I1915,IF($D1915=本位币,1,IFERROR(LOOKUP(2,1/((汇率月份&lt;=$A1915)*(INDEX(记账汇率区,0,MATCH($D1915,汇率币种头,0))&lt;&gt;"")),INDEX(记账汇率区,0,MATCH($D1915,汇率币种头,0))),""))))</f>
        <v/>
      </c>
      <c r="K1915" s="23" t="str">
        <f t="shared" si="58"/>
        <v/>
      </c>
      <c r="L1915" s="23" t="str">
        <f t="shared" si="59"/>
        <v/>
      </c>
      <c r="M1915" s="23" t="str">
        <f>IF($B1915="","",ROUND(SUMIF(账户名,$B1915,账户期初)+SUMIFS($K$6:K1915,$B$6:B1915,$B1915),2))</f>
        <v/>
      </c>
      <c r="N1915" s="23" t="str">
        <f>IF($B1915="","",IFERROR(ROUND(INDEX(账户期初本位,MATCH($B1915,账户名,0))+SUMIFS($L$6:L1915,$B$6:B1915,$B1915),2),""))</f>
        <v/>
      </c>
      <c r="O1915" s="46"/>
      <c r="P1915" s="47"/>
      <c r="Q1915" s="46"/>
      <c r="R1915" s="46"/>
      <c r="S1915" s="6" t="str">
        <f>IF($B1915="","",IF(ISNA(MATCH($B1915,账户名,0)),"※这个账户不在【参数设置】的账户档案里",IF($A1915="","※没填日期，这一笔不会进任何月份的报表",IF(AND($G1915&lt;&gt;"",$H1915&lt;&gt;""),"※收入和支出不能同时填",IF(AND(N($G1915)=0,N($H1915)=0),"※收入和支出都没填",IF($E1915="","※没填收支类别，分类报表会漏掉这一笔",IF(ISNA(MATCH($E1915,类别表,0)),"※收支类别不在【参数设置】的清单里",IF($J1915="","△"&amp;$D1915&amp;" 还没填汇率，去【月度汇率】补上就自动算了",IF(YEAR($A1915)&lt;&gt;管理年度,"△不是管理年度的单据，年报里看不到",IF(AND($F1915="内部转账",$Q1915=""),"△内部转账建议在「往来单位」写上对方账户",IF($M1915&lt;0,"△这一笔之后该账户余额成负数了，核一下","")))))))))))</f>
        <v/>
      </c>
    </row>
    <row r="1916" ht="16.5" spans="1:19">
      <c r="A1916" s="45"/>
      <c r="B1916" s="46"/>
      <c r="C1916" s="12" t="str">
        <f>IF($B1916="","",IFERROR(INDEX(账户银行,MATCH($B1916,账户名,0)),""))</f>
        <v/>
      </c>
      <c r="D1916" s="12" t="str">
        <f>IF($B1916="","",IFERROR(INDEX(账户币种,MATCH($B1916,账户名,0)),""))</f>
        <v/>
      </c>
      <c r="E1916" s="47"/>
      <c r="F1916" s="12" t="str">
        <f>IF($E1916="","",IFERROR(INDEX(类别属性,MATCH($E1916,类别表,0)),""))</f>
        <v/>
      </c>
      <c r="G1916" s="48"/>
      <c r="H1916" s="48"/>
      <c r="I1916" s="49"/>
      <c r="J1916" s="24" t="str">
        <f>IF(OR($A1916="",$B1916=""),"",IF($I1916&lt;&gt;"",$I1916,IF($D1916=本位币,1,IFERROR(LOOKUP(2,1/((汇率月份&lt;=$A1916)*(INDEX(记账汇率区,0,MATCH($D1916,汇率币种头,0))&lt;&gt;"")),INDEX(记账汇率区,0,MATCH($D1916,汇率币种头,0))),""))))</f>
        <v/>
      </c>
      <c r="K1916" s="23" t="str">
        <f t="shared" si="58"/>
        <v/>
      </c>
      <c r="L1916" s="23" t="str">
        <f t="shared" si="59"/>
        <v/>
      </c>
      <c r="M1916" s="23" t="str">
        <f>IF($B1916="","",ROUND(SUMIF(账户名,$B1916,账户期初)+SUMIFS($K$6:K1916,$B$6:B1916,$B1916),2))</f>
        <v/>
      </c>
      <c r="N1916" s="23" t="str">
        <f>IF($B1916="","",IFERROR(ROUND(INDEX(账户期初本位,MATCH($B1916,账户名,0))+SUMIFS($L$6:L1916,$B$6:B1916,$B1916),2),""))</f>
        <v/>
      </c>
      <c r="O1916" s="46"/>
      <c r="P1916" s="47"/>
      <c r="Q1916" s="46"/>
      <c r="R1916" s="46"/>
      <c r="S1916" s="6" t="str">
        <f>IF($B1916="","",IF(ISNA(MATCH($B1916,账户名,0)),"※这个账户不在【参数设置】的账户档案里",IF($A1916="","※没填日期，这一笔不会进任何月份的报表",IF(AND($G1916&lt;&gt;"",$H1916&lt;&gt;""),"※收入和支出不能同时填",IF(AND(N($G1916)=0,N($H1916)=0),"※收入和支出都没填",IF($E1916="","※没填收支类别，分类报表会漏掉这一笔",IF(ISNA(MATCH($E1916,类别表,0)),"※收支类别不在【参数设置】的清单里",IF($J1916="","△"&amp;$D1916&amp;" 还没填汇率，去【月度汇率】补上就自动算了",IF(YEAR($A1916)&lt;&gt;管理年度,"△不是管理年度的单据，年报里看不到",IF(AND($F1916="内部转账",$Q1916=""),"△内部转账建议在「往来单位」写上对方账户",IF($M1916&lt;0,"△这一笔之后该账户余额成负数了，核一下","")))))))))))</f>
        <v/>
      </c>
    </row>
    <row r="1917" ht="16.5" spans="1:19">
      <c r="A1917" s="45"/>
      <c r="B1917" s="46"/>
      <c r="C1917" s="12" t="str">
        <f>IF($B1917="","",IFERROR(INDEX(账户银行,MATCH($B1917,账户名,0)),""))</f>
        <v/>
      </c>
      <c r="D1917" s="12" t="str">
        <f>IF($B1917="","",IFERROR(INDEX(账户币种,MATCH($B1917,账户名,0)),""))</f>
        <v/>
      </c>
      <c r="E1917" s="47"/>
      <c r="F1917" s="12" t="str">
        <f>IF($E1917="","",IFERROR(INDEX(类别属性,MATCH($E1917,类别表,0)),""))</f>
        <v/>
      </c>
      <c r="G1917" s="48"/>
      <c r="H1917" s="48"/>
      <c r="I1917" s="49"/>
      <c r="J1917" s="24" t="str">
        <f>IF(OR($A1917="",$B1917=""),"",IF($I1917&lt;&gt;"",$I1917,IF($D1917=本位币,1,IFERROR(LOOKUP(2,1/((汇率月份&lt;=$A1917)*(INDEX(记账汇率区,0,MATCH($D1917,汇率币种头,0))&lt;&gt;"")),INDEX(记账汇率区,0,MATCH($D1917,汇率币种头,0))),""))))</f>
        <v/>
      </c>
      <c r="K1917" s="23" t="str">
        <f t="shared" si="58"/>
        <v/>
      </c>
      <c r="L1917" s="23" t="str">
        <f t="shared" si="59"/>
        <v/>
      </c>
      <c r="M1917" s="23" t="str">
        <f>IF($B1917="","",ROUND(SUMIF(账户名,$B1917,账户期初)+SUMIFS($K$6:K1917,$B$6:B1917,$B1917),2))</f>
        <v/>
      </c>
      <c r="N1917" s="23" t="str">
        <f>IF($B1917="","",IFERROR(ROUND(INDEX(账户期初本位,MATCH($B1917,账户名,0))+SUMIFS($L$6:L1917,$B$6:B1917,$B1917),2),""))</f>
        <v/>
      </c>
      <c r="O1917" s="46"/>
      <c r="P1917" s="47"/>
      <c r="Q1917" s="46"/>
      <c r="R1917" s="46"/>
      <c r="S1917" s="6" t="str">
        <f>IF($B1917="","",IF(ISNA(MATCH($B1917,账户名,0)),"※这个账户不在【参数设置】的账户档案里",IF($A1917="","※没填日期，这一笔不会进任何月份的报表",IF(AND($G1917&lt;&gt;"",$H1917&lt;&gt;""),"※收入和支出不能同时填",IF(AND(N($G1917)=0,N($H1917)=0),"※收入和支出都没填",IF($E1917="","※没填收支类别，分类报表会漏掉这一笔",IF(ISNA(MATCH($E1917,类别表,0)),"※收支类别不在【参数设置】的清单里",IF($J1917="","△"&amp;$D1917&amp;" 还没填汇率，去【月度汇率】补上就自动算了",IF(YEAR($A1917)&lt;&gt;管理年度,"△不是管理年度的单据，年报里看不到",IF(AND($F1917="内部转账",$Q1917=""),"△内部转账建议在「往来单位」写上对方账户",IF($M1917&lt;0,"△这一笔之后该账户余额成负数了，核一下","")))))))))))</f>
        <v/>
      </c>
    </row>
    <row r="1918" ht="16.5" spans="1:19">
      <c r="A1918" s="45"/>
      <c r="B1918" s="46"/>
      <c r="C1918" s="12" t="str">
        <f>IF($B1918="","",IFERROR(INDEX(账户银行,MATCH($B1918,账户名,0)),""))</f>
        <v/>
      </c>
      <c r="D1918" s="12" t="str">
        <f>IF($B1918="","",IFERROR(INDEX(账户币种,MATCH($B1918,账户名,0)),""))</f>
        <v/>
      </c>
      <c r="E1918" s="47"/>
      <c r="F1918" s="12" t="str">
        <f>IF($E1918="","",IFERROR(INDEX(类别属性,MATCH($E1918,类别表,0)),""))</f>
        <v/>
      </c>
      <c r="G1918" s="48"/>
      <c r="H1918" s="48"/>
      <c r="I1918" s="49"/>
      <c r="J1918" s="24" t="str">
        <f>IF(OR($A1918="",$B1918=""),"",IF($I1918&lt;&gt;"",$I1918,IF($D1918=本位币,1,IFERROR(LOOKUP(2,1/((汇率月份&lt;=$A1918)*(INDEX(记账汇率区,0,MATCH($D1918,汇率币种头,0))&lt;&gt;"")),INDEX(记账汇率区,0,MATCH($D1918,汇率币种头,0))),""))))</f>
        <v/>
      </c>
      <c r="K1918" s="23" t="str">
        <f t="shared" si="58"/>
        <v/>
      </c>
      <c r="L1918" s="23" t="str">
        <f t="shared" si="59"/>
        <v/>
      </c>
      <c r="M1918" s="23" t="str">
        <f>IF($B1918="","",ROUND(SUMIF(账户名,$B1918,账户期初)+SUMIFS($K$6:K1918,$B$6:B1918,$B1918),2))</f>
        <v/>
      </c>
      <c r="N1918" s="23" t="str">
        <f>IF($B1918="","",IFERROR(ROUND(INDEX(账户期初本位,MATCH($B1918,账户名,0))+SUMIFS($L$6:L1918,$B$6:B1918,$B1918),2),""))</f>
        <v/>
      </c>
      <c r="O1918" s="46"/>
      <c r="P1918" s="47"/>
      <c r="Q1918" s="46"/>
      <c r="R1918" s="46"/>
      <c r="S1918" s="6" t="str">
        <f>IF($B1918="","",IF(ISNA(MATCH($B1918,账户名,0)),"※这个账户不在【参数设置】的账户档案里",IF($A1918="","※没填日期，这一笔不会进任何月份的报表",IF(AND($G1918&lt;&gt;"",$H1918&lt;&gt;""),"※收入和支出不能同时填",IF(AND(N($G1918)=0,N($H1918)=0),"※收入和支出都没填",IF($E1918="","※没填收支类别，分类报表会漏掉这一笔",IF(ISNA(MATCH($E1918,类别表,0)),"※收支类别不在【参数设置】的清单里",IF($J1918="","△"&amp;$D1918&amp;" 还没填汇率，去【月度汇率】补上就自动算了",IF(YEAR($A1918)&lt;&gt;管理年度,"△不是管理年度的单据，年报里看不到",IF(AND($F1918="内部转账",$Q1918=""),"△内部转账建议在「往来单位」写上对方账户",IF($M1918&lt;0,"△这一笔之后该账户余额成负数了，核一下","")))))))))))</f>
        <v/>
      </c>
    </row>
    <row r="1919" ht="16.5" spans="1:19">
      <c r="A1919" s="45"/>
      <c r="B1919" s="46"/>
      <c r="C1919" s="12" t="str">
        <f>IF($B1919="","",IFERROR(INDEX(账户银行,MATCH($B1919,账户名,0)),""))</f>
        <v/>
      </c>
      <c r="D1919" s="12" t="str">
        <f>IF($B1919="","",IFERROR(INDEX(账户币种,MATCH($B1919,账户名,0)),""))</f>
        <v/>
      </c>
      <c r="E1919" s="47"/>
      <c r="F1919" s="12" t="str">
        <f>IF($E1919="","",IFERROR(INDEX(类别属性,MATCH($E1919,类别表,0)),""))</f>
        <v/>
      </c>
      <c r="G1919" s="48"/>
      <c r="H1919" s="48"/>
      <c r="I1919" s="49"/>
      <c r="J1919" s="24" t="str">
        <f>IF(OR($A1919="",$B1919=""),"",IF($I1919&lt;&gt;"",$I1919,IF($D1919=本位币,1,IFERROR(LOOKUP(2,1/((汇率月份&lt;=$A1919)*(INDEX(记账汇率区,0,MATCH($D1919,汇率币种头,0))&lt;&gt;"")),INDEX(记账汇率区,0,MATCH($D1919,汇率币种头,0))),""))))</f>
        <v/>
      </c>
      <c r="K1919" s="23" t="str">
        <f t="shared" si="58"/>
        <v/>
      </c>
      <c r="L1919" s="23" t="str">
        <f t="shared" si="59"/>
        <v/>
      </c>
      <c r="M1919" s="23" t="str">
        <f>IF($B1919="","",ROUND(SUMIF(账户名,$B1919,账户期初)+SUMIFS($K$6:K1919,$B$6:B1919,$B1919),2))</f>
        <v/>
      </c>
      <c r="N1919" s="23" t="str">
        <f>IF($B1919="","",IFERROR(ROUND(INDEX(账户期初本位,MATCH($B1919,账户名,0))+SUMIFS($L$6:L1919,$B$6:B1919,$B1919),2),""))</f>
        <v/>
      </c>
      <c r="O1919" s="46"/>
      <c r="P1919" s="47"/>
      <c r="Q1919" s="46"/>
      <c r="R1919" s="46"/>
      <c r="S1919" s="6" t="str">
        <f>IF($B1919="","",IF(ISNA(MATCH($B1919,账户名,0)),"※这个账户不在【参数设置】的账户档案里",IF($A1919="","※没填日期，这一笔不会进任何月份的报表",IF(AND($G1919&lt;&gt;"",$H1919&lt;&gt;""),"※收入和支出不能同时填",IF(AND(N($G1919)=0,N($H1919)=0),"※收入和支出都没填",IF($E1919="","※没填收支类别，分类报表会漏掉这一笔",IF(ISNA(MATCH($E1919,类别表,0)),"※收支类别不在【参数设置】的清单里",IF($J1919="","△"&amp;$D1919&amp;" 还没填汇率，去【月度汇率】补上就自动算了",IF(YEAR($A1919)&lt;&gt;管理年度,"△不是管理年度的单据，年报里看不到",IF(AND($F1919="内部转账",$Q1919=""),"△内部转账建议在「往来单位」写上对方账户",IF($M1919&lt;0,"△这一笔之后该账户余额成负数了，核一下","")))))))))))</f>
        <v/>
      </c>
    </row>
    <row r="1920" ht="16.5" spans="1:19">
      <c r="A1920" s="45"/>
      <c r="B1920" s="46"/>
      <c r="C1920" s="12" t="str">
        <f>IF($B1920="","",IFERROR(INDEX(账户银行,MATCH($B1920,账户名,0)),""))</f>
        <v/>
      </c>
      <c r="D1920" s="12" t="str">
        <f>IF($B1920="","",IFERROR(INDEX(账户币种,MATCH($B1920,账户名,0)),""))</f>
        <v/>
      </c>
      <c r="E1920" s="47"/>
      <c r="F1920" s="12" t="str">
        <f>IF($E1920="","",IFERROR(INDEX(类别属性,MATCH($E1920,类别表,0)),""))</f>
        <v/>
      </c>
      <c r="G1920" s="48"/>
      <c r="H1920" s="48"/>
      <c r="I1920" s="49"/>
      <c r="J1920" s="24" t="str">
        <f>IF(OR($A1920="",$B1920=""),"",IF($I1920&lt;&gt;"",$I1920,IF($D1920=本位币,1,IFERROR(LOOKUP(2,1/((汇率月份&lt;=$A1920)*(INDEX(记账汇率区,0,MATCH($D1920,汇率币种头,0))&lt;&gt;"")),INDEX(记账汇率区,0,MATCH($D1920,汇率币种头,0))),""))))</f>
        <v/>
      </c>
      <c r="K1920" s="23" t="str">
        <f t="shared" si="58"/>
        <v/>
      </c>
      <c r="L1920" s="23" t="str">
        <f t="shared" si="59"/>
        <v/>
      </c>
      <c r="M1920" s="23" t="str">
        <f>IF($B1920="","",ROUND(SUMIF(账户名,$B1920,账户期初)+SUMIFS($K$6:K1920,$B$6:B1920,$B1920),2))</f>
        <v/>
      </c>
      <c r="N1920" s="23" t="str">
        <f>IF($B1920="","",IFERROR(ROUND(INDEX(账户期初本位,MATCH($B1920,账户名,0))+SUMIFS($L$6:L1920,$B$6:B1920,$B1920),2),""))</f>
        <v/>
      </c>
      <c r="O1920" s="46"/>
      <c r="P1920" s="47"/>
      <c r="Q1920" s="46"/>
      <c r="R1920" s="46"/>
      <c r="S1920" s="6" t="str">
        <f>IF($B1920="","",IF(ISNA(MATCH($B1920,账户名,0)),"※这个账户不在【参数设置】的账户档案里",IF($A1920="","※没填日期，这一笔不会进任何月份的报表",IF(AND($G1920&lt;&gt;"",$H1920&lt;&gt;""),"※收入和支出不能同时填",IF(AND(N($G1920)=0,N($H1920)=0),"※收入和支出都没填",IF($E1920="","※没填收支类别，分类报表会漏掉这一笔",IF(ISNA(MATCH($E1920,类别表,0)),"※收支类别不在【参数设置】的清单里",IF($J1920="","△"&amp;$D1920&amp;" 还没填汇率，去【月度汇率】补上就自动算了",IF(YEAR($A1920)&lt;&gt;管理年度,"△不是管理年度的单据，年报里看不到",IF(AND($F1920="内部转账",$Q1920=""),"△内部转账建议在「往来单位」写上对方账户",IF($M1920&lt;0,"△这一笔之后该账户余额成负数了，核一下","")))))))))))</f>
        <v/>
      </c>
    </row>
    <row r="1921" ht="16.5" spans="1:19">
      <c r="A1921" s="45"/>
      <c r="B1921" s="46"/>
      <c r="C1921" s="12" t="str">
        <f>IF($B1921="","",IFERROR(INDEX(账户银行,MATCH($B1921,账户名,0)),""))</f>
        <v/>
      </c>
      <c r="D1921" s="12" t="str">
        <f>IF($B1921="","",IFERROR(INDEX(账户币种,MATCH($B1921,账户名,0)),""))</f>
        <v/>
      </c>
      <c r="E1921" s="47"/>
      <c r="F1921" s="12" t="str">
        <f>IF($E1921="","",IFERROR(INDEX(类别属性,MATCH($E1921,类别表,0)),""))</f>
        <v/>
      </c>
      <c r="G1921" s="48"/>
      <c r="H1921" s="48"/>
      <c r="I1921" s="49"/>
      <c r="J1921" s="24" t="str">
        <f>IF(OR($A1921="",$B1921=""),"",IF($I1921&lt;&gt;"",$I1921,IF($D1921=本位币,1,IFERROR(LOOKUP(2,1/((汇率月份&lt;=$A1921)*(INDEX(记账汇率区,0,MATCH($D1921,汇率币种头,0))&lt;&gt;"")),INDEX(记账汇率区,0,MATCH($D1921,汇率币种头,0))),""))))</f>
        <v/>
      </c>
      <c r="K1921" s="23" t="str">
        <f t="shared" si="58"/>
        <v/>
      </c>
      <c r="L1921" s="23" t="str">
        <f t="shared" si="59"/>
        <v/>
      </c>
      <c r="M1921" s="23" t="str">
        <f>IF($B1921="","",ROUND(SUMIF(账户名,$B1921,账户期初)+SUMIFS($K$6:K1921,$B$6:B1921,$B1921),2))</f>
        <v/>
      </c>
      <c r="N1921" s="23" t="str">
        <f>IF($B1921="","",IFERROR(ROUND(INDEX(账户期初本位,MATCH($B1921,账户名,0))+SUMIFS($L$6:L1921,$B$6:B1921,$B1921),2),""))</f>
        <v/>
      </c>
      <c r="O1921" s="46"/>
      <c r="P1921" s="47"/>
      <c r="Q1921" s="46"/>
      <c r="R1921" s="46"/>
      <c r="S1921" s="6" t="str">
        <f>IF($B1921="","",IF(ISNA(MATCH($B1921,账户名,0)),"※这个账户不在【参数设置】的账户档案里",IF($A1921="","※没填日期，这一笔不会进任何月份的报表",IF(AND($G1921&lt;&gt;"",$H1921&lt;&gt;""),"※收入和支出不能同时填",IF(AND(N($G1921)=0,N($H1921)=0),"※收入和支出都没填",IF($E1921="","※没填收支类别，分类报表会漏掉这一笔",IF(ISNA(MATCH($E1921,类别表,0)),"※收支类别不在【参数设置】的清单里",IF($J1921="","△"&amp;$D1921&amp;" 还没填汇率，去【月度汇率】补上就自动算了",IF(YEAR($A1921)&lt;&gt;管理年度,"△不是管理年度的单据，年报里看不到",IF(AND($F1921="内部转账",$Q1921=""),"△内部转账建议在「往来单位」写上对方账户",IF($M1921&lt;0,"△这一笔之后该账户余额成负数了，核一下","")))))))))))</f>
        <v/>
      </c>
    </row>
    <row r="1922" ht="16.5" spans="1:19">
      <c r="A1922" s="45"/>
      <c r="B1922" s="46"/>
      <c r="C1922" s="12" t="str">
        <f>IF($B1922="","",IFERROR(INDEX(账户银行,MATCH($B1922,账户名,0)),""))</f>
        <v/>
      </c>
      <c r="D1922" s="12" t="str">
        <f>IF($B1922="","",IFERROR(INDEX(账户币种,MATCH($B1922,账户名,0)),""))</f>
        <v/>
      </c>
      <c r="E1922" s="47"/>
      <c r="F1922" s="12" t="str">
        <f>IF($E1922="","",IFERROR(INDEX(类别属性,MATCH($E1922,类别表,0)),""))</f>
        <v/>
      </c>
      <c r="G1922" s="48"/>
      <c r="H1922" s="48"/>
      <c r="I1922" s="49"/>
      <c r="J1922" s="24" t="str">
        <f>IF(OR($A1922="",$B1922=""),"",IF($I1922&lt;&gt;"",$I1922,IF($D1922=本位币,1,IFERROR(LOOKUP(2,1/((汇率月份&lt;=$A1922)*(INDEX(记账汇率区,0,MATCH($D1922,汇率币种头,0))&lt;&gt;"")),INDEX(记账汇率区,0,MATCH($D1922,汇率币种头,0))),""))))</f>
        <v/>
      </c>
      <c r="K1922" s="23" t="str">
        <f t="shared" si="58"/>
        <v/>
      </c>
      <c r="L1922" s="23" t="str">
        <f t="shared" si="59"/>
        <v/>
      </c>
      <c r="M1922" s="23" t="str">
        <f>IF($B1922="","",ROUND(SUMIF(账户名,$B1922,账户期初)+SUMIFS($K$6:K1922,$B$6:B1922,$B1922),2))</f>
        <v/>
      </c>
      <c r="N1922" s="23" t="str">
        <f>IF($B1922="","",IFERROR(ROUND(INDEX(账户期初本位,MATCH($B1922,账户名,0))+SUMIFS($L$6:L1922,$B$6:B1922,$B1922),2),""))</f>
        <v/>
      </c>
      <c r="O1922" s="46"/>
      <c r="P1922" s="47"/>
      <c r="Q1922" s="46"/>
      <c r="R1922" s="46"/>
      <c r="S1922" s="6" t="str">
        <f>IF($B1922="","",IF(ISNA(MATCH($B1922,账户名,0)),"※这个账户不在【参数设置】的账户档案里",IF($A1922="","※没填日期，这一笔不会进任何月份的报表",IF(AND($G1922&lt;&gt;"",$H1922&lt;&gt;""),"※收入和支出不能同时填",IF(AND(N($G1922)=0,N($H1922)=0),"※收入和支出都没填",IF($E1922="","※没填收支类别，分类报表会漏掉这一笔",IF(ISNA(MATCH($E1922,类别表,0)),"※收支类别不在【参数设置】的清单里",IF($J1922="","△"&amp;$D1922&amp;" 还没填汇率，去【月度汇率】补上就自动算了",IF(YEAR($A1922)&lt;&gt;管理年度,"△不是管理年度的单据，年报里看不到",IF(AND($F1922="内部转账",$Q1922=""),"△内部转账建议在「往来单位」写上对方账户",IF($M1922&lt;0,"△这一笔之后该账户余额成负数了，核一下","")))))))))))</f>
        <v/>
      </c>
    </row>
    <row r="1923" ht="16.5" spans="1:19">
      <c r="A1923" s="45"/>
      <c r="B1923" s="46"/>
      <c r="C1923" s="12" t="str">
        <f>IF($B1923="","",IFERROR(INDEX(账户银行,MATCH($B1923,账户名,0)),""))</f>
        <v/>
      </c>
      <c r="D1923" s="12" t="str">
        <f>IF($B1923="","",IFERROR(INDEX(账户币种,MATCH($B1923,账户名,0)),""))</f>
        <v/>
      </c>
      <c r="E1923" s="47"/>
      <c r="F1923" s="12" t="str">
        <f>IF($E1923="","",IFERROR(INDEX(类别属性,MATCH($E1923,类别表,0)),""))</f>
        <v/>
      </c>
      <c r="G1923" s="48"/>
      <c r="H1923" s="48"/>
      <c r="I1923" s="49"/>
      <c r="J1923" s="24" t="str">
        <f>IF(OR($A1923="",$B1923=""),"",IF($I1923&lt;&gt;"",$I1923,IF($D1923=本位币,1,IFERROR(LOOKUP(2,1/((汇率月份&lt;=$A1923)*(INDEX(记账汇率区,0,MATCH($D1923,汇率币种头,0))&lt;&gt;"")),INDEX(记账汇率区,0,MATCH($D1923,汇率币种头,0))),""))))</f>
        <v/>
      </c>
      <c r="K1923" s="23" t="str">
        <f t="shared" si="58"/>
        <v/>
      </c>
      <c r="L1923" s="23" t="str">
        <f t="shared" si="59"/>
        <v/>
      </c>
      <c r="M1923" s="23" t="str">
        <f>IF($B1923="","",ROUND(SUMIF(账户名,$B1923,账户期初)+SUMIFS($K$6:K1923,$B$6:B1923,$B1923),2))</f>
        <v/>
      </c>
      <c r="N1923" s="23" t="str">
        <f>IF($B1923="","",IFERROR(ROUND(INDEX(账户期初本位,MATCH($B1923,账户名,0))+SUMIFS($L$6:L1923,$B$6:B1923,$B1923),2),""))</f>
        <v/>
      </c>
      <c r="O1923" s="46"/>
      <c r="P1923" s="47"/>
      <c r="Q1923" s="46"/>
      <c r="R1923" s="46"/>
      <c r="S1923" s="6" t="str">
        <f>IF($B1923="","",IF(ISNA(MATCH($B1923,账户名,0)),"※这个账户不在【参数设置】的账户档案里",IF($A1923="","※没填日期，这一笔不会进任何月份的报表",IF(AND($G1923&lt;&gt;"",$H1923&lt;&gt;""),"※收入和支出不能同时填",IF(AND(N($G1923)=0,N($H1923)=0),"※收入和支出都没填",IF($E1923="","※没填收支类别，分类报表会漏掉这一笔",IF(ISNA(MATCH($E1923,类别表,0)),"※收支类别不在【参数设置】的清单里",IF($J1923="","△"&amp;$D1923&amp;" 还没填汇率，去【月度汇率】补上就自动算了",IF(YEAR($A1923)&lt;&gt;管理年度,"△不是管理年度的单据，年报里看不到",IF(AND($F1923="内部转账",$Q1923=""),"△内部转账建议在「往来单位」写上对方账户",IF($M1923&lt;0,"△这一笔之后该账户余额成负数了，核一下","")))))))))))</f>
        <v/>
      </c>
    </row>
    <row r="1924" ht="16.5" spans="1:19">
      <c r="A1924" s="45"/>
      <c r="B1924" s="46"/>
      <c r="C1924" s="12" t="str">
        <f>IF($B1924="","",IFERROR(INDEX(账户银行,MATCH($B1924,账户名,0)),""))</f>
        <v/>
      </c>
      <c r="D1924" s="12" t="str">
        <f>IF($B1924="","",IFERROR(INDEX(账户币种,MATCH($B1924,账户名,0)),""))</f>
        <v/>
      </c>
      <c r="E1924" s="47"/>
      <c r="F1924" s="12" t="str">
        <f>IF($E1924="","",IFERROR(INDEX(类别属性,MATCH($E1924,类别表,0)),""))</f>
        <v/>
      </c>
      <c r="G1924" s="48"/>
      <c r="H1924" s="48"/>
      <c r="I1924" s="49"/>
      <c r="J1924" s="24" t="str">
        <f>IF(OR($A1924="",$B1924=""),"",IF($I1924&lt;&gt;"",$I1924,IF($D1924=本位币,1,IFERROR(LOOKUP(2,1/((汇率月份&lt;=$A1924)*(INDEX(记账汇率区,0,MATCH($D1924,汇率币种头,0))&lt;&gt;"")),INDEX(记账汇率区,0,MATCH($D1924,汇率币种头,0))),""))))</f>
        <v/>
      </c>
      <c r="K1924" s="23" t="str">
        <f t="shared" si="58"/>
        <v/>
      </c>
      <c r="L1924" s="23" t="str">
        <f t="shared" si="59"/>
        <v/>
      </c>
      <c r="M1924" s="23" t="str">
        <f>IF($B1924="","",ROUND(SUMIF(账户名,$B1924,账户期初)+SUMIFS($K$6:K1924,$B$6:B1924,$B1924),2))</f>
        <v/>
      </c>
      <c r="N1924" s="23" t="str">
        <f>IF($B1924="","",IFERROR(ROUND(INDEX(账户期初本位,MATCH($B1924,账户名,0))+SUMIFS($L$6:L1924,$B$6:B1924,$B1924),2),""))</f>
        <v/>
      </c>
      <c r="O1924" s="46"/>
      <c r="P1924" s="47"/>
      <c r="Q1924" s="46"/>
      <c r="R1924" s="46"/>
      <c r="S1924" s="6" t="str">
        <f>IF($B1924="","",IF(ISNA(MATCH($B1924,账户名,0)),"※这个账户不在【参数设置】的账户档案里",IF($A1924="","※没填日期，这一笔不会进任何月份的报表",IF(AND($G1924&lt;&gt;"",$H1924&lt;&gt;""),"※收入和支出不能同时填",IF(AND(N($G1924)=0,N($H1924)=0),"※收入和支出都没填",IF($E1924="","※没填收支类别，分类报表会漏掉这一笔",IF(ISNA(MATCH($E1924,类别表,0)),"※收支类别不在【参数设置】的清单里",IF($J1924="","△"&amp;$D1924&amp;" 还没填汇率，去【月度汇率】补上就自动算了",IF(YEAR($A1924)&lt;&gt;管理年度,"△不是管理年度的单据，年报里看不到",IF(AND($F1924="内部转账",$Q1924=""),"△内部转账建议在「往来单位」写上对方账户",IF($M1924&lt;0,"△这一笔之后该账户余额成负数了，核一下","")))))))))))</f>
        <v/>
      </c>
    </row>
    <row r="1925" ht="16.5" spans="1:19">
      <c r="A1925" s="45"/>
      <c r="B1925" s="46"/>
      <c r="C1925" s="12" t="str">
        <f>IF($B1925="","",IFERROR(INDEX(账户银行,MATCH($B1925,账户名,0)),""))</f>
        <v/>
      </c>
      <c r="D1925" s="12" t="str">
        <f>IF($B1925="","",IFERROR(INDEX(账户币种,MATCH($B1925,账户名,0)),""))</f>
        <v/>
      </c>
      <c r="E1925" s="47"/>
      <c r="F1925" s="12" t="str">
        <f>IF($E1925="","",IFERROR(INDEX(类别属性,MATCH($E1925,类别表,0)),""))</f>
        <v/>
      </c>
      <c r="G1925" s="48"/>
      <c r="H1925" s="48"/>
      <c r="I1925" s="49"/>
      <c r="J1925" s="24" t="str">
        <f>IF(OR($A1925="",$B1925=""),"",IF($I1925&lt;&gt;"",$I1925,IF($D1925=本位币,1,IFERROR(LOOKUP(2,1/((汇率月份&lt;=$A1925)*(INDEX(记账汇率区,0,MATCH($D1925,汇率币种头,0))&lt;&gt;"")),INDEX(记账汇率区,0,MATCH($D1925,汇率币种头,0))),""))))</f>
        <v/>
      </c>
      <c r="K1925" s="23" t="str">
        <f t="shared" si="58"/>
        <v/>
      </c>
      <c r="L1925" s="23" t="str">
        <f t="shared" si="59"/>
        <v/>
      </c>
      <c r="M1925" s="23" t="str">
        <f>IF($B1925="","",ROUND(SUMIF(账户名,$B1925,账户期初)+SUMIFS($K$6:K1925,$B$6:B1925,$B1925),2))</f>
        <v/>
      </c>
      <c r="N1925" s="23" t="str">
        <f>IF($B1925="","",IFERROR(ROUND(INDEX(账户期初本位,MATCH($B1925,账户名,0))+SUMIFS($L$6:L1925,$B$6:B1925,$B1925),2),""))</f>
        <v/>
      </c>
      <c r="O1925" s="46"/>
      <c r="P1925" s="47"/>
      <c r="Q1925" s="46"/>
      <c r="R1925" s="46"/>
      <c r="S1925" s="6" t="str">
        <f>IF($B1925="","",IF(ISNA(MATCH($B1925,账户名,0)),"※这个账户不在【参数设置】的账户档案里",IF($A1925="","※没填日期，这一笔不会进任何月份的报表",IF(AND($G1925&lt;&gt;"",$H1925&lt;&gt;""),"※收入和支出不能同时填",IF(AND(N($G1925)=0,N($H1925)=0),"※收入和支出都没填",IF($E1925="","※没填收支类别，分类报表会漏掉这一笔",IF(ISNA(MATCH($E1925,类别表,0)),"※收支类别不在【参数设置】的清单里",IF($J1925="","△"&amp;$D1925&amp;" 还没填汇率，去【月度汇率】补上就自动算了",IF(YEAR($A1925)&lt;&gt;管理年度,"△不是管理年度的单据，年报里看不到",IF(AND($F1925="内部转账",$Q1925=""),"△内部转账建议在「往来单位」写上对方账户",IF($M1925&lt;0,"△这一笔之后该账户余额成负数了，核一下","")))))))))))</f>
        <v/>
      </c>
    </row>
    <row r="1926" ht="16.5" spans="1:19">
      <c r="A1926" s="45"/>
      <c r="B1926" s="46"/>
      <c r="C1926" s="12" t="str">
        <f>IF($B1926="","",IFERROR(INDEX(账户银行,MATCH($B1926,账户名,0)),""))</f>
        <v/>
      </c>
      <c r="D1926" s="12" t="str">
        <f>IF($B1926="","",IFERROR(INDEX(账户币种,MATCH($B1926,账户名,0)),""))</f>
        <v/>
      </c>
      <c r="E1926" s="47"/>
      <c r="F1926" s="12" t="str">
        <f>IF($E1926="","",IFERROR(INDEX(类别属性,MATCH($E1926,类别表,0)),""))</f>
        <v/>
      </c>
      <c r="G1926" s="48"/>
      <c r="H1926" s="48"/>
      <c r="I1926" s="49"/>
      <c r="J1926" s="24" t="str">
        <f>IF(OR($A1926="",$B1926=""),"",IF($I1926&lt;&gt;"",$I1926,IF($D1926=本位币,1,IFERROR(LOOKUP(2,1/((汇率月份&lt;=$A1926)*(INDEX(记账汇率区,0,MATCH($D1926,汇率币种头,0))&lt;&gt;"")),INDEX(记账汇率区,0,MATCH($D1926,汇率币种头,0))),""))))</f>
        <v/>
      </c>
      <c r="K1926" s="23" t="str">
        <f t="shared" ref="K1926:K1989" si="60">IF(AND($G1926="",$H1926=""),"",ROUND(N($G1926)-N($H1926),2))</f>
        <v/>
      </c>
      <c r="L1926" s="23" t="str">
        <f t="shared" ref="L1926:L1989" si="61">IF(OR($K1926="",$J1926=""),"",ROUND($K1926*$J1926,2))</f>
        <v/>
      </c>
      <c r="M1926" s="23" t="str">
        <f>IF($B1926="","",ROUND(SUMIF(账户名,$B1926,账户期初)+SUMIFS($K$6:K1926,$B$6:B1926,$B1926),2))</f>
        <v/>
      </c>
      <c r="N1926" s="23" t="str">
        <f>IF($B1926="","",IFERROR(ROUND(INDEX(账户期初本位,MATCH($B1926,账户名,0))+SUMIFS($L$6:L1926,$B$6:B1926,$B1926),2),""))</f>
        <v/>
      </c>
      <c r="O1926" s="46"/>
      <c r="P1926" s="47"/>
      <c r="Q1926" s="46"/>
      <c r="R1926" s="46"/>
      <c r="S1926" s="6" t="str">
        <f>IF($B1926="","",IF(ISNA(MATCH($B1926,账户名,0)),"※这个账户不在【参数设置】的账户档案里",IF($A1926="","※没填日期，这一笔不会进任何月份的报表",IF(AND($G1926&lt;&gt;"",$H1926&lt;&gt;""),"※收入和支出不能同时填",IF(AND(N($G1926)=0,N($H1926)=0),"※收入和支出都没填",IF($E1926="","※没填收支类别，分类报表会漏掉这一笔",IF(ISNA(MATCH($E1926,类别表,0)),"※收支类别不在【参数设置】的清单里",IF($J1926="","△"&amp;$D1926&amp;" 还没填汇率，去【月度汇率】补上就自动算了",IF(YEAR($A1926)&lt;&gt;管理年度,"△不是管理年度的单据，年报里看不到",IF(AND($F1926="内部转账",$Q1926=""),"△内部转账建议在「往来单位」写上对方账户",IF($M1926&lt;0,"△这一笔之后该账户余额成负数了，核一下","")))))))))))</f>
        <v/>
      </c>
    </row>
    <row r="1927" ht="16.5" spans="1:19">
      <c r="A1927" s="45"/>
      <c r="B1927" s="46"/>
      <c r="C1927" s="12" t="str">
        <f>IF($B1927="","",IFERROR(INDEX(账户银行,MATCH($B1927,账户名,0)),""))</f>
        <v/>
      </c>
      <c r="D1927" s="12" t="str">
        <f>IF($B1927="","",IFERROR(INDEX(账户币种,MATCH($B1927,账户名,0)),""))</f>
        <v/>
      </c>
      <c r="E1927" s="47"/>
      <c r="F1927" s="12" t="str">
        <f>IF($E1927="","",IFERROR(INDEX(类别属性,MATCH($E1927,类别表,0)),""))</f>
        <v/>
      </c>
      <c r="G1927" s="48"/>
      <c r="H1927" s="48"/>
      <c r="I1927" s="49"/>
      <c r="J1927" s="24" t="str">
        <f>IF(OR($A1927="",$B1927=""),"",IF($I1927&lt;&gt;"",$I1927,IF($D1927=本位币,1,IFERROR(LOOKUP(2,1/((汇率月份&lt;=$A1927)*(INDEX(记账汇率区,0,MATCH($D1927,汇率币种头,0))&lt;&gt;"")),INDEX(记账汇率区,0,MATCH($D1927,汇率币种头,0))),""))))</f>
        <v/>
      </c>
      <c r="K1927" s="23" t="str">
        <f t="shared" si="60"/>
        <v/>
      </c>
      <c r="L1927" s="23" t="str">
        <f t="shared" si="61"/>
        <v/>
      </c>
      <c r="M1927" s="23" t="str">
        <f>IF($B1927="","",ROUND(SUMIF(账户名,$B1927,账户期初)+SUMIFS($K$6:K1927,$B$6:B1927,$B1927),2))</f>
        <v/>
      </c>
      <c r="N1927" s="23" t="str">
        <f>IF($B1927="","",IFERROR(ROUND(INDEX(账户期初本位,MATCH($B1927,账户名,0))+SUMIFS($L$6:L1927,$B$6:B1927,$B1927),2),""))</f>
        <v/>
      </c>
      <c r="O1927" s="46"/>
      <c r="P1927" s="47"/>
      <c r="Q1927" s="46"/>
      <c r="R1927" s="46"/>
      <c r="S1927" s="6" t="str">
        <f>IF($B1927="","",IF(ISNA(MATCH($B1927,账户名,0)),"※这个账户不在【参数设置】的账户档案里",IF($A1927="","※没填日期，这一笔不会进任何月份的报表",IF(AND($G1927&lt;&gt;"",$H1927&lt;&gt;""),"※收入和支出不能同时填",IF(AND(N($G1927)=0,N($H1927)=0),"※收入和支出都没填",IF($E1927="","※没填收支类别，分类报表会漏掉这一笔",IF(ISNA(MATCH($E1927,类别表,0)),"※收支类别不在【参数设置】的清单里",IF($J1927="","△"&amp;$D1927&amp;" 还没填汇率，去【月度汇率】补上就自动算了",IF(YEAR($A1927)&lt;&gt;管理年度,"△不是管理年度的单据，年报里看不到",IF(AND($F1927="内部转账",$Q1927=""),"△内部转账建议在「往来单位」写上对方账户",IF($M1927&lt;0,"△这一笔之后该账户余额成负数了，核一下","")))))))))))</f>
        <v/>
      </c>
    </row>
    <row r="1928" ht="16.5" spans="1:19">
      <c r="A1928" s="45"/>
      <c r="B1928" s="46"/>
      <c r="C1928" s="12" t="str">
        <f>IF($B1928="","",IFERROR(INDEX(账户银行,MATCH($B1928,账户名,0)),""))</f>
        <v/>
      </c>
      <c r="D1928" s="12" t="str">
        <f>IF($B1928="","",IFERROR(INDEX(账户币种,MATCH($B1928,账户名,0)),""))</f>
        <v/>
      </c>
      <c r="E1928" s="47"/>
      <c r="F1928" s="12" t="str">
        <f>IF($E1928="","",IFERROR(INDEX(类别属性,MATCH($E1928,类别表,0)),""))</f>
        <v/>
      </c>
      <c r="G1928" s="48"/>
      <c r="H1928" s="48"/>
      <c r="I1928" s="49"/>
      <c r="J1928" s="24" t="str">
        <f>IF(OR($A1928="",$B1928=""),"",IF($I1928&lt;&gt;"",$I1928,IF($D1928=本位币,1,IFERROR(LOOKUP(2,1/((汇率月份&lt;=$A1928)*(INDEX(记账汇率区,0,MATCH($D1928,汇率币种头,0))&lt;&gt;"")),INDEX(记账汇率区,0,MATCH($D1928,汇率币种头,0))),""))))</f>
        <v/>
      </c>
      <c r="K1928" s="23" t="str">
        <f t="shared" si="60"/>
        <v/>
      </c>
      <c r="L1928" s="23" t="str">
        <f t="shared" si="61"/>
        <v/>
      </c>
      <c r="M1928" s="23" t="str">
        <f>IF($B1928="","",ROUND(SUMIF(账户名,$B1928,账户期初)+SUMIFS($K$6:K1928,$B$6:B1928,$B1928),2))</f>
        <v/>
      </c>
      <c r="N1928" s="23" t="str">
        <f>IF($B1928="","",IFERROR(ROUND(INDEX(账户期初本位,MATCH($B1928,账户名,0))+SUMIFS($L$6:L1928,$B$6:B1928,$B1928),2),""))</f>
        <v/>
      </c>
      <c r="O1928" s="46"/>
      <c r="P1928" s="47"/>
      <c r="Q1928" s="46"/>
      <c r="R1928" s="46"/>
      <c r="S1928" s="6" t="str">
        <f>IF($B1928="","",IF(ISNA(MATCH($B1928,账户名,0)),"※这个账户不在【参数设置】的账户档案里",IF($A1928="","※没填日期，这一笔不会进任何月份的报表",IF(AND($G1928&lt;&gt;"",$H1928&lt;&gt;""),"※收入和支出不能同时填",IF(AND(N($G1928)=0,N($H1928)=0),"※收入和支出都没填",IF($E1928="","※没填收支类别，分类报表会漏掉这一笔",IF(ISNA(MATCH($E1928,类别表,0)),"※收支类别不在【参数设置】的清单里",IF($J1928="","△"&amp;$D1928&amp;" 还没填汇率，去【月度汇率】补上就自动算了",IF(YEAR($A1928)&lt;&gt;管理年度,"△不是管理年度的单据，年报里看不到",IF(AND($F1928="内部转账",$Q1928=""),"△内部转账建议在「往来单位」写上对方账户",IF($M1928&lt;0,"△这一笔之后该账户余额成负数了，核一下","")))))))))))</f>
        <v/>
      </c>
    </row>
    <row r="1929" ht="16.5" spans="1:19">
      <c r="A1929" s="45"/>
      <c r="B1929" s="46"/>
      <c r="C1929" s="12" t="str">
        <f>IF($B1929="","",IFERROR(INDEX(账户银行,MATCH($B1929,账户名,0)),""))</f>
        <v/>
      </c>
      <c r="D1929" s="12" t="str">
        <f>IF($B1929="","",IFERROR(INDEX(账户币种,MATCH($B1929,账户名,0)),""))</f>
        <v/>
      </c>
      <c r="E1929" s="47"/>
      <c r="F1929" s="12" t="str">
        <f>IF($E1929="","",IFERROR(INDEX(类别属性,MATCH($E1929,类别表,0)),""))</f>
        <v/>
      </c>
      <c r="G1929" s="48"/>
      <c r="H1929" s="48"/>
      <c r="I1929" s="49"/>
      <c r="J1929" s="24" t="str">
        <f>IF(OR($A1929="",$B1929=""),"",IF($I1929&lt;&gt;"",$I1929,IF($D1929=本位币,1,IFERROR(LOOKUP(2,1/((汇率月份&lt;=$A1929)*(INDEX(记账汇率区,0,MATCH($D1929,汇率币种头,0))&lt;&gt;"")),INDEX(记账汇率区,0,MATCH($D1929,汇率币种头,0))),""))))</f>
        <v/>
      </c>
      <c r="K1929" s="23" t="str">
        <f t="shared" si="60"/>
        <v/>
      </c>
      <c r="L1929" s="23" t="str">
        <f t="shared" si="61"/>
        <v/>
      </c>
      <c r="M1929" s="23" t="str">
        <f>IF($B1929="","",ROUND(SUMIF(账户名,$B1929,账户期初)+SUMIFS($K$6:K1929,$B$6:B1929,$B1929),2))</f>
        <v/>
      </c>
      <c r="N1929" s="23" t="str">
        <f>IF($B1929="","",IFERROR(ROUND(INDEX(账户期初本位,MATCH($B1929,账户名,0))+SUMIFS($L$6:L1929,$B$6:B1929,$B1929),2),""))</f>
        <v/>
      </c>
      <c r="O1929" s="46"/>
      <c r="P1929" s="47"/>
      <c r="Q1929" s="46"/>
      <c r="R1929" s="46"/>
      <c r="S1929" s="6" t="str">
        <f>IF($B1929="","",IF(ISNA(MATCH($B1929,账户名,0)),"※这个账户不在【参数设置】的账户档案里",IF($A1929="","※没填日期，这一笔不会进任何月份的报表",IF(AND($G1929&lt;&gt;"",$H1929&lt;&gt;""),"※收入和支出不能同时填",IF(AND(N($G1929)=0,N($H1929)=0),"※收入和支出都没填",IF($E1929="","※没填收支类别，分类报表会漏掉这一笔",IF(ISNA(MATCH($E1929,类别表,0)),"※收支类别不在【参数设置】的清单里",IF($J1929="","△"&amp;$D1929&amp;" 还没填汇率，去【月度汇率】补上就自动算了",IF(YEAR($A1929)&lt;&gt;管理年度,"△不是管理年度的单据，年报里看不到",IF(AND($F1929="内部转账",$Q1929=""),"△内部转账建议在「往来单位」写上对方账户",IF($M1929&lt;0,"△这一笔之后该账户余额成负数了，核一下","")))))))))))</f>
        <v/>
      </c>
    </row>
    <row r="1930" ht="16.5" spans="1:19">
      <c r="A1930" s="45"/>
      <c r="B1930" s="46"/>
      <c r="C1930" s="12" t="str">
        <f>IF($B1930="","",IFERROR(INDEX(账户银行,MATCH($B1930,账户名,0)),""))</f>
        <v/>
      </c>
      <c r="D1930" s="12" t="str">
        <f>IF($B1930="","",IFERROR(INDEX(账户币种,MATCH($B1930,账户名,0)),""))</f>
        <v/>
      </c>
      <c r="E1930" s="47"/>
      <c r="F1930" s="12" t="str">
        <f>IF($E1930="","",IFERROR(INDEX(类别属性,MATCH($E1930,类别表,0)),""))</f>
        <v/>
      </c>
      <c r="G1930" s="48"/>
      <c r="H1930" s="48"/>
      <c r="I1930" s="49"/>
      <c r="J1930" s="24" t="str">
        <f>IF(OR($A1930="",$B1930=""),"",IF($I1930&lt;&gt;"",$I1930,IF($D1930=本位币,1,IFERROR(LOOKUP(2,1/((汇率月份&lt;=$A1930)*(INDEX(记账汇率区,0,MATCH($D1930,汇率币种头,0))&lt;&gt;"")),INDEX(记账汇率区,0,MATCH($D1930,汇率币种头,0))),""))))</f>
        <v/>
      </c>
      <c r="K1930" s="23" t="str">
        <f t="shared" si="60"/>
        <v/>
      </c>
      <c r="L1930" s="23" t="str">
        <f t="shared" si="61"/>
        <v/>
      </c>
      <c r="M1930" s="23" t="str">
        <f>IF($B1930="","",ROUND(SUMIF(账户名,$B1930,账户期初)+SUMIFS($K$6:K1930,$B$6:B1930,$B1930),2))</f>
        <v/>
      </c>
      <c r="N1930" s="23" t="str">
        <f>IF($B1930="","",IFERROR(ROUND(INDEX(账户期初本位,MATCH($B1930,账户名,0))+SUMIFS($L$6:L1930,$B$6:B1930,$B1930),2),""))</f>
        <v/>
      </c>
      <c r="O1930" s="46"/>
      <c r="P1930" s="47"/>
      <c r="Q1930" s="46"/>
      <c r="R1930" s="46"/>
      <c r="S1930" s="6" t="str">
        <f>IF($B1930="","",IF(ISNA(MATCH($B1930,账户名,0)),"※这个账户不在【参数设置】的账户档案里",IF($A1930="","※没填日期，这一笔不会进任何月份的报表",IF(AND($G1930&lt;&gt;"",$H1930&lt;&gt;""),"※收入和支出不能同时填",IF(AND(N($G1930)=0,N($H1930)=0),"※收入和支出都没填",IF($E1930="","※没填收支类别，分类报表会漏掉这一笔",IF(ISNA(MATCH($E1930,类别表,0)),"※收支类别不在【参数设置】的清单里",IF($J1930="","△"&amp;$D1930&amp;" 还没填汇率，去【月度汇率】补上就自动算了",IF(YEAR($A1930)&lt;&gt;管理年度,"△不是管理年度的单据，年报里看不到",IF(AND($F1930="内部转账",$Q1930=""),"△内部转账建议在「往来单位」写上对方账户",IF($M1930&lt;0,"△这一笔之后该账户余额成负数了，核一下","")))))))))))</f>
        <v/>
      </c>
    </row>
    <row r="1931" ht="16.5" spans="1:19">
      <c r="A1931" s="45"/>
      <c r="B1931" s="46"/>
      <c r="C1931" s="12" t="str">
        <f>IF($B1931="","",IFERROR(INDEX(账户银行,MATCH($B1931,账户名,0)),""))</f>
        <v/>
      </c>
      <c r="D1931" s="12" t="str">
        <f>IF($B1931="","",IFERROR(INDEX(账户币种,MATCH($B1931,账户名,0)),""))</f>
        <v/>
      </c>
      <c r="E1931" s="47"/>
      <c r="F1931" s="12" t="str">
        <f>IF($E1931="","",IFERROR(INDEX(类别属性,MATCH($E1931,类别表,0)),""))</f>
        <v/>
      </c>
      <c r="G1931" s="48"/>
      <c r="H1931" s="48"/>
      <c r="I1931" s="49"/>
      <c r="J1931" s="24" t="str">
        <f>IF(OR($A1931="",$B1931=""),"",IF($I1931&lt;&gt;"",$I1931,IF($D1931=本位币,1,IFERROR(LOOKUP(2,1/((汇率月份&lt;=$A1931)*(INDEX(记账汇率区,0,MATCH($D1931,汇率币种头,0))&lt;&gt;"")),INDEX(记账汇率区,0,MATCH($D1931,汇率币种头,0))),""))))</f>
        <v/>
      </c>
      <c r="K1931" s="23" t="str">
        <f t="shared" si="60"/>
        <v/>
      </c>
      <c r="L1931" s="23" t="str">
        <f t="shared" si="61"/>
        <v/>
      </c>
      <c r="M1931" s="23" t="str">
        <f>IF($B1931="","",ROUND(SUMIF(账户名,$B1931,账户期初)+SUMIFS($K$6:K1931,$B$6:B1931,$B1931),2))</f>
        <v/>
      </c>
      <c r="N1931" s="23" t="str">
        <f>IF($B1931="","",IFERROR(ROUND(INDEX(账户期初本位,MATCH($B1931,账户名,0))+SUMIFS($L$6:L1931,$B$6:B1931,$B1931),2),""))</f>
        <v/>
      </c>
      <c r="O1931" s="46"/>
      <c r="P1931" s="47"/>
      <c r="Q1931" s="46"/>
      <c r="R1931" s="46"/>
      <c r="S1931" s="6" t="str">
        <f>IF($B1931="","",IF(ISNA(MATCH($B1931,账户名,0)),"※这个账户不在【参数设置】的账户档案里",IF($A1931="","※没填日期，这一笔不会进任何月份的报表",IF(AND($G1931&lt;&gt;"",$H1931&lt;&gt;""),"※收入和支出不能同时填",IF(AND(N($G1931)=0,N($H1931)=0),"※收入和支出都没填",IF($E1931="","※没填收支类别，分类报表会漏掉这一笔",IF(ISNA(MATCH($E1931,类别表,0)),"※收支类别不在【参数设置】的清单里",IF($J1931="","△"&amp;$D1931&amp;" 还没填汇率，去【月度汇率】补上就自动算了",IF(YEAR($A1931)&lt;&gt;管理年度,"△不是管理年度的单据，年报里看不到",IF(AND($F1931="内部转账",$Q1931=""),"△内部转账建议在「往来单位」写上对方账户",IF($M1931&lt;0,"△这一笔之后该账户余额成负数了，核一下","")))))))))))</f>
        <v/>
      </c>
    </row>
    <row r="1932" ht="16.5" spans="1:19">
      <c r="A1932" s="45"/>
      <c r="B1932" s="46"/>
      <c r="C1932" s="12" t="str">
        <f>IF($B1932="","",IFERROR(INDEX(账户银行,MATCH($B1932,账户名,0)),""))</f>
        <v/>
      </c>
      <c r="D1932" s="12" t="str">
        <f>IF($B1932="","",IFERROR(INDEX(账户币种,MATCH($B1932,账户名,0)),""))</f>
        <v/>
      </c>
      <c r="E1932" s="47"/>
      <c r="F1932" s="12" t="str">
        <f>IF($E1932="","",IFERROR(INDEX(类别属性,MATCH($E1932,类别表,0)),""))</f>
        <v/>
      </c>
      <c r="G1932" s="48"/>
      <c r="H1932" s="48"/>
      <c r="I1932" s="49"/>
      <c r="J1932" s="24" t="str">
        <f>IF(OR($A1932="",$B1932=""),"",IF($I1932&lt;&gt;"",$I1932,IF($D1932=本位币,1,IFERROR(LOOKUP(2,1/((汇率月份&lt;=$A1932)*(INDEX(记账汇率区,0,MATCH($D1932,汇率币种头,0))&lt;&gt;"")),INDEX(记账汇率区,0,MATCH($D1932,汇率币种头,0))),""))))</f>
        <v/>
      </c>
      <c r="K1932" s="23" t="str">
        <f t="shared" si="60"/>
        <v/>
      </c>
      <c r="L1932" s="23" t="str">
        <f t="shared" si="61"/>
        <v/>
      </c>
      <c r="M1932" s="23" t="str">
        <f>IF($B1932="","",ROUND(SUMIF(账户名,$B1932,账户期初)+SUMIFS($K$6:K1932,$B$6:B1932,$B1932),2))</f>
        <v/>
      </c>
      <c r="N1932" s="23" t="str">
        <f>IF($B1932="","",IFERROR(ROUND(INDEX(账户期初本位,MATCH($B1932,账户名,0))+SUMIFS($L$6:L1932,$B$6:B1932,$B1932),2),""))</f>
        <v/>
      </c>
      <c r="O1932" s="46"/>
      <c r="P1932" s="47"/>
      <c r="Q1932" s="46"/>
      <c r="R1932" s="46"/>
      <c r="S1932" s="6" t="str">
        <f>IF($B1932="","",IF(ISNA(MATCH($B1932,账户名,0)),"※这个账户不在【参数设置】的账户档案里",IF($A1932="","※没填日期，这一笔不会进任何月份的报表",IF(AND($G1932&lt;&gt;"",$H1932&lt;&gt;""),"※收入和支出不能同时填",IF(AND(N($G1932)=0,N($H1932)=0),"※收入和支出都没填",IF($E1932="","※没填收支类别，分类报表会漏掉这一笔",IF(ISNA(MATCH($E1932,类别表,0)),"※收支类别不在【参数设置】的清单里",IF($J1932="","△"&amp;$D1932&amp;" 还没填汇率，去【月度汇率】补上就自动算了",IF(YEAR($A1932)&lt;&gt;管理年度,"△不是管理年度的单据，年报里看不到",IF(AND($F1932="内部转账",$Q1932=""),"△内部转账建议在「往来单位」写上对方账户",IF($M1932&lt;0,"△这一笔之后该账户余额成负数了，核一下","")))))))))))</f>
        <v/>
      </c>
    </row>
    <row r="1933" ht="16.5" spans="1:19">
      <c r="A1933" s="45"/>
      <c r="B1933" s="46"/>
      <c r="C1933" s="12" t="str">
        <f>IF($B1933="","",IFERROR(INDEX(账户银行,MATCH($B1933,账户名,0)),""))</f>
        <v/>
      </c>
      <c r="D1933" s="12" t="str">
        <f>IF($B1933="","",IFERROR(INDEX(账户币种,MATCH($B1933,账户名,0)),""))</f>
        <v/>
      </c>
      <c r="E1933" s="47"/>
      <c r="F1933" s="12" t="str">
        <f>IF($E1933="","",IFERROR(INDEX(类别属性,MATCH($E1933,类别表,0)),""))</f>
        <v/>
      </c>
      <c r="G1933" s="48"/>
      <c r="H1933" s="48"/>
      <c r="I1933" s="49"/>
      <c r="J1933" s="24" t="str">
        <f>IF(OR($A1933="",$B1933=""),"",IF($I1933&lt;&gt;"",$I1933,IF($D1933=本位币,1,IFERROR(LOOKUP(2,1/((汇率月份&lt;=$A1933)*(INDEX(记账汇率区,0,MATCH($D1933,汇率币种头,0))&lt;&gt;"")),INDEX(记账汇率区,0,MATCH($D1933,汇率币种头,0))),""))))</f>
        <v/>
      </c>
      <c r="K1933" s="23" t="str">
        <f t="shared" si="60"/>
        <v/>
      </c>
      <c r="L1933" s="23" t="str">
        <f t="shared" si="61"/>
        <v/>
      </c>
      <c r="M1933" s="23" t="str">
        <f>IF($B1933="","",ROUND(SUMIF(账户名,$B1933,账户期初)+SUMIFS($K$6:K1933,$B$6:B1933,$B1933),2))</f>
        <v/>
      </c>
      <c r="N1933" s="23" t="str">
        <f>IF($B1933="","",IFERROR(ROUND(INDEX(账户期初本位,MATCH($B1933,账户名,0))+SUMIFS($L$6:L1933,$B$6:B1933,$B1933),2),""))</f>
        <v/>
      </c>
      <c r="O1933" s="46"/>
      <c r="P1933" s="47"/>
      <c r="Q1933" s="46"/>
      <c r="R1933" s="46"/>
      <c r="S1933" s="6" t="str">
        <f>IF($B1933="","",IF(ISNA(MATCH($B1933,账户名,0)),"※这个账户不在【参数设置】的账户档案里",IF($A1933="","※没填日期，这一笔不会进任何月份的报表",IF(AND($G1933&lt;&gt;"",$H1933&lt;&gt;""),"※收入和支出不能同时填",IF(AND(N($G1933)=0,N($H1933)=0),"※收入和支出都没填",IF($E1933="","※没填收支类别，分类报表会漏掉这一笔",IF(ISNA(MATCH($E1933,类别表,0)),"※收支类别不在【参数设置】的清单里",IF($J1933="","△"&amp;$D1933&amp;" 还没填汇率，去【月度汇率】补上就自动算了",IF(YEAR($A1933)&lt;&gt;管理年度,"△不是管理年度的单据，年报里看不到",IF(AND($F1933="内部转账",$Q1933=""),"△内部转账建议在「往来单位」写上对方账户",IF($M1933&lt;0,"△这一笔之后该账户余额成负数了，核一下","")))))))))))</f>
        <v/>
      </c>
    </row>
    <row r="1934" ht="16.5" spans="1:19">
      <c r="A1934" s="45"/>
      <c r="B1934" s="46"/>
      <c r="C1934" s="12" t="str">
        <f>IF($B1934="","",IFERROR(INDEX(账户银行,MATCH($B1934,账户名,0)),""))</f>
        <v/>
      </c>
      <c r="D1934" s="12" t="str">
        <f>IF($B1934="","",IFERROR(INDEX(账户币种,MATCH($B1934,账户名,0)),""))</f>
        <v/>
      </c>
      <c r="E1934" s="47"/>
      <c r="F1934" s="12" t="str">
        <f>IF($E1934="","",IFERROR(INDEX(类别属性,MATCH($E1934,类别表,0)),""))</f>
        <v/>
      </c>
      <c r="G1934" s="48"/>
      <c r="H1934" s="48"/>
      <c r="I1934" s="49"/>
      <c r="J1934" s="24" t="str">
        <f>IF(OR($A1934="",$B1934=""),"",IF($I1934&lt;&gt;"",$I1934,IF($D1934=本位币,1,IFERROR(LOOKUP(2,1/((汇率月份&lt;=$A1934)*(INDEX(记账汇率区,0,MATCH($D1934,汇率币种头,0))&lt;&gt;"")),INDEX(记账汇率区,0,MATCH($D1934,汇率币种头,0))),""))))</f>
        <v/>
      </c>
      <c r="K1934" s="23" t="str">
        <f t="shared" si="60"/>
        <v/>
      </c>
      <c r="L1934" s="23" t="str">
        <f t="shared" si="61"/>
        <v/>
      </c>
      <c r="M1934" s="23" t="str">
        <f>IF($B1934="","",ROUND(SUMIF(账户名,$B1934,账户期初)+SUMIFS($K$6:K1934,$B$6:B1934,$B1934),2))</f>
        <v/>
      </c>
      <c r="N1934" s="23" t="str">
        <f>IF($B1934="","",IFERROR(ROUND(INDEX(账户期初本位,MATCH($B1934,账户名,0))+SUMIFS($L$6:L1934,$B$6:B1934,$B1934),2),""))</f>
        <v/>
      </c>
      <c r="O1934" s="46"/>
      <c r="P1934" s="47"/>
      <c r="Q1934" s="46"/>
      <c r="R1934" s="46"/>
      <c r="S1934" s="6" t="str">
        <f>IF($B1934="","",IF(ISNA(MATCH($B1934,账户名,0)),"※这个账户不在【参数设置】的账户档案里",IF($A1934="","※没填日期，这一笔不会进任何月份的报表",IF(AND($G1934&lt;&gt;"",$H1934&lt;&gt;""),"※收入和支出不能同时填",IF(AND(N($G1934)=0,N($H1934)=0),"※收入和支出都没填",IF($E1934="","※没填收支类别，分类报表会漏掉这一笔",IF(ISNA(MATCH($E1934,类别表,0)),"※收支类别不在【参数设置】的清单里",IF($J1934="","△"&amp;$D1934&amp;" 还没填汇率，去【月度汇率】补上就自动算了",IF(YEAR($A1934)&lt;&gt;管理年度,"△不是管理年度的单据，年报里看不到",IF(AND($F1934="内部转账",$Q1934=""),"△内部转账建议在「往来单位」写上对方账户",IF($M1934&lt;0,"△这一笔之后该账户余额成负数了，核一下","")))))))))))</f>
        <v/>
      </c>
    </row>
    <row r="1935" ht="16.5" spans="1:19">
      <c r="A1935" s="45"/>
      <c r="B1935" s="46"/>
      <c r="C1935" s="12" t="str">
        <f>IF($B1935="","",IFERROR(INDEX(账户银行,MATCH($B1935,账户名,0)),""))</f>
        <v/>
      </c>
      <c r="D1935" s="12" t="str">
        <f>IF($B1935="","",IFERROR(INDEX(账户币种,MATCH($B1935,账户名,0)),""))</f>
        <v/>
      </c>
      <c r="E1935" s="47"/>
      <c r="F1935" s="12" t="str">
        <f>IF($E1935="","",IFERROR(INDEX(类别属性,MATCH($E1935,类别表,0)),""))</f>
        <v/>
      </c>
      <c r="G1935" s="48"/>
      <c r="H1935" s="48"/>
      <c r="I1935" s="49"/>
      <c r="J1935" s="24" t="str">
        <f>IF(OR($A1935="",$B1935=""),"",IF($I1935&lt;&gt;"",$I1935,IF($D1935=本位币,1,IFERROR(LOOKUP(2,1/((汇率月份&lt;=$A1935)*(INDEX(记账汇率区,0,MATCH($D1935,汇率币种头,0))&lt;&gt;"")),INDEX(记账汇率区,0,MATCH($D1935,汇率币种头,0))),""))))</f>
        <v/>
      </c>
      <c r="K1935" s="23" t="str">
        <f t="shared" si="60"/>
        <v/>
      </c>
      <c r="L1935" s="23" t="str">
        <f t="shared" si="61"/>
        <v/>
      </c>
      <c r="M1935" s="23" t="str">
        <f>IF($B1935="","",ROUND(SUMIF(账户名,$B1935,账户期初)+SUMIFS($K$6:K1935,$B$6:B1935,$B1935),2))</f>
        <v/>
      </c>
      <c r="N1935" s="23" t="str">
        <f>IF($B1935="","",IFERROR(ROUND(INDEX(账户期初本位,MATCH($B1935,账户名,0))+SUMIFS($L$6:L1935,$B$6:B1935,$B1935),2),""))</f>
        <v/>
      </c>
      <c r="O1935" s="46"/>
      <c r="P1935" s="47"/>
      <c r="Q1935" s="46"/>
      <c r="R1935" s="46"/>
      <c r="S1935" s="6" t="str">
        <f>IF($B1935="","",IF(ISNA(MATCH($B1935,账户名,0)),"※这个账户不在【参数设置】的账户档案里",IF($A1935="","※没填日期，这一笔不会进任何月份的报表",IF(AND($G1935&lt;&gt;"",$H1935&lt;&gt;""),"※收入和支出不能同时填",IF(AND(N($G1935)=0,N($H1935)=0),"※收入和支出都没填",IF($E1935="","※没填收支类别，分类报表会漏掉这一笔",IF(ISNA(MATCH($E1935,类别表,0)),"※收支类别不在【参数设置】的清单里",IF($J1935="","△"&amp;$D1935&amp;" 还没填汇率，去【月度汇率】补上就自动算了",IF(YEAR($A1935)&lt;&gt;管理年度,"△不是管理年度的单据，年报里看不到",IF(AND($F1935="内部转账",$Q1935=""),"△内部转账建议在「往来单位」写上对方账户",IF($M1935&lt;0,"△这一笔之后该账户余额成负数了，核一下","")))))))))))</f>
        <v/>
      </c>
    </row>
    <row r="1936" ht="16.5" spans="1:19">
      <c r="A1936" s="45"/>
      <c r="B1936" s="46"/>
      <c r="C1936" s="12" t="str">
        <f>IF($B1936="","",IFERROR(INDEX(账户银行,MATCH($B1936,账户名,0)),""))</f>
        <v/>
      </c>
      <c r="D1936" s="12" t="str">
        <f>IF($B1936="","",IFERROR(INDEX(账户币种,MATCH($B1936,账户名,0)),""))</f>
        <v/>
      </c>
      <c r="E1936" s="47"/>
      <c r="F1936" s="12" t="str">
        <f>IF($E1936="","",IFERROR(INDEX(类别属性,MATCH($E1936,类别表,0)),""))</f>
        <v/>
      </c>
      <c r="G1936" s="48"/>
      <c r="H1936" s="48"/>
      <c r="I1936" s="49"/>
      <c r="J1936" s="24" t="str">
        <f>IF(OR($A1936="",$B1936=""),"",IF($I1936&lt;&gt;"",$I1936,IF($D1936=本位币,1,IFERROR(LOOKUP(2,1/((汇率月份&lt;=$A1936)*(INDEX(记账汇率区,0,MATCH($D1936,汇率币种头,0))&lt;&gt;"")),INDEX(记账汇率区,0,MATCH($D1936,汇率币种头,0))),""))))</f>
        <v/>
      </c>
      <c r="K1936" s="23" t="str">
        <f t="shared" si="60"/>
        <v/>
      </c>
      <c r="L1936" s="23" t="str">
        <f t="shared" si="61"/>
        <v/>
      </c>
      <c r="M1936" s="23" t="str">
        <f>IF($B1936="","",ROUND(SUMIF(账户名,$B1936,账户期初)+SUMIFS($K$6:K1936,$B$6:B1936,$B1936),2))</f>
        <v/>
      </c>
      <c r="N1936" s="23" t="str">
        <f>IF($B1936="","",IFERROR(ROUND(INDEX(账户期初本位,MATCH($B1936,账户名,0))+SUMIFS($L$6:L1936,$B$6:B1936,$B1936),2),""))</f>
        <v/>
      </c>
      <c r="O1936" s="46"/>
      <c r="P1936" s="47"/>
      <c r="Q1936" s="46"/>
      <c r="R1936" s="46"/>
      <c r="S1936" s="6" t="str">
        <f>IF($B1936="","",IF(ISNA(MATCH($B1936,账户名,0)),"※这个账户不在【参数设置】的账户档案里",IF($A1936="","※没填日期，这一笔不会进任何月份的报表",IF(AND($G1936&lt;&gt;"",$H1936&lt;&gt;""),"※收入和支出不能同时填",IF(AND(N($G1936)=0,N($H1936)=0),"※收入和支出都没填",IF($E1936="","※没填收支类别，分类报表会漏掉这一笔",IF(ISNA(MATCH($E1936,类别表,0)),"※收支类别不在【参数设置】的清单里",IF($J1936="","△"&amp;$D1936&amp;" 还没填汇率，去【月度汇率】补上就自动算了",IF(YEAR($A1936)&lt;&gt;管理年度,"△不是管理年度的单据，年报里看不到",IF(AND($F1936="内部转账",$Q1936=""),"△内部转账建议在「往来单位」写上对方账户",IF($M1936&lt;0,"△这一笔之后该账户余额成负数了，核一下","")))))))))))</f>
        <v/>
      </c>
    </row>
    <row r="1937" ht="16.5" spans="1:19">
      <c r="A1937" s="45"/>
      <c r="B1937" s="46"/>
      <c r="C1937" s="12" t="str">
        <f>IF($B1937="","",IFERROR(INDEX(账户银行,MATCH($B1937,账户名,0)),""))</f>
        <v/>
      </c>
      <c r="D1937" s="12" t="str">
        <f>IF($B1937="","",IFERROR(INDEX(账户币种,MATCH($B1937,账户名,0)),""))</f>
        <v/>
      </c>
      <c r="E1937" s="47"/>
      <c r="F1937" s="12" t="str">
        <f>IF($E1937="","",IFERROR(INDEX(类别属性,MATCH($E1937,类别表,0)),""))</f>
        <v/>
      </c>
      <c r="G1937" s="48"/>
      <c r="H1937" s="48"/>
      <c r="I1937" s="49"/>
      <c r="J1937" s="24" t="str">
        <f>IF(OR($A1937="",$B1937=""),"",IF($I1937&lt;&gt;"",$I1937,IF($D1937=本位币,1,IFERROR(LOOKUP(2,1/((汇率月份&lt;=$A1937)*(INDEX(记账汇率区,0,MATCH($D1937,汇率币种头,0))&lt;&gt;"")),INDEX(记账汇率区,0,MATCH($D1937,汇率币种头,0))),""))))</f>
        <v/>
      </c>
      <c r="K1937" s="23" t="str">
        <f t="shared" si="60"/>
        <v/>
      </c>
      <c r="L1937" s="23" t="str">
        <f t="shared" si="61"/>
        <v/>
      </c>
      <c r="M1937" s="23" t="str">
        <f>IF($B1937="","",ROUND(SUMIF(账户名,$B1937,账户期初)+SUMIFS($K$6:K1937,$B$6:B1937,$B1937),2))</f>
        <v/>
      </c>
      <c r="N1937" s="23" t="str">
        <f>IF($B1937="","",IFERROR(ROUND(INDEX(账户期初本位,MATCH($B1937,账户名,0))+SUMIFS($L$6:L1937,$B$6:B1937,$B1937),2),""))</f>
        <v/>
      </c>
      <c r="O1937" s="46"/>
      <c r="P1937" s="47"/>
      <c r="Q1937" s="46"/>
      <c r="R1937" s="46"/>
      <c r="S1937" s="6" t="str">
        <f>IF($B1937="","",IF(ISNA(MATCH($B1937,账户名,0)),"※这个账户不在【参数设置】的账户档案里",IF($A1937="","※没填日期，这一笔不会进任何月份的报表",IF(AND($G1937&lt;&gt;"",$H1937&lt;&gt;""),"※收入和支出不能同时填",IF(AND(N($G1937)=0,N($H1937)=0),"※收入和支出都没填",IF($E1937="","※没填收支类别，分类报表会漏掉这一笔",IF(ISNA(MATCH($E1937,类别表,0)),"※收支类别不在【参数设置】的清单里",IF($J1937="","△"&amp;$D1937&amp;" 还没填汇率，去【月度汇率】补上就自动算了",IF(YEAR($A1937)&lt;&gt;管理年度,"△不是管理年度的单据，年报里看不到",IF(AND($F1937="内部转账",$Q1937=""),"△内部转账建议在「往来单位」写上对方账户",IF($M1937&lt;0,"△这一笔之后该账户余额成负数了，核一下","")))))))))))</f>
        <v/>
      </c>
    </row>
    <row r="1938" ht="16.5" spans="1:19">
      <c r="A1938" s="45"/>
      <c r="B1938" s="46"/>
      <c r="C1938" s="12" t="str">
        <f>IF($B1938="","",IFERROR(INDEX(账户银行,MATCH($B1938,账户名,0)),""))</f>
        <v/>
      </c>
      <c r="D1938" s="12" t="str">
        <f>IF($B1938="","",IFERROR(INDEX(账户币种,MATCH($B1938,账户名,0)),""))</f>
        <v/>
      </c>
      <c r="E1938" s="47"/>
      <c r="F1938" s="12" t="str">
        <f>IF($E1938="","",IFERROR(INDEX(类别属性,MATCH($E1938,类别表,0)),""))</f>
        <v/>
      </c>
      <c r="G1938" s="48"/>
      <c r="H1938" s="48"/>
      <c r="I1938" s="49"/>
      <c r="J1938" s="24" t="str">
        <f>IF(OR($A1938="",$B1938=""),"",IF($I1938&lt;&gt;"",$I1938,IF($D1938=本位币,1,IFERROR(LOOKUP(2,1/((汇率月份&lt;=$A1938)*(INDEX(记账汇率区,0,MATCH($D1938,汇率币种头,0))&lt;&gt;"")),INDEX(记账汇率区,0,MATCH($D1938,汇率币种头,0))),""))))</f>
        <v/>
      </c>
      <c r="K1938" s="23" t="str">
        <f t="shared" si="60"/>
        <v/>
      </c>
      <c r="L1938" s="23" t="str">
        <f t="shared" si="61"/>
        <v/>
      </c>
      <c r="M1938" s="23" t="str">
        <f>IF($B1938="","",ROUND(SUMIF(账户名,$B1938,账户期初)+SUMIFS($K$6:K1938,$B$6:B1938,$B1938),2))</f>
        <v/>
      </c>
      <c r="N1938" s="23" t="str">
        <f>IF($B1938="","",IFERROR(ROUND(INDEX(账户期初本位,MATCH($B1938,账户名,0))+SUMIFS($L$6:L1938,$B$6:B1938,$B1938),2),""))</f>
        <v/>
      </c>
      <c r="O1938" s="46"/>
      <c r="P1938" s="47"/>
      <c r="Q1938" s="46"/>
      <c r="R1938" s="46"/>
      <c r="S1938" s="6" t="str">
        <f>IF($B1938="","",IF(ISNA(MATCH($B1938,账户名,0)),"※这个账户不在【参数设置】的账户档案里",IF($A1938="","※没填日期，这一笔不会进任何月份的报表",IF(AND($G1938&lt;&gt;"",$H1938&lt;&gt;""),"※收入和支出不能同时填",IF(AND(N($G1938)=0,N($H1938)=0),"※收入和支出都没填",IF($E1938="","※没填收支类别，分类报表会漏掉这一笔",IF(ISNA(MATCH($E1938,类别表,0)),"※收支类别不在【参数设置】的清单里",IF($J1938="","△"&amp;$D1938&amp;" 还没填汇率，去【月度汇率】补上就自动算了",IF(YEAR($A1938)&lt;&gt;管理年度,"△不是管理年度的单据，年报里看不到",IF(AND($F1938="内部转账",$Q1938=""),"△内部转账建议在「往来单位」写上对方账户",IF($M1938&lt;0,"△这一笔之后该账户余额成负数了，核一下","")))))))))))</f>
        <v/>
      </c>
    </row>
    <row r="1939" ht="16.5" spans="1:19">
      <c r="A1939" s="45"/>
      <c r="B1939" s="46"/>
      <c r="C1939" s="12" t="str">
        <f>IF($B1939="","",IFERROR(INDEX(账户银行,MATCH($B1939,账户名,0)),""))</f>
        <v/>
      </c>
      <c r="D1939" s="12" t="str">
        <f>IF($B1939="","",IFERROR(INDEX(账户币种,MATCH($B1939,账户名,0)),""))</f>
        <v/>
      </c>
      <c r="E1939" s="47"/>
      <c r="F1939" s="12" t="str">
        <f>IF($E1939="","",IFERROR(INDEX(类别属性,MATCH($E1939,类别表,0)),""))</f>
        <v/>
      </c>
      <c r="G1939" s="48"/>
      <c r="H1939" s="48"/>
      <c r="I1939" s="49"/>
      <c r="J1939" s="24" t="str">
        <f>IF(OR($A1939="",$B1939=""),"",IF($I1939&lt;&gt;"",$I1939,IF($D1939=本位币,1,IFERROR(LOOKUP(2,1/((汇率月份&lt;=$A1939)*(INDEX(记账汇率区,0,MATCH($D1939,汇率币种头,0))&lt;&gt;"")),INDEX(记账汇率区,0,MATCH($D1939,汇率币种头,0))),""))))</f>
        <v/>
      </c>
      <c r="K1939" s="23" t="str">
        <f t="shared" si="60"/>
        <v/>
      </c>
      <c r="L1939" s="23" t="str">
        <f t="shared" si="61"/>
        <v/>
      </c>
      <c r="M1939" s="23" t="str">
        <f>IF($B1939="","",ROUND(SUMIF(账户名,$B1939,账户期初)+SUMIFS($K$6:K1939,$B$6:B1939,$B1939),2))</f>
        <v/>
      </c>
      <c r="N1939" s="23" t="str">
        <f>IF($B1939="","",IFERROR(ROUND(INDEX(账户期初本位,MATCH($B1939,账户名,0))+SUMIFS($L$6:L1939,$B$6:B1939,$B1939),2),""))</f>
        <v/>
      </c>
      <c r="O1939" s="46"/>
      <c r="P1939" s="47"/>
      <c r="Q1939" s="46"/>
      <c r="R1939" s="46"/>
      <c r="S1939" s="6" t="str">
        <f>IF($B1939="","",IF(ISNA(MATCH($B1939,账户名,0)),"※这个账户不在【参数设置】的账户档案里",IF($A1939="","※没填日期，这一笔不会进任何月份的报表",IF(AND($G1939&lt;&gt;"",$H1939&lt;&gt;""),"※收入和支出不能同时填",IF(AND(N($G1939)=0,N($H1939)=0),"※收入和支出都没填",IF($E1939="","※没填收支类别，分类报表会漏掉这一笔",IF(ISNA(MATCH($E1939,类别表,0)),"※收支类别不在【参数设置】的清单里",IF($J1939="","△"&amp;$D1939&amp;" 还没填汇率，去【月度汇率】补上就自动算了",IF(YEAR($A1939)&lt;&gt;管理年度,"△不是管理年度的单据，年报里看不到",IF(AND($F1939="内部转账",$Q1939=""),"△内部转账建议在「往来单位」写上对方账户",IF($M1939&lt;0,"△这一笔之后该账户余额成负数了，核一下","")))))))))))</f>
        <v/>
      </c>
    </row>
    <row r="1940" ht="16.5" spans="1:19">
      <c r="A1940" s="45"/>
      <c r="B1940" s="46"/>
      <c r="C1940" s="12" t="str">
        <f>IF($B1940="","",IFERROR(INDEX(账户银行,MATCH($B1940,账户名,0)),""))</f>
        <v/>
      </c>
      <c r="D1940" s="12" t="str">
        <f>IF($B1940="","",IFERROR(INDEX(账户币种,MATCH($B1940,账户名,0)),""))</f>
        <v/>
      </c>
      <c r="E1940" s="47"/>
      <c r="F1940" s="12" t="str">
        <f>IF($E1940="","",IFERROR(INDEX(类别属性,MATCH($E1940,类别表,0)),""))</f>
        <v/>
      </c>
      <c r="G1940" s="48"/>
      <c r="H1940" s="48"/>
      <c r="I1940" s="49"/>
      <c r="J1940" s="24" t="str">
        <f>IF(OR($A1940="",$B1940=""),"",IF($I1940&lt;&gt;"",$I1940,IF($D1940=本位币,1,IFERROR(LOOKUP(2,1/((汇率月份&lt;=$A1940)*(INDEX(记账汇率区,0,MATCH($D1940,汇率币种头,0))&lt;&gt;"")),INDEX(记账汇率区,0,MATCH($D1940,汇率币种头,0))),""))))</f>
        <v/>
      </c>
      <c r="K1940" s="23" t="str">
        <f t="shared" si="60"/>
        <v/>
      </c>
      <c r="L1940" s="23" t="str">
        <f t="shared" si="61"/>
        <v/>
      </c>
      <c r="M1940" s="23" t="str">
        <f>IF($B1940="","",ROUND(SUMIF(账户名,$B1940,账户期初)+SUMIFS($K$6:K1940,$B$6:B1940,$B1940),2))</f>
        <v/>
      </c>
      <c r="N1940" s="23" t="str">
        <f>IF($B1940="","",IFERROR(ROUND(INDEX(账户期初本位,MATCH($B1940,账户名,0))+SUMIFS($L$6:L1940,$B$6:B1940,$B1940),2),""))</f>
        <v/>
      </c>
      <c r="O1940" s="46"/>
      <c r="P1940" s="47"/>
      <c r="Q1940" s="46"/>
      <c r="R1940" s="46"/>
      <c r="S1940" s="6" t="str">
        <f>IF($B1940="","",IF(ISNA(MATCH($B1940,账户名,0)),"※这个账户不在【参数设置】的账户档案里",IF($A1940="","※没填日期，这一笔不会进任何月份的报表",IF(AND($G1940&lt;&gt;"",$H1940&lt;&gt;""),"※收入和支出不能同时填",IF(AND(N($G1940)=0,N($H1940)=0),"※收入和支出都没填",IF($E1940="","※没填收支类别，分类报表会漏掉这一笔",IF(ISNA(MATCH($E1940,类别表,0)),"※收支类别不在【参数设置】的清单里",IF($J1940="","△"&amp;$D1940&amp;" 还没填汇率，去【月度汇率】补上就自动算了",IF(YEAR($A1940)&lt;&gt;管理年度,"△不是管理年度的单据，年报里看不到",IF(AND($F1940="内部转账",$Q1940=""),"△内部转账建议在「往来单位」写上对方账户",IF($M1940&lt;0,"△这一笔之后该账户余额成负数了，核一下","")))))))))))</f>
        <v/>
      </c>
    </row>
    <row r="1941" ht="16.5" spans="1:19">
      <c r="A1941" s="45"/>
      <c r="B1941" s="46"/>
      <c r="C1941" s="12" t="str">
        <f>IF($B1941="","",IFERROR(INDEX(账户银行,MATCH($B1941,账户名,0)),""))</f>
        <v/>
      </c>
      <c r="D1941" s="12" t="str">
        <f>IF($B1941="","",IFERROR(INDEX(账户币种,MATCH($B1941,账户名,0)),""))</f>
        <v/>
      </c>
      <c r="E1941" s="47"/>
      <c r="F1941" s="12" t="str">
        <f>IF($E1941="","",IFERROR(INDEX(类别属性,MATCH($E1941,类别表,0)),""))</f>
        <v/>
      </c>
      <c r="G1941" s="48"/>
      <c r="H1941" s="48"/>
      <c r="I1941" s="49"/>
      <c r="J1941" s="24" t="str">
        <f>IF(OR($A1941="",$B1941=""),"",IF($I1941&lt;&gt;"",$I1941,IF($D1941=本位币,1,IFERROR(LOOKUP(2,1/((汇率月份&lt;=$A1941)*(INDEX(记账汇率区,0,MATCH($D1941,汇率币种头,0))&lt;&gt;"")),INDEX(记账汇率区,0,MATCH($D1941,汇率币种头,0))),""))))</f>
        <v/>
      </c>
      <c r="K1941" s="23" t="str">
        <f t="shared" si="60"/>
        <v/>
      </c>
      <c r="L1941" s="23" t="str">
        <f t="shared" si="61"/>
        <v/>
      </c>
      <c r="M1941" s="23" t="str">
        <f>IF($B1941="","",ROUND(SUMIF(账户名,$B1941,账户期初)+SUMIFS($K$6:K1941,$B$6:B1941,$B1941),2))</f>
        <v/>
      </c>
      <c r="N1941" s="23" t="str">
        <f>IF($B1941="","",IFERROR(ROUND(INDEX(账户期初本位,MATCH($B1941,账户名,0))+SUMIFS($L$6:L1941,$B$6:B1941,$B1941),2),""))</f>
        <v/>
      </c>
      <c r="O1941" s="46"/>
      <c r="P1941" s="47"/>
      <c r="Q1941" s="46"/>
      <c r="R1941" s="46"/>
      <c r="S1941" s="6" t="str">
        <f>IF($B1941="","",IF(ISNA(MATCH($B1941,账户名,0)),"※这个账户不在【参数设置】的账户档案里",IF($A1941="","※没填日期，这一笔不会进任何月份的报表",IF(AND($G1941&lt;&gt;"",$H1941&lt;&gt;""),"※收入和支出不能同时填",IF(AND(N($G1941)=0,N($H1941)=0),"※收入和支出都没填",IF($E1941="","※没填收支类别，分类报表会漏掉这一笔",IF(ISNA(MATCH($E1941,类别表,0)),"※收支类别不在【参数设置】的清单里",IF($J1941="","△"&amp;$D1941&amp;" 还没填汇率，去【月度汇率】补上就自动算了",IF(YEAR($A1941)&lt;&gt;管理年度,"△不是管理年度的单据，年报里看不到",IF(AND($F1941="内部转账",$Q1941=""),"△内部转账建议在「往来单位」写上对方账户",IF($M1941&lt;0,"△这一笔之后该账户余额成负数了，核一下","")))))))))))</f>
        <v/>
      </c>
    </row>
    <row r="1942" ht="16.5" spans="1:19">
      <c r="A1942" s="45"/>
      <c r="B1942" s="46"/>
      <c r="C1942" s="12" t="str">
        <f>IF($B1942="","",IFERROR(INDEX(账户银行,MATCH($B1942,账户名,0)),""))</f>
        <v/>
      </c>
      <c r="D1942" s="12" t="str">
        <f>IF($B1942="","",IFERROR(INDEX(账户币种,MATCH($B1942,账户名,0)),""))</f>
        <v/>
      </c>
      <c r="E1942" s="47"/>
      <c r="F1942" s="12" t="str">
        <f>IF($E1942="","",IFERROR(INDEX(类别属性,MATCH($E1942,类别表,0)),""))</f>
        <v/>
      </c>
      <c r="G1942" s="48"/>
      <c r="H1942" s="48"/>
      <c r="I1942" s="49"/>
      <c r="J1942" s="24" t="str">
        <f>IF(OR($A1942="",$B1942=""),"",IF($I1942&lt;&gt;"",$I1942,IF($D1942=本位币,1,IFERROR(LOOKUP(2,1/((汇率月份&lt;=$A1942)*(INDEX(记账汇率区,0,MATCH($D1942,汇率币种头,0))&lt;&gt;"")),INDEX(记账汇率区,0,MATCH($D1942,汇率币种头,0))),""))))</f>
        <v/>
      </c>
      <c r="K1942" s="23" t="str">
        <f t="shared" si="60"/>
        <v/>
      </c>
      <c r="L1942" s="23" t="str">
        <f t="shared" si="61"/>
        <v/>
      </c>
      <c r="M1942" s="23" t="str">
        <f>IF($B1942="","",ROUND(SUMIF(账户名,$B1942,账户期初)+SUMIFS($K$6:K1942,$B$6:B1942,$B1942),2))</f>
        <v/>
      </c>
      <c r="N1942" s="23" t="str">
        <f>IF($B1942="","",IFERROR(ROUND(INDEX(账户期初本位,MATCH($B1942,账户名,0))+SUMIFS($L$6:L1942,$B$6:B1942,$B1942),2),""))</f>
        <v/>
      </c>
      <c r="O1942" s="46"/>
      <c r="P1942" s="47"/>
      <c r="Q1942" s="46"/>
      <c r="R1942" s="46"/>
      <c r="S1942" s="6" t="str">
        <f>IF($B1942="","",IF(ISNA(MATCH($B1942,账户名,0)),"※这个账户不在【参数设置】的账户档案里",IF($A1942="","※没填日期，这一笔不会进任何月份的报表",IF(AND($G1942&lt;&gt;"",$H1942&lt;&gt;""),"※收入和支出不能同时填",IF(AND(N($G1942)=0,N($H1942)=0),"※收入和支出都没填",IF($E1942="","※没填收支类别，分类报表会漏掉这一笔",IF(ISNA(MATCH($E1942,类别表,0)),"※收支类别不在【参数设置】的清单里",IF($J1942="","△"&amp;$D1942&amp;" 还没填汇率，去【月度汇率】补上就自动算了",IF(YEAR($A1942)&lt;&gt;管理年度,"△不是管理年度的单据，年报里看不到",IF(AND($F1942="内部转账",$Q1942=""),"△内部转账建议在「往来单位」写上对方账户",IF($M1942&lt;0,"△这一笔之后该账户余额成负数了，核一下","")))))))))))</f>
        <v/>
      </c>
    </row>
    <row r="1943" ht="16.5" spans="1:19">
      <c r="A1943" s="45"/>
      <c r="B1943" s="46"/>
      <c r="C1943" s="12" t="str">
        <f>IF($B1943="","",IFERROR(INDEX(账户银行,MATCH($B1943,账户名,0)),""))</f>
        <v/>
      </c>
      <c r="D1943" s="12" t="str">
        <f>IF($B1943="","",IFERROR(INDEX(账户币种,MATCH($B1943,账户名,0)),""))</f>
        <v/>
      </c>
      <c r="E1943" s="47"/>
      <c r="F1943" s="12" t="str">
        <f>IF($E1943="","",IFERROR(INDEX(类别属性,MATCH($E1943,类别表,0)),""))</f>
        <v/>
      </c>
      <c r="G1943" s="48"/>
      <c r="H1943" s="48"/>
      <c r="I1943" s="49"/>
      <c r="J1943" s="24" t="str">
        <f>IF(OR($A1943="",$B1943=""),"",IF($I1943&lt;&gt;"",$I1943,IF($D1943=本位币,1,IFERROR(LOOKUP(2,1/((汇率月份&lt;=$A1943)*(INDEX(记账汇率区,0,MATCH($D1943,汇率币种头,0))&lt;&gt;"")),INDEX(记账汇率区,0,MATCH($D1943,汇率币种头,0))),""))))</f>
        <v/>
      </c>
      <c r="K1943" s="23" t="str">
        <f t="shared" si="60"/>
        <v/>
      </c>
      <c r="L1943" s="23" t="str">
        <f t="shared" si="61"/>
        <v/>
      </c>
      <c r="M1943" s="23" t="str">
        <f>IF($B1943="","",ROUND(SUMIF(账户名,$B1943,账户期初)+SUMIFS($K$6:K1943,$B$6:B1943,$B1943),2))</f>
        <v/>
      </c>
      <c r="N1943" s="23" t="str">
        <f>IF($B1943="","",IFERROR(ROUND(INDEX(账户期初本位,MATCH($B1943,账户名,0))+SUMIFS($L$6:L1943,$B$6:B1943,$B1943),2),""))</f>
        <v/>
      </c>
      <c r="O1943" s="46"/>
      <c r="P1943" s="47"/>
      <c r="Q1943" s="46"/>
      <c r="R1943" s="46"/>
      <c r="S1943" s="6" t="str">
        <f>IF($B1943="","",IF(ISNA(MATCH($B1943,账户名,0)),"※这个账户不在【参数设置】的账户档案里",IF($A1943="","※没填日期，这一笔不会进任何月份的报表",IF(AND($G1943&lt;&gt;"",$H1943&lt;&gt;""),"※收入和支出不能同时填",IF(AND(N($G1943)=0,N($H1943)=0),"※收入和支出都没填",IF($E1943="","※没填收支类别，分类报表会漏掉这一笔",IF(ISNA(MATCH($E1943,类别表,0)),"※收支类别不在【参数设置】的清单里",IF($J1943="","△"&amp;$D1943&amp;" 还没填汇率，去【月度汇率】补上就自动算了",IF(YEAR($A1943)&lt;&gt;管理年度,"△不是管理年度的单据，年报里看不到",IF(AND($F1943="内部转账",$Q1943=""),"△内部转账建议在「往来单位」写上对方账户",IF($M1943&lt;0,"△这一笔之后该账户余额成负数了，核一下","")))))))))))</f>
        <v/>
      </c>
    </row>
    <row r="1944" ht="16.5" spans="1:19">
      <c r="A1944" s="45"/>
      <c r="B1944" s="46"/>
      <c r="C1944" s="12" t="str">
        <f>IF($B1944="","",IFERROR(INDEX(账户银行,MATCH($B1944,账户名,0)),""))</f>
        <v/>
      </c>
      <c r="D1944" s="12" t="str">
        <f>IF($B1944="","",IFERROR(INDEX(账户币种,MATCH($B1944,账户名,0)),""))</f>
        <v/>
      </c>
      <c r="E1944" s="47"/>
      <c r="F1944" s="12" t="str">
        <f>IF($E1944="","",IFERROR(INDEX(类别属性,MATCH($E1944,类别表,0)),""))</f>
        <v/>
      </c>
      <c r="G1944" s="48"/>
      <c r="H1944" s="48"/>
      <c r="I1944" s="49"/>
      <c r="J1944" s="24" t="str">
        <f>IF(OR($A1944="",$B1944=""),"",IF($I1944&lt;&gt;"",$I1944,IF($D1944=本位币,1,IFERROR(LOOKUP(2,1/((汇率月份&lt;=$A1944)*(INDEX(记账汇率区,0,MATCH($D1944,汇率币种头,0))&lt;&gt;"")),INDEX(记账汇率区,0,MATCH($D1944,汇率币种头,0))),""))))</f>
        <v/>
      </c>
      <c r="K1944" s="23" t="str">
        <f t="shared" si="60"/>
        <v/>
      </c>
      <c r="L1944" s="23" t="str">
        <f t="shared" si="61"/>
        <v/>
      </c>
      <c r="M1944" s="23" t="str">
        <f>IF($B1944="","",ROUND(SUMIF(账户名,$B1944,账户期初)+SUMIFS($K$6:K1944,$B$6:B1944,$B1944),2))</f>
        <v/>
      </c>
      <c r="N1944" s="23" t="str">
        <f>IF($B1944="","",IFERROR(ROUND(INDEX(账户期初本位,MATCH($B1944,账户名,0))+SUMIFS($L$6:L1944,$B$6:B1944,$B1944),2),""))</f>
        <v/>
      </c>
      <c r="O1944" s="46"/>
      <c r="P1944" s="47"/>
      <c r="Q1944" s="46"/>
      <c r="R1944" s="46"/>
      <c r="S1944" s="6" t="str">
        <f>IF($B1944="","",IF(ISNA(MATCH($B1944,账户名,0)),"※这个账户不在【参数设置】的账户档案里",IF($A1944="","※没填日期，这一笔不会进任何月份的报表",IF(AND($G1944&lt;&gt;"",$H1944&lt;&gt;""),"※收入和支出不能同时填",IF(AND(N($G1944)=0,N($H1944)=0),"※收入和支出都没填",IF($E1944="","※没填收支类别，分类报表会漏掉这一笔",IF(ISNA(MATCH($E1944,类别表,0)),"※收支类别不在【参数设置】的清单里",IF($J1944="","△"&amp;$D1944&amp;" 还没填汇率，去【月度汇率】补上就自动算了",IF(YEAR($A1944)&lt;&gt;管理年度,"△不是管理年度的单据，年报里看不到",IF(AND($F1944="内部转账",$Q1944=""),"△内部转账建议在「往来单位」写上对方账户",IF($M1944&lt;0,"△这一笔之后该账户余额成负数了，核一下","")))))))))))</f>
        <v/>
      </c>
    </row>
    <row r="1945" ht="16.5" spans="1:19">
      <c r="A1945" s="45"/>
      <c r="B1945" s="46"/>
      <c r="C1945" s="12" t="str">
        <f>IF($B1945="","",IFERROR(INDEX(账户银行,MATCH($B1945,账户名,0)),""))</f>
        <v/>
      </c>
      <c r="D1945" s="12" t="str">
        <f>IF($B1945="","",IFERROR(INDEX(账户币种,MATCH($B1945,账户名,0)),""))</f>
        <v/>
      </c>
      <c r="E1945" s="47"/>
      <c r="F1945" s="12" t="str">
        <f>IF($E1945="","",IFERROR(INDEX(类别属性,MATCH($E1945,类别表,0)),""))</f>
        <v/>
      </c>
      <c r="G1945" s="48"/>
      <c r="H1945" s="48"/>
      <c r="I1945" s="49"/>
      <c r="J1945" s="24" t="str">
        <f>IF(OR($A1945="",$B1945=""),"",IF($I1945&lt;&gt;"",$I1945,IF($D1945=本位币,1,IFERROR(LOOKUP(2,1/((汇率月份&lt;=$A1945)*(INDEX(记账汇率区,0,MATCH($D1945,汇率币种头,0))&lt;&gt;"")),INDEX(记账汇率区,0,MATCH($D1945,汇率币种头,0))),""))))</f>
        <v/>
      </c>
      <c r="K1945" s="23" t="str">
        <f t="shared" si="60"/>
        <v/>
      </c>
      <c r="L1945" s="23" t="str">
        <f t="shared" si="61"/>
        <v/>
      </c>
      <c r="M1945" s="23" t="str">
        <f>IF($B1945="","",ROUND(SUMIF(账户名,$B1945,账户期初)+SUMIFS($K$6:K1945,$B$6:B1945,$B1945),2))</f>
        <v/>
      </c>
      <c r="N1945" s="23" t="str">
        <f>IF($B1945="","",IFERROR(ROUND(INDEX(账户期初本位,MATCH($B1945,账户名,0))+SUMIFS($L$6:L1945,$B$6:B1945,$B1945),2),""))</f>
        <v/>
      </c>
      <c r="O1945" s="46"/>
      <c r="P1945" s="47"/>
      <c r="Q1945" s="46"/>
      <c r="R1945" s="46"/>
      <c r="S1945" s="6" t="str">
        <f>IF($B1945="","",IF(ISNA(MATCH($B1945,账户名,0)),"※这个账户不在【参数设置】的账户档案里",IF($A1945="","※没填日期，这一笔不会进任何月份的报表",IF(AND($G1945&lt;&gt;"",$H1945&lt;&gt;""),"※收入和支出不能同时填",IF(AND(N($G1945)=0,N($H1945)=0),"※收入和支出都没填",IF($E1945="","※没填收支类别，分类报表会漏掉这一笔",IF(ISNA(MATCH($E1945,类别表,0)),"※收支类别不在【参数设置】的清单里",IF($J1945="","△"&amp;$D1945&amp;" 还没填汇率，去【月度汇率】补上就自动算了",IF(YEAR($A1945)&lt;&gt;管理年度,"△不是管理年度的单据，年报里看不到",IF(AND($F1945="内部转账",$Q1945=""),"△内部转账建议在「往来单位」写上对方账户",IF($M1945&lt;0,"△这一笔之后该账户余额成负数了，核一下","")))))))))))</f>
        <v/>
      </c>
    </row>
    <row r="1946" ht="16.5" spans="1:19">
      <c r="A1946" s="45"/>
      <c r="B1946" s="46"/>
      <c r="C1946" s="12" t="str">
        <f>IF($B1946="","",IFERROR(INDEX(账户银行,MATCH($B1946,账户名,0)),""))</f>
        <v/>
      </c>
      <c r="D1946" s="12" t="str">
        <f>IF($B1946="","",IFERROR(INDEX(账户币种,MATCH($B1946,账户名,0)),""))</f>
        <v/>
      </c>
      <c r="E1946" s="47"/>
      <c r="F1946" s="12" t="str">
        <f>IF($E1946="","",IFERROR(INDEX(类别属性,MATCH($E1946,类别表,0)),""))</f>
        <v/>
      </c>
      <c r="G1946" s="48"/>
      <c r="H1946" s="48"/>
      <c r="I1946" s="49"/>
      <c r="J1946" s="24" t="str">
        <f>IF(OR($A1946="",$B1946=""),"",IF($I1946&lt;&gt;"",$I1946,IF($D1946=本位币,1,IFERROR(LOOKUP(2,1/((汇率月份&lt;=$A1946)*(INDEX(记账汇率区,0,MATCH($D1946,汇率币种头,0))&lt;&gt;"")),INDEX(记账汇率区,0,MATCH($D1946,汇率币种头,0))),""))))</f>
        <v/>
      </c>
      <c r="K1946" s="23" t="str">
        <f t="shared" si="60"/>
        <v/>
      </c>
      <c r="L1946" s="23" t="str">
        <f t="shared" si="61"/>
        <v/>
      </c>
      <c r="M1946" s="23" t="str">
        <f>IF($B1946="","",ROUND(SUMIF(账户名,$B1946,账户期初)+SUMIFS($K$6:K1946,$B$6:B1946,$B1946),2))</f>
        <v/>
      </c>
      <c r="N1946" s="23" t="str">
        <f>IF($B1946="","",IFERROR(ROUND(INDEX(账户期初本位,MATCH($B1946,账户名,0))+SUMIFS($L$6:L1946,$B$6:B1946,$B1946),2),""))</f>
        <v/>
      </c>
      <c r="O1946" s="46"/>
      <c r="P1946" s="47"/>
      <c r="Q1946" s="46"/>
      <c r="R1946" s="46"/>
      <c r="S1946" s="6" t="str">
        <f>IF($B1946="","",IF(ISNA(MATCH($B1946,账户名,0)),"※这个账户不在【参数设置】的账户档案里",IF($A1946="","※没填日期，这一笔不会进任何月份的报表",IF(AND($G1946&lt;&gt;"",$H1946&lt;&gt;""),"※收入和支出不能同时填",IF(AND(N($G1946)=0,N($H1946)=0),"※收入和支出都没填",IF($E1946="","※没填收支类别，分类报表会漏掉这一笔",IF(ISNA(MATCH($E1946,类别表,0)),"※收支类别不在【参数设置】的清单里",IF($J1946="","△"&amp;$D1946&amp;" 还没填汇率，去【月度汇率】补上就自动算了",IF(YEAR($A1946)&lt;&gt;管理年度,"△不是管理年度的单据，年报里看不到",IF(AND($F1946="内部转账",$Q1946=""),"△内部转账建议在「往来单位」写上对方账户",IF($M1946&lt;0,"△这一笔之后该账户余额成负数了，核一下","")))))))))))</f>
        <v/>
      </c>
    </row>
    <row r="1947" ht="16.5" spans="1:19">
      <c r="A1947" s="45"/>
      <c r="B1947" s="46"/>
      <c r="C1947" s="12" t="str">
        <f>IF($B1947="","",IFERROR(INDEX(账户银行,MATCH($B1947,账户名,0)),""))</f>
        <v/>
      </c>
      <c r="D1947" s="12" t="str">
        <f>IF($B1947="","",IFERROR(INDEX(账户币种,MATCH($B1947,账户名,0)),""))</f>
        <v/>
      </c>
      <c r="E1947" s="47"/>
      <c r="F1947" s="12" t="str">
        <f>IF($E1947="","",IFERROR(INDEX(类别属性,MATCH($E1947,类别表,0)),""))</f>
        <v/>
      </c>
      <c r="G1947" s="48"/>
      <c r="H1947" s="48"/>
      <c r="I1947" s="49"/>
      <c r="J1947" s="24" t="str">
        <f>IF(OR($A1947="",$B1947=""),"",IF($I1947&lt;&gt;"",$I1947,IF($D1947=本位币,1,IFERROR(LOOKUP(2,1/((汇率月份&lt;=$A1947)*(INDEX(记账汇率区,0,MATCH($D1947,汇率币种头,0))&lt;&gt;"")),INDEX(记账汇率区,0,MATCH($D1947,汇率币种头,0))),""))))</f>
        <v/>
      </c>
      <c r="K1947" s="23" t="str">
        <f t="shared" si="60"/>
        <v/>
      </c>
      <c r="L1947" s="23" t="str">
        <f t="shared" si="61"/>
        <v/>
      </c>
      <c r="M1947" s="23" t="str">
        <f>IF($B1947="","",ROUND(SUMIF(账户名,$B1947,账户期初)+SUMIFS($K$6:K1947,$B$6:B1947,$B1947),2))</f>
        <v/>
      </c>
      <c r="N1947" s="23" t="str">
        <f>IF($B1947="","",IFERROR(ROUND(INDEX(账户期初本位,MATCH($B1947,账户名,0))+SUMIFS($L$6:L1947,$B$6:B1947,$B1947),2),""))</f>
        <v/>
      </c>
      <c r="O1947" s="46"/>
      <c r="P1947" s="47"/>
      <c r="Q1947" s="46"/>
      <c r="R1947" s="46"/>
      <c r="S1947" s="6" t="str">
        <f>IF($B1947="","",IF(ISNA(MATCH($B1947,账户名,0)),"※这个账户不在【参数设置】的账户档案里",IF($A1947="","※没填日期，这一笔不会进任何月份的报表",IF(AND($G1947&lt;&gt;"",$H1947&lt;&gt;""),"※收入和支出不能同时填",IF(AND(N($G1947)=0,N($H1947)=0),"※收入和支出都没填",IF($E1947="","※没填收支类别，分类报表会漏掉这一笔",IF(ISNA(MATCH($E1947,类别表,0)),"※收支类别不在【参数设置】的清单里",IF($J1947="","△"&amp;$D1947&amp;" 还没填汇率，去【月度汇率】补上就自动算了",IF(YEAR($A1947)&lt;&gt;管理年度,"△不是管理年度的单据，年报里看不到",IF(AND($F1947="内部转账",$Q1947=""),"△内部转账建议在「往来单位」写上对方账户",IF($M1947&lt;0,"△这一笔之后该账户余额成负数了，核一下","")))))))))))</f>
        <v/>
      </c>
    </row>
    <row r="1948" ht="16.5" spans="1:19">
      <c r="A1948" s="45"/>
      <c r="B1948" s="46"/>
      <c r="C1948" s="12" t="str">
        <f>IF($B1948="","",IFERROR(INDEX(账户银行,MATCH($B1948,账户名,0)),""))</f>
        <v/>
      </c>
      <c r="D1948" s="12" t="str">
        <f>IF($B1948="","",IFERROR(INDEX(账户币种,MATCH($B1948,账户名,0)),""))</f>
        <v/>
      </c>
      <c r="E1948" s="47"/>
      <c r="F1948" s="12" t="str">
        <f>IF($E1948="","",IFERROR(INDEX(类别属性,MATCH($E1948,类别表,0)),""))</f>
        <v/>
      </c>
      <c r="G1948" s="48"/>
      <c r="H1948" s="48"/>
      <c r="I1948" s="49"/>
      <c r="J1948" s="24" t="str">
        <f>IF(OR($A1948="",$B1948=""),"",IF($I1948&lt;&gt;"",$I1948,IF($D1948=本位币,1,IFERROR(LOOKUP(2,1/((汇率月份&lt;=$A1948)*(INDEX(记账汇率区,0,MATCH($D1948,汇率币种头,0))&lt;&gt;"")),INDEX(记账汇率区,0,MATCH($D1948,汇率币种头,0))),""))))</f>
        <v/>
      </c>
      <c r="K1948" s="23" t="str">
        <f t="shared" si="60"/>
        <v/>
      </c>
      <c r="L1948" s="23" t="str">
        <f t="shared" si="61"/>
        <v/>
      </c>
      <c r="M1948" s="23" t="str">
        <f>IF($B1948="","",ROUND(SUMIF(账户名,$B1948,账户期初)+SUMIFS($K$6:K1948,$B$6:B1948,$B1948),2))</f>
        <v/>
      </c>
      <c r="N1948" s="23" t="str">
        <f>IF($B1948="","",IFERROR(ROUND(INDEX(账户期初本位,MATCH($B1948,账户名,0))+SUMIFS($L$6:L1948,$B$6:B1948,$B1948),2),""))</f>
        <v/>
      </c>
      <c r="O1948" s="46"/>
      <c r="P1948" s="47"/>
      <c r="Q1948" s="46"/>
      <c r="R1948" s="46"/>
      <c r="S1948" s="6" t="str">
        <f>IF($B1948="","",IF(ISNA(MATCH($B1948,账户名,0)),"※这个账户不在【参数设置】的账户档案里",IF($A1948="","※没填日期，这一笔不会进任何月份的报表",IF(AND($G1948&lt;&gt;"",$H1948&lt;&gt;""),"※收入和支出不能同时填",IF(AND(N($G1948)=0,N($H1948)=0),"※收入和支出都没填",IF($E1948="","※没填收支类别，分类报表会漏掉这一笔",IF(ISNA(MATCH($E1948,类别表,0)),"※收支类别不在【参数设置】的清单里",IF($J1948="","△"&amp;$D1948&amp;" 还没填汇率，去【月度汇率】补上就自动算了",IF(YEAR($A1948)&lt;&gt;管理年度,"△不是管理年度的单据，年报里看不到",IF(AND($F1948="内部转账",$Q1948=""),"△内部转账建议在「往来单位」写上对方账户",IF($M1948&lt;0,"△这一笔之后该账户余额成负数了，核一下","")))))))))))</f>
        <v/>
      </c>
    </row>
    <row r="1949" ht="16.5" spans="1:19">
      <c r="A1949" s="45"/>
      <c r="B1949" s="46"/>
      <c r="C1949" s="12" t="str">
        <f>IF($B1949="","",IFERROR(INDEX(账户银行,MATCH($B1949,账户名,0)),""))</f>
        <v/>
      </c>
      <c r="D1949" s="12" t="str">
        <f>IF($B1949="","",IFERROR(INDEX(账户币种,MATCH($B1949,账户名,0)),""))</f>
        <v/>
      </c>
      <c r="E1949" s="47"/>
      <c r="F1949" s="12" t="str">
        <f>IF($E1949="","",IFERROR(INDEX(类别属性,MATCH($E1949,类别表,0)),""))</f>
        <v/>
      </c>
      <c r="G1949" s="48"/>
      <c r="H1949" s="48"/>
      <c r="I1949" s="49"/>
      <c r="J1949" s="24" t="str">
        <f>IF(OR($A1949="",$B1949=""),"",IF($I1949&lt;&gt;"",$I1949,IF($D1949=本位币,1,IFERROR(LOOKUP(2,1/((汇率月份&lt;=$A1949)*(INDEX(记账汇率区,0,MATCH($D1949,汇率币种头,0))&lt;&gt;"")),INDEX(记账汇率区,0,MATCH($D1949,汇率币种头,0))),""))))</f>
        <v/>
      </c>
      <c r="K1949" s="23" t="str">
        <f t="shared" si="60"/>
        <v/>
      </c>
      <c r="L1949" s="23" t="str">
        <f t="shared" si="61"/>
        <v/>
      </c>
      <c r="M1949" s="23" t="str">
        <f>IF($B1949="","",ROUND(SUMIF(账户名,$B1949,账户期初)+SUMIFS($K$6:K1949,$B$6:B1949,$B1949),2))</f>
        <v/>
      </c>
      <c r="N1949" s="23" t="str">
        <f>IF($B1949="","",IFERROR(ROUND(INDEX(账户期初本位,MATCH($B1949,账户名,0))+SUMIFS($L$6:L1949,$B$6:B1949,$B1949),2),""))</f>
        <v/>
      </c>
      <c r="O1949" s="46"/>
      <c r="P1949" s="47"/>
      <c r="Q1949" s="46"/>
      <c r="R1949" s="46"/>
      <c r="S1949" s="6" t="str">
        <f>IF($B1949="","",IF(ISNA(MATCH($B1949,账户名,0)),"※这个账户不在【参数设置】的账户档案里",IF($A1949="","※没填日期，这一笔不会进任何月份的报表",IF(AND($G1949&lt;&gt;"",$H1949&lt;&gt;""),"※收入和支出不能同时填",IF(AND(N($G1949)=0,N($H1949)=0),"※收入和支出都没填",IF($E1949="","※没填收支类别，分类报表会漏掉这一笔",IF(ISNA(MATCH($E1949,类别表,0)),"※收支类别不在【参数设置】的清单里",IF($J1949="","△"&amp;$D1949&amp;" 还没填汇率，去【月度汇率】补上就自动算了",IF(YEAR($A1949)&lt;&gt;管理年度,"△不是管理年度的单据，年报里看不到",IF(AND($F1949="内部转账",$Q1949=""),"△内部转账建议在「往来单位」写上对方账户",IF($M1949&lt;0,"△这一笔之后该账户余额成负数了，核一下","")))))))))))</f>
        <v/>
      </c>
    </row>
    <row r="1950" ht="16.5" spans="1:19">
      <c r="A1950" s="45"/>
      <c r="B1950" s="46"/>
      <c r="C1950" s="12" t="str">
        <f>IF($B1950="","",IFERROR(INDEX(账户银行,MATCH($B1950,账户名,0)),""))</f>
        <v/>
      </c>
      <c r="D1950" s="12" t="str">
        <f>IF($B1950="","",IFERROR(INDEX(账户币种,MATCH($B1950,账户名,0)),""))</f>
        <v/>
      </c>
      <c r="E1950" s="47"/>
      <c r="F1950" s="12" t="str">
        <f>IF($E1950="","",IFERROR(INDEX(类别属性,MATCH($E1950,类别表,0)),""))</f>
        <v/>
      </c>
      <c r="G1950" s="48"/>
      <c r="H1950" s="48"/>
      <c r="I1950" s="49"/>
      <c r="J1950" s="24" t="str">
        <f>IF(OR($A1950="",$B1950=""),"",IF($I1950&lt;&gt;"",$I1950,IF($D1950=本位币,1,IFERROR(LOOKUP(2,1/((汇率月份&lt;=$A1950)*(INDEX(记账汇率区,0,MATCH($D1950,汇率币种头,0))&lt;&gt;"")),INDEX(记账汇率区,0,MATCH($D1950,汇率币种头,0))),""))))</f>
        <v/>
      </c>
      <c r="K1950" s="23" t="str">
        <f t="shared" si="60"/>
        <v/>
      </c>
      <c r="L1950" s="23" t="str">
        <f t="shared" si="61"/>
        <v/>
      </c>
      <c r="M1950" s="23" t="str">
        <f>IF($B1950="","",ROUND(SUMIF(账户名,$B1950,账户期初)+SUMIFS($K$6:K1950,$B$6:B1950,$B1950),2))</f>
        <v/>
      </c>
      <c r="N1950" s="23" t="str">
        <f>IF($B1950="","",IFERROR(ROUND(INDEX(账户期初本位,MATCH($B1950,账户名,0))+SUMIFS($L$6:L1950,$B$6:B1950,$B1950),2),""))</f>
        <v/>
      </c>
      <c r="O1950" s="46"/>
      <c r="P1950" s="47"/>
      <c r="Q1950" s="46"/>
      <c r="R1950" s="46"/>
      <c r="S1950" s="6" t="str">
        <f>IF($B1950="","",IF(ISNA(MATCH($B1950,账户名,0)),"※这个账户不在【参数设置】的账户档案里",IF($A1950="","※没填日期，这一笔不会进任何月份的报表",IF(AND($G1950&lt;&gt;"",$H1950&lt;&gt;""),"※收入和支出不能同时填",IF(AND(N($G1950)=0,N($H1950)=0),"※收入和支出都没填",IF($E1950="","※没填收支类别，分类报表会漏掉这一笔",IF(ISNA(MATCH($E1950,类别表,0)),"※收支类别不在【参数设置】的清单里",IF($J1950="","△"&amp;$D1950&amp;" 还没填汇率，去【月度汇率】补上就自动算了",IF(YEAR($A1950)&lt;&gt;管理年度,"△不是管理年度的单据，年报里看不到",IF(AND($F1950="内部转账",$Q1950=""),"△内部转账建议在「往来单位」写上对方账户",IF($M1950&lt;0,"△这一笔之后该账户余额成负数了，核一下","")))))))))))</f>
        <v/>
      </c>
    </row>
    <row r="1951" ht="16.5" spans="1:19">
      <c r="A1951" s="45"/>
      <c r="B1951" s="46"/>
      <c r="C1951" s="12" t="str">
        <f>IF($B1951="","",IFERROR(INDEX(账户银行,MATCH($B1951,账户名,0)),""))</f>
        <v/>
      </c>
      <c r="D1951" s="12" t="str">
        <f>IF($B1951="","",IFERROR(INDEX(账户币种,MATCH($B1951,账户名,0)),""))</f>
        <v/>
      </c>
      <c r="E1951" s="47"/>
      <c r="F1951" s="12" t="str">
        <f>IF($E1951="","",IFERROR(INDEX(类别属性,MATCH($E1951,类别表,0)),""))</f>
        <v/>
      </c>
      <c r="G1951" s="48"/>
      <c r="H1951" s="48"/>
      <c r="I1951" s="49"/>
      <c r="J1951" s="24" t="str">
        <f>IF(OR($A1951="",$B1951=""),"",IF($I1951&lt;&gt;"",$I1951,IF($D1951=本位币,1,IFERROR(LOOKUP(2,1/((汇率月份&lt;=$A1951)*(INDEX(记账汇率区,0,MATCH($D1951,汇率币种头,0))&lt;&gt;"")),INDEX(记账汇率区,0,MATCH($D1951,汇率币种头,0))),""))))</f>
        <v/>
      </c>
      <c r="K1951" s="23" t="str">
        <f t="shared" si="60"/>
        <v/>
      </c>
      <c r="L1951" s="23" t="str">
        <f t="shared" si="61"/>
        <v/>
      </c>
      <c r="M1951" s="23" t="str">
        <f>IF($B1951="","",ROUND(SUMIF(账户名,$B1951,账户期初)+SUMIFS($K$6:K1951,$B$6:B1951,$B1951),2))</f>
        <v/>
      </c>
      <c r="N1951" s="23" t="str">
        <f>IF($B1951="","",IFERROR(ROUND(INDEX(账户期初本位,MATCH($B1951,账户名,0))+SUMIFS($L$6:L1951,$B$6:B1951,$B1951),2),""))</f>
        <v/>
      </c>
      <c r="O1951" s="46"/>
      <c r="P1951" s="47"/>
      <c r="Q1951" s="46"/>
      <c r="R1951" s="46"/>
      <c r="S1951" s="6" t="str">
        <f>IF($B1951="","",IF(ISNA(MATCH($B1951,账户名,0)),"※这个账户不在【参数设置】的账户档案里",IF($A1951="","※没填日期，这一笔不会进任何月份的报表",IF(AND($G1951&lt;&gt;"",$H1951&lt;&gt;""),"※收入和支出不能同时填",IF(AND(N($G1951)=0,N($H1951)=0),"※收入和支出都没填",IF($E1951="","※没填收支类别，分类报表会漏掉这一笔",IF(ISNA(MATCH($E1951,类别表,0)),"※收支类别不在【参数设置】的清单里",IF($J1951="","△"&amp;$D1951&amp;" 还没填汇率，去【月度汇率】补上就自动算了",IF(YEAR($A1951)&lt;&gt;管理年度,"△不是管理年度的单据，年报里看不到",IF(AND($F1951="内部转账",$Q1951=""),"△内部转账建议在「往来单位」写上对方账户",IF($M1951&lt;0,"△这一笔之后该账户余额成负数了，核一下","")))))))))))</f>
        <v/>
      </c>
    </row>
    <row r="1952" ht="16.5" spans="1:19">
      <c r="A1952" s="45"/>
      <c r="B1952" s="46"/>
      <c r="C1952" s="12" t="str">
        <f>IF($B1952="","",IFERROR(INDEX(账户银行,MATCH($B1952,账户名,0)),""))</f>
        <v/>
      </c>
      <c r="D1952" s="12" t="str">
        <f>IF($B1952="","",IFERROR(INDEX(账户币种,MATCH($B1952,账户名,0)),""))</f>
        <v/>
      </c>
      <c r="E1952" s="47"/>
      <c r="F1952" s="12" t="str">
        <f>IF($E1952="","",IFERROR(INDEX(类别属性,MATCH($E1952,类别表,0)),""))</f>
        <v/>
      </c>
      <c r="G1952" s="48"/>
      <c r="H1952" s="48"/>
      <c r="I1952" s="49"/>
      <c r="J1952" s="24" t="str">
        <f>IF(OR($A1952="",$B1952=""),"",IF($I1952&lt;&gt;"",$I1952,IF($D1952=本位币,1,IFERROR(LOOKUP(2,1/((汇率月份&lt;=$A1952)*(INDEX(记账汇率区,0,MATCH($D1952,汇率币种头,0))&lt;&gt;"")),INDEX(记账汇率区,0,MATCH($D1952,汇率币种头,0))),""))))</f>
        <v/>
      </c>
      <c r="K1952" s="23" t="str">
        <f t="shared" si="60"/>
        <v/>
      </c>
      <c r="L1952" s="23" t="str">
        <f t="shared" si="61"/>
        <v/>
      </c>
      <c r="M1952" s="23" t="str">
        <f>IF($B1952="","",ROUND(SUMIF(账户名,$B1952,账户期初)+SUMIFS($K$6:K1952,$B$6:B1952,$B1952),2))</f>
        <v/>
      </c>
      <c r="N1952" s="23" t="str">
        <f>IF($B1952="","",IFERROR(ROUND(INDEX(账户期初本位,MATCH($B1952,账户名,0))+SUMIFS($L$6:L1952,$B$6:B1952,$B1952),2),""))</f>
        <v/>
      </c>
      <c r="O1952" s="46"/>
      <c r="P1952" s="47"/>
      <c r="Q1952" s="46"/>
      <c r="R1952" s="46"/>
      <c r="S1952" s="6" t="str">
        <f>IF($B1952="","",IF(ISNA(MATCH($B1952,账户名,0)),"※这个账户不在【参数设置】的账户档案里",IF($A1952="","※没填日期，这一笔不会进任何月份的报表",IF(AND($G1952&lt;&gt;"",$H1952&lt;&gt;""),"※收入和支出不能同时填",IF(AND(N($G1952)=0,N($H1952)=0),"※收入和支出都没填",IF($E1952="","※没填收支类别，分类报表会漏掉这一笔",IF(ISNA(MATCH($E1952,类别表,0)),"※收支类别不在【参数设置】的清单里",IF($J1952="","△"&amp;$D1952&amp;" 还没填汇率，去【月度汇率】补上就自动算了",IF(YEAR($A1952)&lt;&gt;管理年度,"△不是管理年度的单据，年报里看不到",IF(AND($F1952="内部转账",$Q1952=""),"△内部转账建议在「往来单位」写上对方账户",IF($M1952&lt;0,"△这一笔之后该账户余额成负数了，核一下","")))))))))))</f>
        <v/>
      </c>
    </row>
    <row r="1953" ht="16.5" spans="1:19">
      <c r="A1953" s="45"/>
      <c r="B1953" s="46"/>
      <c r="C1953" s="12" t="str">
        <f>IF($B1953="","",IFERROR(INDEX(账户银行,MATCH($B1953,账户名,0)),""))</f>
        <v/>
      </c>
      <c r="D1953" s="12" t="str">
        <f>IF($B1953="","",IFERROR(INDEX(账户币种,MATCH($B1953,账户名,0)),""))</f>
        <v/>
      </c>
      <c r="E1953" s="47"/>
      <c r="F1953" s="12" t="str">
        <f>IF($E1953="","",IFERROR(INDEX(类别属性,MATCH($E1953,类别表,0)),""))</f>
        <v/>
      </c>
      <c r="G1953" s="48"/>
      <c r="H1953" s="48"/>
      <c r="I1953" s="49"/>
      <c r="J1953" s="24" t="str">
        <f>IF(OR($A1953="",$B1953=""),"",IF($I1953&lt;&gt;"",$I1953,IF($D1953=本位币,1,IFERROR(LOOKUP(2,1/((汇率月份&lt;=$A1953)*(INDEX(记账汇率区,0,MATCH($D1953,汇率币种头,0))&lt;&gt;"")),INDEX(记账汇率区,0,MATCH($D1953,汇率币种头,0))),""))))</f>
        <v/>
      </c>
      <c r="K1953" s="23" t="str">
        <f t="shared" si="60"/>
        <v/>
      </c>
      <c r="L1953" s="23" t="str">
        <f t="shared" si="61"/>
        <v/>
      </c>
      <c r="M1953" s="23" t="str">
        <f>IF($B1953="","",ROUND(SUMIF(账户名,$B1953,账户期初)+SUMIFS($K$6:K1953,$B$6:B1953,$B1953),2))</f>
        <v/>
      </c>
      <c r="N1953" s="23" t="str">
        <f>IF($B1953="","",IFERROR(ROUND(INDEX(账户期初本位,MATCH($B1953,账户名,0))+SUMIFS($L$6:L1953,$B$6:B1953,$B1953),2),""))</f>
        <v/>
      </c>
      <c r="O1953" s="46"/>
      <c r="P1953" s="47"/>
      <c r="Q1953" s="46"/>
      <c r="R1953" s="46"/>
      <c r="S1953" s="6" t="str">
        <f>IF($B1953="","",IF(ISNA(MATCH($B1953,账户名,0)),"※这个账户不在【参数设置】的账户档案里",IF($A1953="","※没填日期，这一笔不会进任何月份的报表",IF(AND($G1953&lt;&gt;"",$H1953&lt;&gt;""),"※收入和支出不能同时填",IF(AND(N($G1953)=0,N($H1953)=0),"※收入和支出都没填",IF($E1953="","※没填收支类别，分类报表会漏掉这一笔",IF(ISNA(MATCH($E1953,类别表,0)),"※收支类别不在【参数设置】的清单里",IF($J1953="","△"&amp;$D1953&amp;" 还没填汇率，去【月度汇率】补上就自动算了",IF(YEAR($A1953)&lt;&gt;管理年度,"△不是管理年度的单据，年报里看不到",IF(AND($F1953="内部转账",$Q1953=""),"△内部转账建议在「往来单位」写上对方账户",IF($M1953&lt;0,"△这一笔之后该账户余额成负数了，核一下","")))))))))))</f>
        <v/>
      </c>
    </row>
    <row r="1954" ht="16.5" spans="1:19">
      <c r="A1954" s="45"/>
      <c r="B1954" s="46"/>
      <c r="C1954" s="12" t="str">
        <f>IF($B1954="","",IFERROR(INDEX(账户银行,MATCH($B1954,账户名,0)),""))</f>
        <v/>
      </c>
      <c r="D1954" s="12" t="str">
        <f>IF($B1954="","",IFERROR(INDEX(账户币种,MATCH($B1954,账户名,0)),""))</f>
        <v/>
      </c>
      <c r="E1954" s="47"/>
      <c r="F1954" s="12" t="str">
        <f>IF($E1954="","",IFERROR(INDEX(类别属性,MATCH($E1954,类别表,0)),""))</f>
        <v/>
      </c>
      <c r="G1954" s="48"/>
      <c r="H1954" s="48"/>
      <c r="I1954" s="49"/>
      <c r="J1954" s="24" t="str">
        <f>IF(OR($A1954="",$B1954=""),"",IF($I1954&lt;&gt;"",$I1954,IF($D1954=本位币,1,IFERROR(LOOKUP(2,1/((汇率月份&lt;=$A1954)*(INDEX(记账汇率区,0,MATCH($D1954,汇率币种头,0))&lt;&gt;"")),INDEX(记账汇率区,0,MATCH($D1954,汇率币种头,0))),""))))</f>
        <v/>
      </c>
      <c r="K1954" s="23" t="str">
        <f t="shared" si="60"/>
        <v/>
      </c>
      <c r="L1954" s="23" t="str">
        <f t="shared" si="61"/>
        <v/>
      </c>
      <c r="M1954" s="23" t="str">
        <f>IF($B1954="","",ROUND(SUMIF(账户名,$B1954,账户期初)+SUMIFS($K$6:K1954,$B$6:B1954,$B1954),2))</f>
        <v/>
      </c>
      <c r="N1954" s="23" t="str">
        <f>IF($B1954="","",IFERROR(ROUND(INDEX(账户期初本位,MATCH($B1954,账户名,0))+SUMIFS($L$6:L1954,$B$6:B1954,$B1954),2),""))</f>
        <v/>
      </c>
      <c r="O1954" s="46"/>
      <c r="P1954" s="47"/>
      <c r="Q1954" s="46"/>
      <c r="R1954" s="46"/>
      <c r="S1954" s="6" t="str">
        <f>IF($B1954="","",IF(ISNA(MATCH($B1954,账户名,0)),"※这个账户不在【参数设置】的账户档案里",IF($A1954="","※没填日期，这一笔不会进任何月份的报表",IF(AND($G1954&lt;&gt;"",$H1954&lt;&gt;""),"※收入和支出不能同时填",IF(AND(N($G1954)=0,N($H1954)=0),"※收入和支出都没填",IF($E1954="","※没填收支类别，分类报表会漏掉这一笔",IF(ISNA(MATCH($E1954,类别表,0)),"※收支类别不在【参数设置】的清单里",IF($J1954="","△"&amp;$D1954&amp;" 还没填汇率，去【月度汇率】补上就自动算了",IF(YEAR($A1954)&lt;&gt;管理年度,"△不是管理年度的单据，年报里看不到",IF(AND($F1954="内部转账",$Q1954=""),"△内部转账建议在「往来单位」写上对方账户",IF($M1954&lt;0,"△这一笔之后该账户余额成负数了，核一下","")))))))))))</f>
        <v/>
      </c>
    </row>
    <row r="1955" ht="16.5" spans="1:19">
      <c r="A1955" s="45"/>
      <c r="B1955" s="46"/>
      <c r="C1955" s="12" t="str">
        <f>IF($B1955="","",IFERROR(INDEX(账户银行,MATCH($B1955,账户名,0)),""))</f>
        <v/>
      </c>
      <c r="D1955" s="12" t="str">
        <f>IF($B1955="","",IFERROR(INDEX(账户币种,MATCH($B1955,账户名,0)),""))</f>
        <v/>
      </c>
      <c r="E1955" s="47"/>
      <c r="F1955" s="12" t="str">
        <f>IF($E1955="","",IFERROR(INDEX(类别属性,MATCH($E1955,类别表,0)),""))</f>
        <v/>
      </c>
      <c r="G1955" s="48"/>
      <c r="H1955" s="48"/>
      <c r="I1955" s="49"/>
      <c r="J1955" s="24" t="str">
        <f>IF(OR($A1955="",$B1955=""),"",IF($I1955&lt;&gt;"",$I1955,IF($D1955=本位币,1,IFERROR(LOOKUP(2,1/((汇率月份&lt;=$A1955)*(INDEX(记账汇率区,0,MATCH($D1955,汇率币种头,0))&lt;&gt;"")),INDEX(记账汇率区,0,MATCH($D1955,汇率币种头,0))),""))))</f>
        <v/>
      </c>
      <c r="K1955" s="23" t="str">
        <f t="shared" si="60"/>
        <v/>
      </c>
      <c r="L1955" s="23" t="str">
        <f t="shared" si="61"/>
        <v/>
      </c>
      <c r="M1955" s="23" t="str">
        <f>IF($B1955="","",ROUND(SUMIF(账户名,$B1955,账户期初)+SUMIFS($K$6:K1955,$B$6:B1955,$B1955),2))</f>
        <v/>
      </c>
      <c r="N1955" s="23" t="str">
        <f>IF($B1955="","",IFERROR(ROUND(INDEX(账户期初本位,MATCH($B1955,账户名,0))+SUMIFS($L$6:L1955,$B$6:B1955,$B1955),2),""))</f>
        <v/>
      </c>
      <c r="O1955" s="46"/>
      <c r="P1955" s="47"/>
      <c r="Q1955" s="46"/>
      <c r="R1955" s="46"/>
      <c r="S1955" s="6" t="str">
        <f>IF($B1955="","",IF(ISNA(MATCH($B1955,账户名,0)),"※这个账户不在【参数设置】的账户档案里",IF($A1955="","※没填日期，这一笔不会进任何月份的报表",IF(AND($G1955&lt;&gt;"",$H1955&lt;&gt;""),"※收入和支出不能同时填",IF(AND(N($G1955)=0,N($H1955)=0),"※收入和支出都没填",IF($E1955="","※没填收支类别，分类报表会漏掉这一笔",IF(ISNA(MATCH($E1955,类别表,0)),"※收支类别不在【参数设置】的清单里",IF($J1955="","△"&amp;$D1955&amp;" 还没填汇率，去【月度汇率】补上就自动算了",IF(YEAR($A1955)&lt;&gt;管理年度,"△不是管理年度的单据，年报里看不到",IF(AND($F1955="内部转账",$Q1955=""),"△内部转账建议在「往来单位」写上对方账户",IF($M1955&lt;0,"△这一笔之后该账户余额成负数了，核一下","")))))))))))</f>
        <v/>
      </c>
    </row>
    <row r="1956" ht="16.5" spans="1:19">
      <c r="A1956" s="45"/>
      <c r="B1956" s="46"/>
      <c r="C1956" s="12" t="str">
        <f>IF($B1956="","",IFERROR(INDEX(账户银行,MATCH($B1956,账户名,0)),""))</f>
        <v/>
      </c>
      <c r="D1956" s="12" t="str">
        <f>IF($B1956="","",IFERROR(INDEX(账户币种,MATCH($B1956,账户名,0)),""))</f>
        <v/>
      </c>
      <c r="E1956" s="47"/>
      <c r="F1956" s="12" t="str">
        <f>IF($E1956="","",IFERROR(INDEX(类别属性,MATCH($E1956,类别表,0)),""))</f>
        <v/>
      </c>
      <c r="G1956" s="48"/>
      <c r="H1956" s="48"/>
      <c r="I1956" s="49"/>
      <c r="J1956" s="24" t="str">
        <f>IF(OR($A1956="",$B1956=""),"",IF($I1956&lt;&gt;"",$I1956,IF($D1956=本位币,1,IFERROR(LOOKUP(2,1/((汇率月份&lt;=$A1956)*(INDEX(记账汇率区,0,MATCH($D1956,汇率币种头,0))&lt;&gt;"")),INDEX(记账汇率区,0,MATCH($D1956,汇率币种头,0))),""))))</f>
        <v/>
      </c>
      <c r="K1956" s="23" t="str">
        <f t="shared" si="60"/>
        <v/>
      </c>
      <c r="L1956" s="23" t="str">
        <f t="shared" si="61"/>
        <v/>
      </c>
      <c r="M1956" s="23" t="str">
        <f>IF($B1956="","",ROUND(SUMIF(账户名,$B1956,账户期初)+SUMIFS($K$6:K1956,$B$6:B1956,$B1956),2))</f>
        <v/>
      </c>
      <c r="N1956" s="23" t="str">
        <f>IF($B1956="","",IFERROR(ROUND(INDEX(账户期初本位,MATCH($B1956,账户名,0))+SUMIFS($L$6:L1956,$B$6:B1956,$B1956),2),""))</f>
        <v/>
      </c>
      <c r="O1956" s="46"/>
      <c r="P1956" s="47"/>
      <c r="Q1956" s="46"/>
      <c r="R1956" s="46"/>
      <c r="S1956" s="6" t="str">
        <f>IF($B1956="","",IF(ISNA(MATCH($B1956,账户名,0)),"※这个账户不在【参数设置】的账户档案里",IF($A1956="","※没填日期，这一笔不会进任何月份的报表",IF(AND($G1956&lt;&gt;"",$H1956&lt;&gt;""),"※收入和支出不能同时填",IF(AND(N($G1956)=0,N($H1956)=0),"※收入和支出都没填",IF($E1956="","※没填收支类别，分类报表会漏掉这一笔",IF(ISNA(MATCH($E1956,类别表,0)),"※收支类别不在【参数设置】的清单里",IF($J1956="","△"&amp;$D1956&amp;" 还没填汇率，去【月度汇率】补上就自动算了",IF(YEAR($A1956)&lt;&gt;管理年度,"△不是管理年度的单据，年报里看不到",IF(AND($F1956="内部转账",$Q1956=""),"△内部转账建议在「往来单位」写上对方账户",IF($M1956&lt;0,"△这一笔之后该账户余额成负数了，核一下","")))))))))))</f>
        <v/>
      </c>
    </row>
    <row r="1957" ht="16.5" spans="1:19">
      <c r="A1957" s="45"/>
      <c r="B1957" s="46"/>
      <c r="C1957" s="12" t="str">
        <f>IF($B1957="","",IFERROR(INDEX(账户银行,MATCH($B1957,账户名,0)),""))</f>
        <v/>
      </c>
      <c r="D1957" s="12" t="str">
        <f>IF($B1957="","",IFERROR(INDEX(账户币种,MATCH($B1957,账户名,0)),""))</f>
        <v/>
      </c>
      <c r="E1957" s="47"/>
      <c r="F1957" s="12" t="str">
        <f>IF($E1957="","",IFERROR(INDEX(类别属性,MATCH($E1957,类别表,0)),""))</f>
        <v/>
      </c>
      <c r="G1957" s="48"/>
      <c r="H1957" s="48"/>
      <c r="I1957" s="49"/>
      <c r="J1957" s="24" t="str">
        <f>IF(OR($A1957="",$B1957=""),"",IF($I1957&lt;&gt;"",$I1957,IF($D1957=本位币,1,IFERROR(LOOKUP(2,1/((汇率月份&lt;=$A1957)*(INDEX(记账汇率区,0,MATCH($D1957,汇率币种头,0))&lt;&gt;"")),INDEX(记账汇率区,0,MATCH($D1957,汇率币种头,0))),""))))</f>
        <v/>
      </c>
      <c r="K1957" s="23" t="str">
        <f t="shared" si="60"/>
        <v/>
      </c>
      <c r="L1957" s="23" t="str">
        <f t="shared" si="61"/>
        <v/>
      </c>
      <c r="M1957" s="23" t="str">
        <f>IF($B1957="","",ROUND(SUMIF(账户名,$B1957,账户期初)+SUMIFS($K$6:K1957,$B$6:B1957,$B1957),2))</f>
        <v/>
      </c>
      <c r="N1957" s="23" t="str">
        <f>IF($B1957="","",IFERROR(ROUND(INDEX(账户期初本位,MATCH($B1957,账户名,0))+SUMIFS($L$6:L1957,$B$6:B1957,$B1957),2),""))</f>
        <v/>
      </c>
      <c r="O1957" s="46"/>
      <c r="P1957" s="47"/>
      <c r="Q1957" s="46"/>
      <c r="R1957" s="46"/>
      <c r="S1957" s="6" t="str">
        <f>IF($B1957="","",IF(ISNA(MATCH($B1957,账户名,0)),"※这个账户不在【参数设置】的账户档案里",IF($A1957="","※没填日期，这一笔不会进任何月份的报表",IF(AND($G1957&lt;&gt;"",$H1957&lt;&gt;""),"※收入和支出不能同时填",IF(AND(N($G1957)=0,N($H1957)=0),"※收入和支出都没填",IF($E1957="","※没填收支类别，分类报表会漏掉这一笔",IF(ISNA(MATCH($E1957,类别表,0)),"※收支类别不在【参数设置】的清单里",IF($J1957="","△"&amp;$D1957&amp;" 还没填汇率，去【月度汇率】补上就自动算了",IF(YEAR($A1957)&lt;&gt;管理年度,"△不是管理年度的单据，年报里看不到",IF(AND($F1957="内部转账",$Q1957=""),"△内部转账建议在「往来单位」写上对方账户",IF($M1957&lt;0,"△这一笔之后该账户余额成负数了，核一下","")))))))))))</f>
        <v/>
      </c>
    </row>
    <row r="1958" ht="16.5" spans="1:19">
      <c r="A1958" s="45"/>
      <c r="B1958" s="46"/>
      <c r="C1958" s="12" t="str">
        <f>IF($B1958="","",IFERROR(INDEX(账户银行,MATCH($B1958,账户名,0)),""))</f>
        <v/>
      </c>
      <c r="D1958" s="12" t="str">
        <f>IF($B1958="","",IFERROR(INDEX(账户币种,MATCH($B1958,账户名,0)),""))</f>
        <v/>
      </c>
      <c r="E1958" s="47"/>
      <c r="F1958" s="12" t="str">
        <f>IF($E1958="","",IFERROR(INDEX(类别属性,MATCH($E1958,类别表,0)),""))</f>
        <v/>
      </c>
      <c r="G1958" s="48"/>
      <c r="H1958" s="48"/>
      <c r="I1958" s="49"/>
      <c r="J1958" s="24" t="str">
        <f>IF(OR($A1958="",$B1958=""),"",IF($I1958&lt;&gt;"",$I1958,IF($D1958=本位币,1,IFERROR(LOOKUP(2,1/((汇率月份&lt;=$A1958)*(INDEX(记账汇率区,0,MATCH($D1958,汇率币种头,0))&lt;&gt;"")),INDEX(记账汇率区,0,MATCH($D1958,汇率币种头,0))),""))))</f>
        <v/>
      </c>
      <c r="K1958" s="23" t="str">
        <f t="shared" si="60"/>
        <v/>
      </c>
      <c r="L1958" s="23" t="str">
        <f t="shared" si="61"/>
        <v/>
      </c>
      <c r="M1958" s="23" t="str">
        <f>IF($B1958="","",ROUND(SUMIF(账户名,$B1958,账户期初)+SUMIFS($K$6:K1958,$B$6:B1958,$B1958),2))</f>
        <v/>
      </c>
      <c r="N1958" s="23" t="str">
        <f>IF($B1958="","",IFERROR(ROUND(INDEX(账户期初本位,MATCH($B1958,账户名,0))+SUMIFS($L$6:L1958,$B$6:B1958,$B1958),2),""))</f>
        <v/>
      </c>
      <c r="O1958" s="46"/>
      <c r="P1958" s="47"/>
      <c r="Q1958" s="46"/>
      <c r="R1958" s="46"/>
      <c r="S1958" s="6" t="str">
        <f>IF($B1958="","",IF(ISNA(MATCH($B1958,账户名,0)),"※这个账户不在【参数设置】的账户档案里",IF($A1958="","※没填日期，这一笔不会进任何月份的报表",IF(AND($G1958&lt;&gt;"",$H1958&lt;&gt;""),"※收入和支出不能同时填",IF(AND(N($G1958)=0,N($H1958)=0),"※收入和支出都没填",IF($E1958="","※没填收支类别，分类报表会漏掉这一笔",IF(ISNA(MATCH($E1958,类别表,0)),"※收支类别不在【参数设置】的清单里",IF($J1958="","△"&amp;$D1958&amp;" 还没填汇率，去【月度汇率】补上就自动算了",IF(YEAR($A1958)&lt;&gt;管理年度,"△不是管理年度的单据，年报里看不到",IF(AND($F1958="内部转账",$Q1958=""),"△内部转账建议在「往来单位」写上对方账户",IF($M1958&lt;0,"△这一笔之后该账户余额成负数了，核一下","")))))))))))</f>
        <v/>
      </c>
    </row>
    <row r="1959" ht="16.5" spans="1:19">
      <c r="A1959" s="45"/>
      <c r="B1959" s="46"/>
      <c r="C1959" s="12" t="str">
        <f>IF($B1959="","",IFERROR(INDEX(账户银行,MATCH($B1959,账户名,0)),""))</f>
        <v/>
      </c>
      <c r="D1959" s="12" t="str">
        <f>IF($B1959="","",IFERROR(INDEX(账户币种,MATCH($B1959,账户名,0)),""))</f>
        <v/>
      </c>
      <c r="E1959" s="47"/>
      <c r="F1959" s="12" t="str">
        <f>IF($E1959="","",IFERROR(INDEX(类别属性,MATCH($E1959,类别表,0)),""))</f>
        <v/>
      </c>
      <c r="G1959" s="48"/>
      <c r="H1959" s="48"/>
      <c r="I1959" s="49"/>
      <c r="J1959" s="24" t="str">
        <f>IF(OR($A1959="",$B1959=""),"",IF($I1959&lt;&gt;"",$I1959,IF($D1959=本位币,1,IFERROR(LOOKUP(2,1/((汇率月份&lt;=$A1959)*(INDEX(记账汇率区,0,MATCH($D1959,汇率币种头,0))&lt;&gt;"")),INDEX(记账汇率区,0,MATCH($D1959,汇率币种头,0))),""))))</f>
        <v/>
      </c>
      <c r="K1959" s="23" t="str">
        <f t="shared" si="60"/>
        <v/>
      </c>
      <c r="L1959" s="23" t="str">
        <f t="shared" si="61"/>
        <v/>
      </c>
      <c r="M1959" s="23" t="str">
        <f>IF($B1959="","",ROUND(SUMIF(账户名,$B1959,账户期初)+SUMIFS($K$6:K1959,$B$6:B1959,$B1959),2))</f>
        <v/>
      </c>
      <c r="N1959" s="23" t="str">
        <f>IF($B1959="","",IFERROR(ROUND(INDEX(账户期初本位,MATCH($B1959,账户名,0))+SUMIFS($L$6:L1959,$B$6:B1959,$B1959),2),""))</f>
        <v/>
      </c>
      <c r="O1959" s="46"/>
      <c r="P1959" s="47"/>
      <c r="Q1959" s="46"/>
      <c r="R1959" s="46"/>
      <c r="S1959" s="6" t="str">
        <f>IF($B1959="","",IF(ISNA(MATCH($B1959,账户名,0)),"※这个账户不在【参数设置】的账户档案里",IF($A1959="","※没填日期，这一笔不会进任何月份的报表",IF(AND($G1959&lt;&gt;"",$H1959&lt;&gt;""),"※收入和支出不能同时填",IF(AND(N($G1959)=0,N($H1959)=0),"※收入和支出都没填",IF($E1959="","※没填收支类别，分类报表会漏掉这一笔",IF(ISNA(MATCH($E1959,类别表,0)),"※收支类别不在【参数设置】的清单里",IF($J1959="","△"&amp;$D1959&amp;" 还没填汇率，去【月度汇率】补上就自动算了",IF(YEAR($A1959)&lt;&gt;管理年度,"△不是管理年度的单据，年报里看不到",IF(AND($F1959="内部转账",$Q1959=""),"△内部转账建议在「往来单位」写上对方账户",IF($M1959&lt;0,"△这一笔之后该账户余额成负数了，核一下","")))))))))))</f>
        <v/>
      </c>
    </row>
    <row r="1960" ht="16.5" spans="1:19">
      <c r="A1960" s="45"/>
      <c r="B1960" s="46"/>
      <c r="C1960" s="12" t="str">
        <f>IF($B1960="","",IFERROR(INDEX(账户银行,MATCH($B1960,账户名,0)),""))</f>
        <v/>
      </c>
      <c r="D1960" s="12" t="str">
        <f>IF($B1960="","",IFERROR(INDEX(账户币种,MATCH($B1960,账户名,0)),""))</f>
        <v/>
      </c>
      <c r="E1960" s="47"/>
      <c r="F1960" s="12" t="str">
        <f>IF($E1960="","",IFERROR(INDEX(类别属性,MATCH($E1960,类别表,0)),""))</f>
        <v/>
      </c>
      <c r="G1960" s="48"/>
      <c r="H1960" s="48"/>
      <c r="I1960" s="49"/>
      <c r="J1960" s="24" t="str">
        <f>IF(OR($A1960="",$B1960=""),"",IF($I1960&lt;&gt;"",$I1960,IF($D1960=本位币,1,IFERROR(LOOKUP(2,1/((汇率月份&lt;=$A1960)*(INDEX(记账汇率区,0,MATCH($D1960,汇率币种头,0))&lt;&gt;"")),INDEX(记账汇率区,0,MATCH($D1960,汇率币种头,0))),""))))</f>
        <v/>
      </c>
      <c r="K1960" s="23" t="str">
        <f t="shared" si="60"/>
        <v/>
      </c>
      <c r="L1960" s="23" t="str">
        <f t="shared" si="61"/>
        <v/>
      </c>
      <c r="M1960" s="23" t="str">
        <f>IF($B1960="","",ROUND(SUMIF(账户名,$B1960,账户期初)+SUMIFS($K$6:K1960,$B$6:B1960,$B1960),2))</f>
        <v/>
      </c>
      <c r="N1960" s="23" t="str">
        <f>IF($B1960="","",IFERROR(ROUND(INDEX(账户期初本位,MATCH($B1960,账户名,0))+SUMIFS($L$6:L1960,$B$6:B1960,$B1960),2),""))</f>
        <v/>
      </c>
      <c r="O1960" s="46"/>
      <c r="P1960" s="47"/>
      <c r="Q1960" s="46"/>
      <c r="R1960" s="46"/>
      <c r="S1960" s="6" t="str">
        <f>IF($B1960="","",IF(ISNA(MATCH($B1960,账户名,0)),"※这个账户不在【参数设置】的账户档案里",IF($A1960="","※没填日期，这一笔不会进任何月份的报表",IF(AND($G1960&lt;&gt;"",$H1960&lt;&gt;""),"※收入和支出不能同时填",IF(AND(N($G1960)=0,N($H1960)=0),"※收入和支出都没填",IF($E1960="","※没填收支类别，分类报表会漏掉这一笔",IF(ISNA(MATCH($E1960,类别表,0)),"※收支类别不在【参数设置】的清单里",IF($J1960="","△"&amp;$D1960&amp;" 还没填汇率，去【月度汇率】补上就自动算了",IF(YEAR($A1960)&lt;&gt;管理年度,"△不是管理年度的单据，年报里看不到",IF(AND($F1960="内部转账",$Q1960=""),"△内部转账建议在「往来单位」写上对方账户",IF($M1960&lt;0,"△这一笔之后该账户余额成负数了，核一下","")))))))))))</f>
        <v/>
      </c>
    </row>
    <row r="1961" ht="16.5" spans="1:19">
      <c r="A1961" s="45"/>
      <c r="B1961" s="46"/>
      <c r="C1961" s="12" t="str">
        <f>IF($B1961="","",IFERROR(INDEX(账户银行,MATCH($B1961,账户名,0)),""))</f>
        <v/>
      </c>
      <c r="D1961" s="12" t="str">
        <f>IF($B1961="","",IFERROR(INDEX(账户币种,MATCH($B1961,账户名,0)),""))</f>
        <v/>
      </c>
      <c r="E1961" s="47"/>
      <c r="F1961" s="12" t="str">
        <f>IF($E1961="","",IFERROR(INDEX(类别属性,MATCH($E1961,类别表,0)),""))</f>
        <v/>
      </c>
      <c r="G1961" s="48"/>
      <c r="H1961" s="48"/>
      <c r="I1961" s="49"/>
      <c r="J1961" s="24" t="str">
        <f>IF(OR($A1961="",$B1961=""),"",IF($I1961&lt;&gt;"",$I1961,IF($D1961=本位币,1,IFERROR(LOOKUP(2,1/((汇率月份&lt;=$A1961)*(INDEX(记账汇率区,0,MATCH($D1961,汇率币种头,0))&lt;&gt;"")),INDEX(记账汇率区,0,MATCH($D1961,汇率币种头,0))),""))))</f>
        <v/>
      </c>
      <c r="K1961" s="23" t="str">
        <f t="shared" si="60"/>
        <v/>
      </c>
      <c r="L1961" s="23" t="str">
        <f t="shared" si="61"/>
        <v/>
      </c>
      <c r="M1961" s="23" t="str">
        <f>IF($B1961="","",ROUND(SUMIF(账户名,$B1961,账户期初)+SUMIFS($K$6:K1961,$B$6:B1961,$B1961),2))</f>
        <v/>
      </c>
      <c r="N1961" s="23" t="str">
        <f>IF($B1961="","",IFERROR(ROUND(INDEX(账户期初本位,MATCH($B1961,账户名,0))+SUMIFS($L$6:L1961,$B$6:B1961,$B1961),2),""))</f>
        <v/>
      </c>
      <c r="O1961" s="46"/>
      <c r="P1961" s="47"/>
      <c r="Q1961" s="46"/>
      <c r="R1961" s="46"/>
      <c r="S1961" s="6" t="str">
        <f>IF($B1961="","",IF(ISNA(MATCH($B1961,账户名,0)),"※这个账户不在【参数设置】的账户档案里",IF($A1961="","※没填日期，这一笔不会进任何月份的报表",IF(AND($G1961&lt;&gt;"",$H1961&lt;&gt;""),"※收入和支出不能同时填",IF(AND(N($G1961)=0,N($H1961)=0),"※收入和支出都没填",IF($E1961="","※没填收支类别，分类报表会漏掉这一笔",IF(ISNA(MATCH($E1961,类别表,0)),"※收支类别不在【参数设置】的清单里",IF($J1961="","△"&amp;$D1961&amp;" 还没填汇率，去【月度汇率】补上就自动算了",IF(YEAR($A1961)&lt;&gt;管理年度,"△不是管理年度的单据，年报里看不到",IF(AND($F1961="内部转账",$Q1961=""),"△内部转账建议在「往来单位」写上对方账户",IF($M1961&lt;0,"△这一笔之后该账户余额成负数了，核一下","")))))))))))</f>
        <v/>
      </c>
    </row>
    <row r="1962" ht="16.5" spans="1:19">
      <c r="A1962" s="45"/>
      <c r="B1962" s="46"/>
      <c r="C1962" s="12" t="str">
        <f>IF($B1962="","",IFERROR(INDEX(账户银行,MATCH($B1962,账户名,0)),""))</f>
        <v/>
      </c>
      <c r="D1962" s="12" t="str">
        <f>IF($B1962="","",IFERROR(INDEX(账户币种,MATCH($B1962,账户名,0)),""))</f>
        <v/>
      </c>
      <c r="E1962" s="47"/>
      <c r="F1962" s="12" t="str">
        <f>IF($E1962="","",IFERROR(INDEX(类别属性,MATCH($E1962,类别表,0)),""))</f>
        <v/>
      </c>
      <c r="G1962" s="48"/>
      <c r="H1962" s="48"/>
      <c r="I1962" s="49"/>
      <c r="J1962" s="24" t="str">
        <f>IF(OR($A1962="",$B1962=""),"",IF($I1962&lt;&gt;"",$I1962,IF($D1962=本位币,1,IFERROR(LOOKUP(2,1/((汇率月份&lt;=$A1962)*(INDEX(记账汇率区,0,MATCH($D1962,汇率币种头,0))&lt;&gt;"")),INDEX(记账汇率区,0,MATCH($D1962,汇率币种头,0))),""))))</f>
        <v/>
      </c>
      <c r="K1962" s="23" t="str">
        <f t="shared" si="60"/>
        <v/>
      </c>
      <c r="L1962" s="23" t="str">
        <f t="shared" si="61"/>
        <v/>
      </c>
      <c r="M1962" s="23" t="str">
        <f>IF($B1962="","",ROUND(SUMIF(账户名,$B1962,账户期初)+SUMIFS($K$6:K1962,$B$6:B1962,$B1962),2))</f>
        <v/>
      </c>
      <c r="N1962" s="23" t="str">
        <f>IF($B1962="","",IFERROR(ROUND(INDEX(账户期初本位,MATCH($B1962,账户名,0))+SUMIFS($L$6:L1962,$B$6:B1962,$B1962),2),""))</f>
        <v/>
      </c>
      <c r="O1962" s="46"/>
      <c r="P1962" s="47"/>
      <c r="Q1962" s="46"/>
      <c r="R1962" s="46"/>
      <c r="S1962" s="6" t="str">
        <f>IF($B1962="","",IF(ISNA(MATCH($B1962,账户名,0)),"※这个账户不在【参数设置】的账户档案里",IF($A1962="","※没填日期，这一笔不会进任何月份的报表",IF(AND($G1962&lt;&gt;"",$H1962&lt;&gt;""),"※收入和支出不能同时填",IF(AND(N($G1962)=0,N($H1962)=0),"※收入和支出都没填",IF($E1962="","※没填收支类别，分类报表会漏掉这一笔",IF(ISNA(MATCH($E1962,类别表,0)),"※收支类别不在【参数设置】的清单里",IF($J1962="","△"&amp;$D1962&amp;" 还没填汇率，去【月度汇率】补上就自动算了",IF(YEAR($A1962)&lt;&gt;管理年度,"△不是管理年度的单据，年报里看不到",IF(AND($F1962="内部转账",$Q1962=""),"△内部转账建议在「往来单位」写上对方账户",IF($M1962&lt;0,"△这一笔之后该账户余额成负数了，核一下","")))))))))))</f>
        <v/>
      </c>
    </row>
    <row r="1963" ht="16.5" spans="1:19">
      <c r="A1963" s="45"/>
      <c r="B1963" s="46"/>
      <c r="C1963" s="12" t="str">
        <f>IF($B1963="","",IFERROR(INDEX(账户银行,MATCH($B1963,账户名,0)),""))</f>
        <v/>
      </c>
      <c r="D1963" s="12" t="str">
        <f>IF($B1963="","",IFERROR(INDEX(账户币种,MATCH($B1963,账户名,0)),""))</f>
        <v/>
      </c>
      <c r="E1963" s="47"/>
      <c r="F1963" s="12" t="str">
        <f>IF($E1963="","",IFERROR(INDEX(类别属性,MATCH($E1963,类别表,0)),""))</f>
        <v/>
      </c>
      <c r="G1963" s="48"/>
      <c r="H1963" s="48"/>
      <c r="I1963" s="49"/>
      <c r="J1963" s="24" t="str">
        <f>IF(OR($A1963="",$B1963=""),"",IF($I1963&lt;&gt;"",$I1963,IF($D1963=本位币,1,IFERROR(LOOKUP(2,1/((汇率月份&lt;=$A1963)*(INDEX(记账汇率区,0,MATCH($D1963,汇率币种头,0))&lt;&gt;"")),INDEX(记账汇率区,0,MATCH($D1963,汇率币种头,0))),""))))</f>
        <v/>
      </c>
      <c r="K1963" s="23" t="str">
        <f t="shared" si="60"/>
        <v/>
      </c>
      <c r="L1963" s="23" t="str">
        <f t="shared" si="61"/>
        <v/>
      </c>
      <c r="M1963" s="23" t="str">
        <f>IF($B1963="","",ROUND(SUMIF(账户名,$B1963,账户期初)+SUMIFS($K$6:K1963,$B$6:B1963,$B1963),2))</f>
        <v/>
      </c>
      <c r="N1963" s="23" t="str">
        <f>IF($B1963="","",IFERROR(ROUND(INDEX(账户期初本位,MATCH($B1963,账户名,0))+SUMIFS($L$6:L1963,$B$6:B1963,$B1963),2),""))</f>
        <v/>
      </c>
      <c r="O1963" s="46"/>
      <c r="P1963" s="47"/>
      <c r="Q1963" s="46"/>
      <c r="R1963" s="46"/>
      <c r="S1963" s="6" t="str">
        <f>IF($B1963="","",IF(ISNA(MATCH($B1963,账户名,0)),"※这个账户不在【参数设置】的账户档案里",IF($A1963="","※没填日期，这一笔不会进任何月份的报表",IF(AND($G1963&lt;&gt;"",$H1963&lt;&gt;""),"※收入和支出不能同时填",IF(AND(N($G1963)=0,N($H1963)=0),"※收入和支出都没填",IF($E1963="","※没填收支类别，分类报表会漏掉这一笔",IF(ISNA(MATCH($E1963,类别表,0)),"※收支类别不在【参数设置】的清单里",IF($J1963="","△"&amp;$D1963&amp;" 还没填汇率，去【月度汇率】补上就自动算了",IF(YEAR($A1963)&lt;&gt;管理年度,"△不是管理年度的单据，年报里看不到",IF(AND($F1963="内部转账",$Q1963=""),"△内部转账建议在「往来单位」写上对方账户",IF($M1963&lt;0,"△这一笔之后该账户余额成负数了，核一下","")))))))))))</f>
        <v/>
      </c>
    </row>
    <row r="1964" ht="16.5" spans="1:19">
      <c r="A1964" s="45"/>
      <c r="B1964" s="46"/>
      <c r="C1964" s="12" t="str">
        <f>IF($B1964="","",IFERROR(INDEX(账户银行,MATCH($B1964,账户名,0)),""))</f>
        <v/>
      </c>
      <c r="D1964" s="12" t="str">
        <f>IF($B1964="","",IFERROR(INDEX(账户币种,MATCH($B1964,账户名,0)),""))</f>
        <v/>
      </c>
      <c r="E1964" s="47"/>
      <c r="F1964" s="12" t="str">
        <f>IF($E1964="","",IFERROR(INDEX(类别属性,MATCH($E1964,类别表,0)),""))</f>
        <v/>
      </c>
      <c r="G1964" s="48"/>
      <c r="H1964" s="48"/>
      <c r="I1964" s="49"/>
      <c r="J1964" s="24" t="str">
        <f>IF(OR($A1964="",$B1964=""),"",IF($I1964&lt;&gt;"",$I1964,IF($D1964=本位币,1,IFERROR(LOOKUP(2,1/((汇率月份&lt;=$A1964)*(INDEX(记账汇率区,0,MATCH($D1964,汇率币种头,0))&lt;&gt;"")),INDEX(记账汇率区,0,MATCH($D1964,汇率币种头,0))),""))))</f>
        <v/>
      </c>
      <c r="K1964" s="23" t="str">
        <f t="shared" si="60"/>
        <v/>
      </c>
      <c r="L1964" s="23" t="str">
        <f t="shared" si="61"/>
        <v/>
      </c>
      <c r="M1964" s="23" t="str">
        <f>IF($B1964="","",ROUND(SUMIF(账户名,$B1964,账户期初)+SUMIFS($K$6:K1964,$B$6:B1964,$B1964),2))</f>
        <v/>
      </c>
      <c r="N1964" s="23" t="str">
        <f>IF($B1964="","",IFERROR(ROUND(INDEX(账户期初本位,MATCH($B1964,账户名,0))+SUMIFS($L$6:L1964,$B$6:B1964,$B1964),2),""))</f>
        <v/>
      </c>
      <c r="O1964" s="46"/>
      <c r="P1964" s="47"/>
      <c r="Q1964" s="46"/>
      <c r="R1964" s="46"/>
      <c r="S1964" s="6" t="str">
        <f>IF($B1964="","",IF(ISNA(MATCH($B1964,账户名,0)),"※这个账户不在【参数设置】的账户档案里",IF($A1964="","※没填日期，这一笔不会进任何月份的报表",IF(AND($G1964&lt;&gt;"",$H1964&lt;&gt;""),"※收入和支出不能同时填",IF(AND(N($G1964)=0,N($H1964)=0),"※收入和支出都没填",IF($E1964="","※没填收支类别，分类报表会漏掉这一笔",IF(ISNA(MATCH($E1964,类别表,0)),"※收支类别不在【参数设置】的清单里",IF($J1964="","△"&amp;$D1964&amp;" 还没填汇率，去【月度汇率】补上就自动算了",IF(YEAR($A1964)&lt;&gt;管理年度,"△不是管理年度的单据，年报里看不到",IF(AND($F1964="内部转账",$Q1964=""),"△内部转账建议在「往来单位」写上对方账户",IF($M1964&lt;0,"△这一笔之后该账户余额成负数了，核一下","")))))))))))</f>
        <v/>
      </c>
    </row>
    <row r="1965" ht="16.5" spans="1:19">
      <c r="A1965" s="45"/>
      <c r="B1965" s="46"/>
      <c r="C1965" s="12" t="str">
        <f>IF($B1965="","",IFERROR(INDEX(账户银行,MATCH($B1965,账户名,0)),""))</f>
        <v/>
      </c>
      <c r="D1965" s="12" t="str">
        <f>IF($B1965="","",IFERROR(INDEX(账户币种,MATCH($B1965,账户名,0)),""))</f>
        <v/>
      </c>
      <c r="E1965" s="47"/>
      <c r="F1965" s="12" t="str">
        <f>IF($E1965="","",IFERROR(INDEX(类别属性,MATCH($E1965,类别表,0)),""))</f>
        <v/>
      </c>
      <c r="G1965" s="48"/>
      <c r="H1965" s="48"/>
      <c r="I1965" s="49"/>
      <c r="J1965" s="24" t="str">
        <f>IF(OR($A1965="",$B1965=""),"",IF($I1965&lt;&gt;"",$I1965,IF($D1965=本位币,1,IFERROR(LOOKUP(2,1/((汇率月份&lt;=$A1965)*(INDEX(记账汇率区,0,MATCH($D1965,汇率币种头,0))&lt;&gt;"")),INDEX(记账汇率区,0,MATCH($D1965,汇率币种头,0))),""))))</f>
        <v/>
      </c>
      <c r="K1965" s="23" t="str">
        <f t="shared" si="60"/>
        <v/>
      </c>
      <c r="L1965" s="23" t="str">
        <f t="shared" si="61"/>
        <v/>
      </c>
      <c r="M1965" s="23" t="str">
        <f>IF($B1965="","",ROUND(SUMIF(账户名,$B1965,账户期初)+SUMIFS($K$6:K1965,$B$6:B1965,$B1965),2))</f>
        <v/>
      </c>
      <c r="N1965" s="23" t="str">
        <f>IF($B1965="","",IFERROR(ROUND(INDEX(账户期初本位,MATCH($B1965,账户名,0))+SUMIFS($L$6:L1965,$B$6:B1965,$B1965),2),""))</f>
        <v/>
      </c>
      <c r="O1965" s="46"/>
      <c r="P1965" s="47"/>
      <c r="Q1965" s="46"/>
      <c r="R1965" s="46"/>
      <c r="S1965" s="6" t="str">
        <f>IF($B1965="","",IF(ISNA(MATCH($B1965,账户名,0)),"※这个账户不在【参数设置】的账户档案里",IF($A1965="","※没填日期，这一笔不会进任何月份的报表",IF(AND($G1965&lt;&gt;"",$H1965&lt;&gt;""),"※收入和支出不能同时填",IF(AND(N($G1965)=0,N($H1965)=0),"※收入和支出都没填",IF($E1965="","※没填收支类别，分类报表会漏掉这一笔",IF(ISNA(MATCH($E1965,类别表,0)),"※收支类别不在【参数设置】的清单里",IF($J1965="","△"&amp;$D1965&amp;" 还没填汇率，去【月度汇率】补上就自动算了",IF(YEAR($A1965)&lt;&gt;管理年度,"△不是管理年度的单据，年报里看不到",IF(AND($F1965="内部转账",$Q1965=""),"△内部转账建议在「往来单位」写上对方账户",IF($M1965&lt;0,"△这一笔之后该账户余额成负数了，核一下","")))))))))))</f>
        <v/>
      </c>
    </row>
    <row r="1966" ht="16.5" spans="1:19">
      <c r="A1966" s="45"/>
      <c r="B1966" s="46"/>
      <c r="C1966" s="12" t="str">
        <f>IF($B1966="","",IFERROR(INDEX(账户银行,MATCH($B1966,账户名,0)),""))</f>
        <v/>
      </c>
      <c r="D1966" s="12" t="str">
        <f>IF($B1966="","",IFERROR(INDEX(账户币种,MATCH($B1966,账户名,0)),""))</f>
        <v/>
      </c>
      <c r="E1966" s="47"/>
      <c r="F1966" s="12" t="str">
        <f>IF($E1966="","",IFERROR(INDEX(类别属性,MATCH($E1966,类别表,0)),""))</f>
        <v/>
      </c>
      <c r="G1966" s="48"/>
      <c r="H1966" s="48"/>
      <c r="I1966" s="49"/>
      <c r="J1966" s="24" t="str">
        <f>IF(OR($A1966="",$B1966=""),"",IF($I1966&lt;&gt;"",$I1966,IF($D1966=本位币,1,IFERROR(LOOKUP(2,1/((汇率月份&lt;=$A1966)*(INDEX(记账汇率区,0,MATCH($D1966,汇率币种头,0))&lt;&gt;"")),INDEX(记账汇率区,0,MATCH($D1966,汇率币种头,0))),""))))</f>
        <v/>
      </c>
      <c r="K1966" s="23" t="str">
        <f t="shared" si="60"/>
        <v/>
      </c>
      <c r="L1966" s="23" t="str">
        <f t="shared" si="61"/>
        <v/>
      </c>
      <c r="M1966" s="23" t="str">
        <f>IF($B1966="","",ROUND(SUMIF(账户名,$B1966,账户期初)+SUMIFS($K$6:K1966,$B$6:B1966,$B1966),2))</f>
        <v/>
      </c>
      <c r="N1966" s="23" t="str">
        <f>IF($B1966="","",IFERROR(ROUND(INDEX(账户期初本位,MATCH($B1966,账户名,0))+SUMIFS($L$6:L1966,$B$6:B1966,$B1966),2),""))</f>
        <v/>
      </c>
      <c r="O1966" s="46"/>
      <c r="P1966" s="47"/>
      <c r="Q1966" s="46"/>
      <c r="R1966" s="46"/>
      <c r="S1966" s="6" t="str">
        <f>IF($B1966="","",IF(ISNA(MATCH($B1966,账户名,0)),"※这个账户不在【参数设置】的账户档案里",IF($A1966="","※没填日期，这一笔不会进任何月份的报表",IF(AND($G1966&lt;&gt;"",$H1966&lt;&gt;""),"※收入和支出不能同时填",IF(AND(N($G1966)=0,N($H1966)=0),"※收入和支出都没填",IF($E1966="","※没填收支类别，分类报表会漏掉这一笔",IF(ISNA(MATCH($E1966,类别表,0)),"※收支类别不在【参数设置】的清单里",IF($J1966="","△"&amp;$D1966&amp;" 还没填汇率，去【月度汇率】补上就自动算了",IF(YEAR($A1966)&lt;&gt;管理年度,"△不是管理年度的单据，年报里看不到",IF(AND($F1966="内部转账",$Q1966=""),"△内部转账建议在「往来单位」写上对方账户",IF($M1966&lt;0,"△这一笔之后该账户余额成负数了，核一下","")))))))))))</f>
        <v/>
      </c>
    </row>
    <row r="1967" ht="16.5" spans="1:19">
      <c r="A1967" s="45"/>
      <c r="B1967" s="46"/>
      <c r="C1967" s="12" t="str">
        <f>IF($B1967="","",IFERROR(INDEX(账户银行,MATCH($B1967,账户名,0)),""))</f>
        <v/>
      </c>
      <c r="D1967" s="12" t="str">
        <f>IF($B1967="","",IFERROR(INDEX(账户币种,MATCH($B1967,账户名,0)),""))</f>
        <v/>
      </c>
      <c r="E1967" s="47"/>
      <c r="F1967" s="12" t="str">
        <f>IF($E1967="","",IFERROR(INDEX(类别属性,MATCH($E1967,类别表,0)),""))</f>
        <v/>
      </c>
      <c r="G1967" s="48"/>
      <c r="H1967" s="48"/>
      <c r="I1967" s="49"/>
      <c r="J1967" s="24" t="str">
        <f>IF(OR($A1967="",$B1967=""),"",IF($I1967&lt;&gt;"",$I1967,IF($D1967=本位币,1,IFERROR(LOOKUP(2,1/((汇率月份&lt;=$A1967)*(INDEX(记账汇率区,0,MATCH($D1967,汇率币种头,0))&lt;&gt;"")),INDEX(记账汇率区,0,MATCH($D1967,汇率币种头,0))),""))))</f>
        <v/>
      </c>
      <c r="K1967" s="23" t="str">
        <f t="shared" si="60"/>
        <v/>
      </c>
      <c r="L1967" s="23" t="str">
        <f t="shared" si="61"/>
        <v/>
      </c>
      <c r="M1967" s="23" t="str">
        <f>IF($B1967="","",ROUND(SUMIF(账户名,$B1967,账户期初)+SUMIFS($K$6:K1967,$B$6:B1967,$B1967),2))</f>
        <v/>
      </c>
      <c r="N1967" s="23" t="str">
        <f>IF($B1967="","",IFERROR(ROUND(INDEX(账户期初本位,MATCH($B1967,账户名,0))+SUMIFS($L$6:L1967,$B$6:B1967,$B1967),2),""))</f>
        <v/>
      </c>
      <c r="O1967" s="46"/>
      <c r="P1967" s="47"/>
      <c r="Q1967" s="46"/>
      <c r="R1967" s="46"/>
      <c r="S1967" s="6" t="str">
        <f>IF($B1967="","",IF(ISNA(MATCH($B1967,账户名,0)),"※这个账户不在【参数设置】的账户档案里",IF($A1967="","※没填日期，这一笔不会进任何月份的报表",IF(AND($G1967&lt;&gt;"",$H1967&lt;&gt;""),"※收入和支出不能同时填",IF(AND(N($G1967)=0,N($H1967)=0),"※收入和支出都没填",IF($E1967="","※没填收支类别，分类报表会漏掉这一笔",IF(ISNA(MATCH($E1967,类别表,0)),"※收支类别不在【参数设置】的清单里",IF($J1967="","△"&amp;$D1967&amp;" 还没填汇率，去【月度汇率】补上就自动算了",IF(YEAR($A1967)&lt;&gt;管理年度,"△不是管理年度的单据，年报里看不到",IF(AND($F1967="内部转账",$Q1967=""),"△内部转账建议在「往来单位」写上对方账户",IF($M1967&lt;0,"△这一笔之后该账户余额成负数了，核一下","")))))))))))</f>
        <v/>
      </c>
    </row>
    <row r="1968" ht="16.5" spans="1:19">
      <c r="A1968" s="45"/>
      <c r="B1968" s="46"/>
      <c r="C1968" s="12" t="str">
        <f>IF($B1968="","",IFERROR(INDEX(账户银行,MATCH($B1968,账户名,0)),""))</f>
        <v/>
      </c>
      <c r="D1968" s="12" t="str">
        <f>IF($B1968="","",IFERROR(INDEX(账户币种,MATCH($B1968,账户名,0)),""))</f>
        <v/>
      </c>
      <c r="E1968" s="47"/>
      <c r="F1968" s="12" t="str">
        <f>IF($E1968="","",IFERROR(INDEX(类别属性,MATCH($E1968,类别表,0)),""))</f>
        <v/>
      </c>
      <c r="G1968" s="48"/>
      <c r="H1968" s="48"/>
      <c r="I1968" s="49"/>
      <c r="J1968" s="24" t="str">
        <f>IF(OR($A1968="",$B1968=""),"",IF($I1968&lt;&gt;"",$I1968,IF($D1968=本位币,1,IFERROR(LOOKUP(2,1/((汇率月份&lt;=$A1968)*(INDEX(记账汇率区,0,MATCH($D1968,汇率币种头,0))&lt;&gt;"")),INDEX(记账汇率区,0,MATCH($D1968,汇率币种头,0))),""))))</f>
        <v/>
      </c>
      <c r="K1968" s="23" t="str">
        <f t="shared" si="60"/>
        <v/>
      </c>
      <c r="L1968" s="23" t="str">
        <f t="shared" si="61"/>
        <v/>
      </c>
      <c r="M1968" s="23" t="str">
        <f>IF($B1968="","",ROUND(SUMIF(账户名,$B1968,账户期初)+SUMIFS($K$6:K1968,$B$6:B1968,$B1968),2))</f>
        <v/>
      </c>
      <c r="N1968" s="23" t="str">
        <f>IF($B1968="","",IFERROR(ROUND(INDEX(账户期初本位,MATCH($B1968,账户名,0))+SUMIFS($L$6:L1968,$B$6:B1968,$B1968),2),""))</f>
        <v/>
      </c>
      <c r="O1968" s="46"/>
      <c r="P1968" s="47"/>
      <c r="Q1968" s="46"/>
      <c r="R1968" s="46"/>
      <c r="S1968" s="6" t="str">
        <f>IF($B1968="","",IF(ISNA(MATCH($B1968,账户名,0)),"※这个账户不在【参数设置】的账户档案里",IF($A1968="","※没填日期，这一笔不会进任何月份的报表",IF(AND($G1968&lt;&gt;"",$H1968&lt;&gt;""),"※收入和支出不能同时填",IF(AND(N($G1968)=0,N($H1968)=0),"※收入和支出都没填",IF($E1968="","※没填收支类别，分类报表会漏掉这一笔",IF(ISNA(MATCH($E1968,类别表,0)),"※收支类别不在【参数设置】的清单里",IF($J1968="","△"&amp;$D1968&amp;" 还没填汇率，去【月度汇率】补上就自动算了",IF(YEAR($A1968)&lt;&gt;管理年度,"△不是管理年度的单据，年报里看不到",IF(AND($F1968="内部转账",$Q1968=""),"△内部转账建议在「往来单位」写上对方账户",IF($M1968&lt;0,"△这一笔之后该账户余额成负数了，核一下","")))))))))))</f>
        <v/>
      </c>
    </row>
    <row r="1969" ht="16.5" spans="1:19">
      <c r="A1969" s="45"/>
      <c r="B1969" s="46"/>
      <c r="C1969" s="12" t="str">
        <f>IF($B1969="","",IFERROR(INDEX(账户银行,MATCH($B1969,账户名,0)),""))</f>
        <v/>
      </c>
      <c r="D1969" s="12" t="str">
        <f>IF($B1969="","",IFERROR(INDEX(账户币种,MATCH($B1969,账户名,0)),""))</f>
        <v/>
      </c>
      <c r="E1969" s="47"/>
      <c r="F1969" s="12" t="str">
        <f>IF($E1969="","",IFERROR(INDEX(类别属性,MATCH($E1969,类别表,0)),""))</f>
        <v/>
      </c>
      <c r="G1969" s="48"/>
      <c r="H1969" s="48"/>
      <c r="I1969" s="49"/>
      <c r="J1969" s="24" t="str">
        <f>IF(OR($A1969="",$B1969=""),"",IF($I1969&lt;&gt;"",$I1969,IF($D1969=本位币,1,IFERROR(LOOKUP(2,1/((汇率月份&lt;=$A1969)*(INDEX(记账汇率区,0,MATCH($D1969,汇率币种头,0))&lt;&gt;"")),INDEX(记账汇率区,0,MATCH($D1969,汇率币种头,0))),""))))</f>
        <v/>
      </c>
      <c r="K1969" s="23" t="str">
        <f t="shared" si="60"/>
        <v/>
      </c>
      <c r="L1969" s="23" t="str">
        <f t="shared" si="61"/>
        <v/>
      </c>
      <c r="M1969" s="23" t="str">
        <f>IF($B1969="","",ROUND(SUMIF(账户名,$B1969,账户期初)+SUMIFS($K$6:K1969,$B$6:B1969,$B1969),2))</f>
        <v/>
      </c>
      <c r="N1969" s="23" t="str">
        <f>IF($B1969="","",IFERROR(ROUND(INDEX(账户期初本位,MATCH($B1969,账户名,0))+SUMIFS($L$6:L1969,$B$6:B1969,$B1969),2),""))</f>
        <v/>
      </c>
      <c r="O1969" s="46"/>
      <c r="P1969" s="47"/>
      <c r="Q1969" s="46"/>
      <c r="R1969" s="46"/>
      <c r="S1969" s="6" t="str">
        <f>IF($B1969="","",IF(ISNA(MATCH($B1969,账户名,0)),"※这个账户不在【参数设置】的账户档案里",IF($A1969="","※没填日期，这一笔不会进任何月份的报表",IF(AND($G1969&lt;&gt;"",$H1969&lt;&gt;""),"※收入和支出不能同时填",IF(AND(N($G1969)=0,N($H1969)=0),"※收入和支出都没填",IF($E1969="","※没填收支类别，分类报表会漏掉这一笔",IF(ISNA(MATCH($E1969,类别表,0)),"※收支类别不在【参数设置】的清单里",IF($J1969="","△"&amp;$D1969&amp;" 还没填汇率，去【月度汇率】补上就自动算了",IF(YEAR($A1969)&lt;&gt;管理年度,"△不是管理年度的单据，年报里看不到",IF(AND($F1969="内部转账",$Q1969=""),"△内部转账建议在「往来单位」写上对方账户",IF($M1969&lt;0,"△这一笔之后该账户余额成负数了，核一下","")))))))))))</f>
        <v/>
      </c>
    </row>
    <row r="1970" ht="16.5" spans="1:19">
      <c r="A1970" s="45"/>
      <c r="B1970" s="46"/>
      <c r="C1970" s="12" t="str">
        <f>IF($B1970="","",IFERROR(INDEX(账户银行,MATCH($B1970,账户名,0)),""))</f>
        <v/>
      </c>
      <c r="D1970" s="12" t="str">
        <f>IF($B1970="","",IFERROR(INDEX(账户币种,MATCH($B1970,账户名,0)),""))</f>
        <v/>
      </c>
      <c r="E1970" s="47"/>
      <c r="F1970" s="12" t="str">
        <f>IF($E1970="","",IFERROR(INDEX(类别属性,MATCH($E1970,类别表,0)),""))</f>
        <v/>
      </c>
      <c r="G1970" s="48"/>
      <c r="H1970" s="48"/>
      <c r="I1970" s="49"/>
      <c r="J1970" s="24" t="str">
        <f>IF(OR($A1970="",$B1970=""),"",IF($I1970&lt;&gt;"",$I1970,IF($D1970=本位币,1,IFERROR(LOOKUP(2,1/((汇率月份&lt;=$A1970)*(INDEX(记账汇率区,0,MATCH($D1970,汇率币种头,0))&lt;&gt;"")),INDEX(记账汇率区,0,MATCH($D1970,汇率币种头,0))),""))))</f>
        <v/>
      </c>
      <c r="K1970" s="23" t="str">
        <f t="shared" si="60"/>
        <v/>
      </c>
      <c r="L1970" s="23" t="str">
        <f t="shared" si="61"/>
        <v/>
      </c>
      <c r="M1970" s="23" t="str">
        <f>IF($B1970="","",ROUND(SUMIF(账户名,$B1970,账户期初)+SUMIFS($K$6:K1970,$B$6:B1970,$B1970),2))</f>
        <v/>
      </c>
      <c r="N1970" s="23" t="str">
        <f>IF($B1970="","",IFERROR(ROUND(INDEX(账户期初本位,MATCH($B1970,账户名,0))+SUMIFS($L$6:L1970,$B$6:B1970,$B1970),2),""))</f>
        <v/>
      </c>
      <c r="O1970" s="46"/>
      <c r="P1970" s="47"/>
      <c r="Q1970" s="46"/>
      <c r="R1970" s="46"/>
      <c r="S1970" s="6" t="str">
        <f>IF($B1970="","",IF(ISNA(MATCH($B1970,账户名,0)),"※这个账户不在【参数设置】的账户档案里",IF($A1970="","※没填日期，这一笔不会进任何月份的报表",IF(AND($G1970&lt;&gt;"",$H1970&lt;&gt;""),"※收入和支出不能同时填",IF(AND(N($G1970)=0,N($H1970)=0),"※收入和支出都没填",IF($E1970="","※没填收支类别，分类报表会漏掉这一笔",IF(ISNA(MATCH($E1970,类别表,0)),"※收支类别不在【参数设置】的清单里",IF($J1970="","△"&amp;$D1970&amp;" 还没填汇率，去【月度汇率】补上就自动算了",IF(YEAR($A1970)&lt;&gt;管理年度,"△不是管理年度的单据，年报里看不到",IF(AND($F1970="内部转账",$Q1970=""),"△内部转账建议在「往来单位」写上对方账户",IF($M1970&lt;0,"△这一笔之后该账户余额成负数了，核一下","")))))))))))</f>
        <v/>
      </c>
    </row>
    <row r="1971" ht="16.5" spans="1:19">
      <c r="A1971" s="45"/>
      <c r="B1971" s="46"/>
      <c r="C1971" s="12" t="str">
        <f>IF($B1971="","",IFERROR(INDEX(账户银行,MATCH($B1971,账户名,0)),""))</f>
        <v/>
      </c>
      <c r="D1971" s="12" t="str">
        <f>IF($B1971="","",IFERROR(INDEX(账户币种,MATCH($B1971,账户名,0)),""))</f>
        <v/>
      </c>
      <c r="E1971" s="47"/>
      <c r="F1971" s="12" t="str">
        <f>IF($E1971="","",IFERROR(INDEX(类别属性,MATCH($E1971,类别表,0)),""))</f>
        <v/>
      </c>
      <c r="G1971" s="48"/>
      <c r="H1971" s="48"/>
      <c r="I1971" s="49"/>
      <c r="J1971" s="24" t="str">
        <f>IF(OR($A1971="",$B1971=""),"",IF($I1971&lt;&gt;"",$I1971,IF($D1971=本位币,1,IFERROR(LOOKUP(2,1/((汇率月份&lt;=$A1971)*(INDEX(记账汇率区,0,MATCH($D1971,汇率币种头,0))&lt;&gt;"")),INDEX(记账汇率区,0,MATCH($D1971,汇率币种头,0))),""))))</f>
        <v/>
      </c>
      <c r="K1971" s="23" t="str">
        <f t="shared" si="60"/>
        <v/>
      </c>
      <c r="L1971" s="23" t="str">
        <f t="shared" si="61"/>
        <v/>
      </c>
      <c r="M1971" s="23" t="str">
        <f>IF($B1971="","",ROUND(SUMIF(账户名,$B1971,账户期初)+SUMIFS($K$6:K1971,$B$6:B1971,$B1971),2))</f>
        <v/>
      </c>
      <c r="N1971" s="23" t="str">
        <f>IF($B1971="","",IFERROR(ROUND(INDEX(账户期初本位,MATCH($B1971,账户名,0))+SUMIFS($L$6:L1971,$B$6:B1971,$B1971),2),""))</f>
        <v/>
      </c>
      <c r="O1971" s="46"/>
      <c r="P1971" s="47"/>
      <c r="Q1971" s="46"/>
      <c r="R1971" s="46"/>
      <c r="S1971" s="6" t="str">
        <f>IF($B1971="","",IF(ISNA(MATCH($B1971,账户名,0)),"※这个账户不在【参数设置】的账户档案里",IF($A1971="","※没填日期，这一笔不会进任何月份的报表",IF(AND($G1971&lt;&gt;"",$H1971&lt;&gt;""),"※收入和支出不能同时填",IF(AND(N($G1971)=0,N($H1971)=0),"※收入和支出都没填",IF($E1971="","※没填收支类别，分类报表会漏掉这一笔",IF(ISNA(MATCH($E1971,类别表,0)),"※收支类别不在【参数设置】的清单里",IF($J1971="","△"&amp;$D1971&amp;" 还没填汇率，去【月度汇率】补上就自动算了",IF(YEAR($A1971)&lt;&gt;管理年度,"△不是管理年度的单据，年报里看不到",IF(AND($F1971="内部转账",$Q1971=""),"△内部转账建议在「往来单位」写上对方账户",IF($M1971&lt;0,"△这一笔之后该账户余额成负数了，核一下","")))))))))))</f>
        <v/>
      </c>
    </row>
    <row r="1972" ht="16.5" spans="1:19">
      <c r="A1972" s="45"/>
      <c r="B1972" s="46"/>
      <c r="C1972" s="12" t="str">
        <f>IF($B1972="","",IFERROR(INDEX(账户银行,MATCH($B1972,账户名,0)),""))</f>
        <v/>
      </c>
      <c r="D1972" s="12" t="str">
        <f>IF($B1972="","",IFERROR(INDEX(账户币种,MATCH($B1972,账户名,0)),""))</f>
        <v/>
      </c>
      <c r="E1972" s="47"/>
      <c r="F1972" s="12" t="str">
        <f>IF($E1972="","",IFERROR(INDEX(类别属性,MATCH($E1972,类别表,0)),""))</f>
        <v/>
      </c>
      <c r="G1972" s="48"/>
      <c r="H1972" s="48"/>
      <c r="I1972" s="49"/>
      <c r="J1972" s="24" t="str">
        <f>IF(OR($A1972="",$B1972=""),"",IF($I1972&lt;&gt;"",$I1972,IF($D1972=本位币,1,IFERROR(LOOKUP(2,1/((汇率月份&lt;=$A1972)*(INDEX(记账汇率区,0,MATCH($D1972,汇率币种头,0))&lt;&gt;"")),INDEX(记账汇率区,0,MATCH($D1972,汇率币种头,0))),""))))</f>
        <v/>
      </c>
      <c r="K1972" s="23" t="str">
        <f t="shared" si="60"/>
        <v/>
      </c>
      <c r="L1972" s="23" t="str">
        <f t="shared" si="61"/>
        <v/>
      </c>
      <c r="M1972" s="23" t="str">
        <f>IF($B1972="","",ROUND(SUMIF(账户名,$B1972,账户期初)+SUMIFS($K$6:K1972,$B$6:B1972,$B1972),2))</f>
        <v/>
      </c>
      <c r="N1972" s="23" t="str">
        <f>IF($B1972="","",IFERROR(ROUND(INDEX(账户期初本位,MATCH($B1972,账户名,0))+SUMIFS($L$6:L1972,$B$6:B1972,$B1972),2),""))</f>
        <v/>
      </c>
      <c r="O1972" s="46"/>
      <c r="P1972" s="47"/>
      <c r="Q1972" s="46"/>
      <c r="R1972" s="46"/>
      <c r="S1972" s="6" t="str">
        <f>IF($B1972="","",IF(ISNA(MATCH($B1972,账户名,0)),"※这个账户不在【参数设置】的账户档案里",IF($A1972="","※没填日期，这一笔不会进任何月份的报表",IF(AND($G1972&lt;&gt;"",$H1972&lt;&gt;""),"※收入和支出不能同时填",IF(AND(N($G1972)=0,N($H1972)=0),"※收入和支出都没填",IF($E1972="","※没填收支类别，分类报表会漏掉这一笔",IF(ISNA(MATCH($E1972,类别表,0)),"※收支类别不在【参数设置】的清单里",IF($J1972="","△"&amp;$D1972&amp;" 还没填汇率，去【月度汇率】补上就自动算了",IF(YEAR($A1972)&lt;&gt;管理年度,"△不是管理年度的单据，年报里看不到",IF(AND($F1972="内部转账",$Q1972=""),"△内部转账建议在「往来单位」写上对方账户",IF($M1972&lt;0,"△这一笔之后该账户余额成负数了，核一下","")))))))))))</f>
        <v/>
      </c>
    </row>
    <row r="1973" ht="16.5" spans="1:19">
      <c r="A1973" s="45"/>
      <c r="B1973" s="46"/>
      <c r="C1973" s="12" t="str">
        <f>IF($B1973="","",IFERROR(INDEX(账户银行,MATCH($B1973,账户名,0)),""))</f>
        <v/>
      </c>
      <c r="D1973" s="12" t="str">
        <f>IF($B1973="","",IFERROR(INDEX(账户币种,MATCH($B1973,账户名,0)),""))</f>
        <v/>
      </c>
      <c r="E1973" s="47"/>
      <c r="F1973" s="12" t="str">
        <f>IF($E1973="","",IFERROR(INDEX(类别属性,MATCH($E1973,类别表,0)),""))</f>
        <v/>
      </c>
      <c r="G1973" s="48"/>
      <c r="H1973" s="48"/>
      <c r="I1973" s="49"/>
      <c r="J1973" s="24" t="str">
        <f>IF(OR($A1973="",$B1973=""),"",IF($I1973&lt;&gt;"",$I1973,IF($D1973=本位币,1,IFERROR(LOOKUP(2,1/((汇率月份&lt;=$A1973)*(INDEX(记账汇率区,0,MATCH($D1973,汇率币种头,0))&lt;&gt;"")),INDEX(记账汇率区,0,MATCH($D1973,汇率币种头,0))),""))))</f>
        <v/>
      </c>
      <c r="K1973" s="23" t="str">
        <f t="shared" si="60"/>
        <v/>
      </c>
      <c r="L1973" s="23" t="str">
        <f t="shared" si="61"/>
        <v/>
      </c>
      <c r="M1973" s="23" t="str">
        <f>IF($B1973="","",ROUND(SUMIF(账户名,$B1973,账户期初)+SUMIFS($K$6:K1973,$B$6:B1973,$B1973),2))</f>
        <v/>
      </c>
      <c r="N1973" s="23" t="str">
        <f>IF($B1973="","",IFERROR(ROUND(INDEX(账户期初本位,MATCH($B1973,账户名,0))+SUMIFS($L$6:L1973,$B$6:B1973,$B1973),2),""))</f>
        <v/>
      </c>
      <c r="O1973" s="46"/>
      <c r="P1973" s="47"/>
      <c r="Q1973" s="46"/>
      <c r="R1973" s="46"/>
      <c r="S1973" s="6" t="str">
        <f>IF($B1973="","",IF(ISNA(MATCH($B1973,账户名,0)),"※这个账户不在【参数设置】的账户档案里",IF($A1973="","※没填日期，这一笔不会进任何月份的报表",IF(AND($G1973&lt;&gt;"",$H1973&lt;&gt;""),"※收入和支出不能同时填",IF(AND(N($G1973)=0,N($H1973)=0),"※收入和支出都没填",IF($E1973="","※没填收支类别，分类报表会漏掉这一笔",IF(ISNA(MATCH($E1973,类别表,0)),"※收支类别不在【参数设置】的清单里",IF($J1973="","△"&amp;$D1973&amp;" 还没填汇率，去【月度汇率】补上就自动算了",IF(YEAR($A1973)&lt;&gt;管理年度,"△不是管理年度的单据，年报里看不到",IF(AND($F1973="内部转账",$Q1973=""),"△内部转账建议在「往来单位」写上对方账户",IF($M1973&lt;0,"△这一笔之后该账户余额成负数了，核一下","")))))))))))</f>
        <v/>
      </c>
    </row>
    <row r="1974" ht="16.5" spans="1:19">
      <c r="A1974" s="45"/>
      <c r="B1974" s="46"/>
      <c r="C1974" s="12" t="str">
        <f>IF($B1974="","",IFERROR(INDEX(账户银行,MATCH($B1974,账户名,0)),""))</f>
        <v/>
      </c>
      <c r="D1974" s="12" t="str">
        <f>IF($B1974="","",IFERROR(INDEX(账户币种,MATCH($B1974,账户名,0)),""))</f>
        <v/>
      </c>
      <c r="E1974" s="47"/>
      <c r="F1974" s="12" t="str">
        <f>IF($E1974="","",IFERROR(INDEX(类别属性,MATCH($E1974,类别表,0)),""))</f>
        <v/>
      </c>
      <c r="G1974" s="48"/>
      <c r="H1974" s="48"/>
      <c r="I1974" s="49"/>
      <c r="J1974" s="24" t="str">
        <f>IF(OR($A1974="",$B1974=""),"",IF($I1974&lt;&gt;"",$I1974,IF($D1974=本位币,1,IFERROR(LOOKUP(2,1/((汇率月份&lt;=$A1974)*(INDEX(记账汇率区,0,MATCH($D1974,汇率币种头,0))&lt;&gt;"")),INDEX(记账汇率区,0,MATCH($D1974,汇率币种头,0))),""))))</f>
        <v/>
      </c>
      <c r="K1974" s="23" t="str">
        <f t="shared" si="60"/>
        <v/>
      </c>
      <c r="L1974" s="23" t="str">
        <f t="shared" si="61"/>
        <v/>
      </c>
      <c r="M1974" s="23" t="str">
        <f>IF($B1974="","",ROUND(SUMIF(账户名,$B1974,账户期初)+SUMIFS($K$6:K1974,$B$6:B1974,$B1974),2))</f>
        <v/>
      </c>
      <c r="N1974" s="23" t="str">
        <f>IF($B1974="","",IFERROR(ROUND(INDEX(账户期初本位,MATCH($B1974,账户名,0))+SUMIFS($L$6:L1974,$B$6:B1974,$B1974),2),""))</f>
        <v/>
      </c>
      <c r="O1974" s="46"/>
      <c r="P1974" s="47"/>
      <c r="Q1974" s="46"/>
      <c r="R1974" s="46"/>
      <c r="S1974" s="6" t="str">
        <f>IF($B1974="","",IF(ISNA(MATCH($B1974,账户名,0)),"※这个账户不在【参数设置】的账户档案里",IF($A1974="","※没填日期，这一笔不会进任何月份的报表",IF(AND($G1974&lt;&gt;"",$H1974&lt;&gt;""),"※收入和支出不能同时填",IF(AND(N($G1974)=0,N($H1974)=0),"※收入和支出都没填",IF($E1974="","※没填收支类别，分类报表会漏掉这一笔",IF(ISNA(MATCH($E1974,类别表,0)),"※收支类别不在【参数设置】的清单里",IF($J1974="","△"&amp;$D1974&amp;" 还没填汇率，去【月度汇率】补上就自动算了",IF(YEAR($A1974)&lt;&gt;管理年度,"△不是管理年度的单据，年报里看不到",IF(AND($F1974="内部转账",$Q1974=""),"△内部转账建议在「往来单位」写上对方账户",IF($M1974&lt;0,"△这一笔之后该账户余额成负数了，核一下","")))))))))))</f>
        <v/>
      </c>
    </row>
    <row r="1975" ht="16.5" spans="1:19">
      <c r="A1975" s="45"/>
      <c r="B1975" s="46"/>
      <c r="C1975" s="12" t="str">
        <f>IF($B1975="","",IFERROR(INDEX(账户银行,MATCH($B1975,账户名,0)),""))</f>
        <v/>
      </c>
      <c r="D1975" s="12" t="str">
        <f>IF($B1975="","",IFERROR(INDEX(账户币种,MATCH($B1975,账户名,0)),""))</f>
        <v/>
      </c>
      <c r="E1975" s="47"/>
      <c r="F1975" s="12" t="str">
        <f>IF($E1975="","",IFERROR(INDEX(类别属性,MATCH($E1975,类别表,0)),""))</f>
        <v/>
      </c>
      <c r="G1975" s="48"/>
      <c r="H1975" s="48"/>
      <c r="I1975" s="49"/>
      <c r="J1975" s="24" t="str">
        <f>IF(OR($A1975="",$B1975=""),"",IF($I1975&lt;&gt;"",$I1975,IF($D1975=本位币,1,IFERROR(LOOKUP(2,1/((汇率月份&lt;=$A1975)*(INDEX(记账汇率区,0,MATCH($D1975,汇率币种头,0))&lt;&gt;"")),INDEX(记账汇率区,0,MATCH($D1975,汇率币种头,0))),""))))</f>
        <v/>
      </c>
      <c r="K1975" s="23" t="str">
        <f t="shared" si="60"/>
        <v/>
      </c>
      <c r="L1975" s="23" t="str">
        <f t="shared" si="61"/>
        <v/>
      </c>
      <c r="M1975" s="23" t="str">
        <f>IF($B1975="","",ROUND(SUMIF(账户名,$B1975,账户期初)+SUMIFS($K$6:K1975,$B$6:B1975,$B1975),2))</f>
        <v/>
      </c>
      <c r="N1975" s="23" t="str">
        <f>IF($B1975="","",IFERROR(ROUND(INDEX(账户期初本位,MATCH($B1975,账户名,0))+SUMIFS($L$6:L1975,$B$6:B1975,$B1975),2),""))</f>
        <v/>
      </c>
      <c r="O1975" s="46"/>
      <c r="P1975" s="47"/>
      <c r="Q1975" s="46"/>
      <c r="R1975" s="46"/>
      <c r="S1975" s="6" t="str">
        <f>IF($B1975="","",IF(ISNA(MATCH($B1975,账户名,0)),"※这个账户不在【参数设置】的账户档案里",IF($A1975="","※没填日期，这一笔不会进任何月份的报表",IF(AND($G1975&lt;&gt;"",$H1975&lt;&gt;""),"※收入和支出不能同时填",IF(AND(N($G1975)=0,N($H1975)=0),"※收入和支出都没填",IF($E1975="","※没填收支类别，分类报表会漏掉这一笔",IF(ISNA(MATCH($E1975,类别表,0)),"※收支类别不在【参数设置】的清单里",IF($J1975="","△"&amp;$D1975&amp;" 还没填汇率，去【月度汇率】补上就自动算了",IF(YEAR($A1975)&lt;&gt;管理年度,"△不是管理年度的单据，年报里看不到",IF(AND($F1975="内部转账",$Q1975=""),"△内部转账建议在「往来单位」写上对方账户",IF($M1975&lt;0,"△这一笔之后该账户余额成负数了，核一下","")))))))))))</f>
        <v/>
      </c>
    </row>
    <row r="1976" ht="16.5" spans="1:19">
      <c r="A1976" s="45"/>
      <c r="B1976" s="46"/>
      <c r="C1976" s="12" t="str">
        <f>IF($B1976="","",IFERROR(INDEX(账户银行,MATCH($B1976,账户名,0)),""))</f>
        <v/>
      </c>
      <c r="D1976" s="12" t="str">
        <f>IF($B1976="","",IFERROR(INDEX(账户币种,MATCH($B1976,账户名,0)),""))</f>
        <v/>
      </c>
      <c r="E1976" s="47"/>
      <c r="F1976" s="12" t="str">
        <f>IF($E1976="","",IFERROR(INDEX(类别属性,MATCH($E1976,类别表,0)),""))</f>
        <v/>
      </c>
      <c r="G1976" s="48"/>
      <c r="H1976" s="48"/>
      <c r="I1976" s="49"/>
      <c r="J1976" s="24" t="str">
        <f>IF(OR($A1976="",$B1976=""),"",IF($I1976&lt;&gt;"",$I1976,IF($D1976=本位币,1,IFERROR(LOOKUP(2,1/((汇率月份&lt;=$A1976)*(INDEX(记账汇率区,0,MATCH($D1976,汇率币种头,0))&lt;&gt;"")),INDEX(记账汇率区,0,MATCH($D1976,汇率币种头,0))),""))))</f>
        <v/>
      </c>
      <c r="K1976" s="23" t="str">
        <f t="shared" si="60"/>
        <v/>
      </c>
      <c r="L1976" s="23" t="str">
        <f t="shared" si="61"/>
        <v/>
      </c>
      <c r="M1976" s="23" t="str">
        <f>IF($B1976="","",ROUND(SUMIF(账户名,$B1976,账户期初)+SUMIFS($K$6:K1976,$B$6:B1976,$B1976),2))</f>
        <v/>
      </c>
      <c r="N1976" s="23" t="str">
        <f>IF($B1976="","",IFERROR(ROUND(INDEX(账户期初本位,MATCH($B1976,账户名,0))+SUMIFS($L$6:L1976,$B$6:B1976,$B1976),2),""))</f>
        <v/>
      </c>
      <c r="O1976" s="46"/>
      <c r="P1976" s="47"/>
      <c r="Q1976" s="46"/>
      <c r="R1976" s="46"/>
      <c r="S1976" s="6" t="str">
        <f>IF($B1976="","",IF(ISNA(MATCH($B1976,账户名,0)),"※这个账户不在【参数设置】的账户档案里",IF($A1976="","※没填日期，这一笔不会进任何月份的报表",IF(AND($G1976&lt;&gt;"",$H1976&lt;&gt;""),"※收入和支出不能同时填",IF(AND(N($G1976)=0,N($H1976)=0),"※收入和支出都没填",IF($E1976="","※没填收支类别，分类报表会漏掉这一笔",IF(ISNA(MATCH($E1976,类别表,0)),"※收支类别不在【参数设置】的清单里",IF($J1976="","△"&amp;$D1976&amp;" 还没填汇率，去【月度汇率】补上就自动算了",IF(YEAR($A1976)&lt;&gt;管理年度,"△不是管理年度的单据，年报里看不到",IF(AND($F1976="内部转账",$Q1976=""),"△内部转账建议在「往来单位」写上对方账户",IF($M1976&lt;0,"△这一笔之后该账户余额成负数了，核一下","")))))))))))</f>
        <v/>
      </c>
    </row>
    <row r="1977" ht="16.5" spans="1:19">
      <c r="A1977" s="45"/>
      <c r="B1977" s="46"/>
      <c r="C1977" s="12" t="str">
        <f>IF($B1977="","",IFERROR(INDEX(账户银行,MATCH($B1977,账户名,0)),""))</f>
        <v/>
      </c>
      <c r="D1977" s="12" t="str">
        <f>IF($B1977="","",IFERROR(INDEX(账户币种,MATCH($B1977,账户名,0)),""))</f>
        <v/>
      </c>
      <c r="E1977" s="47"/>
      <c r="F1977" s="12" t="str">
        <f>IF($E1977="","",IFERROR(INDEX(类别属性,MATCH($E1977,类别表,0)),""))</f>
        <v/>
      </c>
      <c r="G1977" s="48"/>
      <c r="H1977" s="48"/>
      <c r="I1977" s="49"/>
      <c r="J1977" s="24" t="str">
        <f>IF(OR($A1977="",$B1977=""),"",IF($I1977&lt;&gt;"",$I1977,IF($D1977=本位币,1,IFERROR(LOOKUP(2,1/((汇率月份&lt;=$A1977)*(INDEX(记账汇率区,0,MATCH($D1977,汇率币种头,0))&lt;&gt;"")),INDEX(记账汇率区,0,MATCH($D1977,汇率币种头,0))),""))))</f>
        <v/>
      </c>
      <c r="K1977" s="23" t="str">
        <f t="shared" si="60"/>
        <v/>
      </c>
      <c r="L1977" s="23" t="str">
        <f t="shared" si="61"/>
        <v/>
      </c>
      <c r="M1977" s="23" t="str">
        <f>IF($B1977="","",ROUND(SUMIF(账户名,$B1977,账户期初)+SUMIFS($K$6:K1977,$B$6:B1977,$B1977),2))</f>
        <v/>
      </c>
      <c r="N1977" s="23" t="str">
        <f>IF($B1977="","",IFERROR(ROUND(INDEX(账户期初本位,MATCH($B1977,账户名,0))+SUMIFS($L$6:L1977,$B$6:B1977,$B1977),2),""))</f>
        <v/>
      </c>
      <c r="O1977" s="46"/>
      <c r="P1977" s="47"/>
      <c r="Q1977" s="46"/>
      <c r="R1977" s="46"/>
      <c r="S1977" s="6" t="str">
        <f>IF($B1977="","",IF(ISNA(MATCH($B1977,账户名,0)),"※这个账户不在【参数设置】的账户档案里",IF($A1977="","※没填日期，这一笔不会进任何月份的报表",IF(AND($G1977&lt;&gt;"",$H1977&lt;&gt;""),"※收入和支出不能同时填",IF(AND(N($G1977)=0,N($H1977)=0),"※收入和支出都没填",IF($E1977="","※没填收支类别，分类报表会漏掉这一笔",IF(ISNA(MATCH($E1977,类别表,0)),"※收支类别不在【参数设置】的清单里",IF($J1977="","△"&amp;$D1977&amp;" 还没填汇率，去【月度汇率】补上就自动算了",IF(YEAR($A1977)&lt;&gt;管理年度,"△不是管理年度的单据，年报里看不到",IF(AND($F1977="内部转账",$Q1977=""),"△内部转账建议在「往来单位」写上对方账户",IF($M1977&lt;0,"△这一笔之后该账户余额成负数了，核一下","")))))))))))</f>
        <v/>
      </c>
    </row>
    <row r="1978" ht="16.5" spans="1:19">
      <c r="A1978" s="45"/>
      <c r="B1978" s="46"/>
      <c r="C1978" s="12" t="str">
        <f>IF($B1978="","",IFERROR(INDEX(账户银行,MATCH($B1978,账户名,0)),""))</f>
        <v/>
      </c>
      <c r="D1978" s="12" t="str">
        <f>IF($B1978="","",IFERROR(INDEX(账户币种,MATCH($B1978,账户名,0)),""))</f>
        <v/>
      </c>
      <c r="E1978" s="47"/>
      <c r="F1978" s="12" t="str">
        <f>IF($E1978="","",IFERROR(INDEX(类别属性,MATCH($E1978,类别表,0)),""))</f>
        <v/>
      </c>
      <c r="G1978" s="48"/>
      <c r="H1978" s="48"/>
      <c r="I1978" s="49"/>
      <c r="J1978" s="24" t="str">
        <f>IF(OR($A1978="",$B1978=""),"",IF($I1978&lt;&gt;"",$I1978,IF($D1978=本位币,1,IFERROR(LOOKUP(2,1/((汇率月份&lt;=$A1978)*(INDEX(记账汇率区,0,MATCH($D1978,汇率币种头,0))&lt;&gt;"")),INDEX(记账汇率区,0,MATCH($D1978,汇率币种头,0))),""))))</f>
        <v/>
      </c>
      <c r="K1978" s="23" t="str">
        <f t="shared" si="60"/>
        <v/>
      </c>
      <c r="L1978" s="23" t="str">
        <f t="shared" si="61"/>
        <v/>
      </c>
      <c r="M1978" s="23" t="str">
        <f>IF($B1978="","",ROUND(SUMIF(账户名,$B1978,账户期初)+SUMIFS($K$6:K1978,$B$6:B1978,$B1978),2))</f>
        <v/>
      </c>
      <c r="N1978" s="23" t="str">
        <f>IF($B1978="","",IFERROR(ROUND(INDEX(账户期初本位,MATCH($B1978,账户名,0))+SUMIFS($L$6:L1978,$B$6:B1978,$B1978),2),""))</f>
        <v/>
      </c>
      <c r="O1978" s="46"/>
      <c r="P1978" s="47"/>
      <c r="Q1978" s="46"/>
      <c r="R1978" s="46"/>
      <c r="S1978" s="6" t="str">
        <f>IF($B1978="","",IF(ISNA(MATCH($B1978,账户名,0)),"※这个账户不在【参数设置】的账户档案里",IF($A1978="","※没填日期，这一笔不会进任何月份的报表",IF(AND($G1978&lt;&gt;"",$H1978&lt;&gt;""),"※收入和支出不能同时填",IF(AND(N($G1978)=0,N($H1978)=0),"※收入和支出都没填",IF($E1978="","※没填收支类别，分类报表会漏掉这一笔",IF(ISNA(MATCH($E1978,类别表,0)),"※收支类别不在【参数设置】的清单里",IF($J1978="","△"&amp;$D1978&amp;" 还没填汇率，去【月度汇率】补上就自动算了",IF(YEAR($A1978)&lt;&gt;管理年度,"△不是管理年度的单据，年报里看不到",IF(AND($F1978="内部转账",$Q1978=""),"△内部转账建议在「往来单位」写上对方账户",IF($M1978&lt;0,"△这一笔之后该账户余额成负数了，核一下","")))))))))))</f>
        <v/>
      </c>
    </row>
    <row r="1979" ht="16.5" spans="1:19">
      <c r="A1979" s="45"/>
      <c r="B1979" s="46"/>
      <c r="C1979" s="12" t="str">
        <f>IF($B1979="","",IFERROR(INDEX(账户银行,MATCH($B1979,账户名,0)),""))</f>
        <v/>
      </c>
      <c r="D1979" s="12" t="str">
        <f>IF($B1979="","",IFERROR(INDEX(账户币种,MATCH($B1979,账户名,0)),""))</f>
        <v/>
      </c>
      <c r="E1979" s="47"/>
      <c r="F1979" s="12" t="str">
        <f>IF($E1979="","",IFERROR(INDEX(类别属性,MATCH($E1979,类别表,0)),""))</f>
        <v/>
      </c>
      <c r="G1979" s="48"/>
      <c r="H1979" s="48"/>
      <c r="I1979" s="49"/>
      <c r="J1979" s="24" t="str">
        <f>IF(OR($A1979="",$B1979=""),"",IF($I1979&lt;&gt;"",$I1979,IF($D1979=本位币,1,IFERROR(LOOKUP(2,1/((汇率月份&lt;=$A1979)*(INDEX(记账汇率区,0,MATCH($D1979,汇率币种头,0))&lt;&gt;"")),INDEX(记账汇率区,0,MATCH($D1979,汇率币种头,0))),""))))</f>
        <v/>
      </c>
      <c r="K1979" s="23" t="str">
        <f t="shared" si="60"/>
        <v/>
      </c>
      <c r="L1979" s="23" t="str">
        <f t="shared" si="61"/>
        <v/>
      </c>
      <c r="M1979" s="23" t="str">
        <f>IF($B1979="","",ROUND(SUMIF(账户名,$B1979,账户期初)+SUMIFS($K$6:K1979,$B$6:B1979,$B1979),2))</f>
        <v/>
      </c>
      <c r="N1979" s="23" t="str">
        <f>IF($B1979="","",IFERROR(ROUND(INDEX(账户期初本位,MATCH($B1979,账户名,0))+SUMIFS($L$6:L1979,$B$6:B1979,$B1979),2),""))</f>
        <v/>
      </c>
      <c r="O1979" s="46"/>
      <c r="P1979" s="47"/>
      <c r="Q1979" s="46"/>
      <c r="R1979" s="46"/>
      <c r="S1979" s="6" t="str">
        <f>IF($B1979="","",IF(ISNA(MATCH($B1979,账户名,0)),"※这个账户不在【参数设置】的账户档案里",IF($A1979="","※没填日期，这一笔不会进任何月份的报表",IF(AND($G1979&lt;&gt;"",$H1979&lt;&gt;""),"※收入和支出不能同时填",IF(AND(N($G1979)=0,N($H1979)=0),"※收入和支出都没填",IF($E1979="","※没填收支类别，分类报表会漏掉这一笔",IF(ISNA(MATCH($E1979,类别表,0)),"※收支类别不在【参数设置】的清单里",IF($J1979="","△"&amp;$D1979&amp;" 还没填汇率，去【月度汇率】补上就自动算了",IF(YEAR($A1979)&lt;&gt;管理年度,"△不是管理年度的单据，年报里看不到",IF(AND($F1979="内部转账",$Q1979=""),"△内部转账建议在「往来单位」写上对方账户",IF($M1979&lt;0,"△这一笔之后该账户余额成负数了，核一下","")))))))))))</f>
        <v/>
      </c>
    </row>
    <row r="1980" ht="16.5" spans="1:19">
      <c r="A1980" s="45"/>
      <c r="B1980" s="46"/>
      <c r="C1980" s="12" t="str">
        <f>IF($B1980="","",IFERROR(INDEX(账户银行,MATCH($B1980,账户名,0)),""))</f>
        <v/>
      </c>
      <c r="D1980" s="12" t="str">
        <f>IF($B1980="","",IFERROR(INDEX(账户币种,MATCH($B1980,账户名,0)),""))</f>
        <v/>
      </c>
      <c r="E1980" s="47"/>
      <c r="F1980" s="12" t="str">
        <f>IF($E1980="","",IFERROR(INDEX(类别属性,MATCH($E1980,类别表,0)),""))</f>
        <v/>
      </c>
      <c r="G1980" s="48"/>
      <c r="H1980" s="48"/>
      <c r="I1980" s="49"/>
      <c r="J1980" s="24" t="str">
        <f>IF(OR($A1980="",$B1980=""),"",IF($I1980&lt;&gt;"",$I1980,IF($D1980=本位币,1,IFERROR(LOOKUP(2,1/((汇率月份&lt;=$A1980)*(INDEX(记账汇率区,0,MATCH($D1980,汇率币种头,0))&lt;&gt;"")),INDEX(记账汇率区,0,MATCH($D1980,汇率币种头,0))),""))))</f>
        <v/>
      </c>
      <c r="K1980" s="23" t="str">
        <f t="shared" si="60"/>
        <v/>
      </c>
      <c r="L1980" s="23" t="str">
        <f t="shared" si="61"/>
        <v/>
      </c>
      <c r="M1980" s="23" t="str">
        <f>IF($B1980="","",ROUND(SUMIF(账户名,$B1980,账户期初)+SUMIFS($K$6:K1980,$B$6:B1980,$B1980),2))</f>
        <v/>
      </c>
      <c r="N1980" s="23" t="str">
        <f>IF($B1980="","",IFERROR(ROUND(INDEX(账户期初本位,MATCH($B1980,账户名,0))+SUMIFS($L$6:L1980,$B$6:B1980,$B1980),2),""))</f>
        <v/>
      </c>
      <c r="O1980" s="46"/>
      <c r="P1980" s="47"/>
      <c r="Q1980" s="46"/>
      <c r="R1980" s="46"/>
      <c r="S1980" s="6" t="str">
        <f>IF($B1980="","",IF(ISNA(MATCH($B1980,账户名,0)),"※这个账户不在【参数设置】的账户档案里",IF($A1980="","※没填日期，这一笔不会进任何月份的报表",IF(AND($G1980&lt;&gt;"",$H1980&lt;&gt;""),"※收入和支出不能同时填",IF(AND(N($G1980)=0,N($H1980)=0),"※收入和支出都没填",IF($E1980="","※没填收支类别，分类报表会漏掉这一笔",IF(ISNA(MATCH($E1980,类别表,0)),"※收支类别不在【参数设置】的清单里",IF($J1980="","△"&amp;$D1980&amp;" 还没填汇率，去【月度汇率】补上就自动算了",IF(YEAR($A1980)&lt;&gt;管理年度,"△不是管理年度的单据，年报里看不到",IF(AND($F1980="内部转账",$Q1980=""),"△内部转账建议在「往来单位」写上对方账户",IF($M1980&lt;0,"△这一笔之后该账户余额成负数了，核一下","")))))))))))</f>
        <v/>
      </c>
    </row>
    <row r="1981" ht="16.5" spans="1:19">
      <c r="A1981" s="45"/>
      <c r="B1981" s="46"/>
      <c r="C1981" s="12" t="str">
        <f>IF($B1981="","",IFERROR(INDEX(账户银行,MATCH($B1981,账户名,0)),""))</f>
        <v/>
      </c>
      <c r="D1981" s="12" t="str">
        <f>IF($B1981="","",IFERROR(INDEX(账户币种,MATCH($B1981,账户名,0)),""))</f>
        <v/>
      </c>
      <c r="E1981" s="47"/>
      <c r="F1981" s="12" t="str">
        <f>IF($E1981="","",IFERROR(INDEX(类别属性,MATCH($E1981,类别表,0)),""))</f>
        <v/>
      </c>
      <c r="G1981" s="48"/>
      <c r="H1981" s="48"/>
      <c r="I1981" s="49"/>
      <c r="J1981" s="24" t="str">
        <f>IF(OR($A1981="",$B1981=""),"",IF($I1981&lt;&gt;"",$I1981,IF($D1981=本位币,1,IFERROR(LOOKUP(2,1/((汇率月份&lt;=$A1981)*(INDEX(记账汇率区,0,MATCH($D1981,汇率币种头,0))&lt;&gt;"")),INDEX(记账汇率区,0,MATCH($D1981,汇率币种头,0))),""))))</f>
        <v/>
      </c>
      <c r="K1981" s="23" t="str">
        <f t="shared" si="60"/>
        <v/>
      </c>
      <c r="L1981" s="23" t="str">
        <f t="shared" si="61"/>
        <v/>
      </c>
      <c r="M1981" s="23" t="str">
        <f>IF($B1981="","",ROUND(SUMIF(账户名,$B1981,账户期初)+SUMIFS($K$6:K1981,$B$6:B1981,$B1981),2))</f>
        <v/>
      </c>
      <c r="N1981" s="23" t="str">
        <f>IF($B1981="","",IFERROR(ROUND(INDEX(账户期初本位,MATCH($B1981,账户名,0))+SUMIFS($L$6:L1981,$B$6:B1981,$B1981),2),""))</f>
        <v/>
      </c>
      <c r="O1981" s="46"/>
      <c r="P1981" s="47"/>
      <c r="Q1981" s="46"/>
      <c r="R1981" s="46"/>
      <c r="S1981" s="6" t="str">
        <f>IF($B1981="","",IF(ISNA(MATCH($B1981,账户名,0)),"※这个账户不在【参数设置】的账户档案里",IF($A1981="","※没填日期，这一笔不会进任何月份的报表",IF(AND($G1981&lt;&gt;"",$H1981&lt;&gt;""),"※收入和支出不能同时填",IF(AND(N($G1981)=0,N($H1981)=0),"※收入和支出都没填",IF($E1981="","※没填收支类别，分类报表会漏掉这一笔",IF(ISNA(MATCH($E1981,类别表,0)),"※收支类别不在【参数设置】的清单里",IF($J1981="","△"&amp;$D1981&amp;" 还没填汇率，去【月度汇率】补上就自动算了",IF(YEAR($A1981)&lt;&gt;管理年度,"△不是管理年度的单据，年报里看不到",IF(AND($F1981="内部转账",$Q1981=""),"△内部转账建议在「往来单位」写上对方账户",IF($M1981&lt;0,"△这一笔之后该账户余额成负数了，核一下","")))))))))))</f>
        <v/>
      </c>
    </row>
    <row r="1982" ht="16.5" spans="1:19">
      <c r="A1982" s="45"/>
      <c r="B1982" s="46"/>
      <c r="C1982" s="12" t="str">
        <f>IF($B1982="","",IFERROR(INDEX(账户银行,MATCH($B1982,账户名,0)),""))</f>
        <v/>
      </c>
      <c r="D1982" s="12" t="str">
        <f>IF($B1982="","",IFERROR(INDEX(账户币种,MATCH($B1982,账户名,0)),""))</f>
        <v/>
      </c>
      <c r="E1982" s="47"/>
      <c r="F1982" s="12" t="str">
        <f>IF($E1982="","",IFERROR(INDEX(类别属性,MATCH($E1982,类别表,0)),""))</f>
        <v/>
      </c>
      <c r="G1982" s="48"/>
      <c r="H1982" s="48"/>
      <c r="I1982" s="49"/>
      <c r="J1982" s="24" t="str">
        <f>IF(OR($A1982="",$B1982=""),"",IF($I1982&lt;&gt;"",$I1982,IF($D1982=本位币,1,IFERROR(LOOKUP(2,1/((汇率月份&lt;=$A1982)*(INDEX(记账汇率区,0,MATCH($D1982,汇率币种头,0))&lt;&gt;"")),INDEX(记账汇率区,0,MATCH($D1982,汇率币种头,0))),""))))</f>
        <v/>
      </c>
      <c r="K1982" s="23" t="str">
        <f t="shared" si="60"/>
        <v/>
      </c>
      <c r="L1982" s="23" t="str">
        <f t="shared" si="61"/>
        <v/>
      </c>
      <c r="M1982" s="23" t="str">
        <f>IF($B1982="","",ROUND(SUMIF(账户名,$B1982,账户期初)+SUMIFS($K$6:K1982,$B$6:B1982,$B1982),2))</f>
        <v/>
      </c>
      <c r="N1982" s="23" t="str">
        <f>IF($B1982="","",IFERROR(ROUND(INDEX(账户期初本位,MATCH($B1982,账户名,0))+SUMIFS($L$6:L1982,$B$6:B1982,$B1982),2),""))</f>
        <v/>
      </c>
      <c r="O1982" s="46"/>
      <c r="P1982" s="47"/>
      <c r="Q1982" s="46"/>
      <c r="R1982" s="46"/>
      <c r="S1982" s="6" t="str">
        <f>IF($B1982="","",IF(ISNA(MATCH($B1982,账户名,0)),"※这个账户不在【参数设置】的账户档案里",IF($A1982="","※没填日期，这一笔不会进任何月份的报表",IF(AND($G1982&lt;&gt;"",$H1982&lt;&gt;""),"※收入和支出不能同时填",IF(AND(N($G1982)=0,N($H1982)=0),"※收入和支出都没填",IF($E1982="","※没填收支类别，分类报表会漏掉这一笔",IF(ISNA(MATCH($E1982,类别表,0)),"※收支类别不在【参数设置】的清单里",IF($J1982="","△"&amp;$D1982&amp;" 还没填汇率，去【月度汇率】补上就自动算了",IF(YEAR($A1982)&lt;&gt;管理年度,"△不是管理年度的单据，年报里看不到",IF(AND($F1982="内部转账",$Q1982=""),"△内部转账建议在「往来单位」写上对方账户",IF($M1982&lt;0,"△这一笔之后该账户余额成负数了，核一下","")))))))))))</f>
        <v/>
      </c>
    </row>
    <row r="1983" ht="16.5" spans="1:19">
      <c r="A1983" s="45"/>
      <c r="B1983" s="46"/>
      <c r="C1983" s="12" t="str">
        <f>IF($B1983="","",IFERROR(INDEX(账户银行,MATCH($B1983,账户名,0)),""))</f>
        <v/>
      </c>
      <c r="D1983" s="12" t="str">
        <f>IF($B1983="","",IFERROR(INDEX(账户币种,MATCH($B1983,账户名,0)),""))</f>
        <v/>
      </c>
      <c r="E1983" s="47"/>
      <c r="F1983" s="12" t="str">
        <f>IF($E1983="","",IFERROR(INDEX(类别属性,MATCH($E1983,类别表,0)),""))</f>
        <v/>
      </c>
      <c r="G1983" s="48"/>
      <c r="H1983" s="48"/>
      <c r="I1983" s="49"/>
      <c r="J1983" s="24" t="str">
        <f>IF(OR($A1983="",$B1983=""),"",IF($I1983&lt;&gt;"",$I1983,IF($D1983=本位币,1,IFERROR(LOOKUP(2,1/((汇率月份&lt;=$A1983)*(INDEX(记账汇率区,0,MATCH($D1983,汇率币种头,0))&lt;&gt;"")),INDEX(记账汇率区,0,MATCH($D1983,汇率币种头,0))),""))))</f>
        <v/>
      </c>
      <c r="K1983" s="23" t="str">
        <f t="shared" si="60"/>
        <v/>
      </c>
      <c r="L1983" s="23" t="str">
        <f t="shared" si="61"/>
        <v/>
      </c>
      <c r="M1983" s="23" t="str">
        <f>IF($B1983="","",ROUND(SUMIF(账户名,$B1983,账户期初)+SUMIFS($K$6:K1983,$B$6:B1983,$B1983),2))</f>
        <v/>
      </c>
      <c r="N1983" s="23" t="str">
        <f>IF($B1983="","",IFERROR(ROUND(INDEX(账户期初本位,MATCH($B1983,账户名,0))+SUMIFS($L$6:L1983,$B$6:B1983,$B1983),2),""))</f>
        <v/>
      </c>
      <c r="O1983" s="46"/>
      <c r="P1983" s="47"/>
      <c r="Q1983" s="46"/>
      <c r="R1983" s="46"/>
      <c r="S1983" s="6" t="str">
        <f>IF($B1983="","",IF(ISNA(MATCH($B1983,账户名,0)),"※这个账户不在【参数设置】的账户档案里",IF($A1983="","※没填日期，这一笔不会进任何月份的报表",IF(AND($G1983&lt;&gt;"",$H1983&lt;&gt;""),"※收入和支出不能同时填",IF(AND(N($G1983)=0,N($H1983)=0),"※收入和支出都没填",IF($E1983="","※没填收支类别，分类报表会漏掉这一笔",IF(ISNA(MATCH($E1983,类别表,0)),"※收支类别不在【参数设置】的清单里",IF($J1983="","△"&amp;$D1983&amp;" 还没填汇率，去【月度汇率】补上就自动算了",IF(YEAR($A1983)&lt;&gt;管理年度,"△不是管理年度的单据，年报里看不到",IF(AND($F1983="内部转账",$Q1983=""),"△内部转账建议在「往来单位」写上对方账户",IF($M1983&lt;0,"△这一笔之后该账户余额成负数了，核一下","")))))))))))</f>
        <v/>
      </c>
    </row>
    <row r="1984" ht="16.5" spans="1:19">
      <c r="A1984" s="45"/>
      <c r="B1984" s="46"/>
      <c r="C1984" s="12" t="str">
        <f>IF($B1984="","",IFERROR(INDEX(账户银行,MATCH($B1984,账户名,0)),""))</f>
        <v/>
      </c>
      <c r="D1984" s="12" t="str">
        <f>IF($B1984="","",IFERROR(INDEX(账户币种,MATCH($B1984,账户名,0)),""))</f>
        <v/>
      </c>
      <c r="E1984" s="47"/>
      <c r="F1984" s="12" t="str">
        <f>IF($E1984="","",IFERROR(INDEX(类别属性,MATCH($E1984,类别表,0)),""))</f>
        <v/>
      </c>
      <c r="G1984" s="48"/>
      <c r="H1984" s="48"/>
      <c r="I1984" s="49"/>
      <c r="J1984" s="24" t="str">
        <f>IF(OR($A1984="",$B1984=""),"",IF($I1984&lt;&gt;"",$I1984,IF($D1984=本位币,1,IFERROR(LOOKUP(2,1/((汇率月份&lt;=$A1984)*(INDEX(记账汇率区,0,MATCH($D1984,汇率币种头,0))&lt;&gt;"")),INDEX(记账汇率区,0,MATCH($D1984,汇率币种头,0))),""))))</f>
        <v/>
      </c>
      <c r="K1984" s="23" t="str">
        <f t="shared" si="60"/>
        <v/>
      </c>
      <c r="L1984" s="23" t="str">
        <f t="shared" si="61"/>
        <v/>
      </c>
      <c r="M1984" s="23" t="str">
        <f>IF($B1984="","",ROUND(SUMIF(账户名,$B1984,账户期初)+SUMIFS($K$6:K1984,$B$6:B1984,$B1984),2))</f>
        <v/>
      </c>
      <c r="N1984" s="23" t="str">
        <f>IF($B1984="","",IFERROR(ROUND(INDEX(账户期初本位,MATCH($B1984,账户名,0))+SUMIFS($L$6:L1984,$B$6:B1984,$B1984),2),""))</f>
        <v/>
      </c>
      <c r="O1984" s="46"/>
      <c r="P1984" s="47"/>
      <c r="Q1984" s="46"/>
      <c r="R1984" s="46"/>
      <c r="S1984" s="6" t="str">
        <f>IF($B1984="","",IF(ISNA(MATCH($B1984,账户名,0)),"※这个账户不在【参数设置】的账户档案里",IF($A1984="","※没填日期，这一笔不会进任何月份的报表",IF(AND($G1984&lt;&gt;"",$H1984&lt;&gt;""),"※收入和支出不能同时填",IF(AND(N($G1984)=0,N($H1984)=0),"※收入和支出都没填",IF($E1984="","※没填收支类别，分类报表会漏掉这一笔",IF(ISNA(MATCH($E1984,类别表,0)),"※收支类别不在【参数设置】的清单里",IF($J1984="","△"&amp;$D1984&amp;" 还没填汇率，去【月度汇率】补上就自动算了",IF(YEAR($A1984)&lt;&gt;管理年度,"△不是管理年度的单据，年报里看不到",IF(AND($F1984="内部转账",$Q1984=""),"△内部转账建议在「往来单位」写上对方账户",IF($M1984&lt;0,"△这一笔之后该账户余额成负数了，核一下","")))))))))))</f>
        <v/>
      </c>
    </row>
    <row r="1985" ht="16.5" spans="1:19">
      <c r="A1985" s="45"/>
      <c r="B1985" s="46"/>
      <c r="C1985" s="12" t="str">
        <f>IF($B1985="","",IFERROR(INDEX(账户银行,MATCH($B1985,账户名,0)),""))</f>
        <v/>
      </c>
      <c r="D1985" s="12" t="str">
        <f>IF($B1985="","",IFERROR(INDEX(账户币种,MATCH($B1985,账户名,0)),""))</f>
        <v/>
      </c>
      <c r="E1985" s="47"/>
      <c r="F1985" s="12" t="str">
        <f>IF($E1985="","",IFERROR(INDEX(类别属性,MATCH($E1985,类别表,0)),""))</f>
        <v/>
      </c>
      <c r="G1985" s="48"/>
      <c r="H1985" s="48"/>
      <c r="I1985" s="49"/>
      <c r="J1985" s="24" t="str">
        <f>IF(OR($A1985="",$B1985=""),"",IF($I1985&lt;&gt;"",$I1985,IF($D1985=本位币,1,IFERROR(LOOKUP(2,1/((汇率月份&lt;=$A1985)*(INDEX(记账汇率区,0,MATCH($D1985,汇率币种头,0))&lt;&gt;"")),INDEX(记账汇率区,0,MATCH($D1985,汇率币种头,0))),""))))</f>
        <v/>
      </c>
      <c r="K1985" s="23" t="str">
        <f t="shared" si="60"/>
        <v/>
      </c>
      <c r="L1985" s="23" t="str">
        <f t="shared" si="61"/>
        <v/>
      </c>
      <c r="M1985" s="23" t="str">
        <f>IF($B1985="","",ROUND(SUMIF(账户名,$B1985,账户期初)+SUMIFS($K$6:K1985,$B$6:B1985,$B1985),2))</f>
        <v/>
      </c>
      <c r="N1985" s="23" t="str">
        <f>IF($B1985="","",IFERROR(ROUND(INDEX(账户期初本位,MATCH($B1985,账户名,0))+SUMIFS($L$6:L1985,$B$6:B1985,$B1985),2),""))</f>
        <v/>
      </c>
      <c r="O1985" s="46"/>
      <c r="P1985" s="47"/>
      <c r="Q1985" s="46"/>
      <c r="R1985" s="46"/>
      <c r="S1985" s="6" t="str">
        <f>IF($B1985="","",IF(ISNA(MATCH($B1985,账户名,0)),"※这个账户不在【参数设置】的账户档案里",IF($A1985="","※没填日期，这一笔不会进任何月份的报表",IF(AND($G1985&lt;&gt;"",$H1985&lt;&gt;""),"※收入和支出不能同时填",IF(AND(N($G1985)=0,N($H1985)=0),"※收入和支出都没填",IF($E1985="","※没填收支类别，分类报表会漏掉这一笔",IF(ISNA(MATCH($E1985,类别表,0)),"※收支类别不在【参数设置】的清单里",IF($J1985="","△"&amp;$D1985&amp;" 还没填汇率，去【月度汇率】补上就自动算了",IF(YEAR($A1985)&lt;&gt;管理年度,"△不是管理年度的单据，年报里看不到",IF(AND($F1985="内部转账",$Q1985=""),"△内部转账建议在「往来单位」写上对方账户",IF($M1985&lt;0,"△这一笔之后该账户余额成负数了，核一下","")))))))))))</f>
        <v/>
      </c>
    </row>
    <row r="1986" ht="16.5" spans="1:19">
      <c r="A1986" s="45"/>
      <c r="B1986" s="46"/>
      <c r="C1986" s="12" t="str">
        <f>IF($B1986="","",IFERROR(INDEX(账户银行,MATCH($B1986,账户名,0)),""))</f>
        <v/>
      </c>
      <c r="D1986" s="12" t="str">
        <f>IF($B1986="","",IFERROR(INDEX(账户币种,MATCH($B1986,账户名,0)),""))</f>
        <v/>
      </c>
      <c r="E1986" s="47"/>
      <c r="F1986" s="12" t="str">
        <f>IF($E1986="","",IFERROR(INDEX(类别属性,MATCH($E1986,类别表,0)),""))</f>
        <v/>
      </c>
      <c r="G1986" s="48"/>
      <c r="H1986" s="48"/>
      <c r="I1986" s="49"/>
      <c r="J1986" s="24" t="str">
        <f>IF(OR($A1986="",$B1986=""),"",IF($I1986&lt;&gt;"",$I1986,IF($D1986=本位币,1,IFERROR(LOOKUP(2,1/((汇率月份&lt;=$A1986)*(INDEX(记账汇率区,0,MATCH($D1986,汇率币种头,0))&lt;&gt;"")),INDEX(记账汇率区,0,MATCH($D1986,汇率币种头,0))),""))))</f>
        <v/>
      </c>
      <c r="K1986" s="23" t="str">
        <f t="shared" si="60"/>
        <v/>
      </c>
      <c r="L1986" s="23" t="str">
        <f t="shared" si="61"/>
        <v/>
      </c>
      <c r="M1986" s="23" t="str">
        <f>IF($B1986="","",ROUND(SUMIF(账户名,$B1986,账户期初)+SUMIFS($K$6:K1986,$B$6:B1986,$B1986),2))</f>
        <v/>
      </c>
      <c r="N1986" s="23" t="str">
        <f>IF($B1986="","",IFERROR(ROUND(INDEX(账户期初本位,MATCH($B1986,账户名,0))+SUMIFS($L$6:L1986,$B$6:B1986,$B1986),2),""))</f>
        <v/>
      </c>
      <c r="O1986" s="46"/>
      <c r="P1986" s="47"/>
      <c r="Q1986" s="46"/>
      <c r="R1986" s="46"/>
      <c r="S1986" s="6" t="str">
        <f>IF($B1986="","",IF(ISNA(MATCH($B1986,账户名,0)),"※这个账户不在【参数设置】的账户档案里",IF($A1986="","※没填日期，这一笔不会进任何月份的报表",IF(AND($G1986&lt;&gt;"",$H1986&lt;&gt;""),"※收入和支出不能同时填",IF(AND(N($G1986)=0,N($H1986)=0),"※收入和支出都没填",IF($E1986="","※没填收支类别，分类报表会漏掉这一笔",IF(ISNA(MATCH($E1986,类别表,0)),"※收支类别不在【参数设置】的清单里",IF($J1986="","△"&amp;$D1986&amp;" 还没填汇率，去【月度汇率】补上就自动算了",IF(YEAR($A1986)&lt;&gt;管理年度,"△不是管理年度的单据，年报里看不到",IF(AND($F1986="内部转账",$Q1986=""),"△内部转账建议在「往来单位」写上对方账户",IF($M1986&lt;0,"△这一笔之后该账户余额成负数了，核一下","")))))))))))</f>
        <v/>
      </c>
    </row>
    <row r="1987" ht="16.5" spans="1:19">
      <c r="A1987" s="45"/>
      <c r="B1987" s="46"/>
      <c r="C1987" s="12" t="str">
        <f>IF($B1987="","",IFERROR(INDEX(账户银行,MATCH($B1987,账户名,0)),""))</f>
        <v/>
      </c>
      <c r="D1987" s="12" t="str">
        <f>IF($B1987="","",IFERROR(INDEX(账户币种,MATCH($B1987,账户名,0)),""))</f>
        <v/>
      </c>
      <c r="E1987" s="47"/>
      <c r="F1987" s="12" t="str">
        <f>IF($E1987="","",IFERROR(INDEX(类别属性,MATCH($E1987,类别表,0)),""))</f>
        <v/>
      </c>
      <c r="G1987" s="48"/>
      <c r="H1987" s="48"/>
      <c r="I1987" s="49"/>
      <c r="J1987" s="24" t="str">
        <f>IF(OR($A1987="",$B1987=""),"",IF($I1987&lt;&gt;"",$I1987,IF($D1987=本位币,1,IFERROR(LOOKUP(2,1/((汇率月份&lt;=$A1987)*(INDEX(记账汇率区,0,MATCH($D1987,汇率币种头,0))&lt;&gt;"")),INDEX(记账汇率区,0,MATCH($D1987,汇率币种头,0))),""))))</f>
        <v/>
      </c>
      <c r="K1987" s="23" t="str">
        <f t="shared" si="60"/>
        <v/>
      </c>
      <c r="L1987" s="23" t="str">
        <f t="shared" si="61"/>
        <v/>
      </c>
      <c r="M1987" s="23" t="str">
        <f>IF($B1987="","",ROUND(SUMIF(账户名,$B1987,账户期初)+SUMIFS($K$6:K1987,$B$6:B1987,$B1987),2))</f>
        <v/>
      </c>
      <c r="N1987" s="23" t="str">
        <f>IF($B1987="","",IFERROR(ROUND(INDEX(账户期初本位,MATCH($B1987,账户名,0))+SUMIFS($L$6:L1987,$B$6:B1987,$B1987),2),""))</f>
        <v/>
      </c>
      <c r="O1987" s="46"/>
      <c r="P1987" s="47"/>
      <c r="Q1987" s="46"/>
      <c r="R1987" s="46"/>
      <c r="S1987" s="6" t="str">
        <f>IF($B1987="","",IF(ISNA(MATCH($B1987,账户名,0)),"※这个账户不在【参数设置】的账户档案里",IF($A1987="","※没填日期，这一笔不会进任何月份的报表",IF(AND($G1987&lt;&gt;"",$H1987&lt;&gt;""),"※收入和支出不能同时填",IF(AND(N($G1987)=0,N($H1987)=0),"※收入和支出都没填",IF($E1987="","※没填收支类别，分类报表会漏掉这一笔",IF(ISNA(MATCH($E1987,类别表,0)),"※收支类别不在【参数设置】的清单里",IF($J1987="","△"&amp;$D1987&amp;" 还没填汇率，去【月度汇率】补上就自动算了",IF(YEAR($A1987)&lt;&gt;管理年度,"△不是管理年度的单据，年报里看不到",IF(AND($F1987="内部转账",$Q1987=""),"△内部转账建议在「往来单位」写上对方账户",IF($M1987&lt;0,"△这一笔之后该账户余额成负数了，核一下","")))))))))))</f>
        <v/>
      </c>
    </row>
    <row r="1988" ht="16.5" spans="1:19">
      <c r="A1988" s="45"/>
      <c r="B1988" s="46"/>
      <c r="C1988" s="12" t="str">
        <f>IF($B1988="","",IFERROR(INDEX(账户银行,MATCH($B1988,账户名,0)),""))</f>
        <v/>
      </c>
      <c r="D1988" s="12" t="str">
        <f>IF($B1988="","",IFERROR(INDEX(账户币种,MATCH($B1988,账户名,0)),""))</f>
        <v/>
      </c>
      <c r="E1988" s="47"/>
      <c r="F1988" s="12" t="str">
        <f>IF($E1988="","",IFERROR(INDEX(类别属性,MATCH($E1988,类别表,0)),""))</f>
        <v/>
      </c>
      <c r="G1988" s="48"/>
      <c r="H1988" s="48"/>
      <c r="I1988" s="49"/>
      <c r="J1988" s="24" t="str">
        <f>IF(OR($A1988="",$B1988=""),"",IF($I1988&lt;&gt;"",$I1988,IF($D1988=本位币,1,IFERROR(LOOKUP(2,1/((汇率月份&lt;=$A1988)*(INDEX(记账汇率区,0,MATCH($D1988,汇率币种头,0))&lt;&gt;"")),INDEX(记账汇率区,0,MATCH($D1988,汇率币种头,0))),""))))</f>
        <v/>
      </c>
      <c r="K1988" s="23" t="str">
        <f t="shared" si="60"/>
        <v/>
      </c>
      <c r="L1988" s="23" t="str">
        <f t="shared" si="61"/>
        <v/>
      </c>
      <c r="M1988" s="23" t="str">
        <f>IF($B1988="","",ROUND(SUMIF(账户名,$B1988,账户期初)+SUMIFS($K$6:K1988,$B$6:B1988,$B1988),2))</f>
        <v/>
      </c>
      <c r="N1988" s="23" t="str">
        <f>IF($B1988="","",IFERROR(ROUND(INDEX(账户期初本位,MATCH($B1988,账户名,0))+SUMIFS($L$6:L1988,$B$6:B1988,$B1988),2),""))</f>
        <v/>
      </c>
      <c r="O1988" s="46"/>
      <c r="P1988" s="47"/>
      <c r="Q1988" s="46"/>
      <c r="R1988" s="46"/>
      <c r="S1988" s="6" t="str">
        <f>IF($B1988="","",IF(ISNA(MATCH($B1988,账户名,0)),"※这个账户不在【参数设置】的账户档案里",IF($A1988="","※没填日期，这一笔不会进任何月份的报表",IF(AND($G1988&lt;&gt;"",$H1988&lt;&gt;""),"※收入和支出不能同时填",IF(AND(N($G1988)=0,N($H1988)=0),"※收入和支出都没填",IF($E1988="","※没填收支类别，分类报表会漏掉这一笔",IF(ISNA(MATCH($E1988,类别表,0)),"※收支类别不在【参数设置】的清单里",IF($J1988="","△"&amp;$D1988&amp;" 还没填汇率，去【月度汇率】补上就自动算了",IF(YEAR($A1988)&lt;&gt;管理年度,"△不是管理年度的单据，年报里看不到",IF(AND($F1988="内部转账",$Q1988=""),"△内部转账建议在「往来单位」写上对方账户",IF($M1988&lt;0,"△这一笔之后该账户余额成负数了，核一下","")))))))))))</f>
        <v/>
      </c>
    </row>
    <row r="1989" ht="16.5" spans="1:19">
      <c r="A1989" s="45"/>
      <c r="B1989" s="46"/>
      <c r="C1989" s="12" t="str">
        <f>IF($B1989="","",IFERROR(INDEX(账户银行,MATCH($B1989,账户名,0)),""))</f>
        <v/>
      </c>
      <c r="D1989" s="12" t="str">
        <f>IF($B1989="","",IFERROR(INDEX(账户币种,MATCH($B1989,账户名,0)),""))</f>
        <v/>
      </c>
      <c r="E1989" s="47"/>
      <c r="F1989" s="12" t="str">
        <f>IF($E1989="","",IFERROR(INDEX(类别属性,MATCH($E1989,类别表,0)),""))</f>
        <v/>
      </c>
      <c r="G1989" s="48"/>
      <c r="H1989" s="48"/>
      <c r="I1989" s="49"/>
      <c r="J1989" s="24" t="str">
        <f>IF(OR($A1989="",$B1989=""),"",IF($I1989&lt;&gt;"",$I1989,IF($D1989=本位币,1,IFERROR(LOOKUP(2,1/((汇率月份&lt;=$A1989)*(INDEX(记账汇率区,0,MATCH($D1989,汇率币种头,0))&lt;&gt;"")),INDEX(记账汇率区,0,MATCH($D1989,汇率币种头,0))),""))))</f>
        <v/>
      </c>
      <c r="K1989" s="23" t="str">
        <f t="shared" si="60"/>
        <v/>
      </c>
      <c r="L1989" s="23" t="str">
        <f t="shared" si="61"/>
        <v/>
      </c>
      <c r="M1989" s="23" t="str">
        <f>IF($B1989="","",ROUND(SUMIF(账户名,$B1989,账户期初)+SUMIFS($K$6:K1989,$B$6:B1989,$B1989),2))</f>
        <v/>
      </c>
      <c r="N1989" s="23" t="str">
        <f>IF($B1989="","",IFERROR(ROUND(INDEX(账户期初本位,MATCH($B1989,账户名,0))+SUMIFS($L$6:L1989,$B$6:B1989,$B1989),2),""))</f>
        <v/>
      </c>
      <c r="O1989" s="46"/>
      <c r="P1989" s="47"/>
      <c r="Q1989" s="46"/>
      <c r="R1989" s="46"/>
      <c r="S1989" s="6" t="str">
        <f>IF($B1989="","",IF(ISNA(MATCH($B1989,账户名,0)),"※这个账户不在【参数设置】的账户档案里",IF($A1989="","※没填日期，这一笔不会进任何月份的报表",IF(AND($G1989&lt;&gt;"",$H1989&lt;&gt;""),"※收入和支出不能同时填",IF(AND(N($G1989)=0,N($H1989)=0),"※收入和支出都没填",IF($E1989="","※没填收支类别，分类报表会漏掉这一笔",IF(ISNA(MATCH($E1989,类别表,0)),"※收支类别不在【参数设置】的清单里",IF($J1989="","△"&amp;$D1989&amp;" 还没填汇率，去【月度汇率】补上就自动算了",IF(YEAR($A1989)&lt;&gt;管理年度,"△不是管理年度的单据，年报里看不到",IF(AND($F1989="内部转账",$Q1989=""),"△内部转账建议在「往来单位」写上对方账户",IF($M1989&lt;0,"△这一笔之后该账户余额成负数了，核一下","")))))))))))</f>
        <v/>
      </c>
    </row>
    <row r="1990" ht="16.5" spans="1:19">
      <c r="A1990" s="45"/>
      <c r="B1990" s="46"/>
      <c r="C1990" s="12" t="str">
        <f>IF($B1990="","",IFERROR(INDEX(账户银行,MATCH($B1990,账户名,0)),""))</f>
        <v/>
      </c>
      <c r="D1990" s="12" t="str">
        <f>IF($B1990="","",IFERROR(INDEX(账户币种,MATCH($B1990,账户名,0)),""))</f>
        <v/>
      </c>
      <c r="E1990" s="47"/>
      <c r="F1990" s="12" t="str">
        <f>IF($E1990="","",IFERROR(INDEX(类别属性,MATCH($E1990,类别表,0)),""))</f>
        <v/>
      </c>
      <c r="G1990" s="48"/>
      <c r="H1990" s="48"/>
      <c r="I1990" s="49"/>
      <c r="J1990" s="24" t="str">
        <f>IF(OR($A1990="",$B1990=""),"",IF($I1990&lt;&gt;"",$I1990,IF($D1990=本位币,1,IFERROR(LOOKUP(2,1/((汇率月份&lt;=$A1990)*(INDEX(记账汇率区,0,MATCH($D1990,汇率币种头,0))&lt;&gt;"")),INDEX(记账汇率区,0,MATCH($D1990,汇率币种头,0))),""))))</f>
        <v/>
      </c>
      <c r="K1990" s="23" t="str">
        <f t="shared" ref="K1990:K2005" si="62">IF(AND($G1990="",$H1990=""),"",ROUND(N($G1990)-N($H1990),2))</f>
        <v/>
      </c>
      <c r="L1990" s="23" t="str">
        <f t="shared" ref="L1990:L2005" si="63">IF(OR($K1990="",$J1990=""),"",ROUND($K1990*$J1990,2))</f>
        <v/>
      </c>
      <c r="M1990" s="23" t="str">
        <f>IF($B1990="","",ROUND(SUMIF(账户名,$B1990,账户期初)+SUMIFS($K$6:K1990,$B$6:B1990,$B1990),2))</f>
        <v/>
      </c>
      <c r="N1990" s="23" t="str">
        <f>IF($B1990="","",IFERROR(ROUND(INDEX(账户期初本位,MATCH($B1990,账户名,0))+SUMIFS($L$6:L1990,$B$6:B1990,$B1990),2),""))</f>
        <v/>
      </c>
      <c r="O1990" s="46"/>
      <c r="P1990" s="47"/>
      <c r="Q1990" s="46"/>
      <c r="R1990" s="46"/>
      <c r="S1990" s="6" t="str">
        <f>IF($B1990="","",IF(ISNA(MATCH($B1990,账户名,0)),"※这个账户不在【参数设置】的账户档案里",IF($A1990="","※没填日期，这一笔不会进任何月份的报表",IF(AND($G1990&lt;&gt;"",$H1990&lt;&gt;""),"※收入和支出不能同时填",IF(AND(N($G1990)=0,N($H1990)=0),"※收入和支出都没填",IF($E1990="","※没填收支类别，分类报表会漏掉这一笔",IF(ISNA(MATCH($E1990,类别表,0)),"※收支类别不在【参数设置】的清单里",IF($J1990="","△"&amp;$D1990&amp;" 还没填汇率，去【月度汇率】补上就自动算了",IF(YEAR($A1990)&lt;&gt;管理年度,"△不是管理年度的单据，年报里看不到",IF(AND($F1990="内部转账",$Q1990=""),"△内部转账建议在「往来单位」写上对方账户",IF($M1990&lt;0,"△这一笔之后该账户余额成负数了，核一下","")))))))))))</f>
        <v/>
      </c>
    </row>
    <row r="1991" ht="16.5" spans="1:19">
      <c r="A1991" s="45"/>
      <c r="B1991" s="46"/>
      <c r="C1991" s="12" t="str">
        <f>IF($B1991="","",IFERROR(INDEX(账户银行,MATCH($B1991,账户名,0)),""))</f>
        <v/>
      </c>
      <c r="D1991" s="12" t="str">
        <f>IF($B1991="","",IFERROR(INDEX(账户币种,MATCH($B1991,账户名,0)),""))</f>
        <v/>
      </c>
      <c r="E1991" s="47"/>
      <c r="F1991" s="12" t="str">
        <f>IF($E1991="","",IFERROR(INDEX(类别属性,MATCH($E1991,类别表,0)),""))</f>
        <v/>
      </c>
      <c r="G1991" s="48"/>
      <c r="H1991" s="48"/>
      <c r="I1991" s="49"/>
      <c r="J1991" s="24" t="str">
        <f>IF(OR($A1991="",$B1991=""),"",IF($I1991&lt;&gt;"",$I1991,IF($D1991=本位币,1,IFERROR(LOOKUP(2,1/((汇率月份&lt;=$A1991)*(INDEX(记账汇率区,0,MATCH($D1991,汇率币种头,0))&lt;&gt;"")),INDEX(记账汇率区,0,MATCH($D1991,汇率币种头,0))),""))))</f>
        <v/>
      </c>
      <c r="K1991" s="23" t="str">
        <f t="shared" si="62"/>
        <v/>
      </c>
      <c r="L1991" s="23" t="str">
        <f t="shared" si="63"/>
        <v/>
      </c>
      <c r="M1991" s="23" t="str">
        <f>IF($B1991="","",ROUND(SUMIF(账户名,$B1991,账户期初)+SUMIFS($K$6:K1991,$B$6:B1991,$B1991),2))</f>
        <v/>
      </c>
      <c r="N1991" s="23" t="str">
        <f>IF($B1991="","",IFERROR(ROUND(INDEX(账户期初本位,MATCH($B1991,账户名,0))+SUMIFS($L$6:L1991,$B$6:B1991,$B1991),2),""))</f>
        <v/>
      </c>
      <c r="O1991" s="46"/>
      <c r="P1991" s="47"/>
      <c r="Q1991" s="46"/>
      <c r="R1991" s="46"/>
      <c r="S1991" s="6" t="str">
        <f>IF($B1991="","",IF(ISNA(MATCH($B1991,账户名,0)),"※这个账户不在【参数设置】的账户档案里",IF($A1991="","※没填日期，这一笔不会进任何月份的报表",IF(AND($G1991&lt;&gt;"",$H1991&lt;&gt;""),"※收入和支出不能同时填",IF(AND(N($G1991)=0,N($H1991)=0),"※收入和支出都没填",IF($E1991="","※没填收支类别，分类报表会漏掉这一笔",IF(ISNA(MATCH($E1991,类别表,0)),"※收支类别不在【参数设置】的清单里",IF($J1991="","△"&amp;$D1991&amp;" 还没填汇率，去【月度汇率】补上就自动算了",IF(YEAR($A1991)&lt;&gt;管理年度,"△不是管理年度的单据，年报里看不到",IF(AND($F1991="内部转账",$Q1991=""),"△内部转账建议在「往来单位」写上对方账户",IF($M1991&lt;0,"△这一笔之后该账户余额成负数了，核一下","")))))))))))</f>
        <v/>
      </c>
    </row>
    <row r="1992" ht="16.5" spans="1:19">
      <c r="A1992" s="45"/>
      <c r="B1992" s="46"/>
      <c r="C1992" s="12" t="str">
        <f>IF($B1992="","",IFERROR(INDEX(账户银行,MATCH($B1992,账户名,0)),""))</f>
        <v/>
      </c>
      <c r="D1992" s="12" t="str">
        <f>IF($B1992="","",IFERROR(INDEX(账户币种,MATCH($B1992,账户名,0)),""))</f>
        <v/>
      </c>
      <c r="E1992" s="47"/>
      <c r="F1992" s="12" t="str">
        <f>IF($E1992="","",IFERROR(INDEX(类别属性,MATCH($E1992,类别表,0)),""))</f>
        <v/>
      </c>
      <c r="G1992" s="48"/>
      <c r="H1992" s="48"/>
      <c r="I1992" s="49"/>
      <c r="J1992" s="24" t="str">
        <f>IF(OR($A1992="",$B1992=""),"",IF($I1992&lt;&gt;"",$I1992,IF($D1992=本位币,1,IFERROR(LOOKUP(2,1/((汇率月份&lt;=$A1992)*(INDEX(记账汇率区,0,MATCH($D1992,汇率币种头,0))&lt;&gt;"")),INDEX(记账汇率区,0,MATCH($D1992,汇率币种头,0))),""))))</f>
        <v/>
      </c>
      <c r="K1992" s="23" t="str">
        <f t="shared" si="62"/>
        <v/>
      </c>
      <c r="L1992" s="23" t="str">
        <f t="shared" si="63"/>
        <v/>
      </c>
      <c r="M1992" s="23" t="str">
        <f>IF($B1992="","",ROUND(SUMIF(账户名,$B1992,账户期初)+SUMIFS($K$6:K1992,$B$6:B1992,$B1992),2))</f>
        <v/>
      </c>
      <c r="N1992" s="23" t="str">
        <f>IF($B1992="","",IFERROR(ROUND(INDEX(账户期初本位,MATCH($B1992,账户名,0))+SUMIFS($L$6:L1992,$B$6:B1992,$B1992),2),""))</f>
        <v/>
      </c>
      <c r="O1992" s="46"/>
      <c r="P1992" s="47"/>
      <c r="Q1992" s="46"/>
      <c r="R1992" s="46"/>
      <c r="S1992" s="6" t="str">
        <f>IF($B1992="","",IF(ISNA(MATCH($B1992,账户名,0)),"※这个账户不在【参数设置】的账户档案里",IF($A1992="","※没填日期，这一笔不会进任何月份的报表",IF(AND($G1992&lt;&gt;"",$H1992&lt;&gt;""),"※收入和支出不能同时填",IF(AND(N($G1992)=0,N($H1992)=0),"※收入和支出都没填",IF($E1992="","※没填收支类别，分类报表会漏掉这一笔",IF(ISNA(MATCH($E1992,类别表,0)),"※收支类别不在【参数设置】的清单里",IF($J1992="","△"&amp;$D1992&amp;" 还没填汇率，去【月度汇率】补上就自动算了",IF(YEAR($A1992)&lt;&gt;管理年度,"△不是管理年度的单据，年报里看不到",IF(AND($F1992="内部转账",$Q1992=""),"△内部转账建议在「往来单位」写上对方账户",IF($M1992&lt;0,"△这一笔之后该账户余额成负数了，核一下","")))))))))))</f>
        <v/>
      </c>
    </row>
    <row r="1993" ht="16.5" spans="1:19">
      <c r="A1993" s="45"/>
      <c r="B1993" s="46"/>
      <c r="C1993" s="12" t="str">
        <f>IF($B1993="","",IFERROR(INDEX(账户银行,MATCH($B1993,账户名,0)),""))</f>
        <v/>
      </c>
      <c r="D1993" s="12" t="str">
        <f>IF($B1993="","",IFERROR(INDEX(账户币种,MATCH($B1993,账户名,0)),""))</f>
        <v/>
      </c>
      <c r="E1993" s="47"/>
      <c r="F1993" s="12" t="str">
        <f>IF($E1993="","",IFERROR(INDEX(类别属性,MATCH($E1993,类别表,0)),""))</f>
        <v/>
      </c>
      <c r="G1993" s="48"/>
      <c r="H1993" s="48"/>
      <c r="I1993" s="49"/>
      <c r="J1993" s="24" t="str">
        <f>IF(OR($A1993="",$B1993=""),"",IF($I1993&lt;&gt;"",$I1993,IF($D1993=本位币,1,IFERROR(LOOKUP(2,1/((汇率月份&lt;=$A1993)*(INDEX(记账汇率区,0,MATCH($D1993,汇率币种头,0))&lt;&gt;"")),INDEX(记账汇率区,0,MATCH($D1993,汇率币种头,0))),""))))</f>
        <v/>
      </c>
      <c r="K1993" s="23" t="str">
        <f t="shared" si="62"/>
        <v/>
      </c>
      <c r="L1993" s="23" t="str">
        <f t="shared" si="63"/>
        <v/>
      </c>
      <c r="M1993" s="23" t="str">
        <f>IF($B1993="","",ROUND(SUMIF(账户名,$B1993,账户期初)+SUMIFS($K$6:K1993,$B$6:B1993,$B1993),2))</f>
        <v/>
      </c>
      <c r="N1993" s="23" t="str">
        <f>IF($B1993="","",IFERROR(ROUND(INDEX(账户期初本位,MATCH($B1993,账户名,0))+SUMIFS($L$6:L1993,$B$6:B1993,$B1993),2),""))</f>
        <v/>
      </c>
      <c r="O1993" s="46"/>
      <c r="P1993" s="47"/>
      <c r="Q1993" s="46"/>
      <c r="R1993" s="46"/>
      <c r="S1993" s="6" t="str">
        <f>IF($B1993="","",IF(ISNA(MATCH($B1993,账户名,0)),"※这个账户不在【参数设置】的账户档案里",IF($A1993="","※没填日期，这一笔不会进任何月份的报表",IF(AND($G1993&lt;&gt;"",$H1993&lt;&gt;""),"※收入和支出不能同时填",IF(AND(N($G1993)=0,N($H1993)=0),"※收入和支出都没填",IF($E1993="","※没填收支类别，分类报表会漏掉这一笔",IF(ISNA(MATCH($E1993,类别表,0)),"※收支类别不在【参数设置】的清单里",IF($J1993="","△"&amp;$D1993&amp;" 还没填汇率，去【月度汇率】补上就自动算了",IF(YEAR($A1993)&lt;&gt;管理年度,"△不是管理年度的单据，年报里看不到",IF(AND($F1993="内部转账",$Q1993=""),"△内部转账建议在「往来单位」写上对方账户",IF($M1993&lt;0,"△这一笔之后该账户余额成负数了，核一下","")))))))))))</f>
        <v/>
      </c>
    </row>
    <row r="1994" ht="16.5" spans="1:19">
      <c r="A1994" s="45"/>
      <c r="B1994" s="46"/>
      <c r="C1994" s="12" t="str">
        <f>IF($B1994="","",IFERROR(INDEX(账户银行,MATCH($B1994,账户名,0)),""))</f>
        <v/>
      </c>
      <c r="D1994" s="12" t="str">
        <f>IF($B1994="","",IFERROR(INDEX(账户币种,MATCH($B1994,账户名,0)),""))</f>
        <v/>
      </c>
      <c r="E1994" s="47"/>
      <c r="F1994" s="12" t="str">
        <f>IF($E1994="","",IFERROR(INDEX(类别属性,MATCH($E1994,类别表,0)),""))</f>
        <v/>
      </c>
      <c r="G1994" s="48"/>
      <c r="H1994" s="48"/>
      <c r="I1994" s="49"/>
      <c r="J1994" s="24" t="str">
        <f>IF(OR($A1994="",$B1994=""),"",IF($I1994&lt;&gt;"",$I1994,IF($D1994=本位币,1,IFERROR(LOOKUP(2,1/((汇率月份&lt;=$A1994)*(INDEX(记账汇率区,0,MATCH($D1994,汇率币种头,0))&lt;&gt;"")),INDEX(记账汇率区,0,MATCH($D1994,汇率币种头,0))),""))))</f>
        <v/>
      </c>
      <c r="K1994" s="23" t="str">
        <f t="shared" si="62"/>
        <v/>
      </c>
      <c r="L1994" s="23" t="str">
        <f t="shared" si="63"/>
        <v/>
      </c>
      <c r="M1994" s="23" t="str">
        <f>IF($B1994="","",ROUND(SUMIF(账户名,$B1994,账户期初)+SUMIFS($K$6:K1994,$B$6:B1994,$B1994),2))</f>
        <v/>
      </c>
      <c r="N1994" s="23" t="str">
        <f>IF($B1994="","",IFERROR(ROUND(INDEX(账户期初本位,MATCH($B1994,账户名,0))+SUMIFS($L$6:L1994,$B$6:B1994,$B1994),2),""))</f>
        <v/>
      </c>
      <c r="O1994" s="46"/>
      <c r="P1994" s="47"/>
      <c r="Q1994" s="46"/>
      <c r="R1994" s="46"/>
      <c r="S1994" s="6" t="str">
        <f>IF($B1994="","",IF(ISNA(MATCH($B1994,账户名,0)),"※这个账户不在【参数设置】的账户档案里",IF($A1994="","※没填日期，这一笔不会进任何月份的报表",IF(AND($G1994&lt;&gt;"",$H1994&lt;&gt;""),"※收入和支出不能同时填",IF(AND(N($G1994)=0,N($H1994)=0),"※收入和支出都没填",IF($E1994="","※没填收支类别，分类报表会漏掉这一笔",IF(ISNA(MATCH($E1994,类别表,0)),"※收支类别不在【参数设置】的清单里",IF($J1994="","△"&amp;$D1994&amp;" 还没填汇率，去【月度汇率】补上就自动算了",IF(YEAR($A1994)&lt;&gt;管理年度,"△不是管理年度的单据，年报里看不到",IF(AND($F1994="内部转账",$Q1994=""),"△内部转账建议在「往来单位」写上对方账户",IF($M1994&lt;0,"△这一笔之后该账户余额成负数了，核一下","")))))))))))</f>
        <v/>
      </c>
    </row>
    <row r="1995" ht="16.5" spans="1:19">
      <c r="A1995" s="45"/>
      <c r="B1995" s="46"/>
      <c r="C1995" s="12" t="str">
        <f>IF($B1995="","",IFERROR(INDEX(账户银行,MATCH($B1995,账户名,0)),""))</f>
        <v/>
      </c>
      <c r="D1995" s="12" t="str">
        <f>IF($B1995="","",IFERROR(INDEX(账户币种,MATCH($B1995,账户名,0)),""))</f>
        <v/>
      </c>
      <c r="E1995" s="47"/>
      <c r="F1995" s="12" t="str">
        <f>IF($E1995="","",IFERROR(INDEX(类别属性,MATCH($E1995,类别表,0)),""))</f>
        <v/>
      </c>
      <c r="G1995" s="48"/>
      <c r="H1995" s="48"/>
      <c r="I1995" s="49"/>
      <c r="J1995" s="24" t="str">
        <f>IF(OR($A1995="",$B1995=""),"",IF($I1995&lt;&gt;"",$I1995,IF($D1995=本位币,1,IFERROR(LOOKUP(2,1/((汇率月份&lt;=$A1995)*(INDEX(记账汇率区,0,MATCH($D1995,汇率币种头,0))&lt;&gt;"")),INDEX(记账汇率区,0,MATCH($D1995,汇率币种头,0))),""))))</f>
        <v/>
      </c>
      <c r="K1995" s="23" t="str">
        <f t="shared" si="62"/>
        <v/>
      </c>
      <c r="L1995" s="23" t="str">
        <f t="shared" si="63"/>
        <v/>
      </c>
      <c r="M1995" s="23" t="str">
        <f>IF($B1995="","",ROUND(SUMIF(账户名,$B1995,账户期初)+SUMIFS($K$6:K1995,$B$6:B1995,$B1995),2))</f>
        <v/>
      </c>
      <c r="N1995" s="23" t="str">
        <f>IF($B1995="","",IFERROR(ROUND(INDEX(账户期初本位,MATCH($B1995,账户名,0))+SUMIFS($L$6:L1995,$B$6:B1995,$B1995),2),""))</f>
        <v/>
      </c>
      <c r="O1995" s="46"/>
      <c r="P1995" s="47"/>
      <c r="Q1995" s="46"/>
      <c r="R1995" s="46"/>
      <c r="S1995" s="6" t="str">
        <f>IF($B1995="","",IF(ISNA(MATCH($B1995,账户名,0)),"※这个账户不在【参数设置】的账户档案里",IF($A1995="","※没填日期，这一笔不会进任何月份的报表",IF(AND($G1995&lt;&gt;"",$H1995&lt;&gt;""),"※收入和支出不能同时填",IF(AND(N($G1995)=0,N($H1995)=0),"※收入和支出都没填",IF($E1995="","※没填收支类别，分类报表会漏掉这一笔",IF(ISNA(MATCH($E1995,类别表,0)),"※收支类别不在【参数设置】的清单里",IF($J1995="","△"&amp;$D1995&amp;" 还没填汇率，去【月度汇率】补上就自动算了",IF(YEAR($A1995)&lt;&gt;管理年度,"△不是管理年度的单据，年报里看不到",IF(AND($F1995="内部转账",$Q1995=""),"△内部转账建议在「往来单位」写上对方账户",IF($M1995&lt;0,"△这一笔之后该账户余额成负数了，核一下","")))))))))))</f>
        <v/>
      </c>
    </row>
    <row r="1996" ht="16.5" spans="1:19">
      <c r="A1996" s="45"/>
      <c r="B1996" s="46"/>
      <c r="C1996" s="12" t="str">
        <f>IF($B1996="","",IFERROR(INDEX(账户银行,MATCH($B1996,账户名,0)),""))</f>
        <v/>
      </c>
      <c r="D1996" s="12" t="str">
        <f>IF($B1996="","",IFERROR(INDEX(账户币种,MATCH($B1996,账户名,0)),""))</f>
        <v/>
      </c>
      <c r="E1996" s="47"/>
      <c r="F1996" s="12" t="str">
        <f>IF($E1996="","",IFERROR(INDEX(类别属性,MATCH($E1996,类别表,0)),""))</f>
        <v/>
      </c>
      <c r="G1996" s="48"/>
      <c r="H1996" s="48"/>
      <c r="I1996" s="49"/>
      <c r="J1996" s="24" t="str">
        <f>IF(OR($A1996="",$B1996=""),"",IF($I1996&lt;&gt;"",$I1996,IF($D1996=本位币,1,IFERROR(LOOKUP(2,1/((汇率月份&lt;=$A1996)*(INDEX(记账汇率区,0,MATCH($D1996,汇率币种头,0))&lt;&gt;"")),INDEX(记账汇率区,0,MATCH($D1996,汇率币种头,0))),""))))</f>
        <v/>
      </c>
      <c r="K1996" s="23" t="str">
        <f t="shared" si="62"/>
        <v/>
      </c>
      <c r="L1996" s="23" t="str">
        <f t="shared" si="63"/>
        <v/>
      </c>
      <c r="M1996" s="23" t="str">
        <f>IF($B1996="","",ROUND(SUMIF(账户名,$B1996,账户期初)+SUMIFS($K$6:K1996,$B$6:B1996,$B1996),2))</f>
        <v/>
      </c>
      <c r="N1996" s="23" t="str">
        <f>IF($B1996="","",IFERROR(ROUND(INDEX(账户期初本位,MATCH($B1996,账户名,0))+SUMIFS($L$6:L1996,$B$6:B1996,$B1996),2),""))</f>
        <v/>
      </c>
      <c r="O1996" s="46"/>
      <c r="P1996" s="47"/>
      <c r="Q1996" s="46"/>
      <c r="R1996" s="46"/>
      <c r="S1996" s="6" t="str">
        <f>IF($B1996="","",IF(ISNA(MATCH($B1996,账户名,0)),"※这个账户不在【参数设置】的账户档案里",IF($A1996="","※没填日期，这一笔不会进任何月份的报表",IF(AND($G1996&lt;&gt;"",$H1996&lt;&gt;""),"※收入和支出不能同时填",IF(AND(N($G1996)=0,N($H1996)=0),"※收入和支出都没填",IF($E1996="","※没填收支类别，分类报表会漏掉这一笔",IF(ISNA(MATCH($E1996,类别表,0)),"※收支类别不在【参数设置】的清单里",IF($J1996="","△"&amp;$D1996&amp;" 还没填汇率，去【月度汇率】补上就自动算了",IF(YEAR($A1996)&lt;&gt;管理年度,"△不是管理年度的单据，年报里看不到",IF(AND($F1996="内部转账",$Q1996=""),"△内部转账建议在「往来单位」写上对方账户",IF($M1996&lt;0,"△这一笔之后该账户余额成负数了，核一下","")))))))))))</f>
        <v/>
      </c>
    </row>
    <row r="1997" ht="16.5" spans="1:19">
      <c r="A1997" s="45"/>
      <c r="B1997" s="46"/>
      <c r="C1997" s="12" t="str">
        <f>IF($B1997="","",IFERROR(INDEX(账户银行,MATCH($B1997,账户名,0)),""))</f>
        <v/>
      </c>
      <c r="D1997" s="12" t="str">
        <f>IF($B1997="","",IFERROR(INDEX(账户币种,MATCH($B1997,账户名,0)),""))</f>
        <v/>
      </c>
      <c r="E1997" s="47"/>
      <c r="F1997" s="12" t="str">
        <f>IF($E1997="","",IFERROR(INDEX(类别属性,MATCH($E1997,类别表,0)),""))</f>
        <v/>
      </c>
      <c r="G1997" s="48"/>
      <c r="H1997" s="48"/>
      <c r="I1997" s="49"/>
      <c r="J1997" s="24" t="str">
        <f>IF(OR($A1997="",$B1997=""),"",IF($I1997&lt;&gt;"",$I1997,IF($D1997=本位币,1,IFERROR(LOOKUP(2,1/((汇率月份&lt;=$A1997)*(INDEX(记账汇率区,0,MATCH($D1997,汇率币种头,0))&lt;&gt;"")),INDEX(记账汇率区,0,MATCH($D1997,汇率币种头,0))),""))))</f>
        <v/>
      </c>
      <c r="K1997" s="23" t="str">
        <f t="shared" si="62"/>
        <v/>
      </c>
      <c r="L1997" s="23" t="str">
        <f t="shared" si="63"/>
        <v/>
      </c>
      <c r="M1997" s="23" t="str">
        <f>IF($B1997="","",ROUND(SUMIF(账户名,$B1997,账户期初)+SUMIFS($K$6:K1997,$B$6:B1997,$B1997),2))</f>
        <v/>
      </c>
      <c r="N1997" s="23" t="str">
        <f>IF($B1997="","",IFERROR(ROUND(INDEX(账户期初本位,MATCH($B1997,账户名,0))+SUMIFS($L$6:L1997,$B$6:B1997,$B1997),2),""))</f>
        <v/>
      </c>
      <c r="O1997" s="46"/>
      <c r="P1997" s="47"/>
      <c r="Q1997" s="46"/>
      <c r="R1997" s="46"/>
      <c r="S1997" s="6" t="str">
        <f>IF($B1997="","",IF(ISNA(MATCH($B1997,账户名,0)),"※这个账户不在【参数设置】的账户档案里",IF($A1997="","※没填日期，这一笔不会进任何月份的报表",IF(AND($G1997&lt;&gt;"",$H1997&lt;&gt;""),"※收入和支出不能同时填",IF(AND(N($G1997)=0,N($H1997)=0),"※收入和支出都没填",IF($E1997="","※没填收支类别，分类报表会漏掉这一笔",IF(ISNA(MATCH($E1997,类别表,0)),"※收支类别不在【参数设置】的清单里",IF($J1997="","△"&amp;$D1997&amp;" 还没填汇率，去【月度汇率】补上就自动算了",IF(YEAR($A1997)&lt;&gt;管理年度,"△不是管理年度的单据，年报里看不到",IF(AND($F1997="内部转账",$Q1997=""),"△内部转账建议在「往来单位」写上对方账户",IF($M1997&lt;0,"△这一笔之后该账户余额成负数了，核一下","")))))))))))</f>
        <v/>
      </c>
    </row>
    <row r="1998" ht="16.5" spans="1:19">
      <c r="A1998" s="45"/>
      <c r="B1998" s="46"/>
      <c r="C1998" s="12" t="str">
        <f>IF($B1998="","",IFERROR(INDEX(账户银行,MATCH($B1998,账户名,0)),""))</f>
        <v/>
      </c>
      <c r="D1998" s="12" t="str">
        <f>IF($B1998="","",IFERROR(INDEX(账户币种,MATCH($B1998,账户名,0)),""))</f>
        <v/>
      </c>
      <c r="E1998" s="47"/>
      <c r="F1998" s="12" t="str">
        <f>IF($E1998="","",IFERROR(INDEX(类别属性,MATCH($E1998,类别表,0)),""))</f>
        <v/>
      </c>
      <c r="G1998" s="48"/>
      <c r="H1998" s="48"/>
      <c r="I1998" s="49"/>
      <c r="J1998" s="24" t="str">
        <f>IF(OR($A1998="",$B1998=""),"",IF($I1998&lt;&gt;"",$I1998,IF($D1998=本位币,1,IFERROR(LOOKUP(2,1/((汇率月份&lt;=$A1998)*(INDEX(记账汇率区,0,MATCH($D1998,汇率币种头,0))&lt;&gt;"")),INDEX(记账汇率区,0,MATCH($D1998,汇率币种头,0))),""))))</f>
        <v/>
      </c>
      <c r="K1998" s="23" t="str">
        <f t="shared" si="62"/>
        <v/>
      </c>
      <c r="L1998" s="23" t="str">
        <f t="shared" si="63"/>
        <v/>
      </c>
      <c r="M1998" s="23" t="str">
        <f>IF($B1998="","",ROUND(SUMIF(账户名,$B1998,账户期初)+SUMIFS($K$6:K1998,$B$6:B1998,$B1998),2))</f>
        <v/>
      </c>
      <c r="N1998" s="23" t="str">
        <f>IF($B1998="","",IFERROR(ROUND(INDEX(账户期初本位,MATCH($B1998,账户名,0))+SUMIFS($L$6:L1998,$B$6:B1998,$B1998),2),""))</f>
        <v/>
      </c>
      <c r="O1998" s="46"/>
      <c r="P1998" s="47"/>
      <c r="Q1998" s="46"/>
      <c r="R1998" s="46"/>
      <c r="S1998" s="6" t="str">
        <f>IF($B1998="","",IF(ISNA(MATCH($B1998,账户名,0)),"※这个账户不在【参数设置】的账户档案里",IF($A1998="","※没填日期，这一笔不会进任何月份的报表",IF(AND($G1998&lt;&gt;"",$H1998&lt;&gt;""),"※收入和支出不能同时填",IF(AND(N($G1998)=0,N($H1998)=0),"※收入和支出都没填",IF($E1998="","※没填收支类别，分类报表会漏掉这一笔",IF(ISNA(MATCH($E1998,类别表,0)),"※收支类别不在【参数设置】的清单里",IF($J1998="","△"&amp;$D1998&amp;" 还没填汇率，去【月度汇率】补上就自动算了",IF(YEAR($A1998)&lt;&gt;管理年度,"△不是管理年度的单据，年报里看不到",IF(AND($F1998="内部转账",$Q1998=""),"△内部转账建议在「往来单位」写上对方账户",IF($M1998&lt;0,"△这一笔之后该账户余额成负数了，核一下","")))))))))))</f>
        <v/>
      </c>
    </row>
    <row r="1999" ht="16.5" spans="1:19">
      <c r="A1999" s="45"/>
      <c r="B1999" s="46"/>
      <c r="C1999" s="12" t="str">
        <f>IF($B1999="","",IFERROR(INDEX(账户银行,MATCH($B1999,账户名,0)),""))</f>
        <v/>
      </c>
      <c r="D1999" s="12" t="str">
        <f>IF($B1999="","",IFERROR(INDEX(账户币种,MATCH($B1999,账户名,0)),""))</f>
        <v/>
      </c>
      <c r="E1999" s="47"/>
      <c r="F1999" s="12" t="str">
        <f>IF($E1999="","",IFERROR(INDEX(类别属性,MATCH($E1999,类别表,0)),""))</f>
        <v/>
      </c>
      <c r="G1999" s="48"/>
      <c r="H1999" s="48"/>
      <c r="I1999" s="49"/>
      <c r="J1999" s="24" t="str">
        <f>IF(OR($A1999="",$B1999=""),"",IF($I1999&lt;&gt;"",$I1999,IF($D1999=本位币,1,IFERROR(LOOKUP(2,1/((汇率月份&lt;=$A1999)*(INDEX(记账汇率区,0,MATCH($D1999,汇率币种头,0))&lt;&gt;"")),INDEX(记账汇率区,0,MATCH($D1999,汇率币种头,0))),""))))</f>
        <v/>
      </c>
      <c r="K1999" s="23" t="str">
        <f t="shared" si="62"/>
        <v/>
      </c>
      <c r="L1999" s="23" t="str">
        <f t="shared" si="63"/>
        <v/>
      </c>
      <c r="M1999" s="23" t="str">
        <f>IF($B1999="","",ROUND(SUMIF(账户名,$B1999,账户期初)+SUMIFS($K$6:K1999,$B$6:B1999,$B1999),2))</f>
        <v/>
      </c>
      <c r="N1999" s="23" t="str">
        <f>IF($B1999="","",IFERROR(ROUND(INDEX(账户期初本位,MATCH($B1999,账户名,0))+SUMIFS($L$6:L1999,$B$6:B1999,$B1999),2),""))</f>
        <v/>
      </c>
      <c r="O1999" s="46"/>
      <c r="P1999" s="47"/>
      <c r="Q1999" s="46"/>
      <c r="R1999" s="46"/>
      <c r="S1999" s="6" t="str">
        <f>IF($B1999="","",IF(ISNA(MATCH($B1999,账户名,0)),"※这个账户不在【参数设置】的账户档案里",IF($A1999="","※没填日期，这一笔不会进任何月份的报表",IF(AND($G1999&lt;&gt;"",$H1999&lt;&gt;""),"※收入和支出不能同时填",IF(AND(N($G1999)=0,N($H1999)=0),"※收入和支出都没填",IF($E1999="","※没填收支类别，分类报表会漏掉这一笔",IF(ISNA(MATCH($E1999,类别表,0)),"※收支类别不在【参数设置】的清单里",IF($J1999="","△"&amp;$D1999&amp;" 还没填汇率，去【月度汇率】补上就自动算了",IF(YEAR($A1999)&lt;&gt;管理年度,"△不是管理年度的单据，年报里看不到",IF(AND($F1999="内部转账",$Q1999=""),"△内部转账建议在「往来单位」写上对方账户",IF($M1999&lt;0,"△这一笔之后该账户余额成负数了，核一下","")))))))))))</f>
        <v/>
      </c>
    </row>
    <row r="2000" ht="16.5" spans="1:19">
      <c r="A2000" s="45"/>
      <c r="B2000" s="46"/>
      <c r="C2000" s="12" t="str">
        <f>IF($B2000="","",IFERROR(INDEX(账户银行,MATCH($B2000,账户名,0)),""))</f>
        <v/>
      </c>
      <c r="D2000" s="12" t="str">
        <f>IF($B2000="","",IFERROR(INDEX(账户币种,MATCH($B2000,账户名,0)),""))</f>
        <v/>
      </c>
      <c r="E2000" s="47"/>
      <c r="F2000" s="12" t="str">
        <f>IF($E2000="","",IFERROR(INDEX(类别属性,MATCH($E2000,类别表,0)),""))</f>
        <v/>
      </c>
      <c r="G2000" s="48"/>
      <c r="H2000" s="48"/>
      <c r="I2000" s="49"/>
      <c r="J2000" s="24" t="str">
        <f>IF(OR($A2000="",$B2000=""),"",IF($I2000&lt;&gt;"",$I2000,IF($D2000=本位币,1,IFERROR(LOOKUP(2,1/((汇率月份&lt;=$A2000)*(INDEX(记账汇率区,0,MATCH($D2000,汇率币种头,0))&lt;&gt;"")),INDEX(记账汇率区,0,MATCH($D2000,汇率币种头,0))),""))))</f>
        <v/>
      </c>
      <c r="K2000" s="23" t="str">
        <f t="shared" si="62"/>
        <v/>
      </c>
      <c r="L2000" s="23" t="str">
        <f t="shared" si="63"/>
        <v/>
      </c>
      <c r="M2000" s="23" t="str">
        <f>IF($B2000="","",ROUND(SUMIF(账户名,$B2000,账户期初)+SUMIFS($K$6:K2000,$B$6:B2000,$B2000),2))</f>
        <v/>
      </c>
      <c r="N2000" s="23" t="str">
        <f>IF($B2000="","",IFERROR(ROUND(INDEX(账户期初本位,MATCH($B2000,账户名,0))+SUMIFS($L$6:L2000,$B$6:B2000,$B2000),2),""))</f>
        <v/>
      </c>
      <c r="O2000" s="46"/>
      <c r="P2000" s="47"/>
      <c r="Q2000" s="46"/>
      <c r="R2000" s="46"/>
      <c r="S2000" s="6" t="str">
        <f>IF($B2000="","",IF(ISNA(MATCH($B2000,账户名,0)),"※这个账户不在【参数设置】的账户档案里",IF($A2000="","※没填日期，这一笔不会进任何月份的报表",IF(AND($G2000&lt;&gt;"",$H2000&lt;&gt;""),"※收入和支出不能同时填",IF(AND(N($G2000)=0,N($H2000)=0),"※收入和支出都没填",IF($E2000="","※没填收支类别，分类报表会漏掉这一笔",IF(ISNA(MATCH($E2000,类别表,0)),"※收支类别不在【参数设置】的清单里",IF($J2000="","△"&amp;$D2000&amp;" 还没填汇率，去【月度汇率】补上就自动算了",IF(YEAR($A2000)&lt;&gt;管理年度,"△不是管理年度的单据，年报里看不到",IF(AND($F2000="内部转账",$Q2000=""),"△内部转账建议在「往来单位」写上对方账户",IF($M2000&lt;0,"△这一笔之后该账户余额成负数了，核一下","")))))))))))</f>
        <v/>
      </c>
    </row>
    <row r="2001" ht="16.5" spans="1:19">
      <c r="A2001" s="45"/>
      <c r="B2001" s="46"/>
      <c r="C2001" s="12" t="str">
        <f>IF($B2001="","",IFERROR(INDEX(账户银行,MATCH($B2001,账户名,0)),""))</f>
        <v/>
      </c>
      <c r="D2001" s="12" t="str">
        <f>IF($B2001="","",IFERROR(INDEX(账户币种,MATCH($B2001,账户名,0)),""))</f>
        <v/>
      </c>
      <c r="E2001" s="47"/>
      <c r="F2001" s="12" t="str">
        <f>IF($E2001="","",IFERROR(INDEX(类别属性,MATCH($E2001,类别表,0)),""))</f>
        <v/>
      </c>
      <c r="G2001" s="48"/>
      <c r="H2001" s="48"/>
      <c r="I2001" s="49"/>
      <c r="J2001" s="24" t="str">
        <f>IF(OR($A2001="",$B2001=""),"",IF($I2001&lt;&gt;"",$I2001,IF($D2001=本位币,1,IFERROR(LOOKUP(2,1/((汇率月份&lt;=$A2001)*(INDEX(记账汇率区,0,MATCH($D2001,汇率币种头,0))&lt;&gt;"")),INDEX(记账汇率区,0,MATCH($D2001,汇率币种头,0))),""))))</f>
        <v/>
      </c>
      <c r="K2001" s="23" t="str">
        <f t="shared" si="62"/>
        <v/>
      </c>
      <c r="L2001" s="23" t="str">
        <f t="shared" si="63"/>
        <v/>
      </c>
      <c r="M2001" s="23" t="str">
        <f>IF($B2001="","",ROUND(SUMIF(账户名,$B2001,账户期初)+SUMIFS($K$6:K2001,$B$6:B2001,$B2001),2))</f>
        <v/>
      </c>
      <c r="N2001" s="23" t="str">
        <f>IF($B2001="","",IFERROR(ROUND(INDEX(账户期初本位,MATCH($B2001,账户名,0))+SUMIFS($L$6:L2001,$B$6:B2001,$B2001),2),""))</f>
        <v/>
      </c>
      <c r="O2001" s="46"/>
      <c r="P2001" s="47"/>
      <c r="Q2001" s="46"/>
      <c r="R2001" s="46"/>
      <c r="S2001" s="6" t="str">
        <f>IF($B2001="","",IF(ISNA(MATCH($B2001,账户名,0)),"※这个账户不在【参数设置】的账户档案里",IF($A2001="","※没填日期，这一笔不会进任何月份的报表",IF(AND($G2001&lt;&gt;"",$H2001&lt;&gt;""),"※收入和支出不能同时填",IF(AND(N($G2001)=0,N($H2001)=0),"※收入和支出都没填",IF($E2001="","※没填收支类别，分类报表会漏掉这一笔",IF(ISNA(MATCH($E2001,类别表,0)),"※收支类别不在【参数设置】的清单里",IF($J2001="","△"&amp;$D2001&amp;" 还没填汇率，去【月度汇率】补上就自动算了",IF(YEAR($A2001)&lt;&gt;管理年度,"△不是管理年度的单据，年报里看不到",IF(AND($F2001="内部转账",$Q2001=""),"△内部转账建议在「往来单位」写上对方账户",IF($M2001&lt;0,"△这一笔之后该账户余额成负数了，核一下","")))))))))))</f>
        <v/>
      </c>
    </row>
    <row r="2002" ht="16.5" spans="1:19">
      <c r="A2002" s="45"/>
      <c r="B2002" s="46"/>
      <c r="C2002" s="12" t="str">
        <f>IF($B2002="","",IFERROR(INDEX(账户银行,MATCH($B2002,账户名,0)),""))</f>
        <v/>
      </c>
      <c r="D2002" s="12" t="str">
        <f>IF($B2002="","",IFERROR(INDEX(账户币种,MATCH($B2002,账户名,0)),""))</f>
        <v/>
      </c>
      <c r="E2002" s="47"/>
      <c r="F2002" s="12" t="str">
        <f>IF($E2002="","",IFERROR(INDEX(类别属性,MATCH($E2002,类别表,0)),""))</f>
        <v/>
      </c>
      <c r="G2002" s="48"/>
      <c r="H2002" s="48"/>
      <c r="I2002" s="49"/>
      <c r="J2002" s="24" t="str">
        <f>IF(OR($A2002="",$B2002=""),"",IF($I2002&lt;&gt;"",$I2002,IF($D2002=本位币,1,IFERROR(LOOKUP(2,1/((汇率月份&lt;=$A2002)*(INDEX(记账汇率区,0,MATCH($D2002,汇率币种头,0))&lt;&gt;"")),INDEX(记账汇率区,0,MATCH($D2002,汇率币种头,0))),""))))</f>
        <v/>
      </c>
      <c r="K2002" s="23" t="str">
        <f t="shared" si="62"/>
        <v/>
      </c>
      <c r="L2002" s="23" t="str">
        <f t="shared" si="63"/>
        <v/>
      </c>
      <c r="M2002" s="23" t="str">
        <f>IF($B2002="","",ROUND(SUMIF(账户名,$B2002,账户期初)+SUMIFS($K$6:K2002,$B$6:B2002,$B2002),2))</f>
        <v/>
      </c>
      <c r="N2002" s="23" t="str">
        <f>IF($B2002="","",IFERROR(ROUND(INDEX(账户期初本位,MATCH($B2002,账户名,0))+SUMIFS($L$6:L2002,$B$6:B2002,$B2002),2),""))</f>
        <v/>
      </c>
      <c r="O2002" s="46"/>
      <c r="P2002" s="47"/>
      <c r="Q2002" s="46"/>
      <c r="R2002" s="46"/>
      <c r="S2002" s="6" t="str">
        <f>IF($B2002="","",IF(ISNA(MATCH($B2002,账户名,0)),"※这个账户不在【参数设置】的账户档案里",IF($A2002="","※没填日期，这一笔不会进任何月份的报表",IF(AND($G2002&lt;&gt;"",$H2002&lt;&gt;""),"※收入和支出不能同时填",IF(AND(N($G2002)=0,N($H2002)=0),"※收入和支出都没填",IF($E2002="","※没填收支类别，分类报表会漏掉这一笔",IF(ISNA(MATCH($E2002,类别表,0)),"※收支类别不在【参数设置】的清单里",IF($J2002="","△"&amp;$D2002&amp;" 还没填汇率，去【月度汇率】补上就自动算了",IF(YEAR($A2002)&lt;&gt;管理年度,"△不是管理年度的单据，年报里看不到",IF(AND($F2002="内部转账",$Q2002=""),"△内部转账建议在「往来单位」写上对方账户",IF($M2002&lt;0,"△这一笔之后该账户余额成负数了，核一下","")))))))))))</f>
        <v/>
      </c>
    </row>
    <row r="2003" ht="16.5" spans="1:19">
      <c r="A2003" s="45"/>
      <c r="B2003" s="46"/>
      <c r="C2003" s="12" t="str">
        <f>IF($B2003="","",IFERROR(INDEX(账户银行,MATCH($B2003,账户名,0)),""))</f>
        <v/>
      </c>
      <c r="D2003" s="12" t="str">
        <f>IF($B2003="","",IFERROR(INDEX(账户币种,MATCH($B2003,账户名,0)),""))</f>
        <v/>
      </c>
      <c r="E2003" s="47"/>
      <c r="F2003" s="12" t="str">
        <f>IF($E2003="","",IFERROR(INDEX(类别属性,MATCH($E2003,类别表,0)),""))</f>
        <v/>
      </c>
      <c r="G2003" s="48"/>
      <c r="H2003" s="48"/>
      <c r="I2003" s="49"/>
      <c r="J2003" s="24" t="str">
        <f>IF(OR($A2003="",$B2003=""),"",IF($I2003&lt;&gt;"",$I2003,IF($D2003=本位币,1,IFERROR(LOOKUP(2,1/((汇率月份&lt;=$A2003)*(INDEX(记账汇率区,0,MATCH($D2003,汇率币种头,0))&lt;&gt;"")),INDEX(记账汇率区,0,MATCH($D2003,汇率币种头,0))),""))))</f>
        <v/>
      </c>
      <c r="K2003" s="23" t="str">
        <f t="shared" si="62"/>
        <v/>
      </c>
      <c r="L2003" s="23" t="str">
        <f t="shared" si="63"/>
        <v/>
      </c>
      <c r="M2003" s="23" t="str">
        <f>IF($B2003="","",ROUND(SUMIF(账户名,$B2003,账户期初)+SUMIFS($K$6:K2003,$B$6:B2003,$B2003),2))</f>
        <v/>
      </c>
      <c r="N2003" s="23" t="str">
        <f>IF($B2003="","",IFERROR(ROUND(INDEX(账户期初本位,MATCH($B2003,账户名,0))+SUMIFS($L$6:L2003,$B$6:B2003,$B2003),2),""))</f>
        <v/>
      </c>
      <c r="O2003" s="46"/>
      <c r="P2003" s="47"/>
      <c r="Q2003" s="46"/>
      <c r="R2003" s="46"/>
      <c r="S2003" s="6" t="str">
        <f>IF($B2003="","",IF(ISNA(MATCH($B2003,账户名,0)),"※这个账户不在【参数设置】的账户档案里",IF($A2003="","※没填日期，这一笔不会进任何月份的报表",IF(AND($G2003&lt;&gt;"",$H2003&lt;&gt;""),"※收入和支出不能同时填",IF(AND(N($G2003)=0,N($H2003)=0),"※收入和支出都没填",IF($E2003="","※没填收支类别，分类报表会漏掉这一笔",IF(ISNA(MATCH($E2003,类别表,0)),"※收支类别不在【参数设置】的清单里",IF($J2003="","△"&amp;$D2003&amp;" 还没填汇率，去【月度汇率】补上就自动算了",IF(YEAR($A2003)&lt;&gt;管理年度,"△不是管理年度的单据，年报里看不到",IF(AND($F2003="内部转账",$Q2003=""),"△内部转账建议在「往来单位」写上对方账户",IF($M2003&lt;0,"△这一笔之后该账户余额成负数了，核一下","")))))))))))</f>
        <v/>
      </c>
    </row>
    <row r="2004" ht="16.5" spans="1:19">
      <c r="A2004" s="45"/>
      <c r="B2004" s="46"/>
      <c r="C2004" s="12" t="str">
        <f>IF($B2004="","",IFERROR(INDEX(账户银行,MATCH($B2004,账户名,0)),""))</f>
        <v/>
      </c>
      <c r="D2004" s="12" t="str">
        <f>IF($B2004="","",IFERROR(INDEX(账户币种,MATCH($B2004,账户名,0)),""))</f>
        <v/>
      </c>
      <c r="E2004" s="47"/>
      <c r="F2004" s="12" t="str">
        <f>IF($E2004="","",IFERROR(INDEX(类别属性,MATCH($E2004,类别表,0)),""))</f>
        <v/>
      </c>
      <c r="G2004" s="48"/>
      <c r="H2004" s="48"/>
      <c r="I2004" s="49"/>
      <c r="J2004" s="24" t="str">
        <f>IF(OR($A2004="",$B2004=""),"",IF($I2004&lt;&gt;"",$I2004,IF($D2004=本位币,1,IFERROR(LOOKUP(2,1/((汇率月份&lt;=$A2004)*(INDEX(记账汇率区,0,MATCH($D2004,汇率币种头,0))&lt;&gt;"")),INDEX(记账汇率区,0,MATCH($D2004,汇率币种头,0))),""))))</f>
        <v/>
      </c>
      <c r="K2004" s="23" t="str">
        <f t="shared" si="62"/>
        <v/>
      </c>
      <c r="L2004" s="23" t="str">
        <f t="shared" si="63"/>
        <v/>
      </c>
      <c r="M2004" s="23" t="str">
        <f>IF($B2004="","",ROUND(SUMIF(账户名,$B2004,账户期初)+SUMIFS($K$6:K2004,$B$6:B2004,$B2004),2))</f>
        <v/>
      </c>
      <c r="N2004" s="23" t="str">
        <f>IF($B2004="","",IFERROR(ROUND(INDEX(账户期初本位,MATCH($B2004,账户名,0))+SUMIFS($L$6:L2004,$B$6:B2004,$B2004),2),""))</f>
        <v/>
      </c>
      <c r="O2004" s="46"/>
      <c r="P2004" s="47"/>
      <c r="Q2004" s="46"/>
      <c r="R2004" s="46"/>
      <c r="S2004" s="6" t="str">
        <f>IF($B2004="","",IF(ISNA(MATCH($B2004,账户名,0)),"※这个账户不在【参数设置】的账户档案里",IF($A2004="","※没填日期，这一笔不会进任何月份的报表",IF(AND($G2004&lt;&gt;"",$H2004&lt;&gt;""),"※收入和支出不能同时填",IF(AND(N($G2004)=0,N($H2004)=0),"※收入和支出都没填",IF($E2004="","※没填收支类别，分类报表会漏掉这一笔",IF(ISNA(MATCH($E2004,类别表,0)),"※收支类别不在【参数设置】的清单里",IF($J2004="","△"&amp;$D2004&amp;" 还没填汇率，去【月度汇率】补上就自动算了",IF(YEAR($A2004)&lt;&gt;管理年度,"△不是管理年度的单据，年报里看不到",IF(AND($F2004="内部转账",$Q2004=""),"△内部转账建议在「往来单位」写上对方账户",IF($M2004&lt;0,"△这一笔之后该账户余额成负数了，核一下","")))))))))))</f>
        <v/>
      </c>
    </row>
    <row r="2005" ht="16.5" spans="1:19">
      <c r="A2005" s="45"/>
      <c r="B2005" s="46"/>
      <c r="C2005" s="12" t="str">
        <f>IF($B2005="","",IFERROR(INDEX(账户银行,MATCH($B2005,账户名,0)),""))</f>
        <v/>
      </c>
      <c r="D2005" s="12" t="str">
        <f>IF($B2005="","",IFERROR(INDEX(账户币种,MATCH($B2005,账户名,0)),""))</f>
        <v/>
      </c>
      <c r="E2005" s="47"/>
      <c r="F2005" s="12" t="str">
        <f>IF($E2005="","",IFERROR(INDEX(类别属性,MATCH($E2005,类别表,0)),""))</f>
        <v/>
      </c>
      <c r="G2005" s="48"/>
      <c r="H2005" s="48"/>
      <c r="I2005" s="49"/>
      <c r="J2005" s="24" t="str">
        <f>IF(OR($A2005="",$B2005=""),"",IF($I2005&lt;&gt;"",$I2005,IF($D2005=本位币,1,IFERROR(LOOKUP(2,1/((汇率月份&lt;=$A2005)*(INDEX(记账汇率区,0,MATCH($D2005,汇率币种头,0))&lt;&gt;"")),INDEX(记账汇率区,0,MATCH($D2005,汇率币种头,0))),""))))</f>
        <v/>
      </c>
      <c r="K2005" s="23" t="str">
        <f t="shared" si="62"/>
        <v/>
      </c>
      <c r="L2005" s="23" t="str">
        <f t="shared" si="63"/>
        <v/>
      </c>
      <c r="M2005" s="23" t="str">
        <f>IF($B2005="","",ROUND(SUMIF(账户名,$B2005,账户期初)+SUMIFS($K$6:K2005,$B$6:B2005,$B2005),2))</f>
        <v/>
      </c>
      <c r="N2005" s="23" t="str">
        <f>IF($B2005="","",IFERROR(ROUND(INDEX(账户期初本位,MATCH($B2005,账户名,0))+SUMIFS($L$6:L2005,$B$6:B2005,$B2005),2),""))</f>
        <v/>
      </c>
      <c r="O2005" s="46"/>
      <c r="P2005" s="47"/>
      <c r="Q2005" s="46"/>
      <c r="R2005" s="46"/>
      <c r="S2005" s="6" t="str">
        <f>IF($B2005="","",IF(ISNA(MATCH($B2005,账户名,0)),"※这个账户不在【参数设置】的账户档案里",IF($A2005="","※没填日期，这一笔不会进任何月份的报表",IF(AND($G2005&lt;&gt;"",$H2005&lt;&gt;""),"※收入和支出不能同时填",IF(AND(N($G2005)=0,N($H2005)=0),"※收入和支出都没填",IF($E2005="","※没填收支类别，分类报表会漏掉这一笔",IF(ISNA(MATCH($E2005,类别表,0)),"※收支类别不在【参数设置】的清单里",IF($J2005="","△"&amp;$D2005&amp;" 还没填汇率，去【月度汇率】补上就自动算了",IF(YEAR($A2005)&lt;&gt;管理年度,"△不是管理年度的单据，年报里看不到",IF(AND($F2005="内部转账",$Q2005=""),"△内部转账建议在「往来单位」写上对方账户",IF($M2005&lt;0,"△这一笔之后该账户余额成负数了，核一下","")))))))))))</f>
        <v/>
      </c>
    </row>
  </sheetData>
  <autoFilter xmlns:etc="http://www.wps.cn/officeDocument/2017/etCustomData" ref="A5:S2005" etc:filterBottomFollowUsedRange="0">
    <extLst/>
  </autoFilter>
  <mergeCells count="2">
    <mergeCell ref="A1:S1"/>
    <mergeCell ref="A2:S2"/>
  </mergeCells>
  <conditionalFormatting sqref="M6:M2005">
    <cfRule type="expression" dxfId="1" priority="3">
      <formula>N(M6)&lt;0</formula>
    </cfRule>
  </conditionalFormatting>
  <conditionalFormatting sqref="S6:S2005">
    <cfRule type="expression" dxfId="0" priority="1">
      <formula>LEFT(S6,1)="※"</formula>
    </cfRule>
    <cfRule type="expression" dxfId="2" priority="2">
      <formula>LEFT(S6,1)="△"</formula>
    </cfRule>
  </conditionalFormatting>
  <dataValidations count="4">
    <dataValidation type="list" allowBlank="1" showErrorMessage="1" errorTitle="不在清单里" error="先去【参数设置】把它加上，或者选一个已有的。" sqref="B6:B2005">
      <formula1>账户名</formula1>
    </dataValidation>
    <dataValidation type="list" allowBlank="1" showErrorMessage="1" errorTitle="不在清单里" error="先去【参数设置】把它加上，或者选一个已有的。" sqref="E6:E2005">
      <formula1>类别表</formula1>
    </dataValidation>
    <dataValidation type="list" allowBlank="1" showErrorMessage="1" errorTitle="不在清单里" error="先去【参数设置】把它加上，或者选一个已有的。" sqref="P6:P2005" errorStyle="warning">
      <formula1>项目表</formula1>
    </dataValidation>
    <dataValidation type="list" allowBlank="1" showErrorMessage="1" errorTitle="不在清单里" error="先去【参数设置】把它加上，或者选一个已有的。" sqref="Q6:Q2005" errorStyle="warning">
      <formula1>单位表</formula1>
    </dataValidation>
  </dataValidation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M48"/>
  <sheetViews>
    <sheetView showGridLines="0" workbookViewId="0">
      <pane ySplit="5" topLeftCell="A6" activePane="bottomLeft" state="frozen"/>
      <selection/>
      <selection pane="bottomLeft" activeCell="K10" sqref="K10"/>
    </sheetView>
  </sheetViews>
  <sheetFormatPr defaultColWidth="9" defaultRowHeight="13.5"/>
  <cols>
    <col min="1" max="1" width="10" customWidth="1"/>
    <col min="2" max="2" width="9" customWidth="1"/>
    <col min="3" max="3" width="16" customWidth="1"/>
    <col min="4" max="4" width="10" customWidth="1"/>
    <col min="5" max="6" width="16" customWidth="1"/>
    <col min="7" max="7" width="14" customWidth="1"/>
    <col min="8" max="8" width="12.5" customWidth="1"/>
    <col min="9" max="9" width="10" customWidth="1"/>
    <col min="10" max="10" width="17" customWidth="1"/>
    <col min="11" max="11" width="16" customWidth="1"/>
    <col min="12" max="12" width="15" customWidth="1"/>
    <col min="13" max="13" width="30" customWidth="1"/>
  </cols>
  <sheetData>
    <row r="1" ht="30" customHeight="1" spans="1:13">
      <c r="A1" s="1" t="s">
        <v>257</v>
      </c>
    </row>
    <row r="2" ht="24" customHeight="1" spans="1:13">
      <c r="A2" s="2" t="s">
        <v>258</v>
      </c>
    </row>
    <row r="5" ht="30" customHeight="1" spans="1:13">
      <c r="A5" s="28" t="s">
        <v>118</v>
      </c>
      <c r="B5" s="28" t="s">
        <v>225</v>
      </c>
      <c r="C5" s="28" t="s">
        <v>259</v>
      </c>
      <c r="D5" s="28" t="s">
        <v>226</v>
      </c>
      <c r="E5" s="28" t="s">
        <v>124</v>
      </c>
      <c r="F5" s="28" t="s">
        <v>260</v>
      </c>
      <c r="G5" s="28" t="s">
        <v>261</v>
      </c>
      <c r="H5" s="28" t="s">
        <v>262</v>
      </c>
      <c r="I5" s="28" t="s">
        <v>263</v>
      </c>
      <c r="J5" s="28" t="s">
        <v>56</v>
      </c>
      <c r="K5" s="28" t="s">
        <v>53</v>
      </c>
      <c r="L5" s="28" t="s">
        <v>59</v>
      </c>
      <c r="M5" s="28" t="s">
        <v>127</v>
      </c>
    </row>
    <row r="6" ht="33" spans="1:13">
      <c r="A6" s="4">
        <f>IF($C6="","",1)</f>
        <v>1</v>
      </c>
      <c r="B6" s="12" t="str">
        <f>IF($C6="","",参数设置!$B$11)</f>
        <v>工商银行</v>
      </c>
      <c r="C6" s="12" t="str">
        <f>IF(参数设置!$C$11="","",参数设置!$C$11)</f>
        <v>工商银行基本户-8888</v>
      </c>
      <c r="D6" s="12" t="str">
        <f>IF($C6="","",参数设置!$E$11)</f>
        <v>CNY</v>
      </c>
      <c r="E6" s="23">
        <f>IF($C6="","",ROUND(N(参数设置!$G$11),2))</f>
        <v>500000</v>
      </c>
      <c r="F6" s="23">
        <f>IF($C6="","",ROUND(SUMIF(流水账户,$C6,流水收入),2))</f>
        <v>298400</v>
      </c>
      <c r="G6" s="23">
        <f>IF($C6="","",ROUND(SUMIF(流水账户,$C6,流水支出),2))</f>
        <v>68000</v>
      </c>
      <c r="H6" s="23">
        <f t="shared" ref="H6:H35" si="0">IF($C6="","",ROUND($E6+$F6-$G6,2))</f>
        <v>730400</v>
      </c>
      <c r="I6" s="24">
        <f>IF($C6="","",IFERROR(IF($D6=本位币,1,IFERROR(LOOKUP(2,1/((汇率月份&lt;=重估基准日)*(INDEX(月末汇率区,0,MATCH($D6,汇率币种头,0))&lt;&gt;"")),INDEX(月末汇率区,0,MATCH($D6,汇率币种头,0))),IFERROR(LOOKUP(2,1/((汇率月份&lt;=重估基准日)*(INDEX(记账汇率区,0,MATCH($D6,汇率币种头,0))&lt;&gt;"")),INDEX(记账汇率区,0,MATCH($D6,汇率币种头,0))),""))),""))</f>
        <v>1</v>
      </c>
      <c r="J6" s="23">
        <f t="shared" ref="J6:J35" si="1">IF(OR($C6="",$I6=""),"",ROUND($H6*$I6,2))</f>
        <v>730400</v>
      </c>
      <c r="K6" s="23">
        <f>IF($C6="","",IFERROR(ROUND(参数设置!$I$11+SUMIF(流水账户,$C6,流水本位),2),""))</f>
        <v>730400</v>
      </c>
      <c r="L6" s="23">
        <f t="shared" ref="L6:L35" si="2">IF(OR($C6="",$J6=""),"",ROUND($J6-$K6,2))</f>
        <v>0</v>
      </c>
      <c r="M6" s="6" t="str">
        <f>IF($C6="","",IF($H6&lt;0,"※期末余额是负数，查一下是不是漏记了收入",IF($I6="","△"&amp;$D6&amp;" 还没填汇率，人民币这几列算不出来",IF(AND($D6&lt;&gt;本位币,ABS($L6)&gt;ABS($K6)*0.2),"△汇兑损益超过账面成本 20%，核一下汇率",""))))</f>
        <v/>
      </c>
    </row>
    <row r="7" ht="33" spans="1:13">
      <c r="A7" s="4">
        <f>IF($C7="","",2)</f>
        <v>2</v>
      </c>
      <c r="B7" s="12" t="str">
        <f>IF($C7="","",参数设置!$B$12)</f>
        <v>中国银行</v>
      </c>
      <c r="C7" s="12" t="str">
        <f>IF(参数设置!$C$12="","",参数设置!$C$12)</f>
        <v>中国银行美元结算户-6688</v>
      </c>
      <c r="D7" s="12" t="str">
        <f>IF($C7="","",参数设置!$E$12)</f>
        <v>USD</v>
      </c>
      <c r="E7" s="23">
        <f>IF($C7="","",ROUND(N(参数设置!$G$12),2))</f>
        <v>800000</v>
      </c>
      <c r="F7" s="23">
        <f>IF($C7="","",ROUND(SUMIF(流水账户,$C7,流水收入),2))</f>
        <v>40000</v>
      </c>
      <c r="G7" s="23">
        <f>IF($C7="","",ROUND(SUMIF(流水账户,$C7,流水支出),2))</f>
        <v>28000</v>
      </c>
      <c r="H7" s="23">
        <f t="shared" si="0"/>
        <v>812000</v>
      </c>
      <c r="I7" s="24">
        <f>IF($C7="","",IFERROR(IF($D7=本位币,1,IFERROR(LOOKUP(2,1/((汇率月份&lt;=重估基准日)*(INDEX(月末汇率区,0,MATCH($D7,汇率币种头,0))&lt;&gt;"")),INDEX(月末汇率区,0,MATCH($D7,汇率币种头,0))),IFERROR(LOOKUP(2,1/((汇率月份&lt;=重估基准日)*(INDEX(记账汇率区,0,MATCH($D7,汇率币种头,0))&lt;&gt;"")),INDEX(记账汇率区,0,MATCH($D7,汇率币种头,0))),""))),""))</f>
        <v>7.18</v>
      </c>
      <c r="J7" s="23">
        <f t="shared" si="1"/>
        <v>5830160</v>
      </c>
      <c r="K7" s="23">
        <f>IF($C7="","",IFERROR(ROUND(参数设置!$I$12+SUMIF(流水账户,$C7,流水本位),2),""))</f>
        <v>5806520</v>
      </c>
      <c r="L7" s="23">
        <f t="shared" si="2"/>
        <v>23640</v>
      </c>
      <c r="M7" s="6" t="str">
        <f>IF($C7="","",IF($H7&lt;0,"※期末余额是负数，查一下是不是漏记了收入",IF($I7="","△"&amp;$D7&amp;" 还没填汇率，人民币这几列算不出来",IF(AND($D7&lt;&gt;本位币,ABS($L7)&gt;ABS($K7)*0.2),"△汇兑损益超过账面成本 20%，核一下汇率",""))))</f>
        <v/>
      </c>
    </row>
    <row r="8" ht="33" spans="1:13">
      <c r="A8" s="4">
        <f>IF($C8="","",3)</f>
        <v>3</v>
      </c>
      <c r="B8" s="12" t="str">
        <f>IF($C8="","",参数设置!$B$13)</f>
        <v>汇丰银行</v>
      </c>
      <c r="C8" s="12" t="str">
        <f>IF(参数设置!$C$13="","",参数设置!$C$13)</f>
        <v>汇丰银行港币结算户-5566</v>
      </c>
      <c r="D8" s="12" t="str">
        <f>IF($C8="","",参数设置!$E$13)</f>
        <v>HKD</v>
      </c>
      <c r="E8" s="23">
        <f>IF($C8="","",ROUND(N(参数设置!$G$13),2))</f>
        <v>300000</v>
      </c>
      <c r="F8" s="23">
        <f>IF($C8="","",ROUND(SUMIF(流水账户,$C8,流水收入),2))</f>
        <v>80000</v>
      </c>
      <c r="G8" s="23">
        <f>IF($C8="","",ROUND(SUMIF(流水账户,$C8,流水支出),2))</f>
        <v>24500</v>
      </c>
      <c r="H8" s="23">
        <f t="shared" si="0"/>
        <v>355500</v>
      </c>
      <c r="I8" s="24">
        <f>IF($C8="","",IFERROR(IF($D8=本位币,1,IFERROR(LOOKUP(2,1/((汇率月份&lt;=重估基准日)*(INDEX(月末汇率区,0,MATCH($D8,汇率币种头,0))&lt;&gt;"")),INDEX(月末汇率区,0,MATCH($D8,汇率币种头,0))),IFERROR(LOOKUP(2,1/((汇率月份&lt;=重估基准日)*(INDEX(记账汇率区,0,MATCH($D8,汇率币种头,0))&lt;&gt;"")),INDEX(记账汇率区,0,MATCH($D8,汇率币种头,0))),""))),""))</f>
        <v>0.92</v>
      </c>
      <c r="J8" s="23">
        <f t="shared" si="1"/>
        <v>327060</v>
      </c>
      <c r="K8" s="23">
        <f>IF($C8="","",IFERROR(ROUND(参数设置!$I$13+SUMIF(流水账户,$C8,流水本位),2),""))</f>
        <v>325560</v>
      </c>
      <c r="L8" s="23">
        <f t="shared" si="2"/>
        <v>1500</v>
      </c>
      <c r="M8" s="6" t="str">
        <f>IF($C8="","",IF($H8&lt;0,"※期末余额是负数，查一下是不是漏记了收入",IF($I8="","△"&amp;$D8&amp;" 还没填汇率，人民币这几列算不出来",IF(AND($D8&lt;&gt;本位币,ABS($L8)&gt;ABS($K8)*0.2),"△汇兑损益超过账面成本 20%，核一下汇率",""))))</f>
        <v/>
      </c>
    </row>
    <row r="9" ht="33" spans="1:13">
      <c r="A9" s="4">
        <f>IF($C9="","",4)</f>
        <v>4</v>
      </c>
      <c r="B9" s="12" t="str">
        <f>IF($C9="","",参数设置!$B$14)</f>
        <v>招商银行</v>
      </c>
      <c r="C9" s="12" t="str">
        <f>IF(参数设置!$C$14="","",参数设置!$C$14)</f>
        <v>招商银行一般户-2388</v>
      </c>
      <c r="D9" s="12" t="str">
        <f>IF($C9="","",参数设置!$E$14)</f>
        <v>CNY</v>
      </c>
      <c r="E9" s="23">
        <f>IF($C9="","",ROUND(N(参数设置!$G$14),2))</f>
        <v>200000</v>
      </c>
      <c r="F9" s="23">
        <f>IF($C9="","",ROUND(SUMIF(流水账户,$C9,流水收入),2))</f>
        <v>110000</v>
      </c>
      <c r="G9" s="23">
        <f>IF($C9="","",ROUND(SUMIF(流水账户,$C9,流水支出),2))</f>
        <v>30000</v>
      </c>
      <c r="H9" s="23">
        <f t="shared" si="0"/>
        <v>280000</v>
      </c>
      <c r="I9" s="24">
        <f>IF($C9="","",IFERROR(IF($D9=本位币,1,IFERROR(LOOKUP(2,1/((汇率月份&lt;=重估基准日)*(INDEX(月末汇率区,0,MATCH($D9,汇率币种头,0))&lt;&gt;"")),INDEX(月末汇率区,0,MATCH($D9,汇率币种头,0))),IFERROR(LOOKUP(2,1/((汇率月份&lt;=重估基准日)*(INDEX(记账汇率区,0,MATCH($D9,汇率币种头,0))&lt;&gt;"")),INDEX(记账汇率区,0,MATCH($D9,汇率币种头,0))),""))),""))</f>
        <v>1</v>
      </c>
      <c r="J9" s="23">
        <f t="shared" si="1"/>
        <v>280000</v>
      </c>
      <c r="K9" s="23">
        <f>IF($C9="","",IFERROR(ROUND(参数设置!$I$14+SUMIF(流水账户,$C9,流水本位),2),""))</f>
        <v>280000</v>
      </c>
      <c r="L9" s="23">
        <f t="shared" si="2"/>
        <v>0</v>
      </c>
      <c r="M9" s="6" t="str">
        <f>IF($C9="","",IF($H9&lt;0,"※期末余额是负数，查一下是不是漏记了收入",IF($I9="","△"&amp;$D9&amp;" 还没填汇率，人民币这几列算不出来",IF(AND($D9&lt;&gt;本位币,ABS($L9)&gt;ABS($K9)*0.2),"△汇兑损益超过账面成本 20%，核一下汇率",""))))</f>
        <v/>
      </c>
    </row>
    <row r="10" ht="33" spans="1:13">
      <c r="A10" s="4">
        <f>IF($C10="","",5)</f>
        <v>5</v>
      </c>
      <c r="B10" s="12" t="str">
        <f>IF($C10="","",参数设置!$B$15)</f>
        <v>汇丰银行</v>
      </c>
      <c r="C10" s="12" t="str">
        <f>IF(参数设置!$C$15="","",参数设置!$C$15)</f>
        <v>汇丰银行美元结算户-7788</v>
      </c>
      <c r="D10" s="12" t="str">
        <f>IF($C10="","",参数设置!$E$15)</f>
        <v>USD</v>
      </c>
      <c r="E10" s="23">
        <f>IF($C10="","",ROUND(N(参数设置!$G$15),2))</f>
        <v>500000</v>
      </c>
      <c r="F10" s="23">
        <f>IF($C10="","",ROUND(SUMIF(流水账户,$C10,流水收入),2))</f>
        <v>12000</v>
      </c>
      <c r="G10" s="23">
        <f>IF($C10="","",ROUND(SUMIF(流水账户,$C10,流水支出),2))</f>
        <v>5000</v>
      </c>
      <c r="H10" s="23">
        <f t="shared" si="0"/>
        <v>507000</v>
      </c>
      <c r="I10" s="24">
        <f>IF($C10="","",IFERROR(IF($D10=本位币,1,IFERROR(LOOKUP(2,1/((汇率月份&lt;=重估基准日)*(INDEX(月末汇率区,0,MATCH($D10,汇率币种头,0))&lt;&gt;"")),INDEX(月末汇率区,0,MATCH($D10,汇率币种头,0))),IFERROR(LOOKUP(2,1/((汇率月份&lt;=重估基准日)*(INDEX(记账汇率区,0,MATCH($D10,汇率币种头,0))&lt;&gt;"")),INDEX(记账汇率区,0,MATCH($D10,汇率币种头,0))),""))),""))</f>
        <v>7.18</v>
      </c>
      <c r="J10" s="23">
        <f t="shared" si="1"/>
        <v>3640260</v>
      </c>
      <c r="K10" s="23">
        <f>IF($C10="","",IFERROR(ROUND(参数设置!$I$15+SUMIF(流水账户,$C10,流水本位),2),""))</f>
        <v>3625260</v>
      </c>
      <c r="L10" s="23">
        <f t="shared" si="2"/>
        <v>15000</v>
      </c>
      <c r="M10" s="6" t="str">
        <f>IF($C10="","",IF($H10&lt;0,"※期末余额是负数，查一下是不是漏记了收入",IF($I10="","△"&amp;$D10&amp;" 还没填汇率，人民币这几列算不出来",IF(AND($D10&lt;&gt;本位币,ABS($L10)&gt;ABS($K10)*0.2),"△汇兑损益超过账面成本 20%，核一下汇率",""))))</f>
        <v/>
      </c>
    </row>
    <row r="11" ht="33" spans="1:13">
      <c r="A11" s="4">
        <f>IF($C11="","",6)</f>
        <v>6</v>
      </c>
      <c r="B11" s="12" t="str">
        <f>IF($C11="","",参数设置!$B$16)</f>
        <v>中国银行</v>
      </c>
      <c r="C11" s="12" t="str">
        <f>IF(参数设置!$C$16="","",参数设置!$C$16)</f>
        <v>中国银行欧元结算户-9900</v>
      </c>
      <c r="D11" s="12" t="str">
        <f>IF($C11="","",参数设置!$E$16)</f>
        <v>EUR</v>
      </c>
      <c r="E11" s="23">
        <f>IF($C11="","",ROUND(N(参数设置!$G$16),2))</f>
        <v>120000</v>
      </c>
      <c r="F11" s="23">
        <f>IF($C11="","",ROUND(SUMIF(流水账户,$C11,流水收入),2))</f>
        <v>30000</v>
      </c>
      <c r="G11" s="23">
        <f>IF($C11="","",ROUND(SUMIF(流水账户,$C11,流水支出),2))</f>
        <v>0</v>
      </c>
      <c r="H11" s="23">
        <f t="shared" si="0"/>
        <v>150000</v>
      </c>
      <c r="I11" s="24">
        <f>IF($C11="","",IFERROR(IF($D11=本位币,1,IFERROR(LOOKUP(2,1/((汇率月份&lt;=重估基准日)*(INDEX(月末汇率区,0,MATCH($D11,汇率币种头,0))&lt;&gt;"")),INDEX(月末汇率区,0,MATCH($D11,汇率币种头,0))),IFERROR(LOOKUP(2,1/((汇率月份&lt;=重估基准日)*(INDEX(记账汇率区,0,MATCH($D11,汇率币种头,0))&lt;&gt;"")),INDEX(记账汇率区,0,MATCH($D11,汇率币种头,0))),""))),""))</f>
        <v>7.69</v>
      </c>
      <c r="J11" s="23">
        <f t="shared" si="1"/>
        <v>1153500</v>
      </c>
      <c r="K11" s="23">
        <f>IF($C11="","",IFERROR(ROUND(参数设置!$I$16+SUMIF(流水账户,$C11,流水本位),2),""))</f>
        <v>1153500</v>
      </c>
      <c r="L11" s="23">
        <f t="shared" si="2"/>
        <v>0</v>
      </c>
      <c r="M11" s="6" t="str">
        <f>IF($C11="","",IF($H11&lt;0,"※期末余额是负数，查一下是不是漏记了收入",IF($I11="","△"&amp;$D11&amp;" 还没填汇率，人民币这几列算不出来",IF(AND($D11&lt;&gt;本位币,ABS($L11)&gt;ABS($K11)*0.2),"△汇兑损益超过账面成本 20%，核一下汇率",""))))</f>
        <v/>
      </c>
    </row>
    <row r="12" ht="16.5" spans="1:13">
      <c r="A12" s="4" t="str">
        <f>IF($C12="","",7)</f>
        <v/>
      </c>
      <c r="B12" s="12" t="str">
        <f>IF($C12="","",参数设置!$B$17)</f>
        <v/>
      </c>
      <c r="C12" s="12" t="str">
        <f>IF(参数设置!$C$17="","",参数设置!$C$17)</f>
        <v/>
      </c>
      <c r="D12" s="12" t="str">
        <f>IF($C12="","",参数设置!$E$17)</f>
        <v/>
      </c>
      <c r="E12" s="23" t="str">
        <f>IF($C12="","",ROUND(N(参数设置!$G$17),2))</f>
        <v/>
      </c>
      <c r="F12" s="23" t="str">
        <f>IF($C12="","",ROUND(SUMIF(流水账户,$C12,流水收入),2))</f>
        <v/>
      </c>
      <c r="G12" s="23" t="str">
        <f>IF($C12="","",ROUND(SUMIF(流水账户,$C12,流水支出),2))</f>
        <v/>
      </c>
      <c r="H12" s="23" t="str">
        <f t="shared" si="0"/>
        <v/>
      </c>
      <c r="I12" s="24" t="str">
        <f>IF($C12="","",IFERROR(IF($D12=本位币,1,IFERROR(LOOKUP(2,1/((汇率月份&lt;=重估基准日)*(INDEX(月末汇率区,0,MATCH($D12,汇率币种头,0))&lt;&gt;"")),INDEX(月末汇率区,0,MATCH($D12,汇率币种头,0))),IFERROR(LOOKUP(2,1/((汇率月份&lt;=重估基准日)*(INDEX(记账汇率区,0,MATCH($D12,汇率币种头,0))&lt;&gt;"")),INDEX(记账汇率区,0,MATCH($D12,汇率币种头,0))),""))),""))</f>
        <v/>
      </c>
      <c r="J12" s="23" t="str">
        <f t="shared" si="1"/>
        <v/>
      </c>
      <c r="K12" s="23" t="str">
        <f>IF($C12="","",IFERROR(ROUND(参数设置!$I$17+SUMIF(流水账户,$C12,流水本位),2),""))</f>
        <v/>
      </c>
      <c r="L12" s="23" t="str">
        <f t="shared" si="2"/>
        <v/>
      </c>
      <c r="M12" s="6" t="str">
        <f>IF($C12="","",IF($H12&lt;0,"※期末余额是负数，查一下是不是漏记了收入",IF($I12="","△"&amp;$D12&amp;" 还没填汇率，人民币这几列算不出来",IF(AND($D12&lt;&gt;本位币,ABS($L12)&gt;ABS($K12)*0.2),"△汇兑损益超过账面成本 20%，核一下汇率",""))))</f>
        <v/>
      </c>
    </row>
    <row r="13" ht="16.5" spans="1:13">
      <c r="A13" s="4" t="str">
        <f>IF($C13="","",8)</f>
        <v/>
      </c>
      <c r="B13" s="12" t="str">
        <f>IF($C13="","",参数设置!$B$18)</f>
        <v/>
      </c>
      <c r="C13" s="12" t="str">
        <f>IF(参数设置!$C$18="","",参数设置!$C$18)</f>
        <v/>
      </c>
      <c r="D13" s="12" t="str">
        <f>IF($C13="","",参数设置!$E$18)</f>
        <v/>
      </c>
      <c r="E13" s="23" t="str">
        <f>IF($C13="","",ROUND(N(参数设置!$G$18),2))</f>
        <v/>
      </c>
      <c r="F13" s="23" t="str">
        <f>IF($C13="","",ROUND(SUMIF(流水账户,$C13,流水收入),2))</f>
        <v/>
      </c>
      <c r="G13" s="23" t="str">
        <f>IF($C13="","",ROUND(SUMIF(流水账户,$C13,流水支出),2))</f>
        <v/>
      </c>
      <c r="H13" s="23" t="str">
        <f t="shared" si="0"/>
        <v/>
      </c>
      <c r="I13" s="24" t="str">
        <f>IF($C13="","",IFERROR(IF($D13=本位币,1,IFERROR(LOOKUP(2,1/((汇率月份&lt;=重估基准日)*(INDEX(月末汇率区,0,MATCH($D13,汇率币种头,0))&lt;&gt;"")),INDEX(月末汇率区,0,MATCH($D13,汇率币种头,0))),IFERROR(LOOKUP(2,1/((汇率月份&lt;=重估基准日)*(INDEX(记账汇率区,0,MATCH($D13,汇率币种头,0))&lt;&gt;"")),INDEX(记账汇率区,0,MATCH($D13,汇率币种头,0))),""))),""))</f>
        <v/>
      </c>
      <c r="J13" s="23" t="str">
        <f t="shared" si="1"/>
        <v/>
      </c>
      <c r="K13" s="23" t="str">
        <f>IF($C13="","",IFERROR(ROUND(参数设置!$I$18+SUMIF(流水账户,$C13,流水本位),2),""))</f>
        <v/>
      </c>
      <c r="L13" s="23" t="str">
        <f t="shared" si="2"/>
        <v/>
      </c>
      <c r="M13" s="6" t="str">
        <f>IF($C13="","",IF($H13&lt;0,"※期末余额是负数，查一下是不是漏记了收入",IF($I13="","△"&amp;$D13&amp;" 还没填汇率，人民币这几列算不出来",IF(AND($D13&lt;&gt;本位币,ABS($L13)&gt;ABS($K13)*0.2),"△汇兑损益超过账面成本 20%，核一下汇率",""))))</f>
        <v/>
      </c>
    </row>
    <row r="14" ht="16.5" spans="1:13">
      <c r="A14" s="4" t="str">
        <f>IF($C14="","",9)</f>
        <v/>
      </c>
      <c r="B14" s="12" t="str">
        <f>IF($C14="","",参数设置!$B$19)</f>
        <v/>
      </c>
      <c r="C14" s="12" t="str">
        <f>IF(参数设置!$C$19="","",参数设置!$C$19)</f>
        <v/>
      </c>
      <c r="D14" s="12" t="str">
        <f>IF($C14="","",参数设置!$E$19)</f>
        <v/>
      </c>
      <c r="E14" s="23" t="str">
        <f>IF($C14="","",ROUND(N(参数设置!$G$19),2))</f>
        <v/>
      </c>
      <c r="F14" s="23" t="str">
        <f>IF($C14="","",ROUND(SUMIF(流水账户,$C14,流水收入),2))</f>
        <v/>
      </c>
      <c r="G14" s="23" t="str">
        <f>IF($C14="","",ROUND(SUMIF(流水账户,$C14,流水支出),2))</f>
        <v/>
      </c>
      <c r="H14" s="23" t="str">
        <f t="shared" si="0"/>
        <v/>
      </c>
      <c r="I14" s="24" t="str">
        <f>IF($C14="","",IFERROR(IF($D14=本位币,1,IFERROR(LOOKUP(2,1/((汇率月份&lt;=重估基准日)*(INDEX(月末汇率区,0,MATCH($D14,汇率币种头,0))&lt;&gt;"")),INDEX(月末汇率区,0,MATCH($D14,汇率币种头,0))),IFERROR(LOOKUP(2,1/((汇率月份&lt;=重估基准日)*(INDEX(记账汇率区,0,MATCH($D14,汇率币种头,0))&lt;&gt;"")),INDEX(记账汇率区,0,MATCH($D14,汇率币种头,0))),""))),""))</f>
        <v/>
      </c>
      <c r="J14" s="23" t="str">
        <f t="shared" si="1"/>
        <v/>
      </c>
      <c r="K14" s="23" t="str">
        <f>IF($C14="","",IFERROR(ROUND(参数设置!$I$19+SUMIF(流水账户,$C14,流水本位),2),""))</f>
        <v/>
      </c>
      <c r="L14" s="23" t="str">
        <f t="shared" si="2"/>
        <v/>
      </c>
      <c r="M14" s="6" t="str">
        <f>IF($C14="","",IF($H14&lt;0,"※期末余额是负数，查一下是不是漏记了收入",IF($I14="","△"&amp;$D14&amp;" 还没填汇率，人民币这几列算不出来",IF(AND($D14&lt;&gt;本位币,ABS($L14)&gt;ABS($K14)*0.2),"△汇兑损益超过账面成本 20%，核一下汇率",""))))</f>
        <v/>
      </c>
    </row>
    <row r="15" ht="16.5" spans="1:13">
      <c r="A15" s="4" t="str">
        <f>IF($C15="","",10)</f>
        <v/>
      </c>
      <c r="B15" s="12" t="str">
        <f>IF($C15="","",参数设置!$B$20)</f>
        <v/>
      </c>
      <c r="C15" s="12" t="str">
        <f>IF(参数设置!$C$20="","",参数设置!$C$20)</f>
        <v/>
      </c>
      <c r="D15" s="12" t="str">
        <f>IF($C15="","",参数设置!$E$20)</f>
        <v/>
      </c>
      <c r="E15" s="23" t="str">
        <f>IF($C15="","",ROUND(N(参数设置!$G$20),2))</f>
        <v/>
      </c>
      <c r="F15" s="23" t="str">
        <f>IF($C15="","",ROUND(SUMIF(流水账户,$C15,流水收入),2))</f>
        <v/>
      </c>
      <c r="G15" s="23" t="str">
        <f>IF($C15="","",ROUND(SUMIF(流水账户,$C15,流水支出),2))</f>
        <v/>
      </c>
      <c r="H15" s="23" t="str">
        <f t="shared" si="0"/>
        <v/>
      </c>
      <c r="I15" s="24" t="str">
        <f>IF($C15="","",IFERROR(IF($D15=本位币,1,IFERROR(LOOKUP(2,1/((汇率月份&lt;=重估基准日)*(INDEX(月末汇率区,0,MATCH($D15,汇率币种头,0))&lt;&gt;"")),INDEX(月末汇率区,0,MATCH($D15,汇率币种头,0))),IFERROR(LOOKUP(2,1/((汇率月份&lt;=重估基准日)*(INDEX(记账汇率区,0,MATCH($D15,汇率币种头,0))&lt;&gt;"")),INDEX(记账汇率区,0,MATCH($D15,汇率币种头,0))),""))),""))</f>
        <v/>
      </c>
      <c r="J15" s="23" t="str">
        <f t="shared" si="1"/>
        <v/>
      </c>
      <c r="K15" s="23" t="str">
        <f>IF($C15="","",IFERROR(ROUND(参数设置!$I$20+SUMIF(流水账户,$C15,流水本位),2),""))</f>
        <v/>
      </c>
      <c r="L15" s="23" t="str">
        <f t="shared" si="2"/>
        <v/>
      </c>
      <c r="M15" s="6" t="str">
        <f>IF($C15="","",IF($H15&lt;0,"※期末余额是负数，查一下是不是漏记了收入",IF($I15="","△"&amp;$D15&amp;" 还没填汇率，人民币这几列算不出来",IF(AND($D15&lt;&gt;本位币,ABS($L15)&gt;ABS($K15)*0.2),"△汇兑损益超过账面成本 20%，核一下汇率",""))))</f>
        <v/>
      </c>
    </row>
    <row r="16" ht="16.5" spans="1:13">
      <c r="A16" s="4" t="str">
        <f>IF($C16="","",11)</f>
        <v/>
      </c>
      <c r="B16" s="12" t="str">
        <f>IF($C16="","",参数设置!$B$21)</f>
        <v/>
      </c>
      <c r="C16" s="12" t="str">
        <f>IF(参数设置!$C$21="","",参数设置!$C$21)</f>
        <v/>
      </c>
      <c r="D16" s="12" t="str">
        <f>IF($C16="","",参数设置!$E$21)</f>
        <v/>
      </c>
      <c r="E16" s="23" t="str">
        <f>IF($C16="","",ROUND(N(参数设置!$G$21),2))</f>
        <v/>
      </c>
      <c r="F16" s="23" t="str">
        <f>IF($C16="","",ROUND(SUMIF(流水账户,$C16,流水收入),2))</f>
        <v/>
      </c>
      <c r="G16" s="23" t="str">
        <f>IF($C16="","",ROUND(SUMIF(流水账户,$C16,流水支出),2))</f>
        <v/>
      </c>
      <c r="H16" s="23" t="str">
        <f t="shared" si="0"/>
        <v/>
      </c>
      <c r="I16" s="24" t="str">
        <f>IF($C16="","",IFERROR(IF($D16=本位币,1,IFERROR(LOOKUP(2,1/((汇率月份&lt;=重估基准日)*(INDEX(月末汇率区,0,MATCH($D16,汇率币种头,0))&lt;&gt;"")),INDEX(月末汇率区,0,MATCH($D16,汇率币种头,0))),IFERROR(LOOKUP(2,1/((汇率月份&lt;=重估基准日)*(INDEX(记账汇率区,0,MATCH($D16,汇率币种头,0))&lt;&gt;"")),INDEX(记账汇率区,0,MATCH($D16,汇率币种头,0))),""))),""))</f>
        <v/>
      </c>
      <c r="J16" s="23" t="str">
        <f t="shared" si="1"/>
        <v/>
      </c>
      <c r="K16" s="23" t="str">
        <f>IF($C16="","",IFERROR(ROUND(参数设置!$I$21+SUMIF(流水账户,$C16,流水本位),2),""))</f>
        <v/>
      </c>
      <c r="L16" s="23" t="str">
        <f t="shared" si="2"/>
        <v/>
      </c>
      <c r="M16" s="6" t="str">
        <f>IF($C16="","",IF($H16&lt;0,"※期末余额是负数，查一下是不是漏记了收入",IF($I16="","△"&amp;$D16&amp;" 还没填汇率，人民币这几列算不出来",IF(AND($D16&lt;&gt;本位币,ABS($L16)&gt;ABS($K16)*0.2),"△汇兑损益超过账面成本 20%，核一下汇率",""))))</f>
        <v/>
      </c>
    </row>
    <row r="17" ht="16.5" spans="1:13">
      <c r="A17" s="4" t="str">
        <f>IF($C17="","",12)</f>
        <v/>
      </c>
      <c r="B17" s="12" t="str">
        <f>IF($C17="","",参数设置!$B$22)</f>
        <v/>
      </c>
      <c r="C17" s="12" t="str">
        <f>IF(参数设置!$C$22="","",参数设置!$C$22)</f>
        <v/>
      </c>
      <c r="D17" s="12" t="str">
        <f>IF($C17="","",参数设置!$E$22)</f>
        <v/>
      </c>
      <c r="E17" s="23" t="str">
        <f>IF($C17="","",ROUND(N(参数设置!$G$22),2))</f>
        <v/>
      </c>
      <c r="F17" s="23" t="str">
        <f>IF($C17="","",ROUND(SUMIF(流水账户,$C17,流水收入),2))</f>
        <v/>
      </c>
      <c r="G17" s="23" t="str">
        <f>IF($C17="","",ROUND(SUMIF(流水账户,$C17,流水支出),2))</f>
        <v/>
      </c>
      <c r="H17" s="23" t="str">
        <f t="shared" si="0"/>
        <v/>
      </c>
      <c r="I17" s="24" t="str">
        <f>IF($C17="","",IFERROR(IF($D17=本位币,1,IFERROR(LOOKUP(2,1/((汇率月份&lt;=重估基准日)*(INDEX(月末汇率区,0,MATCH($D17,汇率币种头,0))&lt;&gt;"")),INDEX(月末汇率区,0,MATCH($D17,汇率币种头,0))),IFERROR(LOOKUP(2,1/((汇率月份&lt;=重估基准日)*(INDEX(记账汇率区,0,MATCH($D17,汇率币种头,0))&lt;&gt;"")),INDEX(记账汇率区,0,MATCH($D17,汇率币种头,0))),""))),""))</f>
        <v/>
      </c>
      <c r="J17" s="23" t="str">
        <f t="shared" si="1"/>
        <v/>
      </c>
      <c r="K17" s="23" t="str">
        <f>IF($C17="","",IFERROR(ROUND(参数设置!$I$22+SUMIF(流水账户,$C17,流水本位),2),""))</f>
        <v/>
      </c>
      <c r="L17" s="23" t="str">
        <f t="shared" si="2"/>
        <v/>
      </c>
      <c r="M17" s="6" t="str">
        <f>IF($C17="","",IF($H17&lt;0,"※期末余额是负数，查一下是不是漏记了收入",IF($I17="","△"&amp;$D17&amp;" 还没填汇率，人民币这几列算不出来",IF(AND($D17&lt;&gt;本位币,ABS($L17)&gt;ABS($K17)*0.2),"△汇兑损益超过账面成本 20%，核一下汇率",""))))</f>
        <v/>
      </c>
    </row>
    <row r="18" ht="16.5" spans="1:13">
      <c r="A18" s="4" t="str">
        <f>IF($C18="","",13)</f>
        <v/>
      </c>
      <c r="B18" s="12" t="str">
        <f>IF($C18="","",参数设置!$B$23)</f>
        <v/>
      </c>
      <c r="C18" s="12" t="str">
        <f>IF(参数设置!$C$23="","",参数设置!$C$23)</f>
        <v/>
      </c>
      <c r="D18" s="12" t="str">
        <f>IF($C18="","",参数设置!$E$23)</f>
        <v/>
      </c>
      <c r="E18" s="23" t="str">
        <f>IF($C18="","",ROUND(N(参数设置!$G$23),2))</f>
        <v/>
      </c>
      <c r="F18" s="23" t="str">
        <f>IF($C18="","",ROUND(SUMIF(流水账户,$C18,流水收入),2))</f>
        <v/>
      </c>
      <c r="G18" s="23" t="str">
        <f>IF($C18="","",ROUND(SUMIF(流水账户,$C18,流水支出),2))</f>
        <v/>
      </c>
      <c r="H18" s="23" t="str">
        <f t="shared" si="0"/>
        <v/>
      </c>
      <c r="I18" s="24" t="str">
        <f>IF($C18="","",IFERROR(IF($D18=本位币,1,IFERROR(LOOKUP(2,1/((汇率月份&lt;=重估基准日)*(INDEX(月末汇率区,0,MATCH($D18,汇率币种头,0))&lt;&gt;"")),INDEX(月末汇率区,0,MATCH($D18,汇率币种头,0))),IFERROR(LOOKUP(2,1/((汇率月份&lt;=重估基准日)*(INDEX(记账汇率区,0,MATCH($D18,汇率币种头,0))&lt;&gt;"")),INDEX(记账汇率区,0,MATCH($D18,汇率币种头,0))),""))),""))</f>
        <v/>
      </c>
      <c r="J18" s="23" t="str">
        <f t="shared" si="1"/>
        <v/>
      </c>
      <c r="K18" s="23" t="str">
        <f>IF($C18="","",IFERROR(ROUND(参数设置!$I$23+SUMIF(流水账户,$C18,流水本位),2),""))</f>
        <v/>
      </c>
      <c r="L18" s="23" t="str">
        <f t="shared" si="2"/>
        <v/>
      </c>
      <c r="M18" s="6" t="str">
        <f>IF($C18="","",IF($H18&lt;0,"※期末余额是负数，查一下是不是漏记了收入",IF($I18="","△"&amp;$D18&amp;" 还没填汇率，人民币这几列算不出来",IF(AND($D18&lt;&gt;本位币,ABS($L18)&gt;ABS($K18)*0.2),"△汇兑损益超过账面成本 20%，核一下汇率",""))))</f>
        <v/>
      </c>
    </row>
    <row r="19" ht="16.5" spans="1:13">
      <c r="A19" s="4" t="str">
        <f>IF($C19="","",14)</f>
        <v/>
      </c>
      <c r="B19" s="12" t="str">
        <f>IF($C19="","",参数设置!$B$24)</f>
        <v/>
      </c>
      <c r="C19" s="12" t="str">
        <f>IF(参数设置!$C$24="","",参数设置!$C$24)</f>
        <v/>
      </c>
      <c r="D19" s="12" t="str">
        <f>IF($C19="","",参数设置!$E$24)</f>
        <v/>
      </c>
      <c r="E19" s="23" t="str">
        <f>IF($C19="","",ROUND(N(参数设置!$G$24),2))</f>
        <v/>
      </c>
      <c r="F19" s="23" t="str">
        <f>IF($C19="","",ROUND(SUMIF(流水账户,$C19,流水收入),2))</f>
        <v/>
      </c>
      <c r="G19" s="23" t="str">
        <f>IF($C19="","",ROUND(SUMIF(流水账户,$C19,流水支出),2))</f>
        <v/>
      </c>
      <c r="H19" s="23" t="str">
        <f t="shared" si="0"/>
        <v/>
      </c>
      <c r="I19" s="24" t="str">
        <f>IF($C19="","",IFERROR(IF($D19=本位币,1,IFERROR(LOOKUP(2,1/((汇率月份&lt;=重估基准日)*(INDEX(月末汇率区,0,MATCH($D19,汇率币种头,0))&lt;&gt;"")),INDEX(月末汇率区,0,MATCH($D19,汇率币种头,0))),IFERROR(LOOKUP(2,1/((汇率月份&lt;=重估基准日)*(INDEX(记账汇率区,0,MATCH($D19,汇率币种头,0))&lt;&gt;"")),INDEX(记账汇率区,0,MATCH($D19,汇率币种头,0))),""))),""))</f>
        <v/>
      </c>
      <c r="J19" s="23" t="str">
        <f t="shared" si="1"/>
        <v/>
      </c>
      <c r="K19" s="23" t="str">
        <f>IF($C19="","",IFERROR(ROUND(参数设置!$I$24+SUMIF(流水账户,$C19,流水本位),2),""))</f>
        <v/>
      </c>
      <c r="L19" s="23" t="str">
        <f t="shared" si="2"/>
        <v/>
      </c>
      <c r="M19" s="6" t="str">
        <f>IF($C19="","",IF($H19&lt;0,"※期末余额是负数，查一下是不是漏记了收入",IF($I19="","△"&amp;$D19&amp;" 还没填汇率，人民币这几列算不出来",IF(AND($D19&lt;&gt;本位币,ABS($L19)&gt;ABS($K19)*0.2),"△汇兑损益超过账面成本 20%，核一下汇率",""))))</f>
        <v/>
      </c>
    </row>
    <row r="20" ht="16.5" spans="1:13">
      <c r="A20" s="4" t="str">
        <f>IF($C20="","",15)</f>
        <v/>
      </c>
      <c r="B20" s="12" t="str">
        <f>IF($C20="","",参数设置!$B$25)</f>
        <v/>
      </c>
      <c r="C20" s="12" t="str">
        <f>IF(参数设置!$C$25="","",参数设置!$C$25)</f>
        <v/>
      </c>
      <c r="D20" s="12" t="str">
        <f>IF($C20="","",参数设置!$E$25)</f>
        <v/>
      </c>
      <c r="E20" s="23" t="str">
        <f>IF($C20="","",ROUND(N(参数设置!$G$25),2))</f>
        <v/>
      </c>
      <c r="F20" s="23" t="str">
        <f>IF($C20="","",ROUND(SUMIF(流水账户,$C20,流水收入),2))</f>
        <v/>
      </c>
      <c r="G20" s="23" t="str">
        <f>IF($C20="","",ROUND(SUMIF(流水账户,$C20,流水支出),2))</f>
        <v/>
      </c>
      <c r="H20" s="23" t="str">
        <f t="shared" si="0"/>
        <v/>
      </c>
      <c r="I20" s="24" t="str">
        <f>IF($C20="","",IFERROR(IF($D20=本位币,1,IFERROR(LOOKUP(2,1/((汇率月份&lt;=重估基准日)*(INDEX(月末汇率区,0,MATCH($D20,汇率币种头,0))&lt;&gt;"")),INDEX(月末汇率区,0,MATCH($D20,汇率币种头,0))),IFERROR(LOOKUP(2,1/((汇率月份&lt;=重估基准日)*(INDEX(记账汇率区,0,MATCH($D20,汇率币种头,0))&lt;&gt;"")),INDEX(记账汇率区,0,MATCH($D20,汇率币种头,0))),""))),""))</f>
        <v/>
      </c>
      <c r="J20" s="23" t="str">
        <f t="shared" si="1"/>
        <v/>
      </c>
      <c r="K20" s="23" t="str">
        <f>IF($C20="","",IFERROR(ROUND(参数设置!$I$25+SUMIF(流水账户,$C20,流水本位),2),""))</f>
        <v/>
      </c>
      <c r="L20" s="23" t="str">
        <f t="shared" si="2"/>
        <v/>
      </c>
      <c r="M20" s="6" t="str">
        <f>IF($C20="","",IF($H20&lt;0,"※期末余额是负数，查一下是不是漏记了收入",IF($I20="","△"&amp;$D20&amp;" 还没填汇率，人民币这几列算不出来",IF(AND($D20&lt;&gt;本位币,ABS($L20)&gt;ABS($K20)*0.2),"△汇兑损益超过账面成本 20%，核一下汇率",""))))</f>
        <v/>
      </c>
    </row>
    <row r="21" ht="16.5" spans="1:13">
      <c r="A21" s="4" t="str">
        <f>IF($C21="","",16)</f>
        <v/>
      </c>
      <c r="B21" s="12" t="str">
        <f>IF($C21="","",参数设置!$B$26)</f>
        <v/>
      </c>
      <c r="C21" s="12" t="str">
        <f>IF(参数设置!$C$26="","",参数设置!$C$26)</f>
        <v/>
      </c>
      <c r="D21" s="12" t="str">
        <f>IF($C21="","",参数设置!$E$26)</f>
        <v/>
      </c>
      <c r="E21" s="23" t="str">
        <f>IF($C21="","",ROUND(N(参数设置!$G$26),2))</f>
        <v/>
      </c>
      <c r="F21" s="23" t="str">
        <f>IF($C21="","",ROUND(SUMIF(流水账户,$C21,流水收入),2))</f>
        <v/>
      </c>
      <c r="G21" s="23" t="str">
        <f>IF($C21="","",ROUND(SUMIF(流水账户,$C21,流水支出),2))</f>
        <v/>
      </c>
      <c r="H21" s="23" t="str">
        <f t="shared" si="0"/>
        <v/>
      </c>
      <c r="I21" s="24" t="str">
        <f>IF($C21="","",IFERROR(IF($D21=本位币,1,IFERROR(LOOKUP(2,1/((汇率月份&lt;=重估基准日)*(INDEX(月末汇率区,0,MATCH($D21,汇率币种头,0))&lt;&gt;"")),INDEX(月末汇率区,0,MATCH($D21,汇率币种头,0))),IFERROR(LOOKUP(2,1/((汇率月份&lt;=重估基准日)*(INDEX(记账汇率区,0,MATCH($D21,汇率币种头,0))&lt;&gt;"")),INDEX(记账汇率区,0,MATCH($D21,汇率币种头,0))),""))),""))</f>
        <v/>
      </c>
      <c r="J21" s="23" t="str">
        <f t="shared" si="1"/>
        <v/>
      </c>
      <c r="K21" s="23" t="str">
        <f>IF($C21="","",IFERROR(ROUND(参数设置!$I$26+SUMIF(流水账户,$C21,流水本位),2),""))</f>
        <v/>
      </c>
      <c r="L21" s="23" t="str">
        <f t="shared" si="2"/>
        <v/>
      </c>
      <c r="M21" s="6" t="str">
        <f>IF($C21="","",IF($H21&lt;0,"※期末余额是负数，查一下是不是漏记了收入",IF($I21="","△"&amp;$D21&amp;" 还没填汇率，人民币这几列算不出来",IF(AND($D21&lt;&gt;本位币,ABS($L21)&gt;ABS($K21)*0.2),"△汇兑损益超过账面成本 20%，核一下汇率",""))))</f>
        <v/>
      </c>
    </row>
    <row r="22" ht="16.5" spans="1:13">
      <c r="A22" s="4" t="str">
        <f>IF($C22="","",17)</f>
        <v/>
      </c>
      <c r="B22" s="12" t="str">
        <f>IF($C22="","",参数设置!$B$27)</f>
        <v/>
      </c>
      <c r="C22" s="12" t="str">
        <f>IF(参数设置!$C$27="","",参数设置!$C$27)</f>
        <v/>
      </c>
      <c r="D22" s="12" t="str">
        <f>IF($C22="","",参数设置!$E$27)</f>
        <v/>
      </c>
      <c r="E22" s="23" t="str">
        <f>IF($C22="","",ROUND(N(参数设置!$G$27),2))</f>
        <v/>
      </c>
      <c r="F22" s="23" t="str">
        <f>IF($C22="","",ROUND(SUMIF(流水账户,$C22,流水收入),2))</f>
        <v/>
      </c>
      <c r="G22" s="23" t="str">
        <f>IF($C22="","",ROUND(SUMIF(流水账户,$C22,流水支出),2))</f>
        <v/>
      </c>
      <c r="H22" s="23" t="str">
        <f t="shared" si="0"/>
        <v/>
      </c>
      <c r="I22" s="24" t="str">
        <f>IF($C22="","",IFERROR(IF($D22=本位币,1,IFERROR(LOOKUP(2,1/((汇率月份&lt;=重估基准日)*(INDEX(月末汇率区,0,MATCH($D22,汇率币种头,0))&lt;&gt;"")),INDEX(月末汇率区,0,MATCH($D22,汇率币种头,0))),IFERROR(LOOKUP(2,1/((汇率月份&lt;=重估基准日)*(INDEX(记账汇率区,0,MATCH($D22,汇率币种头,0))&lt;&gt;"")),INDEX(记账汇率区,0,MATCH($D22,汇率币种头,0))),""))),""))</f>
        <v/>
      </c>
      <c r="J22" s="23" t="str">
        <f t="shared" si="1"/>
        <v/>
      </c>
      <c r="K22" s="23" t="str">
        <f>IF($C22="","",IFERROR(ROUND(参数设置!$I$27+SUMIF(流水账户,$C22,流水本位),2),""))</f>
        <v/>
      </c>
      <c r="L22" s="23" t="str">
        <f t="shared" si="2"/>
        <v/>
      </c>
      <c r="M22" s="6" t="str">
        <f>IF($C22="","",IF($H22&lt;0,"※期末余额是负数，查一下是不是漏记了收入",IF($I22="","△"&amp;$D22&amp;" 还没填汇率，人民币这几列算不出来",IF(AND($D22&lt;&gt;本位币,ABS($L22)&gt;ABS($K22)*0.2),"△汇兑损益超过账面成本 20%，核一下汇率",""))))</f>
        <v/>
      </c>
    </row>
    <row r="23" ht="16.5" spans="1:13">
      <c r="A23" s="4" t="str">
        <f>IF($C23="","",18)</f>
        <v/>
      </c>
      <c r="B23" s="12" t="str">
        <f>IF($C23="","",参数设置!$B$28)</f>
        <v/>
      </c>
      <c r="C23" s="12" t="str">
        <f>IF(参数设置!$C$28="","",参数设置!$C$28)</f>
        <v/>
      </c>
      <c r="D23" s="12" t="str">
        <f>IF($C23="","",参数设置!$E$28)</f>
        <v/>
      </c>
      <c r="E23" s="23" t="str">
        <f>IF($C23="","",ROUND(N(参数设置!$G$28),2))</f>
        <v/>
      </c>
      <c r="F23" s="23" t="str">
        <f>IF($C23="","",ROUND(SUMIF(流水账户,$C23,流水收入),2))</f>
        <v/>
      </c>
      <c r="G23" s="23" t="str">
        <f>IF($C23="","",ROUND(SUMIF(流水账户,$C23,流水支出),2))</f>
        <v/>
      </c>
      <c r="H23" s="23" t="str">
        <f t="shared" si="0"/>
        <v/>
      </c>
      <c r="I23" s="24" t="str">
        <f>IF($C23="","",IFERROR(IF($D23=本位币,1,IFERROR(LOOKUP(2,1/((汇率月份&lt;=重估基准日)*(INDEX(月末汇率区,0,MATCH($D23,汇率币种头,0))&lt;&gt;"")),INDEX(月末汇率区,0,MATCH($D23,汇率币种头,0))),IFERROR(LOOKUP(2,1/((汇率月份&lt;=重估基准日)*(INDEX(记账汇率区,0,MATCH($D23,汇率币种头,0))&lt;&gt;"")),INDEX(记账汇率区,0,MATCH($D23,汇率币种头,0))),""))),""))</f>
        <v/>
      </c>
      <c r="J23" s="23" t="str">
        <f t="shared" si="1"/>
        <v/>
      </c>
      <c r="K23" s="23" t="str">
        <f>IF($C23="","",IFERROR(ROUND(参数设置!$I$28+SUMIF(流水账户,$C23,流水本位),2),""))</f>
        <v/>
      </c>
      <c r="L23" s="23" t="str">
        <f t="shared" si="2"/>
        <v/>
      </c>
      <c r="M23" s="6" t="str">
        <f>IF($C23="","",IF($H23&lt;0,"※期末余额是负数，查一下是不是漏记了收入",IF($I23="","△"&amp;$D23&amp;" 还没填汇率，人民币这几列算不出来",IF(AND($D23&lt;&gt;本位币,ABS($L23)&gt;ABS($K23)*0.2),"△汇兑损益超过账面成本 20%，核一下汇率",""))))</f>
        <v/>
      </c>
    </row>
    <row r="24" ht="16.5" spans="1:13">
      <c r="A24" s="4" t="str">
        <f>IF($C24="","",19)</f>
        <v/>
      </c>
      <c r="B24" s="12" t="str">
        <f>IF($C24="","",参数设置!$B$29)</f>
        <v/>
      </c>
      <c r="C24" s="12" t="str">
        <f>IF(参数设置!$C$29="","",参数设置!$C$29)</f>
        <v/>
      </c>
      <c r="D24" s="12" t="str">
        <f>IF($C24="","",参数设置!$E$29)</f>
        <v/>
      </c>
      <c r="E24" s="23" t="str">
        <f>IF($C24="","",ROUND(N(参数设置!$G$29),2))</f>
        <v/>
      </c>
      <c r="F24" s="23" t="str">
        <f>IF($C24="","",ROUND(SUMIF(流水账户,$C24,流水收入),2))</f>
        <v/>
      </c>
      <c r="G24" s="23" t="str">
        <f>IF($C24="","",ROUND(SUMIF(流水账户,$C24,流水支出),2))</f>
        <v/>
      </c>
      <c r="H24" s="23" t="str">
        <f t="shared" si="0"/>
        <v/>
      </c>
      <c r="I24" s="24" t="str">
        <f>IF($C24="","",IFERROR(IF($D24=本位币,1,IFERROR(LOOKUP(2,1/((汇率月份&lt;=重估基准日)*(INDEX(月末汇率区,0,MATCH($D24,汇率币种头,0))&lt;&gt;"")),INDEX(月末汇率区,0,MATCH($D24,汇率币种头,0))),IFERROR(LOOKUP(2,1/((汇率月份&lt;=重估基准日)*(INDEX(记账汇率区,0,MATCH($D24,汇率币种头,0))&lt;&gt;"")),INDEX(记账汇率区,0,MATCH($D24,汇率币种头,0))),""))),""))</f>
        <v/>
      </c>
      <c r="J24" s="23" t="str">
        <f t="shared" si="1"/>
        <v/>
      </c>
      <c r="K24" s="23" t="str">
        <f>IF($C24="","",IFERROR(ROUND(参数设置!$I$29+SUMIF(流水账户,$C24,流水本位),2),""))</f>
        <v/>
      </c>
      <c r="L24" s="23" t="str">
        <f t="shared" si="2"/>
        <v/>
      </c>
      <c r="M24" s="6" t="str">
        <f>IF($C24="","",IF($H24&lt;0,"※期末余额是负数，查一下是不是漏记了收入",IF($I24="","△"&amp;$D24&amp;" 还没填汇率，人民币这几列算不出来",IF(AND($D24&lt;&gt;本位币,ABS($L24)&gt;ABS($K24)*0.2),"△汇兑损益超过账面成本 20%，核一下汇率",""))))</f>
        <v/>
      </c>
    </row>
    <row r="25" ht="16.5" spans="1:13">
      <c r="A25" s="4" t="str">
        <f>IF($C25="","",20)</f>
        <v/>
      </c>
      <c r="B25" s="12" t="str">
        <f>IF($C25="","",参数设置!$B$30)</f>
        <v/>
      </c>
      <c r="C25" s="12" t="str">
        <f>IF(参数设置!$C$30="","",参数设置!$C$30)</f>
        <v/>
      </c>
      <c r="D25" s="12" t="str">
        <f>IF($C25="","",参数设置!$E$30)</f>
        <v/>
      </c>
      <c r="E25" s="23" t="str">
        <f>IF($C25="","",ROUND(N(参数设置!$G$30),2))</f>
        <v/>
      </c>
      <c r="F25" s="23" t="str">
        <f>IF($C25="","",ROUND(SUMIF(流水账户,$C25,流水收入),2))</f>
        <v/>
      </c>
      <c r="G25" s="23" t="str">
        <f>IF($C25="","",ROUND(SUMIF(流水账户,$C25,流水支出),2))</f>
        <v/>
      </c>
      <c r="H25" s="23" t="str">
        <f t="shared" si="0"/>
        <v/>
      </c>
      <c r="I25" s="24" t="str">
        <f>IF($C25="","",IFERROR(IF($D25=本位币,1,IFERROR(LOOKUP(2,1/((汇率月份&lt;=重估基准日)*(INDEX(月末汇率区,0,MATCH($D25,汇率币种头,0))&lt;&gt;"")),INDEX(月末汇率区,0,MATCH($D25,汇率币种头,0))),IFERROR(LOOKUP(2,1/((汇率月份&lt;=重估基准日)*(INDEX(记账汇率区,0,MATCH($D25,汇率币种头,0))&lt;&gt;"")),INDEX(记账汇率区,0,MATCH($D25,汇率币种头,0))),""))),""))</f>
        <v/>
      </c>
      <c r="J25" s="23" t="str">
        <f t="shared" si="1"/>
        <v/>
      </c>
      <c r="K25" s="23" t="str">
        <f>IF($C25="","",IFERROR(ROUND(参数设置!$I$30+SUMIF(流水账户,$C25,流水本位),2),""))</f>
        <v/>
      </c>
      <c r="L25" s="23" t="str">
        <f t="shared" si="2"/>
        <v/>
      </c>
      <c r="M25" s="6" t="str">
        <f>IF($C25="","",IF($H25&lt;0,"※期末余额是负数，查一下是不是漏记了收入",IF($I25="","△"&amp;$D25&amp;" 还没填汇率，人民币这几列算不出来",IF(AND($D25&lt;&gt;本位币,ABS($L25)&gt;ABS($K25)*0.2),"△汇兑损益超过账面成本 20%，核一下汇率",""))))</f>
        <v/>
      </c>
    </row>
    <row r="26" ht="16.5" spans="1:13">
      <c r="A26" s="4" t="str">
        <f>IF($C26="","",21)</f>
        <v/>
      </c>
      <c r="B26" s="12" t="str">
        <f>IF($C26="","",参数设置!$B$31)</f>
        <v/>
      </c>
      <c r="C26" s="12" t="str">
        <f>IF(参数设置!$C$31="","",参数设置!$C$31)</f>
        <v/>
      </c>
      <c r="D26" s="12" t="str">
        <f>IF($C26="","",参数设置!$E$31)</f>
        <v/>
      </c>
      <c r="E26" s="23" t="str">
        <f>IF($C26="","",ROUND(N(参数设置!$G$31),2))</f>
        <v/>
      </c>
      <c r="F26" s="23" t="str">
        <f>IF($C26="","",ROUND(SUMIF(流水账户,$C26,流水收入),2))</f>
        <v/>
      </c>
      <c r="G26" s="23" t="str">
        <f>IF($C26="","",ROUND(SUMIF(流水账户,$C26,流水支出),2))</f>
        <v/>
      </c>
      <c r="H26" s="23" t="str">
        <f t="shared" si="0"/>
        <v/>
      </c>
      <c r="I26" s="24" t="str">
        <f>IF($C26="","",IFERROR(IF($D26=本位币,1,IFERROR(LOOKUP(2,1/((汇率月份&lt;=重估基准日)*(INDEX(月末汇率区,0,MATCH($D26,汇率币种头,0))&lt;&gt;"")),INDEX(月末汇率区,0,MATCH($D26,汇率币种头,0))),IFERROR(LOOKUP(2,1/((汇率月份&lt;=重估基准日)*(INDEX(记账汇率区,0,MATCH($D26,汇率币种头,0))&lt;&gt;"")),INDEX(记账汇率区,0,MATCH($D26,汇率币种头,0))),""))),""))</f>
        <v/>
      </c>
      <c r="J26" s="23" t="str">
        <f t="shared" si="1"/>
        <v/>
      </c>
      <c r="K26" s="23" t="str">
        <f>IF($C26="","",IFERROR(ROUND(参数设置!$I$31+SUMIF(流水账户,$C26,流水本位),2),""))</f>
        <v/>
      </c>
      <c r="L26" s="23" t="str">
        <f t="shared" si="2"/>
        <v/>
      </c>
      <c r="M26" s="6" t="str">
        <f>IF($C26="","",IF($H26&lt;0,"※期末余额是负数，查一下是不是漏记了收入",IF($I26="","△"&amp;$D26&amp;" 还没填汇率，人民币这几列算不出来",IF(AND($D26&lt;&gt;本位币,ABS($L26)&gt;ABS($K26)*0.2),"△汇兑损益超过账面成本 20%，核一下汇率",""))))</f>
        <v/>
      </c>
    </row>
    <row r="27" ht="16.5" spans="1:13">
      <c r="A27" s="4" t="str">
        <f>IF($C27="","",22)</f>
        <v/>
      </c>
      <c r="B27" s="12" t="str">
        <f>IF($C27="","",参数设置!$B$32)</f>
        <v/>
      </c>
      <c r="C27" s="12" t="str">
        <f>IF(参数设置!$C$32="","",参数设置!$C$32)</f>
        <v/>
      </c>
      <c r="D27" s="12" t="str">
        <f>IF($C27="","",参数设置!$E$32)</f>
        <v/>
      </c>
      <c r="E27" s="23" t="str">
        <f>IF($C27="","",ROUND(N(参数设置!$G$32),2))</f>
        <v/>
      </c>
      <c r="F27" s="23" t="str">
        <f>IF($C27="","",ROUND(SUMIF(流水账户,$C27,流水收入),2))</f>
        <v/>
      </c>
      <c r="G27" s="23" t="str">
        <f>IF($C27="","",ROUND(SUMIF(流水账户,$C27,流水支出),2))</f>
        <v/>
      </c>
      <c r="H27" s="23" t="str">
        <f t="shared" si="0"/>
        <v/>
      </c>
      <c r="I27" s="24" t="str">
        <f>IF($C27="","",IFERROR(IF($D27=本位币,1,IFERROR(LOOKUP(2,1/((汇率月份&lt;=重估基准日)*(INDEX(月末汇率区,0,MATCH($D27,汇率币种头,0))&lt;&gt;"")),INDEX(月末汇率区,0,MATCH($D27,汇率币种头,0))),IFERROR(LOOKUP(2,1/((汇率月份&lt;=重估基准日)*(INDEX(记账汇率区,0,MATCH($D27,汇率币种头,0))&lt;&gt;"")),INDEX(记账汇率区,0,MATCH($D27,汇率币种头,0))),""))),""))</f>
        <v/>
      </c>
      <c r="J27" s="23" t="str">
        <f t="shared" si="1"/>
        <v/>
      </c>
      <c r="K27" s="23" t="str">
        <f>IF($C27="","",IFERROR(ROUND(参数设置!$I$32+SUMIF(流水账户,$C27,流水本位),2),""))</f>
        <v/>
      </c>
      <c r="L27" s="23" t="str">
        <f t="shared" si="2"/>
        <v/>
      </c>
      <c r="M27" s="6" t="str">
        <f>IF($C27="","",IF($H27&lt;0,"※期末余额是负数，查一下是不是漏记了收入",IF($I27="","△"&amp;$D27&amp;" 还没填汇率，人民币这几列算不出来",IF(AND($D27&lt;&gt;本位币,ABS($L27)&gt;ABS($K27)*0.2),"△汇兑损益超过账面成本 20%，核一下汇率",""))))</f>
        <v/>
      </c>
    </row>
    <row r="28" ht="16.5" spans="1:13">
      <c r="A28" s="4" t="str">
        <f>IF($C28="","",23)</f>
        <v/>
      </c>
      <c r="B28" s="12" t="str">
        <f>IF($C28="","",参数设置!$B$33)</f>
        <v/>
      </c>
      <c r="C28" s="12" t="str">
        <f>IF(参数设置!$C$33="","",参数设置!$C$33)</f>
        <v/>
      </c>
      <c r="D28" s="12" t="str">
        <f>IF($C28="","",参数设置!$E$33)</f>
        <v/>
      </c>
      <c r="E28" s="23" t="str">
        <f>IF($C28="","",ROUND(N(参数设置!$G$33),2))</f>
        <v/>
      </c>
      <c r="F28" s="23" t="str">
        <f>IF($C28="","",ROUND(SUMIF(流水账户,$C28,流水收入),2))</f>
        <v/>
      </c>
      <c r="G28" s="23" t="str">
        <f>IF($C28="","",ROUND(SUMIF(流水账户,$C28,流水支出),2))</f>
        <v/>
      </c>
      <c r="H28" s="23" t="str">
        <f t="shared" si="0"/>
        <v/>
      </c>
      <c r="I28" s="24" t="str">
        <f>IF($C28="","",IFERROR(IF($D28=本位币,1,IFERROR(LOOKUP(2,1/((汇率月份&lt;=重估基准日)*(INDEX(月末汇率区,0,MATCH($D28,汇率币种头,0))&lt;&gt;"")),INDEX(月末汇率区,0,MATCH($D28,汇率币种头,0))),IFERROR(LOOKUP(2,1/((汇率月份&lt;=重估基准日)*(INDEX(记账汇率区,0,MATCH($D28,汇率币种头,0))&lt;&gt;"")),INDEX(记账汇率区,0,MATCH($D28,汇率币种头,0))),""))),""))</f>
        <v/>
      </c>
      <c r="J28" s="23" t="str">
        <f t="shared" si="1"/>
        <v/>
      </c>
      <c r="K28" s="23" t="str">
        <f>IF($C28="","",IFERROR(ROUND(参数设置!$I$33+SUMIF(流水账户,$C28,流水本位),2),""))</f>
        <v/>
      </c>
      <c r="L28" s="23" t="str">
        <f t="shared" si="2"/>
        <v/>
      </c>
      <c r="M28" s="6" t="str">
        <f>IF($C28="","",IF($H28&lt;0,"※期末余额是负数，查一下是不是漏记了收入",IF($I28="","△"&amp;$D28&amp;" 还没填汇率，人民币这几列算不出来",IF(AND($D28&lt;&gt;本位币,ABS($L28)&gt;ABS($K28)*0.2),"△汇兑损益超过账面成本 20%，核一下汇率",""))))</f>
        <v/>
      </c>
    </row>
    <row r="29" ht="16.5" spans="1:13">
      <c r="A29" s="4" t="str">
        <f>IF($C29="","",24)</f>
        <v/>
      </c>
      <c r="B29" s="12" t="str">
        <f>IF($C29="","",参数设置!$B$34)</f>
        <v/>
      </c>
      <c r="C29" s="12" t="str">
        <f>IF(参数设置!$C$34="","",参数设置!$C$34)</f>
        <v/>
      </c>
      <c r="D29" s="12" t="str">
        <f>IF($C29="","",参数设置!$E$34)</f>
        <v/>
      </c>
      <c r="E29" s="23" t="str">
        <f>IF($C29="","",ROUND(N(参数设置!$G$34),2))</f>
        <v/>
      </c>
      <c r="F29" s="23" t="str">
        <f>IF($C29="","",ROUND(SUMIF(流水账户,$C29,流水收入),2))</f>
        <v/>
      </c>
      <c r="G29" s="23" t="str">
        <f>IF($C29="","",ROUND(SUMIF(流水账户,$C29,流水支出),2))</f>
        <v/>
      </c>
      <c r="H29" s="23" t="str">
        <f t="shared" si="0"/>
        <v/>
      </c>
      <c r="I29" s="24" t="str">
        <f>IF($C29="","",IFERROR(IF($D29=本位币,1,IFERROR(LOOKUP(2,1/((汇率月份&lt;=重估基准日)*(INDEX(月末汇率区,0,MATCH($D29,汇率币种头,0))&lt;&gt;"")),INDEX(月末汇率区,0,MATCH($D29,汇率币种头,0))),IFERROR(LOOKUP(2,1/((汇率月份&lt;=重估基准日)*(INDEX(记账汇率区,0,MATCH($D29,汇率币种头,0))&lt;&gt;"")),INDEX(记账汇率区,0,MATCH($D29,汇率币种头,0))),""))),""))</f>
        <v/>
      </c>
      <c r="J29" s="23" t="str">
        <f t="shared" si="1"/>
        <v/>
      </c>
      <c r="K29" s="23" t="str">
        <f>IF($C29="","",IFERROR(ROUND(参数设置!$I$34+SUMIF(流水账户,$C29,流水本位),2),""))</f>
        <v/>
      </c>
      <c r="L29" s="23" t="str">
        <f t="shared" si="2"/>
        <v/>
      </c>
      <c r="M29" s="6" t="str">
        <f>IF($C29="","",IF($H29&lt;0,"※期末余额是负数，查一下是不是漏记了收入",IF($I29="","△"&amp;$D29&amp;" 还没填汇率，人民币这几列算不出来",IF(AND($D29&lt;&gt;本位币,ABS($L29)&gt;ABS($K29)*0.2),"△汇兑损益超过账面成本 20%，核一下汇率",""))))</f>
        <v/>
      </c>
    </row>
    <row r="30" ht="16.5" spans="1:13">
      <c r="A30" s="4" t="str">
        <f>IF($C30="","",25)</f>
        <v/>
      </c>
      <c r="B30" s="12" t="str">
        <f>IF($C30="","",参数设置!$B$35)</f>
        <v/>
      </c>
      <c r="C30" s="12" t="str">
        <f>IF(参数设置!$C$35="","",参数设置!$C$35)</f>
        <v/>
      </c>
      <c r="D30" s="12" t="str">
        <f>IF($C30="","",参数设置!$E$35)</f>
        <v/>
      </c>
      <c r="E30" s="23" t="str">
        <f>IF($C30="","",ROUND(N(参数设置!$G$35),2))</f>
        <v/>
      </c>
      <c r="F30" s="23" t="str">
        <f>IF($C30="","",ROUND(SUMIF(流水账户,$C30,流水收入),2))</f>
        <v/>
      </c>
      <c r="G30" s="23" t="str">
        <f>IF($C30="","",ROUND(SUMIF(流水账户,$C30,流水支出),2))</f>
        <v/>
      </c>
      <c r="H30" s="23" t="str">
        <f t="shared" si="0"/>
        <v/>
      </c>
      <c r="I30" s="24" t="str">
        <f>IF($C30="","",IFERROR(IF($D30=本位币,1,IFERROR(LOOKUP(2,1/((汇率月份&lt;=重估基准日)*(INDEX(月末汇率区,0,MATCH($D30,汇率币种头,0))&lt;&gt;"")),INDEX(月末汇率区,0,MATCH($D30,汇率币种头,0))),IFERROR(LOOKUP(2,1/((汇率月份&lt;=重估基准日)*(INDEX(记账汇率区,0,MATCH($D30,汇率币种头,0))&lt;&gt;"")),INDEX(记账汇率区,0,MATCH($D30,汇率币种头,0))),""))),""))</f>
        <v/>
      </c>
      <c r="J30" s="23" t="str">
        <f t="shared" si="1"/>
        <v/>
      </c>
      <c r="K30" s="23" t="str">
        <f>IF($C30="","",IFERROR(ROUND(参数设置!$I$35+SUMIF(流水账户,$C30,流水本位),2),""))</f>
        <v/>
      </c>
      <c r="L30" s="23" t="str">
        <f t="shared" si="2"/>
        <v/>
      </c>
      <c r="M30" s="6" t="str">
        <f>IF($C30="","",IF($H30&lt;0,"※期末余额是负数，查一下是不是漏记了收入",IF($I30="","△"&amp;$D30&amp;" 还没填汇率，人民币这几列算不出来",IF(AND($D30&lt;&gt;本位币,ABS($L30)&gt;ABS($K30)*0.2),"△汇兑损益超过账面成本 20%，核一下汇率",""))))</f>
        <v/>
      </c>
    </row>
    <row r="31" ht="16.5" spans="1:13">
      <c r="A31" s="4" t="str">
        <f>IF($C31="","",26)</f>
        <v/>
      </c>
      <c r="B31" s="12" t="str">
        <f>IF($C31="","",参数设置!$B$36)</f>
        <v/>
      </c>
      <c r="C31" s="12" t="str">
        <f>IF(参数设置!$C$36="","",参数设置!$C$36)</f>
        <v/>
      </c>
      <c r="D31" s="12" t="str">
        <f>IF($C31="","",参数设置!$E$36)</f>
        <v/>
      </c>
      <c r="E31" s="23" t="str">
        <f>IF($C31="","",ROUND(N(参数设置!$G$36),2))</f>
        <v/>
      </c>
      <c r="F31" s="23" t="str">
        <f>IF($C31="","",ROUND(SUMIF(流水账户,$C31,流水收入),2))</f>
        <v/>
      </c>
      <c r="G31" s="23" t="str">
        <f>IF($C31="","",ROUND(SUMIF(流水账户,$C31,流水支出),2))</f>
        <v/>
      </c>
      <c r="H31" s="23" t="str">
        <f t="shared" si="0"/>
        <v/>
      </c>
      <c r="I31" s="24" t="str">
        <f>IF($C31="","",IFERROR(IF($D31=本位币,1,IFERROR(LOOKUP(2,1/((汇率月份&lt;=重估基准日)*(INDEX(月末汇率区,0,MATCH($D31,汇率币种头,0))&lt;&gt;"")),INDEX(月末汇率区,0,MATCH($D31,汇率币种头,0))),IFERROR(LOOKUP(2,1/((汇率月份&lt;=重估基准日)*(INDEX(记账汇率区,0,MATCH($D31,汇率币种头,0))&lt;&gt;"")),INDEX(记账汇率区,0,MATCH($D31,汇率币种头,0))),""))),""))</f>
        <v/>
      </c>
      <c r="J31" s="23" t="str">
        <f t="shared" si="1"/>
        <v/>
      </c>
      <c r="K31" s="23" t="str">
        <f>IF($C31="","",IFERROR(ROUND(参数设置!$I$36+SUMIF(流水账户,$C31,流水本位),2),""))</f>
        <v/>
      </c>
      <c r="L31" s="23" t="str">
        <f t="shared" si="2"/>
        <v/>
      </c>
      <c r="M31" s="6" t="str">
        <f>IF($C31="","",IF($H31&lt;0,"※期末余额是负数，查一下是不是漏记了收入",IF($I31="","△"&amp;$D31&amp;" 还没填汇率，人民币这几列算不出来",IF(AND($D31&lt;&gt;本位币,ABS($L31)&gt;ABS($K31)*0.2),"△汇兑损益超过账面成本 20%，核一下汇率",""))))</f>
        <v/>
      </c>
    </row>
    <row r="32" ht="16.5" spans="1:13">
      <c r="A32" s="4" t="str">
        <f>IF($C32="","",27)</f>
        <v/>
      </c>
      <c r="B32" s="12" t="str">
        <f>IF($C32="","",参数设置!$B$37)</f>
        <v/>
      </c>
      <c r="C32" s="12" t="str">
        <f>IF(参数设置!$C$37="","",参数设置!$C$37)</f>
        <v/>
      </c>
      <c r="D32" s="12" t="str">
        <f>IF($C32="","",参数设置!$E$37)</f>
        <v/>
      </c>
      <c r="E32" s="23" t="str">
        <f>IF($C32="","",ROUND(N(参数设置!$G$37),2))</f>
        <v/>
      </c>
      <c r="F32" s="23" t="str">
        <f>IF($C32="","",ROUND(SUMIF(流水账户,$C32,流水收入),2))</f>
        <v/>
      </c>
      <c r="G32" s="23" t="str">
        <f>IF($C32="","",ROUND(SUMIF(流水账户,$C32,流水支出),2))</f>
        <v/>
      </c>
      <c r="H32" s="23" t="str">
        <f t="shared" si="0"/>
        <v/>
      </c>
      <c r="I32" s="24" t="str">
        <f>IF($C32="","",IFERROR(IF($D32=本位币,1,IFERROR(LOOKUP(2,1/((汇率月份&lt;=重估基准日)*(INDEX(月末汇率区,0,MATCH($D32,汇率币种头,0))&lt;&gt;"")),INDEX(月末汇率区,0,MATCH($D32,汇率币种头,0))),IFERROR(LOOKUP(2,1/((汇率月份&lt;=重估基准日)*(INDEX(记账汇率区,0,MATCH($D32,汇率币种头,0))&lt;&gt;"")),INDEX(记账汇率区,0,MATCH($D32,汇率币种头,0))),""))),""))</f>
        <v/>
      </c>
      <c r="J32" s="23" t="str">
        <f t="shared" si="1"/>
        <v/>
      </c>
      <c r="K32" s="23" t="str">
        <f>IF($C32="","",IFERROR(ROUND(参数设置!$I$37+SUMIF(流水账户,$C32,流水本位),2),""))</f>
        <v/>
      </c>
      <c r="L32" s="23" t="str">
        <f t="shared" si="2"/>
        <v/>
      </c>
      <c r="M32" s="6" t="str">
        <f>IF($C32="","",IF($H32&lt;0,"※期末余额是负数，查一下是不是漏记了收入",IF($I32="","△"&amp;$D32&amp;" 还没填汇率，人民币这几列算不出来",IF(AND($D32&lt;&gt;本位币,ABS($L32)&gt;ABS($K32)*0.2),"△汇兑损益超过账面成本 20%，核一下汇率",""))))</f>
        <v/>
      </c>
    </row>
    <row r="33" ht="16.5" spans="1:13">
      <c r="A33" s="4" t="str">
        <f>IF($C33="","",28)</f>
        <v/>
      </c>
      <c r="B33" s="12" t="str">
        <f>IF($C33="","",参数设置!$B$38)</f>
        <v/>
      </c>
      <c r="C33" s="12" t="str">
        <f>IF(参数设置!$C$38="","",参数设置!$C$38)</f>
        <v/>
      </c>
      <c r="D33" s="12" t="str">
        <f>IF($C33="","",参数设置!$E$38)</f>
        <v/>
      </c>
      <c r="E33" s="23" t="str">
        <f>IF($C33="","",ROUND(N(参数设置!$G$38),2))</f>
        <v/>
      </c>
      <c r="F33" s="23" t="str">
        <f>IF($C33="","",ROUND(SUMIF(流水账户,$C33,流水收入),2))</f>
        <v/>
      </c>
      <c r="G33" s="23" t="str">
        <f>IF($C33="","",ROUND(SUMIF(流水账户,$C33,流水支出),2))</f>
        <v/>
      </c>
      <c r="H33" s="23" t="str">
        <f t="shared" si="0"/>
        <v/>
      </c>
      <c r="I33" s="24" t="str">
        <f>IF($C33="","",IFERROR(IF($D33=本位币,1,IFERROR(LOOKUP(2,1/((汇率月份&lt;=重估基准日)*(INDEX(月末汇率区,0,MATCH($D33,汇率币种头,0))&lt;&gt;"")),INDEX(月末汇率区,0,MATCH($D33,汇率币种头,0))),IFERROR(LOOKUP(2,1/((汇率月份&lt;=重估基准日)*(INDEX(记账汇率区,0,MATCH($D33,汇率币种头,0))&lt;&gt;"")),INDEX(记账汇率区,0,MATCH($D33,汇率币种头,0))),""))),""))</f>
        <v/>
      </c>
      <c r="J33" s="23" t="str">
        <f t="shared" si="1"/>
        <v/>
      </c>
      <c r="K33" s="23" t="str">
        <f>IF($C33="","",IFERROR(ROUND(参数设置!$I$38+SUMIF(流水账户,$C33,流水本位),2),""))</f>
        <v/>
      </c>
      <c r="L33" s="23" t="str">
        <f t="shared" si="2"/>
        <v/>
      </c>
      <c r="M33" s="6" t="str">
        <f>IF($C33="","",IF($H33&lt;0,"※期末余额是负数，查一下是不是漏记了收入",IF($I33="","△"&amp;$D33&amp;" 还没填汇率，人民币这几列算不出来",IF(AND($D33&lt;&gt;本位币,ABS($L33)&gt;ABS($K33)*0.2),"△汇兑损益超过账面成本 20%，核一下汇率",""))))</f>
        <v/>
      </c>
    </row>
    <row r="34" ht="16.5" spans="1:13">
      <c r="A34" s="4" t="str">
        <f>IF($C34="","",29)</f>
        <v/>
      </c>
      <c r="B34" s="12" t="str">
        <f>IF($C34="","",参数设置!$B$39)</f>
        <v/>
      </c>
      <c r="C34" s="12" t="str">
        <f>IF(参数设置!$C$39="","",参数设置!$C$39)</f>
        <v/>
      </c>
      <c r="D34" s="12" t="str">
        <f>IF($C34="","",参数设置!$E$39)</f>
        <v/>
      </c>
      <c r="E34" s="23" t="str">
        <f>IF($C34="","",ROUND(N(参数设置!$G$39),2))</f>
        <v/>
      </c>
      <c r="F34" s="23" t="str">
        <f>IF($C34="","",ROUND(SUMIF(流水账户,$C34,流水收入),2))</f>
        <v/>
      </c>
      <c r="G34" s="23" t="str">
        <f>IF($C34="","",ROUND(SUMIF(流水账户,$C34,流水支出),2))</f>
        <v/>
      </c>
      <c r="H34" s="23" t="str">
        <f t="shared" si="0"/>
        <v/>
      </c>
      <c r="I34" s="24" t="str">
        <f>IF($C34="","",IFERROR(IF($D34=本位币,1,IFERROR(LOOKUP(2,1/((汇率月份&lt;=重估基准日)*(INDEX(月末汇率区,0,MATCH($D34,汇率币种头,0))&lt;&gt;"")),INDEX(月末汇率区,0,MATCH($D34,汇率币种头,0))),IFERROR(LOOKUP(2,1/((汇率月份&lt;=重估基准日)*(INDEX(记账汇率区,0,MATCH($D34,汇率币种头,0))&lt;&gt;"")),INDEX(记账汇率区,0,MATCH($D34,汇率币种头,0))),""))),""))</f>
        <v/>
      </c>
      <c r="J34" s="23" t="str">
        <f t="shared" si="1"/>
        <v/>
      </c>
      <c r="K34" s="23" t="str">
        <f>IF($C34="","",IFERROR(ROUND(参数设置!$I$39+SUMIF(流水账户,$C34,流水本位),2),""))</f>
        <v/>
      </c>
      <c r="L34" s="23" t="str">
        <f t="shared" si="2"/>
        <v/>
      </c>
      <c r="M34" s="6" t="str">
        <f>IF($C34="","",IF($H34&lt;0,"※期末余额是负数，查一下是不是漏记了收入",IF($I34="","△"&amp;$D34&amp;" 还没填汇率，人民币这几列算不出来",IF(AND($D34&lt;&gt;本位币,ABS($L34)&gt;ABS($K34)*0.2),"△汇兑损益超过账面成本 20%，核一下汇率",""))))</f>
        <v/>
      </c>
    </row>
    <row r="35" ht="16.5" spans="1:13">
      <c r="A35" s="4" t="str">
        <f>IF($C35="","",30)</f>
        <v/>
      </c>
      <c r="B35" s="12" t="str">
        <f>IF($C35="","",参数设置!$B$40)</f>
        <v/>
      </c>
      <c r="C35" s="12" t="str">
        <f>IF(参数设置!$C$40="","",参数设置!$C$40)</f>
        <v/>
      </c>
      <c r="D35" s="12" t="str">
        <f>IF($C35="","",参数设置!$E$40)</f>
        <v/>
      </c>
      <c r="E35" s="23" t="str">
        <f>IF($C35="","",ROUND(N(参数设置!$G$40),2))</f>
        <v/>
      </c>
      <c r="F35" s="23" t="str">
        <f>IF($C35="","",ROUND(SUMIF(流水账户,$C35,流水收入),2))</f>
        <v/>
      </c>
      <c r="G35" s="23" t="str">
        <f>IF($C35="","",ROUND(SUMIF(流水账户,$C35,流水支出),2))</f>
        <v/>
      </c>
      <c r="H35" s="23" t="str">
        <f t="shared" si="0"/>
        <v/>
      </c>
      <c r="I35" s="24" t="str">
        <f>IF($C35="","",IFERROR(IF($D35=本位币,1,IFERROR(LOOKUP(2,1/((汇率月份&lt;=重估基准日)*(INDEX(月末汇率区,0,MATCH($D35,汇率币种头,0))&lt;&gt;"")),INDEX(月末汇率区,0,MATCH($D35,汇率币种头,0))),IFERROR(LOOKUP(2,1/((汇率月份&lt;=重估基准日)*(INDEX(记账汇率区,0,MATCH($D35,汇率币种头,0))&lt;&gt;"")),INDEX(记账汇率区,0,MATCH($D35,汇率币种头,0))),""))),""))</f>
        <v/>
      </c>
      <c r="J35" s="23" t="str">
        <f t="shared" si="1"/>
        <v/>
      </c>
      <c r="K35" s="23" t="str">
        <f>IF($C35="","",IFERROR(ROUND(参数设置!$I$40+SUMIF(流水账户,$C35,流水本位),2),""))</f>
        <v/>
      </c>
      <c r="L35" s="23" t="str">
        <f t="shared" si="2"/>
        <v/>
      </c>
      <c r="M35" s="6" t="str">
        <f>IF($C35="","",IF($H35&lt;0,"※期末余额是负数，查一下是不是漏记了收入",IF($I35="","△"&amp;$D35&amp;" 还没填汇率，人民币这几列算不出来",IF(AND($D35&lt;&gt;本位币,ABS($L35)&gt;ABS($K35)*0.2),"△汇兑损益超过账面成本 20%，核一下汇率",""))))</f>
        <v/>
      </c>
    </row>
    <row r="36" ht="16.5" spans="1:13">
      <c r="A36" s="28" t="s">
        <v>264</v>
      </c>
      <c r="B36" s="28" t="s">
        <v>265</v>
      </c>
      <c r="C36" s="28" t="s">
        <v>265</v>
      </c>
      <c r="D36" s="43" t="s">
        <v>266</v>
      </c>
      <c r="E36" s="14"/>
      <c r="F36" s="14"/>
      <c r="G36" s="14"/>
      <c r="H36" s="14"/>
      <c r="I36" s="15"/>
      <c r="J36" s="7">
        <f>ROUND(SUM(J6:J35),2)</f>
        <v>11961380</v>
      </c>
      <c r="K36" s="7">
        <f>ROUND(SUM(K6:K35),2)</f>
        <v>11921240</v>
      </c>
      <c r="L36" s="7">
        <f>ROUND(SUM(L6:L35),2)</f>
        <v>40140</v>
      </c>
      <c r="M36" s="27" t="s">
        <v>267</v>
      </c>
    </row>
    <row r="38" ht="22" customHeight="1" spans="1:13">
      <c r="A38" s="29" t="s">
        <v>268</v>
      </c>
      <c r="B38" s="14"/>
      <c r="C38" s="14"/>
      <c r="D38" s="14"/>
      <c r="E38" s="14"/>
      <c r="F38" s="14"/>
      <c r="G38" s="14"/>
      <c r="H38" s="15"/>
    </row>
    <row r="39" ht="30" customHeight="1" spans="1:13">
      <c r="A39" s="18" t="s">
        <v>226</v>
      </c>
      <c r="B39" s="18" t="s">
        <v>269</v>
      </c>
      <c r="C39" s="18" t="s">
        <v>262</v>
      </c>
      <c r="D39" s="18" t="s">
        <v>263</v>
      </c>
      <c r="E39" s="18" t="s">
        <v>234</v>
      </c>
      <c r="F39" s="18" t="s">
        <v>53</v>
      </c>
      <c r="G39" s="18" t="s">
        <v>59</v>
      </c>
      <c r="H39" s="18" t="s">
        <v>270</v>
      </c>
    </row>
    <row r="40" ht="16.5" spans="1:13">
      <c r="A40" s="12" t="str">
        <f>IF(参数设置!$L$11="","",参数设置!$L$11)</f>
        <v>CNY</v>
      </c>
      <c r="B40" s="4">
        <f t="shared" ref="B40:B47" si="3">IF($A40="","",COUNTIF($D$6:$D$35,$A40))</f>
        <v>2</v>
      </c>
      <c r="C40" s="23">
        <f t="shared" ref="C40:C47" si="4">IF($A40="","",ROUND(SUMIF($D$6:$D$35,$A40,$H$6:$H$35),2))</f>
        <v>1010400</v>
      </c>
      <c r="D40" s="24">
        <f>IF($A40="","",IFERROR(IF($A40=本位币,1,IFERROR(LOOKUP(2,1/((汇率月份&lt;=重估基准日)*(INDEX(月末汇率区,0,MATCH($A40,汇率币种头,0))&lt;&gt;"")),INDEX(月末汇率区,0,MATCH($A40,汇率币种头,0))),IFERROR(LOOKUP(2,1/((汇率月份&lt;=重估基准日)*(INDEX(记账汇率区,0,MATCH($A40,汇率币种头,0))&lt;&gt;"")),INDEX(记账汇率区,0,MATCH($A40,汇率币种头,0))),""))),""))</f>
        <v>1</v>
      </c>
      <c r="E40" s="23">
        <f t="shared" ref="E40:E47" si="5">IF($A40="","",ROUND(SUMIF($D$6:$D$35,$A40,$J$6:$J$35),2))</f>
        <v>1010400</v>
      </c>
      <c r="F40" s="23">
        <f t="shared" ref="F40:F47" si="6">IF($A40="","",ROUND(SUMIF($D$6:$D$35,$A40,$K$6:$K$35),2))</f>
        <v>1010400</v>
      </c>
      <c r="G40" s="23">
        <f t="shared" ref="G40:G47" si="7">IF($A40="","",ROUND($E40-$F40,2))</f>
        <v>0</v>
      </c>
      <c r="H40" s="30">
        <f t="shared" ref="H40:H47" si="8">IF(OR($A40="",N($J$36)=0),"",$E40/$J$36)</f>
        <v>0.0844718585982554</v>
      </c>
    </row>
    <row r="41" ht="16.5" spans="1:13">
      <c r="A41" s="12" t="str">
        <f>IF(参数设置!$L$12="","",参数设置!$L$12)</f>
        <v>USD</v>
      </c>
      <c r="B41" s="4">
        <f t="shared" si="3"/>
        <v>2</v>
      </c>
      <c r="C41" s="23">
        <f t="shared" si="4"/>
        <v>1319000</v>
      </c>
      <c r="D41" s="24">
        <f>IF($A41="","",IFERROR(IF($A41=本位币,1,IFERROR(LOOKUP(2,1/((汇率月份&lt;=重估基准日)*(INDEX(月末汇率区,0,MATCH($A41,汇率币种头,0))&lt;&gt;"")),INDEX(月末汇率区,0,MATCH($A41,汇率币种头,0))),IFERROR(LOOKUP(2,1/((汇率月份&lt;=重估基准日)*(INDEX(记账汇率区,0,MATCH($A41,汇率币种头,0))&lt;&gt;"")),INDEX(记账汇率区,0,MATCH($A41,汇率币种头,0))),""))),""))</f>
        <v>7.18</v>
      </c>
      <c r="E41" s="23">
        <f t="shared" si="5"/>
        <v>9470420</v>
      </c>
      <c r="F41" s="23">
        <f t="shared" si="6"/>
        <v>9431780</v>
      </c>
      <c r="G41" s="23">
        <f t="shared" si="7"/>
        <v>38640</v>
      </c>
      <c r="H41" s="30">
        <f t="shared" si="8"/>
        <v>0.791749781379741</v>
      </c>
    </row>
    <row r="42" ht="16.5" spans="1:13">
      <c r="A42" s="12" t="str">
        <f>IF(参数设置!$L$13="","",参数设置!$L$13)</f>
        <v>HKD</v>
      </c>
      <c r="B42" s="4">
        <f t="shared" si="3"/>
        <v>1</v>
      </c>
      <c r="C42" s="23">
        <f t="shared" si="4"/>
        <v>355500</v>
      </c>
      <c r="D42" s="24">
        <f>IF($A42="","",IFERROR(IF($A42=本位币,1,IFERROR(LOOKUP(2,1/((汇率月份&lt;=重估基准日)*(INDEX(月末汇率区,0,MATCH($A42,汇率币种头,0))&lt;&gt;"")),INDEX(月末汇率区,0,MATCH($A42,汇率币种头,0))),IFERROR(LOOKUP(2,1/((汇率月份&lt;=重估基准日)*(INDEX(记账汇率区,0,MATCH($A42,汇率币种头,0))&lt;&gt;"")),INDEX(记账汇率区,0,MATCH($A42,汇率币种头,0))),""))),""))</f>
        <v>0.92</v>
      </c>
      <c r="E42" s="23">
        <f t="shared" si="5"/>
        <v>327060</v>
      </c>
      <c r="F42" s="23">
        <f t="shared" si="6"/>
        <v>325560</v>
      </c>
      <c r="G42" s="23">
        <f t="shared" si="7"/>
        <v>1500</v>
      </c>
      <c r="H42" s="30">
        <f t="shared" si="8"/>
        <v>0.0273429988847441</v>
      </c>
    </row>
    <row r="43" ht="16.5" spans="1:13">
      <c r="A43" s="12" t="str">
        <f>IF(参数设置!$L$14="","",参数设置!$L$14)</f>
        <v>EUR</v>
      </c>
      <c r="B43" s="4">
        <f t="shared" si="3"/>
        <v>1</v>
      </c>
      <c r="C43" s="23">
        <f t="shared" si="4"/>
        <v>150000</v>
      </c>
      <c r="D43" s="24">
        <f>IF($A43="","",IFERROR(IF($A43=本位币,1,IFERROR(LOOKUP(2,1/((汇率月份&lt;=重估基准日)*(INDEX(月末汇率区,0,MATCH($A43,汇率币种头,0))&lt;&gt;"")),INDEX(月末汇率区,0,MATCH($A43,汇率币种头,0))),IFERROR(LOOKUP(2,1/((汇率月份&lt;=重估基准日)*(INDEX(记账汇率区,0,MATCH($A43,汇率币种头,0))&lt;&gt;"")),INDEX(记账汇率区,0,MATCH($A43,汇率币种头,0))),""))),""))</f>
        <v>7.69</v>
      </c>
      <c r="E43" s="23">
        <f t="shared" si="5"/>
        <v>1153500</v>
      </c>
      <c r="F43" s="23">
        <f t="shared" si="6"/>
        <v>1153500</v>
      </c>
      <c r="G43" s="23">
        <f t="shared" si="7"/>
        <v>0</v>
      </c>
      <c r="H43" s="30">
        <f t="shared" si="8"/>
        <v>0.0964353611372601</v>
      </c>
    </row>
    <row r="44" ht="16.5" spans="1:13">
      <c r="A44" s="12" t="str">
        <f>IF(参数设置!$L$15="","",参数设置!$L$15)</f>
        <v>JPY</v>
      </c>
      <c r="B44" s="4">
        <f t="shared" si="3"/>
        <v>0</v>
      </c>
      <c r="C44" s="23">
        <f t="shared" si="4"/>
        <v>0</v>
      </c>
      <c r="D44" s="24" t="str">
        <f>IF($A44="","",IFERROR(IF($A44=本位币,1,IFERROR(LOOKUP(2,1/((汇率月份&lt;=重估基准日)*(INDEX(月末汇率区,0,MATCH($A44,汇率币种头,0))&lt;&gt;"")),INDEX(月末汇率区,0,MATCH($A44,汇率币种头,0))),IFERROR(LOOKUP(2,1/((汇率月份&lt;=重估基准日)*(INDEX(记账汇率区,0,MATCH($A44,汇率币种头,0))&lt;&gt;"")),INDEX(记账汇率区,0,MATCH($A44,汇率币种头,0))),""))),""))</f>
        <v/>
      </c>
      <c r="E44" s="23">
        <f t="shared" si="5"/>
        <v>0</v>
      </c>
      <c r="F44" s="23">
        <f t="shared" si="6"/>
        <v>0</v>
      </c>
      <c r="G44" s="23">
        <f t="shared" si="7"/>
        <v>0</v>
      </c>
      <c r="H44" s="30">
        <f t="shared" si="8"/>
        <v>0</v>
      </c>
    </row>
    <row r="45" ht="16.5" spans="1:13">
      <c r="A45" s="12" t="str">
        <f>IF(参数设置!$L$16="","",参数设置!$L$16)</f>
        <v>GBP</v>
      </c>
      <c r="B45" s="4">
        <f t="shared" si="3"/>
        <v>0</v>
      </c>
      <c r="C45" s="23">
        <f t="shared" si="4"/>
        <v>0</v>
      </c>
      <c r="D45" s="24" t="str">
        <f>IF($A45="","",IFERROR(IF($A45=本位币,1,IFERROR(LOOKUP(2,1/((汇率月份&lt;=重估基准日)*(INDEX(月末汇率区,0,MATCH($A45,汇率币种头,0))&lt;&gt;"")),INDEX(月末汇率区,0,MATCH($A45,汇率币种头,0))),IFERROR(LOOKUP(2,1/((汇率月份&lt;=重估基准日)*(INDEX(记账汇率区,0,MATCH($A45,汇率币种头,0))&lt;&gt;"")),INDEX(记账汇率区,0,MATCH($A45,汇率币种头,0))),""))),""))</f>
        <v/>
      </c>
      <c r="E45" s="23">
        <f t="shared" si="5"/>
        <v>0</v>
      </c>
      <c r="F45" s="23">
        <f t="shared" si="6"/>
        <v>0</v>
      </c>
      <c r="G45" s="23">
        <f t="shared" si="7"/>
        <v>0</v>
      </c>
      <c r="H45" s="30">
        <f t="shared" si="8"/>
        <v>0</v>
      </c>
    </row>
    <row r="46" ht="16.5" spans="1:13">
      <c r="A46" s="12" t="str">
        <f>IF(参数设置!$L$17="","",参数设置!$L$17)</f>
        <v>SGD</v>
      </c>
      <c r="B46" s="4">
        <f t="shared" si="3"/>
        <v>0</v>
      </c>
      <c r="C46" s="23">
        <f t="shared" si="4"/>
        <v>0</v>
      </c>
      <c r="D46" s="24" t="str">
        <f>IF($A46="","",IFERROR(IF($A46=本位币,1,IFERROR(LOOKUP(2,1/((汇率月份&lt;=重估基准日)*(INDEX(月末汇率区,0,MATCH($A46,汇率币种头,0))&lt;&gt;"")),INDEX(月末汇率区,0,MATCH($A46,汇率币种头,0))),IFERROR(LOOKUP(2,1/((汇率月份&lt;=重估基准日)*(INDEX(记账汇率区,0,MATCH($A46,汇率币种头,0))&lt;&gt;"")),INDEX(记账汇率区,0,MATCH($A46,汇率币种头,0))),""))),""))</f>
        <v/>
      </c>
      <c r="E46" s="23">
        <f t="shared" si="5"/>
        <v>0</v>
      </c>
      <c r="F46" s="23">
        <f t="shared" si="6"/>
        <v>0</v>
      </c>
      <c r="G46" s="23">
        <f t="shared" si="7"/>
        <v>0</v>
      </c>
      <c r="H46" s="30">
        <f t="shared" si="8"/>
        <v>0</v>
      </c>
    </row>
    <row r="47" ht="16.5" spans="1:13">
      <c r="A47" s="12" t="str">
        <f>IF(参数设置!$L$18="","",参数设置!$L$18)</f>
        <v>AUD</v>
      </c>
      <c r="B47" s="4">
        <f t="shared" si="3"/>
        <v>0</v>
      </c>
      <c r="C47" s="23">
        <f t="shared" si="4"/>
        <v>0</v>
      </c>
      <c r="D47" s="24" t="str">
        <f>IF($A47="","",IFERROR(IF($A47=本位币,1,IFERROR(LOOKUP(2,1/((汇率月份&lt;=重估基准日)*(INDEX(月末汇率区,0,MATCH($A47,汇率币种头,0))&lt;&gt;"")),INDEX(月末汇率区,0,MATCH($A47,汇率币种头,0))),IFERROR(LOOKUP(2,1/((汇率月份&lt;=重估基准日)*(INDEX(记账汇率区,0,MATCH($A47,汇率币种头,0))&lt;&gt;"")),INDEX(记账汇率区,0,MATCH($A47,汇率币种头,0))),""))),""))</f>
        <v/>
      </c>
      <c r="E47" s="23">
        <f t="shared" si="5"/>
        <v>0</v>
      </c>
      <c r="F47" s="23">
        <f t="shared" si="6"/>
        <v>0</v>
      </c>
      <c r="G47" s="23">
        <f t="shared" si="7"/>
        <v>0</v>
      </c>
      <c r="H47" s="30">
        <f t="shared" si="8"/>
        <v>0</v>
      </c>
    </row>
    <row r="48" ht="16.5" spans="1:13">
      <c r="A48" s="18" t="s">
        <v>264</v>
      </c>
      <c r="B48" s="9">
        <f>SUM(B40:B47)</f>
        <v>6</v>
      </c>
      <c r="C48" s="7" t="s">
        <v>271</v>
      </c>
      <c r="D48" s="7" t="s">
        <v>271</v>
      </c>
      <c r="E48" s="7">
        <f>ROUND(SUM(E40:E47),2)</f>
        <v>11961380</v>
      </c>
      <c r="F48" s="7">
        <f>ROUND(SUM(F40:F47),2)</f>
        <v>11921240</v>
      </c>
      <c r="G48" s="7">
        <f>ROUND(SUM(G40:G47),2)</f>
        <v>40140</v>
      </c>
      <c r="H48" s="44">
        <f>IF(N($J$36)=0,"",SUM(H40:H47))</f>
        <v>1</v>
      </c>
    </row>
  </sheetData>
  <mergeCells count="4">
    <mergeCell ref="A1:M1"/>
    <mergeCell ref="A2:M2"/>
    <mergeCell ref="D36:I36"/>
    <mergeCell ref="A38:H38"/>
  </mergeCells>
  <conditionalFormatting sqref="L6:L36">
    <cfRule type="expression" dxfId="3" priority="2">
      <formula>N(L6)&lt;0</formula>
    </cfRule>
  </conditionalFormatting>
  <conditionalFormatting sqref="M6:M35">
    <cfRule type="expression" dxfId="0" priority="1">
      <formula>LEFT(M6,1)="※"</formula>
    </cfRule>
  </conditionalFormatting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I52"/>
  <sheetViews>
    <sheetView showGridLines="0" workbookViewId="0">
      <pane ySplit="5" topLeftCell="A6" activePane="bottomLeft" state="frozen"/>
      <selection/>
      <selection pane="bottomLeft" activeCell="A24" sqref="A24"/>
    </sheetView>
  </sheetViews>
  <sheetFormatPr defaultColWidth="9" defaultRowHeight="13.5"/>
  <cols>
    <col min="1" max="1" width="23" customWidth="1"/>
    <col min="2" max="2" width="11" customWidth="1"/>
    <col min="3" max="6" width="15" customWidth="1"/>
    <col min="7" max="7" width="15.5" customWidth="1"/>
    <col min="8" max="8" width="16" customWidth="1"/>
    <col min="9" max="9" width="19" customWidth="1"/>
  </cols>
  <sheetData>
    <row r="1" ht="30" customHeight="1" spans="1:8">
      <c r="A1" s="1" t="s">
        <v>272</v>
      </c>
    </row>
    <row r="2" ht="18" customHeight="1" spans="1:8">
      <c r="A2" s="40" t="s">
        <v>273</v>
      </c>
      <c r="B2" s="41"/>
      <c r="C2" s="41"/>
      <c r="D2" s="41"/>
      <c r="E2" s="41"/>
      <c r="F2" s="41"/>
      <c r="G2" s="41"/>
      <c r="H2" s="41"/>
    </row>
    <row r="4" ht="22" customHeight="1" spans="1:8">
      <c r="A4" s="33" t="s">
        <v>274</v>
      </c>
      <c r="B4" s="14"/>
      <c r="C4" s="14"/>
      <c r="D4" s="14"/>
      <c r="E4" s="14"/>
      <c r="F4" s="14"/>
      <c r="G4" s="14"/>
      <c r="H4" s="15"/>
    </row>
    <row r="5" ht="30" customHeight="1" spans="1:8">
      <c r="A5" s="28" t="s">
        <v>217</v>
      </c>
      <c r="B5" s="28" t="s">
        <v>275</v>
      </c>
      <c r="C5" s="28" t="s">
        <v>276</v>
      </c>
      <c r="D5" s="28" t="s">
        <v>277</v>
      </c>
      <c r="E5" s="28" t="s">
        <v>278</v>
      </c>
      <c r="F5" s="28" t="s">
        <v>279</v>
      </c>
      <c r="G5" s="28" t="s">
        <v>280</v>
      </c>
      <c r="H5" s="28" t="s">
        <v>281</v>
      </c>
    </row>
    <row r="6" ht="16.5" spans="1:8">
      <c r="A6" s="42">
        <f>DATE(管理年度,1,1)</f>
        <v>46023</v>
      </c>
      <c r="B6" s="23">
        <f>ROUND(SUMIFS(流水本位,流水日期,"&gt;="&amp;DATE(管理年度,1,1),流水日期,"&lt;="&amp;EOMONTH(DATE(管理年度,1,1),0),流水属性,"&lt;&gt;内部转账",流水本位,"&gt;0"),2)</f>
        <v>0</v>
      </c>
      <c r="C6" s="23">
        <f>-ROUND(SUMIFS(流水本位,流水日期,"&gt;="&amp;DATE(管理年度,1,1),流水日期,"&lt;="&amp;EOMONTH(DATE(管理年度,1,1),0),流水属性,"&lt;&gt;内部转账",流水本位,"&lt;0"),2)</f>
        <v>0</v>
      </c>
      <c r="D6" s="23">
        <f t="shared" ref="D6:D17" si="0">ROUND($B6-$C6,2)</f>
        <v>0</v>
      </c>
      <c r="E6" s="23">
        <f>ROUND(SUMIFS(流水本位,流水日期,"&gt;="&amp;DATE(管理年度,1,1),流水日期,"&lt;="&amp;EOMONTH(DATE(管理年度,1,1),0),流水属性,"内部转账",流水本位,"&gt;0"),2)</f>
        <v>0</v>
      </c>
      <c r="F6" s="23">
        <f>-ROUND(SUMIFS(流水本位,流水日期,"&gt;="&amp;DATE(管理年度,1,1),流水日期,"&lt;="&amp;EOMONTH(DATE(管理年度,1,1),0),流水属性,"内部转账",流水本位,"&lt;0"),2)</f>
        <v>0</v>
      </c>
      <c r="G6" s="23">
        <f>ROUND(SUM(账户期初本位)+SUMIFS(流水本位,流水日期,"&lt;="&amp;EOMONTH(DATE(管理年度,1,1),0)),2)</f>
        <v>11192300</v>
      </c>
      <c r="H6" s="8" t="str">
        <f t="shared" ref="H6:H17" si="1">IF(ROUND($E6-$F6,2)=0,"","内部转账净额 "&amp;TEXT($E6-$F6,"#,##0.00")&amp;"，是换汇价差")</f>
        <v/>
      </c>
    </row>
    <row r="7" ht="16.5" spans="1:8">
      <c r="A7" s="42">
        <f>DATE(管理年度,2,1)</f>
        <v>46054</v>
      </c>
      <c r="B7" s="23">
        <f>ROUND(SUMIFS(流水本位,流水日期,"&gt;="&amp;DATE(管理年度,2,1),流水日期,"&lt;="&amp;EOMONTH(DATE(管理年度,2,1),0),流水属性,"&lt;&gt;内部转账",流水本位,"&gt;0"),2)</f>
        <v>0</v>
      </c>
      <c r="C7" s="23">
        <f>-ROUND(SUMIFS(流水本位,流水日期,"&gt;="&amp;DATE(管理年度,2,1),流水日期,"&lt;="&amp;EOMONTH(DATE(管理年度,2,1),0),流水属性,"&lt;&gt;内部转账",流水本位,"&lt;0"),2)</f>
        <v>0</v>
      </c>
      <c r="D7" s="23">
        <f t="shared" si="0"/>
        <v>0</v>
      </c>
      <c r="E7" s="23">
        <f>ROUND(SUMIFS(流水本位,流水日期,"&gt;="&amp;DATE(管理年度,2,1),流水日期,"&lt;="&amp;EOMONTH(DATE(管理年度,2,1),0),流水属性,"内部转账",流水本位,"&gt;0"),2)</f>
        <v>0</v>
      </c>
      <c r="F7" s="23">
        <f>-ROUND(SUMIFS(流水本位,流水日期,"&gt;="&amp;DATE(管理年度,2,1),流水日期,"&lt;="&amp;EOMONTH(DATE(管理年度,2,1),0),流水属性,"内部转账",流水本位,"&lt;0"),2)</f>
        <v>0</v>
      </c>
      <c r="G7" s="23">
        <f>ROUND(SUM(账户期初本位)+SUMIFS(流水本位,流水日期,"&lt;="&amp;EOMONTH(DATE(管理年度,2,1),0)),2)</f>
        <v>11192300</v>
      </c>
      <c r="H7" s="8" t="str">
        <f t="shared" si="1"/>
        <v/>
      </c>
    </row>
    <row r="8" ht="16.5" spans="1:8">
      <c r="A8" s="42">
        <f>DATE(管理年度,3,1)</f>
        <v>46082</v>
      </c>
      <c r="B8" s="23">
        <f>ROUND(SUMIFS(流水本位,流水日期,"&gt;="&amp;DATE(管理年度,3,1),流水日期,"&lt;="&amp;EOMONTH(DATE(管理年度,3,1),0),流水属性,"&lt;&gt;内部转账",流水本位,"&gt;0"),2)</f>
        <v>0</v>
      </c>
      <c r="C8" s="23">
        <f>-ROUND(SUMIFS(流水本位,流水日期,"&gt;="&amp;DATE(管理年度,3,1),流水日期,"&lt;="&amp;EOMONTH(DATE(管理年度,3,1),0),流水属性,"&lt;&gt;内部转账",流水本位,"&lt;0"),2)</f>
        <v>0</v>
      </c>
      <c r="D8" s="23">
        <f t="shared" si="0"/>
        <v>0</v>
      </c>
      <c r="E8" s="23">
        <f>ROUND(SUMIFS(流水本位,流水日期,"&gt;="&amp;DATE(管理年度,3,1),流水日期,"&lt;="&amp;EOMONTH(DATE(管理年度,3,1),0),流水属性,"内部转账",流水本位,"&gt;0"),2)</f>
        <v>0</v>
      </c>
      <c r="F8" s="23">
        <f>-ROUND(SUMIFS(流水本位,流水日期,"&gt;="&amp;DATE(管理年度,3,1),流水日期,"&lt;="&amp;EOMONTH(DATE(管理年度,3,1),0),流水属性,"内部转账",流水本位,"&lt;0"),2)</f>
        <v>0</v>
      </c>
      <c r="G8" s="23">
        <f>ROUND(SUM(账户期初本位)+SUMIFS(流水本位,流水日期,"&lt;="&amp;EOMONTH(DATE(管理年度,3,1),0)),2)</f>
        <v>11192300</v>
      </c>
      <c r="H8" s="8" t="str">
        <f t="shared" si="1"/>
        <v/>
      </c>
    </row>
    <row r="9" ht="16.5" spans="1:8">
      <c r="A9" s="42">
        <f>DATE(管理年度,4,1)</f>
        <v>46113</v>
      </c>
      <c r="B9" s="23">
        <f>ROUND(SUMIFS(流水本位,流水日期,"&gt;="&amp;DATE(管理年度,4,1),流水日期,"&lt;="&amp;EOMONTH(DATE(管理年度,4,1),0),流水属性,"&lt;&gt;内部转账",流水本位,"&gt;0"),2)</f>
        <v>0</v>
      </c>
      <c r="C9" s="23">
        <f>-ROUND(SUMIFS(流水本位,流水日期,"&gt;="&amp;DATE(管理年度,4,1),流水日期,"&lt;="&amp;EOMONTH(DATE(管理年度,4,1),0),流水属性,"&lt;&gt;内部转账",流水本位,"&lt;0"),2)</f>
        <v>0</v>
      </c>
      <c r="D9" s="23">
        <f t="shared" si="0"/>
        <v>0</v>
      </c>
      <c r="E9" s="23">
        <f>ROUND(SUMIFS(流水本位,流水日期,"&gt;="&amp;DATE(管理年度,4,1),流水日期,"&lt;="&amp;EOMONTH(DATE(管理年度,4,1),0),流水属性,"内部转账",流水本位,"&gt;0"),2)</f>
        <v>0</v>
      </c>
      <c r="F9" s="23">
        <f>-ROUND(SUMIFS(流水本位,流水日期,"&gt;="&amp;DATE(管理年度,4,1),流水日期,"&lt;="&amp;EOMONTH(DATE(管理年度,4,1),0),流水属性,"内部转账",流水本位,"&lt;0"),2)</f>
        <v>0</v>
      </c>
      <c r="G9" s="23">
        <f>ROUND(SUM(账户期初本位)+SUMIFS(流水本位,流水日期,"&lt;="&amp;EOMONTH(DATE(管理年度,4,1),0)),2)</f>
        <v>11192300</v>
      </c>
      <c r="H9" s="8" t="str">
        <f t="shared" si="1"/>
        <v/>
      </c>
    </row>
    <row r="10" ht="16.5" spans="1:8">
      <c r="A10" s="42">
        <f>DATE(管理年度,5,1)</f>
        <v>46143</v>
      </c>
      <c r="B10" s="23">
        <f>ROUND(SUMIFS(流水本位,流水日期,"&gt;="&amp;DATE(管理年度,5,1),流水日期,"&lt;="&amp;EOMONTH(DATE(管理年度,5,1),0),流水属性,"&lt;&gt;内部转账",流水本位,"&gt;0"),2)</f>
        <v>0</v>
      </c>
      <c r="C10" s="23">
        <f>-ROUND(SUMIFS(流水本位,流水日期,"&gt;="&amp;DATE(管理年度,5,1),流水日期,"&lt;="&amp;EOMONTH(DATE(管理年度,5,1),0),流水属性,"&lt;&gt;内部转账",流水本位,"&lt;0"),2)</f>
        <v>0</v>
      </c>
      <c r="D10" s="23">
        <f t="shared" si="0"/>
        <v>0</v>
      </c>
      <c r="E10" s="23">
        <f>ROUND(SUMIFS(流水本位,流水日期,"&gt;="&amp;DATE(管理年度,5,1),流水日期,"&lt;="&amp;EOMONTH(DATE(管理年度,5,1),0),流水属性,"内部转账",流水本位,"&gt;0"),2)</f>
        <v>0</v>
      </c>
      <c r="F10" s="23">
        <f>-ROUND(SUMIFS(流水本位,流水日期,"&gt;="&amp;DATE(管理年度,5,1),流水日期,"&lt;="&amp;EOMONTH(DATE(管理年度,5,1),0),流水属性,"内部转账",流水本位,"&lt;0"),2)</f>
        <v>0</v>
      </c>
      <c r="G10" s="23">
        <f>ROUND(SUM(账户期初本位)+SUMIFS(流水本位,流水日期,"&lt;="&amp;EOMONTH(DATE(管理年度,5,1),0)),2)</f>
        <v>11192300</v>
      </c>
      <c r="H10" s="8" t="str">
        <f t="shared" si="1"/>
        <v/>
      </c>
    </row>
    <row r="11" ht="16.5" spans="1:8">
      <c r="A11" s="42">
        <f>DATE(管理年度,6,1)</f>
        <v>46174</v>
      </c>
      <c r="B11" s="23">
        <f>ROUND(SUMIFS(流水本位,流水日期,"&gt;="&amp;DATE(管理年度,6,1),流水日期,"&lt;="&amp;EOMONTH(DATE(管理年度,6,1),0),流水属性,"&lt;&gt;内部转账",流水本位,"&gt;0"),2)</f>
        <v>0</v>
      </c>
      <c r="C11" s="23">
        <f>-ROUND(SUMIFS(流水本位,流水日期,"&gt;="&amp;DATE(管理年度,6,1),流水日期,"&lt;="&amp;EOMONTH(DATE(管理年度,6,1),0),流水属性,"&lt;&gt;内部转账",流水本位,"&lt;0"),2)</f>
        <v>0</v>
      </c>
      <c r="D11" s="23">
        <f t="shared" si="0"/>
        <v>0</v>
      </c>
      <c r="E11" s="23">
        <f>ROUND(SUMIFS(流水本位,流水日期,"&gt;="&amp;DATE(管理年度,6,1),流水日期,"&lt;="&amp;EOMONTH(DATE(管理年度,6,1),0),流水属性,"内部转账",流水本位,"&gt;0"),2)</f>
        <v>0</v>
      </c>
      <c r="F11" s="23">
        <f>-ROUND(SUMIFS(流水本位,流水日期,"&gt;="&amp;DATE(管理年度,6,1),流水日期,"&lt;="&amp;EOMONTH(DATE(管理年度,6,1),0),流水属性,"内部转账",流水本位,"&lt;0"),2)</f>
        <v>0</v>
      </c>
      <c r="G11" s="23">
        <f>ROUND(SUM(账户期初本位)+SUMIFS(流水本位,流水日期,"&lt;="&amp;EOMONTH(DATE(管理年度,6,1),0)),2)</f>
        <v>11192300</v>
      </c>
      <c r="H11" s="8" t="str">
        <f t="shared" si="1"/>
        <v/>
      </c>
    </row>
    <row r="12" ht="16.5" spans="1:8">
      <c r="A12" s="42">
        <f>DATE(管理年度,7,1)</f>
        <v>46204</v>
      </c>
      <c r="B12" s="23">
        <f>ROUND(SUMIFS(流水本位,流水日期,"&gt;="&amp;DATE(管理年度,7,1),流水日期,"&lt;="&amp;EOMONTH(DATE(管理年度,7,1),0),流水属性,"&lt;&gt;内部转账",流水本位,"&gt;0"),2)</f>
        <v>0</v>
      </c>
      <c r="C12" s="23">
        <f>-ROUND(SUMIFS(流水本位,流水日期,"&gt;="&amp;DATE(管理年度,7,1),流水日期,"&lt;="&amp;EOMONTH(DATE(管理年度,7,1),0),流水属性,"&lt;&gt;内部转账",流水本位,"&lt;0"),2)</f>
        <v>0</v>
      </c>
      <c r="D12" s="23">
        <f t="shared" si="0"/>
        <v>0</v>
      </c>
      <c r="E12" s="23">
        <f>ROUND(SUMIFS(流水本位,流水日期,"&gt;="&amp;DATE(管理年度,7,1),流水日期,"&lt;="&amp;EOMONTH(DATE(管理年度,7,1),0),流水属性,"内部转账",流水本位,"&gt;0"),2)</f>
        <v>0</v>
      </c>
      <c r="F12" s="23">
        <f>-ROUND(SUMIFS(流水本位,流水日期,"&gt;="&amp;DATE(管理年度,7,1),流水日期,"&lt;="&amp;EOMONTH(DATE(管理年度,7,1),0),流水属性,"内部转账",流水本位,"&lt;0"),2)</f>
        <v>0</v>
      </c>
      <c r="G12" s="23">
        <f>ROUND(SUM(账户期初本位)+SUMIFS(流水本位,流水日期,"&lt;="&amp;EOMONTH(DATE(管理年度,7,1),0)),2)</f>
        <v>11192300</v>
      </c>
      <c r="H12" s="8" t="str">
        <f t="shared" si="1"/>
        <v/>
      </c>
    </row>
    <row r="13" ht="16.5" spans="1:8">
      <c r="A13" s="42">
        <f>DATE(管理年度,8,1)</f>
        <v>46235</v>
      </c>
      <c r="B13" s="23">
        <f>ROUND(SUMIFS(流水本位,流水日期,"&gt;="&amp;DATE(管理年度,8,1),流水日期,"&lt;="&amp;EOMONTH(DATE(管理年度,8,1),0),流水属性,"&lt;&gt;内部转账",流水本位,"&gt;0"),2)</f>
        <v>892660</v>
      </c>
      <c r="C13" s="23">
        <f>-ROUND(SUMIFS(流水本位,流水日期,"&gt;="&amp;DATE(管理年度,8,1),流水日期,"&lt;="&amp;EOMONTH(DATE(管理年度,8,1),0),流水属性,"&lt;&gt;内部转账",流水本位,"&lt;0"),2)</f>
        <v>163720</v>
      </c>
      <c r="D13" s="23">
        <f t="shared" si="0"/>
        <v>728940</v>
      </c>
      <c r="E13" s="23">
        <f>ROUND(SUMIFS(流水本位,流水日期,"&gt;="&amp;DATE(管理年度,8,1),流水日期,"&lt;="&amp;EOMONTH(DATE(管理年度,8,1),0),流水属性,"内部转账",流水本位,"&gt;0"),2)</f>
        <v>193400</v>
      </c>
      <c r="F13" s="23">
        <f>-ROUND(SUMIFS(流水本位,流水日期,"&gt;="&amp;DATE(管理年度,8,1),流水日期,"&lt;="&amp;EOMONTH(DATE(管理年度,8,1),0),流水属性,"内部转账",流水本位,"&lt;0"),2)</f>
        <v>193400</v>
      </c>
      <c r="G13" s="23">
        <f>ROUND(SUM(账户期初本位)+SUMIFS(流水本位,流水日期,"&lt;="&amp;EOMONTH(DATE(管理年度,8,1),0)),2)</f>
        <v>11921240</v>
      </c>
      <c r="H13" s="8" t="str">
        <f t="shared" si="1"/>
        <v/>
      </c>
    </row>
    <row r="14" ht="16.5" spans="1:8">
      <c r="A14" s="42">
        <f>DATE(管理年度,9,1)</f>
        <v>46266</v>
      </c>
      <c r="B14" s="23">
        <f>ROUND(SUMIFS(流水本位,流水日期,"&gt;="&amp;DATE(管理年度,9,1),流水日期,"&lt;="&amp;EOMONTH(DATE(管理年度,9,1),0),流水属性,"&lt;&gt;内部转账",流水本位,"&gt;0"),2)</f>
        <v>0</v>
      </c>
      <c r="C14" s="23">
        <f>-ROUND(SUMIFS(流水本位,流水日期,"&gt;="&amp;DATE(管理年度,9,1),流水日期,"&lt;="&amp;EOMONTH(DATE(管理年度,9,1),0),流水属性,"&lt;&gt;内部转账",流水本位,"&lt;0"),2)</f>
        <v>0</v>
      </c>
      <c r="D14" s="23">
        <f t="shared" si="0"/>
        <v>0</v>
      </c>
      <c r="E14" s="23">
        <f>ROUND(SUMIFS(流水本位,流水日期,"&gt;="&amp;DATE(管理年度,9,1),流水日期,"&lt;="&amp;EOMONTH(DATE(管理年度,9,1),0),流水属性,"内部转账",流水本位,"&gt;0"),2)</f>
        <v>0</v>
      </c>
      <c r="F14" s="23">
        <f>-ROUND(SUMIFS(流水本位,流水日期,"&gt;="&amp;DATE(管理年度,9,1),流水日期,"&lt;="&amp;EOMONTH(DATE(管理年度,9,1),0),流水属性,"内部转账",流水本位,"&lt;0"),2)</f>
        <v>0</v>
      </c>
      <c r="G14" s="23">
        <f>ROUND(SUM(账户期初本位)+SUMIFS(流水本位,流水日期,"&lt;="&amp;EOMONTH(DATE(管理年度,9,1),0)),2)</f>
        <v>11921240</v>
      </c>
      <c r="H14" s="8" t="str">
        <f t="shared" si="1"/>
        <v/>
      </c>
    </row>
    <row r="15" ht="16.5" spans="1:8">
      <c r="A15" s="42">
        <f>DATE(管理年度,10,1)</f>
        <v>46296</v>
      </c>
      <c r="B15" s="23">
        <f>ROUND(SUMIFS(流水本位,流水日期,"&gt;="&amp;DATE(管理年度,10,1),流水日期,"&lt;="&amp;EOMONTH(DATE(管理年度,10,1),0),流水属性,"&lt;&gt;内部转账",流水本位,"&gt;0"),2)</f>
        <v>0</v>
      </c>
      <c r="C15" s="23">
        <f>-ROUND(SUMIFS(流水本位,流水日期,"&gt;="&amp;DATE(管理年度,10,1),流水日期,"&lt;="&amp;EOMONTH(DATE(管理年度,10,1),0),流水属性,"&lt;&gt;内部转账",流水本位,"&lt;0"),2)</f>
        <v>0</v>
      </c>
      <c r="D15" s="23">
        <f t="shared" si="0"/>
        <v>0</v>
      </c>
      <c r="E15" s="23">
        <f>ROUND(SUMIFS(流水本位,流水日期,"&gt;="&amp;DATE(管理年度,10,1),流水日期,"&lt;="&amp;EOMONTH(DATE(管理年度,10,1),0),流水属性,"内部转账",流水本位,"&gt;0"),2)</f>
        <v>0</v>
      </c>
      <c r="F15" s="23">
        <f>-ROUND(SUMIFS(流水本位,流水日期,"&gt;="&amp;DATE(管理年度,10,1),流水日期,"&lt;="&amp;EOMONTH(DATE(管理年度,10,1),0),流水属性,"内部转账",流水本位,"&lt;0"),2)</f>
        <v>0</v>
      </c>
      <c r="G15" s="23">
        <f>ROUND(SUM(账户期初本位)+SUMIFS(流水本位,流水日期,"&lt;="&amp;EOMONTH(DATE(管理年度,10,1),0)),2)</f>
        <v>11921240</v>
      </c>
      <c r="H15" s="8" t="str">
        <f t="shared" si="1"/>
        <v/>
      </c>
    </row>
    <row r="16" ht="16.5" spans="1:8">
      <c r="A16" s="42">
        <f>DATE(管理年度,11,1)</f>
        <v>46327</v>
      </c>
      <c r="B16" s="23">
        <f>ROUND(SUMIFS(流水本位,流水日期,"&gt;="&amp;DATE(管理年度,11,1),流水日期,"&lt;="&amp;EOMONTH(DATE(管理年度,11,1),0),流水属性,"&lt;&gt;内部转账",流水本位,"&gt;0"),2)</f>
        <v>0</v>
      </c>
      <c r="C16" s="23">
        <f>-ROUND(SUMIFS(流水本位,流水日期,"&gt;="&amp;DATE(管理年度,11,1),流水日期,"&lt;="&amp;EOMONTH(DATE(管理年度,11,1),0),流水属性,"&lt;&gt;内部转账",流水本位,"&lt;0"),2)</f>
        <v>0</v>
      </c>
      <c r="D16" s="23">
        <f t="shared" si="0"/>
        <v>0</v>
      </c>
      <c r="E16" s="23">
        <f>ROUND(SUMIFS(流水本位,流水日期,"&gt;="&amp;DATE(管理年度,11,1),流水日期,"&lt;="&amp;EOMONTH(DATE(管理年度,11,1),0),流水属性,"内部转账",流水本位,"&gt;0"),2)</f>
        <v>0</v>
      </c>
      <c r="F16" s="23">
        <f>-ROUND(SUMIFS(流水本位,流水日期,"&gt;="&amp;DATE(管理年度,11,1),流水日期,"&lt;="&amp;EOMONTH(DATE(管理年度,11,1),0),流水属性,"内部转账",流水本位,"&lt;0"),2)</f>
        <v>0</v>
      </c>
      <c r="G16" s="23">
        <f>ROUND(SUM(账户期初本位)+SUMIFS(流水本位,流水日期,"&lt;="&amp;EOMONTH(DATE(管理年度,11,1),0)),2)</f>
        <v>11921240</v>
      </c>
      <c r="H16" s="8" t="str">
        <f t="shared" si="1"/>
        <v/>
      </c>
    </row>
    <row r="17" ht="16.5" spans="1:9">
      <c r="A17" s="42">
        <f>DATE(管理年度,12,1)</f>
        <v>46357</v>
      </c>
      <c r="B17" s="23">
        <f>ROUND(SUMIFS(流水本位,流水日期,"&gt;="&amp;DATE(管理年度,12,1),流水日期,"&lt;="&amp;EOMONTH(DATE(管理年度,12,1),0),流水属性,"&lt;&gt;内部转账",流水本位,"&gt;0"),2)</f>
        <v>0</v>
      </c>
      <c r="C17" s="23">
        <f>-ROUND(SUMIFS(流水本位,流水日期,"&gt;="&amp;DATE(管理年度,12,1),流水日期,"&lt;="&amp;EOMONTH(DATE(管理年度,12,1),0),流水属性,"&lt;&gt;内部转账",流水本位,"&lt;0"),2)</f>
        <v>0</v>
      </c>
      <c r="D17" s="23">
        <f t="shared" si="0"/>
        <v>0</v>
      </c>
      <c r="E17" s="23">
        <f>ROUND(SUMIFS(流水本位,流水日期,"&gt;="&amp;DATE(管理年度,12,1),流水日期,"&lt;="&amp;EOMONTH(DATE(管理年度,12,1),0),流水属性,"内部转账",流水本位,"&gt;0"),2)</f>
        <v>0</v>
      </c>
      <c r="F17" s="23">
        <f>-ROUND(SUMIFS(流水本位,流水日期,"&gt;="&amp;DATE(管理年度,12,1),流水日期,"&lt;="&amp;EOMONTH(DATE(管理年度,12,1),0),流水属性,"内部转账",流水本位,"&lt;0"),2)</f>
        <v>0</v>
      </c>
      <c r="G17" s="23">
        <f>ROUND(SUM(账户期初本位)+SUMIFS(流水本位,流水日期,"&lt;="&amp;EOMONTH(DATE(管理年度,12,1),0)),2)</f>
        <v>11921240</v>
      </c>
      <c r="H17" s="8" t="str">
        <f t="shared" si="1"/>
        <v/>
      </c>
    </row>
    <row r="18" ht="16.5" spans="1:9">
      <c r="A18" s="28" t="s">
        <v>282</v>
      </c>
      <c r="B18" s="7">
        <f>ROUND(SUM(B6:B17),2)</f>
        <v>892660</v>
      </c>
      <c r="C18" s="7">
        <f>ROUND(SUM(C6:C17),2)</f>
        <v>163720</v>
      </c>
      <c r="D18" s="7">
        <f>ROUND(SUM(D6:D17),2)</f>
        <v>728940</v>
      </c>
      <c r="E18" s="7">
        <f>ROUND(SUM(E6:E17),2)</f>
        <v>193400</v>
      </c>
      <c r="F18" s="7">
        <f>ROUND(SUM(F6:F17),2)</f>
        <v>193400</v>
      </c>
      <c r="G18" s="7">
        <f>G17</f>
        <v>11921240</v>
      </c>
      <c r="H18" s="27" t="s">
        <v>283</v>
      </c>
    </row>
    <row r="20" ht="22" customHeight="1" spans="1:9">
      <c r="A20" s="34" t="s">
        <v>284</v>
      </c>
      <c r="B20" s="14"/>
      <c r="C20" s="14"/>
      <c r="D20" s="14"/>
      <c r="E20" s="14"/>
      <c r="F20" s="14"/>
      <c r="G20" s="14"/>
      <c r="H20" s="14"/>
      <c r="I20" s="15"/>
    </row>
    <row r="21" ht="30" customHeight="1" spans="1:9">
      <c r="A21" s="36" t="s">
        <v>259</v>
      </c>
      <c r="B21" s="36" t="s">
        <v>226</v>
      </c>
      <c r="C21" s="36" t="s">
        <v>285</v>
      </c>
      <c r="D21" s="36" t="s">
        <v>286</v>
      </c>
      <c r="E21" s="36" t="s">
        <v>287</v>
      </c>
      <c r="F21" s="36" t="s">
        <v>288</v>
      </c>
      <c r="G21" s="36" t="s">
        <v>289</v>
      </c>
      <c r="H21" s="36" t="s">
        <v>290</v>
      </c>
      <c r="I21" s="36" t="s">
        <v>291</v>
      </c>
    </row>
    <row r="22" ht="16.5" spans="1:9">
      <c r="A22" s="12" t="str">
        <f>IF(参数设置!$C$11="","",参数设置!$C$11)</f>
        <v>工商银行基本户-8888</v>
      </c>
      <c r="B22" s="12" t="str">
        <f>IF($A22="","",参数设置!$E$11)</f>
        <v>CNY</v>
      </c>
      <c r="C22" s="23">
        <f>IF($A22="","",ROUND(N(参数设置!$G$11)+SUMIFS(流水净额,流水账户,$A22,流水日期,"&lt;"&amp;报表月份),2))</f>
        <v>500000</v>
      </c>
      <c r="D22" s="23">
        <f>IF($A22="","",ROUND(SUMIFS(流水收入,流水账户,$A22,流水日期,"&gt;="&amp;报表月份,流水日期,"&lt;="&amp;EOMONTH(报表月份,0)),2))</f>
        <v>298400</v>
      </c>
      <c r="E22" s="23">
        <f>IF($A22="","",ROUND(SUMIFS(流水支出,流水账户,$A22,流水日期,"&gt;="&amp;报表月份,流水日期,"&lt;="&amp;EOMONTH(报表月份,0)),2))</f>
        <v>68000</v>
      </c>
      <c r="F22" s="23">
        <f t="shared" ref="F22:F51" si="2">IF($A22="","",ROUND($C22+$D22-$E22,2))</f>
        <v>730400</v>
      </c>
      <c r="G22" s="23">
        <f>IF($A22="","",ROUND(SUMIFS(流水本位,流水账户,$A22,流水日期,"&gt;="&amp;报表月份,流水日期,"&lt;="&amp;EOMONTH(报表月份,0),流水本位,"&gt;0"),2))</f>
        <v>298400</v>
      </c>
      <c r="H22" s="23">
        <f>IF($A22="","",-ROUND(SUMIFS(流水本位,流水账户,$A22,流水日期,"&gt;="&amp;报表月份,流水日期,"&lt;="&amp;EOMONTH(报表月份,0),流水本位,"&lt;0"),2))</f>
        <v>68000</v>
      </c>
      <c r="I22" s="23">
        <f>IF($A22="","",IFERROR(ROUND(参数设置!$I$11+SUMIFS(流水本位,流水账户,$A22,流水日期,"&lt;="&amp;EOMONTH(报表月份,0)),2),""))</f>
        <v>730400</v>
      </c>
    </row>
    <row r="23" ht="16.5" spans="1:9">
      <c r="A23" s="12" t="str">
        <f>IF(参数设置!$C$12="","",参数设置!$C$12)</f>
        <v>中国银行美元结算户-6688</v>
      </c>
      <c r="B23" s="12" t="str">
        <f>IF($A23="","",参数设置!$E$12)</f>
        <v>USD</v>
      </c>
      <c r="C23" s="23">
        <f>IF($A23="","",ROUND(N(参数设置!$G$12)+SUMIFS(流水净额,流水账户,$A23,流水日期,"&lt;"&amp;报表月份),2))</f>
        <v>800000</v>
      </c>
      <c r="D23" s="23">
        <f>IF($A23="","",ROUND(SUMIFS(流水收入,流水账户,$A23,流水日期,"&gt;="&amp;报表月份,流水日期,"&lt;="&amp;EOMONTH(报表月份,0)),2))</f>
        <v>40000</v>
      </c>
      <c r="E23" s="23">
        <f>IF($A23="","",ROUND(SUMIFS(流水支出,流水账户,$A23,流水日期,"&gt;="&amp;报表月份,流水日期,"&lt;="&amp;EOMONTH(报表月份,0)),2))</f>
        <v>28000</v>
      </c>
      <c r="F23" s="23">
        <f t="shared" si="2"/>
        <v>812000</v>
      </c>
      <c r="G23" s="23">
        <f>IF($A23="","",ROUND(SUMIFS(流水本位,流水账户,$A23,流水日期,"&gt;="&amp;报表月份,流水日期,"&lt;="&amp;EOMONTH(报表月份,0),流水本位,"&gt;0"),2))</f>
        <v>287200</v>
      </c>
      <c r="H23" s="23">
        <f>IF($A23="","",-ROUND(SUMIFS(流水本位,流水账户,$A23,流水日期,"&gt;="&amp;报表月份,流水日期,"&lt;="&amp;EOMONTH(报表月份,0),流水本位,"&lt;0"),2))</f>
        <v>200680</v>
      </c>
      <c r="I23" s="23">
        <f>IF($A23="","",IFERROR(ROUND(参数设置!$I$12+SUMIFS(流水本位,流水账户,$A23,流水日期,"&lt;="&amp;EOMONTH(报表月份,0)),2),""))</f>
        <v>5806520</v>
      </c>
    </row>
    <row r="24" ht="16.5" spans="1:9">
      <c r="A24" s="12" t="str">
        <f>IF(参数设置!$C$13="","",参数设置!$C$13)</f>
        <v>汇丰银行港币结算户-5566</v>
      </c>
      <c r="B24" s="12" t="str">
        <f>IF($A24="","",参数设置!$E$13)</f>
        <v>HKD</v>
      </c>
      <c r="C24" s="23">
        <f>IF($A24="","",ROUND(N(参数设置!$G$13)+SUMIFS(流水净额,流水账户,$A24,流水日期,"&lt;"&amp;报表月份),2))</f>
        <v>300000</v>
      </c>
      <c r="D24" s="23">
        <f>IF($A24="","",ROUND(SUMIFS(流水收入,流水账户,$A24,流水日期,"&gt;="&amp;报表月份,流水日期,"&lt;="&amp;EOMONTH(报表月份,0)),2))</f>
        <v>80000</v>
      </c>
      <c r="E24" s="23">
        <f>IF($A24="","",ROUND(SUMIFS(流水支出,流水账户,$A24,流水日期,"&gt;="&amp;报表月份,流水日期,"&lt;="&amp;EOMONTH(报表月份,0)),2))</f>
        <v>24500</v>
      </c>
      <c r="F24" s="23">
        <f t="shared" si="2"/>
        <v>355500</v>
      </c>
      <c r="G24" s="23">
        <f>IF($A24="","",ROUND(SUMIFS(流水本位,流水账户,$A24,流水日期,"&gt;="&amp;报表月份,流水日期,"&lt;="&amp;EOMONTH(报表月份,0),流水本位,"&gt;0"),2))</f>
        <v>73600</v>
      </c>
      <c r="H24" s="23">
        <f>IF($A24="","",-ROUND(SUMIFS(流水本位,流水账户,$A24,流水日期,"&gt;="&amp;报表月份,流水日期,"&lt;="&amp;EOMONTH(报表月份,0),流水本位,"&lt;0"),2))</f>
        <v>22540</v>
      </c>
      <c r="I24" s="23">
        <f>IF($A24="","",IFERROR(ROUND(参数设置!$I$13+SUMIFS(流水本位,流水账户,$A24,流水日期,"&lt;="&amp;EOMONTH(报表月份,0)),2),""))</f>
        <v>325560</v>
      </c>
    </row>
    <row r="25" ht="16.5" spans="1:9">
      <c r="A25" s="12" t="str">
        <f>IF(参数设置!$C$14="","",参数设置!$C$14)</f>
        <v>招商银行一般户-2388</v>
      </c>
      <c r="B25" s="12" t="str">
        <f>IF($A25="","",参数设置!$E$14)</f>
        <v>CNY</v>
      </c>
      <c r="C25" s="23">
        <f>IF($A25="","",ROUND(N(参数设置!$G$14)+SUMIFS(流水净额,流水账户,$A25,流水日期,"&lt;"&amp;报表月份),2))</f>
        <v>200000</v>
      </c>
      <c r="D25" s="23">
        <f>IF($A25="","",ROUND(SUMIFS(流水收入,流水账户,$A25,流水日期,"&gt;="&amp;报表月份,流水日期,"&lt;="&amp;EOMONTH(报表月份,0)),2))</f>
        <v>110000</v>
      </c>
      <c r="E25" s="23">
        <f>IF($A25="","",ROUND(SUMIFS(流水支出,流水账户,$A25,流水日期,"&gt;="&amp;报表月份,流水日期,"&lt;="&amp;EOMONTH(报表月份,0)),2))</f>
        <v>30000</v>
      </c>
      <c r="F25" s="23">
        <f t="shared" si="2"/>
        <v>280000</v>
      </c>
      <c r="G25" s="23">
        <f>IF($A25="","",ROUND(SUMIFS(流水本位,流水账户,$A25,流水日期,"&gt;="&amp;报表月份,流水日期,"&lt;="&amp;EOMONTH(报表月份,0),流水本位,"&gt;0"),2))</f>
        <v>110000</v>
      </c>
      <c r="H25" s="23">
        <f>IF($A25="","",-ROUND(SUMIFS(流水本位,流水账户,$A25,流水日期,"&gt;="&amp;报表月份,流水日期,"&lt;="&amp;EOMONTH(报表月份,0),流水本位,"&lt;0"),2))</f>
        <v>30000</v>
      </c>
      <c r="I25" s="23">
        <f>IF($A25="","",IFERROR(ROUND(参数设置!$I$14+SUMIFS(流水本位,流水账户,$A25,流水日期,"&lt;="&amp;EOMONTH(报表月份,0)),2),""))</f>
        <v>280000</v>
      </c>
    </row>
    <row r="26" ht="16.5" spans="1:9">
      <c r="A26" s="12" t="str">
        <f>IF(参数设置!$C$15="","",参数设置!$C$15)</f>
        <v>汇丰银行美元结算户-7788</v>
      </c>
      <c r="B26" s="12" t="str">
        <f>IF($A26="","",参数设置!$E$15)</f>
        <v>USD</v>
      </c>
      <c r="C26" s="23">
        <f>IF($A26="","",ROUND(N(参数设置!$G$15)+SUMIFS(流水净额,流水账户,$A26,流水日期,"&lt;"&amp;报表月份),2))</f>
        <v>500000</v>
      </c>
      <c r="D26" s="23">
        <f>IF($A26="","",ROUND(SUMIFS(流水收入,流水账户,$A26,流水日期,"&gt;="&amp;报表月份,流水日期,"&lt;="&amp;EOMONTH(报表月份,0)),2))</f>
        <v>12000</v>
      </c>
      <c r="E26" s="23">
        <f>IF($A26="","",ROUND(SUMIFS(流水支出,流水账户,$A26,流水日期,"&gt;="&amp;报表月份,流水日期,"&lt;="&amp;EOMONTH(报表月份,0)),2))</f>
        <v>5000</v>
      </c>
      <c r="F26" s="23">
        <f t="shared" si="2"/>
        <v>507000</v>
      </c>
      <c r="G26" s="23">
        <f>IF($A26="","",ROUND(SUMIFS(流水本位,流水账户,$A26,流水日期,"&gt;="&amp;报表月份,流水日期,"&lt;="&amp;EOMONTH(报表月份,0),流水本位,"&gt;0"),2))</f>
        <v>86160</v>
      </c>
      <c r="H26" s="23">
        <f>IF($A26="","",-ROUND(SUMIFS(流水本位,流水账户,$A26,流水日期,"&gt;="&amp;报表月份,流水日期,"&lt;="&amp;EOMONTH(报表月份,0),流水本位,"&lt;0"),2))</f>
        <v>35900</v>
      </c>
      <c r="I26" s="23">
        <f>IF($A26="","",IFERROR(ROUND(参数设置!$I$15+SUMIFS(流水本位,流水账户,$A26,流水日期,"&lt;="&amp;EOMONTH(报表月份,0)),2),""))</f>
        <v>3625260</v>
      </c>
    </row>
    <row r="27" ht="16.5" spans="1:9">
      <c r="A27" s="12" t="str">
        <f>IF(参数设置!$C$16="","",参数设置!$C$16)</f>
        <v>中国银行欧元结算户-9900</v>
      </c>
      <c r="B27" s="12" t="str">
        <f>IF($A27="","",参数设置!$E$16)</f>
        <v>EUR</v>
      </c>
      <c r="C27" s="23">
        <f>IF($A27="","",ROUND(N(参数设置!$G$16)+SUMIFS(流水净额,流水账户,$A27,流水日期,"&lt;"&amp;报表月份),2))</f>
        <v>120000</v>
      </c>
      <c r="D27" s="23">
        <f>IF($A27="","",ROUND(SUMIFS(流水收入,流水账户,$A27,流水日期,"&gt;="&amp;报表月份,流水日期,"&lt;="&amp;EOMONTH(报表月份,0)),2))</f>
        <v>30000</v>
      </c>
      <c r="E27" s="23">
        <f>IF($A27="","",ROUND(SUMIFS(流水支出,流水账户,$A27,流水日期,"&gt;="&amp;报表月份,流水日期,"&lt;="&amp;EOMONTH(报表月份,0)),2))</f>
        <v>0</v>
      </c>
      <c r="F27" s="23">
        <f t="shared" si="2"/>
        <v>150000</v>
      </c>
      <c r="G27" s="23">
        <f>IF($A27="","",ROUND(SUMIFS(流水本位,流水账户,$A27,流水日期,"&gt;="&amp;报表月份,流水日期,"&lt;="&amp;EOMONTH(报表月份,0),流水本位,"&gt;0"),2))</f>
        <v>230700</v>
      </c>
      <c r="H27" s="23">
        <f>IF($A27="","",-ROUND(SUMIFS(流水本位,流水账户,$A27,流水日期,"&gt;="&amp;报表月份,流水日期,"&lt;="&amp;EOMONTH(报表月份,0),流水本位,"&lt;0"),2))</f>
        <v>0</v>
      </c>
      <c r="I27" s="23">
        <f>IF($A27="","",IFERROR(ROUND(参数设置!$I$16+SUMIFS(流水本位,流水账户,$A27,流水日期,"&lt;="&amp;EOMONTH(报表月份,0)),2),""))</f>
        <v>1153500</v>
      </c>
    </row>
    <row r="28" ht="16.5" spans="1:9">
      <c r="A28" s="12" t="str">
        <f>IF(参数设置!$C$17="","",参数设置!$C$17)</f>
        <v/>
      </c>
      <c r="B28" s="12" t="str">
        <f>IF($A28="","",参数设置!$E$17)</f>
        <v/>
      </c>
      <c r="C28" s="23" t="str">
        <f>IF($A28="","",ROUND(N(参数设置!$G$17)+SUMIFS(流水净额,流水账户,$A28,流水日期,"&lt;"&amp;报表月份),2))</f>
        <v/>
      </c>
      <c r="D28" s="23" t="str">
        <f>IF($A28="","",ROUND(SUMIFS(流水收入,流水账户,$A28,流水日期,"&gt;="&amp;报表月份,流水日期,"&lt;="&amp;EOMONTH(报表月份,0)),2))</f>
        <v/>
      </c>
      <c r="E28" s="23" t="str">
        <f>IF($A28="","",ROUND(SUMIFS(流水支出,流水账户,$A28,流水日期,"&gt;="&amp;报表月份,流水日期,"&lt;="&amp;EOMONTH(报表月份,0)),2))</f>
        <v/>
      </c>
      <c r="F28" s="23" t="str">
        <f t="shared" si="2"/>
        <v/>
      </c>
      <c r="G28" s="23" t="str">
        <f>IF($A28="","",ROUND(SUMIFS(流水本位,流水账户,$A28,流水日期,"&gt;="&amp;报表月份,流水日期,"&lt;="&amp;EOMONTH(报表月份,0),流水本位,"&gt;0"),2))</f>
        <v/>
      </c>
      <c r="H28" s="23" t="str">
        <f>IF($A28="","",-ROUND(SUMIFS(流水本位,流水账户,$A28,流水日期,"&gt;="&amp;报表月份,流水日期,"&lt;="&amp;EOMONTH(报表月份,0),流水本位,"&lt;0"),2))</f>
        <v/>
      </c>
      <c r="I28" s="23" t="str">
        <f>IF($A28="","",IFERROR(ROUND(参数设置!$I$17+SUMIFS(流水本位,流水账户,$A28,流水日期,"&lt;="&amp;EOMONTH(报表月份,0)),2),""))</f>
        <v/>
      </c>
    </row>
    <row r="29" ht="16.5" spans="1:9">
      <c r="A29" s="12" t="str">
        <f>IF(参数设置!$C$18="","",参数设置!$C$18)</f>
        <v/>
      </c>
      <c r="B29" s="12" t="str">
        <f>IF($A29="","",参数设置!$E$18)</f>
        <v/>
      </c>
      <c r="C29" s="23" t="str">
        <f>IF($A29="","",ROUND(N(参数设置!$G$18)+SUMIFS(流水净额,流水账户,$A29,流水日期,"&lt;"&amp;报表月份),2))</f>
        <v/>
      </c>
      <c r="D29" s="23" t="str">
        <f>IF($A29="","",ROUND(SUMIFS(流水收入,流水账户,$A29,流水日期,"&gt;="&amp;报表月份,流水日期,"&lt;="&amp;EOMONTH(报表月份,0)),2))</f>
        <v/>
      </c>
      <c r="E29" s="23" t="str">
        <f>IF($A29="","",ROUND(SUMIFS(流水支出,流水账户,$A29,流水日期,"&gt;="&amp;报表月份,流水日期,"&lt;="&amp;EOMONTH(报表月份,0)),2))</f>
        <v/>
      </c>
      <c r="F29" s="23" t="str">
        <f t="shared" si="2"/>
        <v/>
      </c>
      <c r="G29" s="23" t="str">
        <f>IF($A29="","",ROUND(SUMIFS(流水本位,流水账户,$A29,流水日期,"&gt;="&amp;报表月份,流水日期,"&lt;="&amp;EOMONTH(报表月份,0),流水本位,"&gt;0"),2))</f>
        <v/>
      </c>
      <c r="H29" s="23" t="str">
        <f>IF($A29="","",-ROUND(SUMIFS(流水本位,流水账户,$A29,流水日期,"&gt;="&amp;报表月份,流水日期,"&lt;="&amp;EOMONTH(报表月份,0),流水本位,"&lt;0"),2))</f>
        <v/>
      </c>
      <c r="I29" s="23" t="str">
        <f>IF($A29="","",IFERROR(ROUND(参数设置!$I$18+SUMIFS(流水本位,流水账户,$A29,流水日期,"&lt;="&amp;EOMONTH(报表月份,0)),2),""))</f>
        <v/>
      </c>
    </row>
    <row r="30" ht="16.5" spans="1:9">
      <c r="A30" s="12" t="str">
        <f>IF(参数设置!$C$19="","",参数设置!$C$19)</f>
        <v/>
      </c>
      <c r="B30" s="12" t="str">
        <f>IF($A30="","",参数设置!$E$19)</f>
        <v/>
      </c>
      <c r="C30" s="23" t="str">
        <f>IF($A30="","",ROUND(N(参数设置!$G$19)+SUMIFS(流水净额,流水账户,$A30,流水日期,"&lt;"&amp;报表月份),2))</f>
        <v/>
      </c>
      <c r="D30" s="23" t="str">
        <f>IF($A30="","",ROUND(SUMIFS(流水收入,流水账户,$A30,流水日期,"&gt;="&amp;报表月份,流水日期,"&lt;="&amp;EOMONTH(报表月份,0)),2))</f>
        <v/>
      </c>
      <c r="E30" s="23" t="str">
        <f>IF($A30="","",ROUND(SUMIFS(流水支出,流水账户,$A30,流水日期,"&gt;="&amp;报表月份,流水日期,"&lt;="&amp;EOMONTH(报表月份,0)),2))</f>
        <v/>
      </c>
      <c r="F30" s="23" t="str">
        <f t="shared" si="2"/>
        <v/>
      </c>
      <c r="G30" s="23" t="str">
        <f>IF($A30="","",ROUND(SUMIFS(流水本位,流水账户,$A30,流水日期,"&gt;="&amp;报表月份,流水日期,"&lt;="&amp;EOMONTH(报表月份,0),流水本位,"&gt;0"),2))</f>
        <v/>
      </c>
      <c r="H30" s="23" t="str">
        <f>IF($A30="","",-ROUND(SUMIFS(流水本位,流水账户,$A30,流水日期,"&gt;="&amp;报表月份,流水日期,"&lt;="&amp;EOMONTH(报表月份,0),流水本位,"&lt;0"),2))</f>
        <v/>
      </c>
      <c r="I30" s="23" t="str">
        <f>IF($A30="","",IFERROR(ROUND(参数设置!$I$19+SUMIFS(流水本位,流水账户,$A30,流水日期,"&lt;="&amp;EOMONTH(报表月份,0)),2),""))</f>
        <v/>
      </c>
    </row>
    <row r="31" ht="16.5" spans="1:9">
      <c r="A31" s="12" t="str">
        <f>IF(参数设置!$C$20="","",参数设置!$C$20)</f>
        <v/>
      </c>
      <c r="B31" s="12" t="str">
        <f>IF($A31="","",参数设置!$E$20)</f>
        <v/>
      </c>
      <c r="C31" s="23" t="str">
        <f>IF($A31="","",ROUND(N(参数设置!$G$20)+SUMIFS(流水净额,流水账户,$A31,流水日期,"&lt;"&amp;报表月份),2))</f>
        <v/>
      </c>
      <c r="D31" s="23" t="str">
        <f>IF($A31="","",ROUND(SUMIFS(流水收入,流水账户,$A31,流水日期,"&gt;="&amp;报表月份,流水日期,"&lt;="&amp;EOMONTH(报表月份,0)),2))</f>
        <v/>
      </c>
      <c r="E31" s="23" t="str">
        <f>IF($A31="","",ROUND(SUMIFS(流水支出,流水账户,$A31,流水日期,"&gt;="&amp;报表月份,流水日期,"&lt;="&amp;EOMONTH(报表月份,0)),2))</f>
        <v/>
      </c>
      <c r="F31" s="23" t="str">
        <f t="shared" si="2"/>
        <v/>
      </c>
      <c r="G31" s="23" t="str">
        <f>IF($A31="","",ROUND(SUMIFS(流水本位,流水账户,$A31,流水日期,"&gt;="&amp;报表月份,流水日期,"&lt;="&amp;EOMONTH(报表月份,0),流水本位,"&gt;0"),2))</f>
        <v/>
      </c>
      <c r="H31" s="23" t="str">
        <f>IF($A31="","",-ROUND(SUMIFS(流水本位,流水账户,$A31,流水日期,"&gt;="&amp;报表月份,流水日期,"&lt;="&amp;EOMONTH(报表月份,0),流水本位,"&lt;0"),2))</f>
        <v/>
      </c>
      <c r="I31" s="23" t="str">
        <f>IF($A31="","",IFERROR(ROUND(参数设置!$I$20+SUMIFS(流水本位,流水账户,$A31,流水日期,"&lt;="&amp;EOMONTH(报表月份,0)),2),""))</f>
        <v/>
      </c>
    </row>
    <row r="32" ht="16.5" spans="1:9">
      <c r="A32" s="12" t="str">
        <f>IF(参数设置!$C$21="","",参数设置!$C$21)</f>
        <v/>
      </c>
      <c r="B32" s="12" t="str">
        <f>IF($A32="","",参数设置!$E$21)</f>
        <v/>
      </c>
      <c r="C32" s="23" t="str">
        <f>IF($A32="","",ROUND(N(参数设置!$G$21)+SUMIFS(流水净额,流水账户,$A32,流水日期,"&lt;"&amp;报表月份),2))</f>
        <v/>
      </c>
      <c r="D32" s="23" t="str">
        <f>IF($A32="","",ROUND(SUMIFS(流水收入,流水账户,$A32,流水日期,"&gt;="&amp;报表月份,流水日期,"&lt;="&amp;EOMONTH(报表月份,0)),2))</f>
        <v/>
      </c>
      <c r="E32" s="23" t="str">
        <f>IF($A32="","",ROUND(SUMIFS(流水支出,流水账户,$A32,流水日期,"&gt;="&amp;报表月份,流水日期,"&lt;="&amp;EOMONTH(报表月份,0)),2))</f>
        <v/>
      </c>
      <c r="F32" s="23" t="str">
        <f t="shared" si="2"/>
        <v/>
      </c>
      <c r="G32" s="23" t="str">
        <f>IF($A32="","",ROUND(SUMIFS(流水本位,流水账户,$A32,流水日期,"&gt;="&amp;报表月份,流水日期,"&lt;="&amp;EOMONTH(报表月份,0),流水本位,"&gt;0"),2))</f>
        <v/>
      </c>
      <c r="H32" s="23" t="str">
        <f>IF($A32="","",-ROUND(SUMIFS(流水本位,流水账户,$A32,流水日期,"&gt;="&amp;报表月份,流水日期,"&lt;="&amp;EOMONTH(报表月份,0),流水本位,"&lt;0"),2))</f>
        <v/>
      </c>
      <c r="I32" s="23" t="str">
        <f>IF($A32="","",IFERROR(ROUND(参数设置!$I$21+SUMIFS(流水本位,流水账户,$A32,流水日期,"&lt;="&amp;EOMONTH(报表月份,0)),2),""))</f>
        <v/>
      </c>
    </row>
    <row r="33" ht="16.5" spans="1:9">
      <c r="A33" s="12" t="str">
        <f>IF(参数设置!$C$22="","",参数设置!$C$22)</f>
        <v/>
      </c>
      <c r="B33" s="12" t="str">
        <f>IF($A33="","",参数设置!$E$22)</f>
        <v/>
      </c>
      <c r="C33" s="23" t="str">
        <f>IF($A33="","",ROUND(N(参数设置!$G$22)+SUMIFS(流水净额,流水账户,$A33,流水日期,"&lt;"&amp;报表月份),2))</f>
        <v/>
      </c>
      <c r="D33" s="23" t="str">
        <f>IF($A33="","",ROUND(SUMIFS(流水收入,流水账户,$A33,流水日期,"&gt;="&amp;报表月份,流水日期,"&lt;="&amp;EOMONTH(报表月份,0)),2))</f>
        <v/>
      </c>
      <c r="E33" s="23" t="str">
        <f>IF($A33="","",ROUND(SUMIFS(流水支出,流水账户,$A33,流水日期,"&gt;="&amp;报表月份,流水日期,"&lt;="&amp;EOMONTH(报表月份,0)),2))</f>
        <v/>
      </c>
      <c r="F33" s="23" t="str">
        <f t="shared" si="2"/>
        <v/>
      </c>
      <c r="G33" s="23" t="str">
        <f>IF($A33="","",ROUND(SUMIFS(流水本位,流水账户,$A33,流水日期,"&gt;="&amp;报表月份,流水日期,"&lt;="&amp;EOMONTH(报表月份,0),流水本位,"&gt;0"),2))</f>
        <v/>
      </c>
      <c r="H33" s="23" t="str">
        <f>IF($A33="","",-ROUND(SUMIFS(流水本位,流水账户,$A33,流水日期,"&gt;="&amp;报表月份,流水日期,"&lt;="&amp;EOMONTH(报表月份,0),流水本位,"&lt;0"),2))</f>
        <v/>
      </c>
      <c r="I33" s="23" t="str">
        <f>IF($A33="","",IFERROR(ROUND(参数设置!$I$22+SUMIFS(流水本位,流水账户,$A33,流水日期,"&lt;="&amp;EOMONTH(报表月份,0)),2),""))</f>
        <v/>
      </c>
    </row>
    <row r="34" ht="16.5" spans="1:9">
      <c r="A34" s="12" t="str">
        <f>IF(参数设置!$C$23="","",参数设置!$C$23)</f>
        <v/>
      </c>
      <c r="B34" s="12" t="str">
        <f>IF($A34="","",参数设置!$E$23)</f>
        <v/>
      </c>
      <c r="C34" s="23" t="str">
        <f>IF($A34="","",ROUND(N(参数设置!$G$23)+SUMIFS(流水净额,流水账户,$A34,流水日期,"&lt;"&amp;报表月份),2))</f>
        <v/>
      </c>
      <c r="D34" s="23" t="str">
        <f>IF($A34="","",ROUND(SUMIFS(流水收入,流水账户,$A34,流水日期,"&gt;="&amp;报表月份,流水日期,"&lt;="&amp;EOMONTH(报表月份,0)),2))</f>
        <v/>
      </c>
      <c r="E34" s="23" t="str">
        <f>IF($A34="","",ROUND(SUMIFS(流水支出,流水账户,$A34,流水日期,"&gt;="&amp;报表月份,流水日期,"&lt;="&amp;EOMONTH(报表月份,0)),2))</f>
        <v/>
      </c>
      <c r="F34" s="23" t="str">
        <f t="shared" si="2"/>
        <v/>
      </c>
      <c r="G34" s="23" t="str">
        <f>IF($A34="","",ROUND(SUMIFS(流水本位,流水账户,$A34,流水日期,"&gt;="&amp;报表月份,流水日期,"&lt;="&amp;EOMONTH(报表月份,0),流水本位,"&gt;0"),2))</f>
        <v/>
      </c>
      <c r="H34" s="23" t="str">
        <f>IF($A34="","",-ROUND(SUMIFS(流水本位,流水账户,$A34,流水日期,"&gt;="&amp;报表月份,流水日期,"&lt;="&amp;EOMONTH(报表月份,0),流水本位,"&lt;0"),2))</f>
        <v/>
      </c>
      <c r="I34" s="23" t="str">
        <f>IF($A34="","",IFERROR(ROUND(参数设置!$I$23+SUMIFS(流水本位,流水账户,$A34,流水日期,"&lt;="&amp;EOMONTH(报表月份,0)),2),""))</f>
        <v/>
      </c>
    </row>
    <row r="35" ht="16.5" spans="1:9">
      <c r="A35" s="12" t="str">
        <f>IF(参数设置!$C$24="","",参数设置!$C$24)</f>
        <v/>
      </c>
      <c r="B35" s="12" t="str">
        <f>IF($A35="","",参数设置!$E$24)</f>
        <v/>
      </c>
      <c r="C35" s="23" t="str">
        <f>IF($A35="","",ROUND(N(参数设置!$G$24)+SUMIFS(流水净额,流水账户,$A35,流水日期,"&lt;"&amp;报表月份),2))</f>
        <v/>
      </c>
      <c r="D35" s="23" t="str">
        <f>IF($A35="","",ROUND(SUMIFS(流水收入,流水账户,$A35,流水日期,"&gt;="&amp;报表月份,流水日期,"&lt;="&amp;EOMONTH(报表月份,0)),2))</f>
        <v/>
      </c>
      <c r="E35" s="23" t="str">
        <f>IF($A35="","",ROUND(SUMIFS(流水支出,流水账户,$A35,流水日期,"&gt;="&amp;报表月份,流水日期,"&lt;="&amp;EOMONTH(报表月份,0)),2))</f>
        <v/>
      </c>
      <c r="F35" s="23" t="str">
        <f t="shared" si="2"/>
        <v/>
      </c>
      <c r="G35" s="23" t="str">
        <f>IF($A35="","",ROUND(SUMIFS(流水本位,流水账户,$A35,流水日期,"&gt;="&amp;报表月份,流水日期,"&lt;="&amp;EOMONTH(报表月份,0),流水本位,"&gt;0"),2))</f>
        <v/>
      </c>
      <c r="H35" s="23" t="str">
        <f>IF($A35="","",-ROUND(SUMIFS(流水本位,流水账户,$A35,流水日期,"&gt;="&amp;报表月份,流水日期,"&lt;="&amp;EOMONTH(报表月份,0),流水本位,"&lt;0"),2))</f>
        <v/>
      </c>
      <c r="I35" s="23" t="str">
        <f>IF($A35="","",IFERROR(ROUND(参数设置!$I$24+SUMIFS(流水本位,流水账户,$A35,流水日期,"&lt;="&amp;EOMONTH(报表月份,0)),2),""))</f>
        <v/>
      </c>
    </row>
    <row r="36" ht="16.5" spans="1:9">
      <c r="A36" s="12" t="str">
        <f>IF(参数设置!$C$25="","",参数设置!$C$25)</f>
        <v/>
      </c>
      <c r="B36" s="12" t="str">
        <f>IF($A36="","",参数设置!$E$25)</f>
        <v/>
      </c>
      <c r="C36" s="23" t="str">
        <f>IF($A36="","",ROUND(N(参数设置!$G$25)+SUMIFS(流水净额,流水账户,$A36,流水日期,"&lt;"&amp;报表月份),2))</f>
        <v/>
      </c>
      <c r="D36" s="23" t="str">
        <f>IF($A36="","",ROUND(SUMIFS(流水收入,流水账户,$A36,流水日期,"&gt;="&amp;报表月份,流水日期,"&lt;="&amp;EOMONTH(报表月份,0)),2))</f>
        <v/>
      </c>
      <c r="E36" s="23" t="str">
        <f>IF($A36="","",ROUND(SUMIFS(流水支出,流水账户,$A36,流水日期,"&gt;="&amp;报表月份,流水日期,"&lt;="&amp;EOMONTH(报表月份,0)),2))</f>
        <v/>
      </c>
      <c r="F36" s="23" t="str">
        <f t="shared" si="2"/>
        <v/>
      </c>
      <c r="G36" s="23" t="str">
        <f>IF($A36="","",ROUND(SUMIFS(流水本位,流水账户,$A36,流水日期,"&gt;="&amp;报表月份,流水日期,"&lt;="&amp;EOMONTH(报表月份,0),流水本位,"&gt;0"),2))</f>
        <v/>
      </c>
      <c r="H36" s="23" t="str">
        <f>IF($A36="","",-ROUND(SUMIFS(流水本位,流水账户,$A36,流水日期,"&gt;="&amp;报表月份,流水日期,"&lt;="&amp;EOMONTH(报表月份,0),流水本位,"&lt;0"),2))</f>
        <v/>
      </c>
      <c r="I36" s="23" t="str">
        <f>IF($A36="","",IFERROR(ROUND(参数设置!$I$25+SUMIFS(流水本位,流水账户,$A36,流水日期,"&lt;="&amp;EOMONTH(报表月份,0)),2),""))</f>
        <v/>
      </c>
    </row>
    <row r="37" ht="16.5" spans="1:9">
      <c r="A37" s="12" t="str">
        <f>IF(参数设置!$C$26="","",参数设置!$C$26)</f>
        <v/>
      </c>
      <c r="B37" s="12" t="str">
        <f>IF($A37="","",参数设置!$E$26)</f>
        <v/>
      </c>
      <c r="C37" s="23" t="str">
        <f>IF($A37="","",ROUND(N(参数设置!$G$26)+SUMIFS(流水净额,流水账户,$A37,流水日期,"&lt;"&amp;报表月份),2))</f>
        <v/>
      </c>
      <c r="D37" s="23" t="str">
        <f>IF($A37="","",ROUND(SUMIFS(流水收入,流水账户,$A37,流水日期,"&gt;="&amp;报表月份,流水日期,"&lt;="&amp;EOMONTH(报表月份,0)),2))</f>
        <v/>
      </c>
      <c r="E37" s="23" t="str">
        <f>IF($A37="","",ROUND(SUMIFS(流水支出,流水账户,$A37,流水日期,"&gt;="&amp;报表月份,流水日期,"&lt;="&amp;EOMONTH(报表月份,0)),2))</f>
        <v/>
      </c>
      <c r="F37" s="23" t="str">
        <f t="shared" si="2"/>
        <v/>
      </c>
      <c r="G37" s="23" t="str">
        <f>IF($A37="","",ROUND(SUMIFS(流水本位,流水账户,$A37,流水日期,"&gt;="&amp;报表月份,流水日期,"&lt;="&amp;EOMONTH(报表月份,0),流水本位,"&gt;0"),2))</f>
        <v/>
      </c>
      <c r="H37" s="23" t="str">
        <f>IF($A37="","",-ROUND(SUMIFS(流水本位,流水账户,$A37,流水日期,"&gt;="&amp;报表月份,流水日期,"&lt;="&amp;EOMONTH(报表月份,0),流水本位,"&lt;0"),2))</f>
        <v/>
      </c>
      <c r="I37" s="23" t="str">
        <f>IF($A37="","",IFERROR(ROUND(参数设置!$I$26+SUMIFS(流水本位,流水账户,$A37,流水日期,"&lt;="&amp;EOMONTH(报表月份,0)),2),""))</f>
        <v/>
      </c>
    </row>
    <row r="38" ht="16.5" spans="1:9">
      <c r="A38" s="12" t="str">
        <f>IF(参数设置!$C$27="","",参数设置!$C$27)</f>
        <v/>
      </c>
      <c r="B38" s="12" t="str">
        <f>IF($A38="","",参数设置!$E$27)</f>
        <v/>
      </c>
      <c r="C38" s="23" t="str">
        <f>IF($A38="","",ROUND(N(参数设置!$G$27)+SUMIFS(流水净额,流水账户,$A38,流水日期,"&lt;"&amp;报表月份),2))</f>
        <v/>
      </c>
      <c r="D38" s="23" t="str">
        <f>IF($A38="","",ROUND(SUMIFS(流水收入,流水账户,$A38,流水日期,"&gt;="&amp;报表月份,流水日期,"&lt;="&amp;EOMONTH(报表月份,0)),2))</f>
        <v/>
      </c>
      <c r="E38" s="23" t="str">
        <f>IF($A38="","",ROUND(SUMIFS(流水支出,流水账户,$A38,流水日期,"&gt;="&amp;报表月份,流水日期,"&lt;="&amp;EOMONTH(报表月份,0)),2))</f>
        <v/>
      </c>
      <c r="F38" s="23" t="str">
        <f t="shared" si="2"/>
        <v/>
      </c>
      <c r="G38" s="23" t="str">
        <f>IF($A38="","",ROUND(SUMIFS(流水本位,流水账户,$A38,流水日期,"&gt;="&amp;报表月份,流水日期,"&lt;="&amp;EOMONTH(报表月份,0),流水本位,"&gt;0"),2))</f>
        <v/>
      </c>
      <c r="H38" s="23" t="str">
        <f>IF($A38="","",-ROUND(SUMIFS(流水本位,流水账户,$A38,流水日期,"&gt;="&amp;报表月份,流水日期,"&lt;="&amp;EOMONTH(报表月份,0),流水本位,"&lt;0"),2))</f>
        <v/>
      </c>
      <c r="I38" s="23" t="str">
        <f>IF($A38="","",IFERROR(ROUND(参数设置!$I$27+SUMIFS(流水本位,流水账户,$A38,流水日期,"&lt;="&amp;EOMONTH(报表月份,0)),2),""))</f>
        <v/>
      </c>
    </row>
    <row r="39" ht="16.5" spans="1:9">
      <c r="A39" s="12" t="str">
        <f>IF(参数设置!$C$28="","",参数设置!$C$28)</f>
        <v/>
      </c>
      <c r="B39" s="12" t="str">
        <f>IF($A39="","",参数设置!$E$28)</f>
        <v/>
      </c>
      <c r="C39" s="23" t="str">
        <f>IF($A39="","",ROUND(N(参数设置!$G$28)+SUMIFS(流水净额,流水账户,$A39,流水日期,"&lt;"&amp;报表月份),2))</f>
        <v/>
      </c>
      <c r="D39" s="23" t="str">
        <f>IF($A39="","",ROUND(SUMIFS(流水收入,流水账户,$A39,流水日期,"&gt;="&amp;报表月份,流水日期,"&lt;="&amp;EOMONTH(报表月份,0)),2))</f>
        <v/>
      </c>
      <c r="E39" s="23" t="str">
        <f>IF($A39="","",ROUND(SUMIFS(流水支出,流水账户,$A39,流水日期,"&gt;="&amp;报表月份,流水日期,"&lt;="&amp;EOMONTH(报表月份,0)),2))</f>
        <v/>
      </c>
      <c r="F39" s="23" t="str">
        <f t="shared" si="2"/>
        <v/>
      </c>
      <c r="G39" s="23" t="str">
        <f>IF($A39="","",ROUND(SUMIFS(流水本位,流水账户,$A39,流水日期,"&gt;="&amp;报表月份,流水日期,"&lt;="&amp;EOMONTH(报表月份,0),流水本位,"&gt;0"),2))</f>
        <v/>
      </c>
      <c r="H39" s="23" t="str">
        <f>IF($A39="","",-ROUND(SUMIFS(流水本位,流水账户,$A39,流水日期,"&gt;="&amp;报表月份,流水日期,"&lt;="&amp;EOMONTH(报表月份,0),流水本位,"&lt;0"),2))</f>
        <v/>
      </c>
      <c r="I39" s="23" t="str">
        <f>IF($A39="","",IFERROR(ROUND(参数设置!$I$28+SUMIFS(流水本位,流水账户,$A39,流水日期,"&lt;="&amp;EOMONTH(报表月份,0)),2),""))</f>
        <v/>
      </c>
    </row>
    <row r="40" ht="16.5" spans="1:9">
      <c r="A40" s="12" t="str">
        <f>IF(参数设置!$C$29="","",参数设置!$C$29)</f>
        <v/>
      </c>
      <c r="B40" s="12" t="str">
        <f>IF($A40="","",参数设置!$E$29)</f>
        <v/>
      </c>
      <c r="C40" s="23" t="str">
        <f>IF($A40="","",ROUND(N(参数设置!$G$29)+SUMIFS(流水净额,流水账户,$A40,流水日期,"&lt;"&amp;报表月份),2))</f>
        <v/>
      </c>
      <c r="D40" s="23" t="str">
        <f>IF($A40="","",ROUND(SUMIFS(流水收入,流水账户,$A40,流水日期,"&gt;="&amp;报表月份,流水日期,"&lt;="&amp;EOMONTH(报表月份,0)),2))</f>
        <v/>
      </c>
      <c r="E40" s="23" t="str">
        <f>IF($A40="","",ROUND(SUMIFS(流水支出,流水账户,$A40,流水日期,"&gt;="&amp;报表月份,流水日期,"&lt;="&amp;EOMONTH(报表月份,0)),2))</f>
        <v/>
      </c>
      <c r="F40" s="23" t="str">
        <f t="shared" si="2"/>
        <v/>
      </c>
      <c r="G40" s="23" t="str">
        <f>IF($A40="","",ROUND(SUMIFS(流水本位,流水账户,$A40,流水日期,"&gt;="&amp;报表月份,流水日期,"&lt;="&amp;EOMONTH(报表月份,0),流水本位,"&gt;0"),2))</f>
        <v/>
      </c>
      <c r="H40" s="23" t="str">
        <f>IF($A40="","",-ROUND(SUMIFS(流水本位,流水账户,$A40,流水日期,"&gt;="&amp;报表月份,流水日期,"&lt;="&amp;EOMONTH(报表月份,0),流水本位,"&lt;0"),2))</f>
        <v/>
      </c>
      <c r="I40" s="23" t="str">
        <f>IF($A40="","",IFERROR(ROUND(参数设置!$I$29+SUMIFS(流水本位,流水账户,$A40,流水日期,"&lt;="&amp;EOMONTH(报表月份,0)),2),""))</f>
        <v/>
      </c>
    </row>
    <row r="41" ht="16.5" spans="1:9">
      <c r="A41" s="12" t="str">
        <f>IF(参数设置!$C$30="","",参数设置!$C$30)</f>
        <v/>
      </c>
      <c r="B41" s="12" t="str">
        <f>IF($A41="","",参数设置!$E$30)</f>
        <v/>
      </c>
      <c r="C41" s="23" t="str">
        <f>IF($A41="","",ROUND(N(参数设置!$G$30)+SUMIFS(流水净额,流水账户,$A41,流水日期,"&lt;"&amp;报表月份),2))</f>
        <v/>
      </c>
      <c r="D41" s="23" t="str">
        <f>IF($A41="","",ROUND(SUMIFS(流水收入,流水账户,$A41,流水日期,"&gt;="&amp;报表月份,流水日期,"&lt;="&amp;EOMONTH(报表月份,0)),2))</f>
        <v/>
      </c>
      <c r="E41" s="23" t="str">
        <f>IF($A41="","",ROUND(SUMIFS(流水支出,流水账户,$A41,流水日期,"&gt;="&amp;报表月份,流水日期,"&lt;="&amp;EOMONTH(报表月份,0)),2))</f>
        <v/>
      </c>
      <c r="F41" s="23" t="str">
        <f t="shared" si="2"/>
        <v/>
      </c>
      <c r="G41" s="23" t="str">
        <f>IF($A41="","",ROUND(SUMIFS(流水本位,流水账户,$A41,流水日期,"&gt;="&amp;报表月份,流水日期,"&lt;="&amp;EOMONTH(报表月份,0),流水本位,"&gt;0"),2))</f>
        <v/>
      </c>
      <c r="H41" s="23" t="str">
        <f>IF($A41="","",-ROUND(SUMIFS(流水本位,流水账户,$A41,流水日期,"&gt;="&amp;报表月份,流水日期,"&lt;="&amp;EOMONTH(报表月份,0),流水本位,"&lt;0"),2))</f>
        <v/>
      </c>
      <c r="I41" s="23" t="str">
        <f>IF($A41="","",IFERROR(ROUND(参数设置!$I$30+SUMIFS(流水本位,流水账户,$A41,流水日期,"&lt;="&amp;EOMONTH(报表月份,0)),2),""))</f>
        <v/>
      </c>
    </row>
    <row r="42" ht="16.5" spans="1:9">
      <c r="A42" s="12" t="str">
        <f>IF(参数设置!$C$31="","",参数设置!$C$31)</f>
        <v/>
      </c>
      <c r="B42" s="12" t="str">
        <f>IF($A42="","",参数设置!$E$31)</f>
        <v/>
      </c>
      <c r="C42" s="23" t="str">
        <f>IF($A42="","",ROUND(N(参数设置!$G$31)+SUMIFS(流水净额,流水账户,$A42,流水日期,"&lt;"&amp;报表月份),2))</f>
        <v/>
      </c>
      <c r="D42" s="23" t="str">
        <f>IF($A42="","",ROUND(SUMIFS(流水收入,流水账户,$A42,流水日期,"&gt;="&amp;报表月份,流水日期,"&lt;="&amp;EOMONTH(报表月份,0)),2))</f>
        <v/>
      </c>
      <c r="E42" s="23" t="str">
        <f>IF($A42="","",ROUND(SUMIFS(流水支出,流水账户,$A42,流水日期,"&gt;="&amp;报表月份,流水日期,"&lt;="&amp;EOMONTH(报表月份,0)),2))</f>
        <v/>
      </c>
      <c r="F42" s="23" t="str">
        <f t="shared" si="2"/>
        <v/>
      </c>
      <c r="G42" s="23" t="str">
        <f>IF($A42="","",ROUND(SUMIFS(流水本位,流水账户,$A42,流水日期,"&gt;="&amp;报表月份,流水日期,"&lt;="&amp;EOMONTH(报表月份,0),流水本位,"&gt;0"),2))</f>
        <v/>
      </c>
      <c r="H42" s="23" t="str">
        <f>IF($A42="","",-ROUND(SUMIFS(流水本位,流水账户,$A42,流水日期,"&gt;="&amp;报表月份,流水日期,"&lt;="&amp;EOMONTH(报表月份,0),流水本位,"&lt;0"),2))</f>
        <v/>
      </c>
      <c r="I42" s="23" t="str">
        <f>IF($A42="","",IFERROR(ROUND(参数设置!$I$31+SUMIFS(流水本位,流水账户,$A42,流水日期,"&lt;="&amp;EOMONTH(报表月份,0)),2),""))</f>
        <v/>
      </c>
    </row>
    <row r="43" ht="16.5" spans="1:9">
      <c r="A43" s="12" t="str">
        <f>IF(参数设置!$C$32="","",参数设置!$C$32)</f>
        <v/>
      </c>
      <c r="B43" s="12" t="str">
        <f>IF($A43="","",参数设置!$E$32)</f>
        <v/>
      </c>
      <c r="C43" s="23" t="str">
        <f>IF($A43="","",ROUND(N(参数设置!$G$32)+SUMIFS(流水净额,流水账户,$A43,流水日期,"&lt;"&amp;报表月份),2))</f>
        <v/>
      </c>
      <c r="D43" s="23" t="str">
        <f>IF($A43="","",ROUND(SUMIFS(流水收入,流水账户,$A43,流水日期,"&gt;="&amp;报表月份,流水日期,"&lt;="&amp;EOMONTH(报表月份,0)),2))</f>
        <v/>
      </c>
      <c r="E43" s="23" t="str">
        <f>IF($A43="","",ROUND(SUMIFS(流水支出,流水账户,$A43,流水日期,"&gt;="&amp;报表月份,流水日期,"&lt;="&amp;EOMONTH(报表月份,0)),2))</f>
        <v/>
      </c>
      <c r="F43" s="23" t="str">
        <f t="shared" si="2"/>
        <v/>
      </c>
      <c r="G43" s="23" t="str">
        <f>IF($A43="","",ROUND(SUMIFS(流水本位,流水账户,$A43,流水日期,"&gt;="&amp;报表月份,流水日期,"&lt;="&amp;EOMONTH(报表月份,0),流水本位,"&gt;0"),2))</f>
        <v/>
      </c>
      <c r="H43" s="23" t="str">
        <f>IF($A43="","",-ROUND(SUMIFS(流水本位,流水账户,$A43,流水日期,"&gt;="&amp;报表月份,流水日期,"&lt;="&amp;EOMONTH(报表月份,0),流水本位,"&lt;0"),2))</f>
        <v/>
      </c>
      <c r="I43" s="23" t="str">
        <f>IF($A43="","",IFERROR(ROUND(参数设置!$I$32+SUMIFS(流水本位,流水账户,$A43,流水日期,"&lt;="&amp;EOMONTH(报表月份,0)),2),""))</f>
        <v/>
      </c>
    </row>
    <row r="44" ht="16.5" spans="1:9">
      <c r="A44" s="12" t="str">
        <f>IF(参数设置!$C$33="","",参数设置!$C$33)</f>
        <v/>
      </c>
      <c r="B44" s="12" t="str">
        <f>IF($A44="","",参数设置!$E$33)</f>
        <v/>
      </c>
      <c r="C44" s="23" t="str">
        <f>IF($A44="","",ROUND(N(参数设置!$G$33)+SUMIFS(流水净额,流水账户,$A44,流水日期,"&lt;"&amp;报表月份),2))</f>
        <v/>
      </c>
      <c r="D44" s="23" t="str">
        <f>IF($A44="","",ROUND(SUMIFS(流水收入,流水账户,$A44,流水日期,"&gt;="&amp;报表月份,流水日期,"&lt;="&amp;EOMONTH(报表月份,0)),2))</f>
        <v/>
      </c>
      <c r="E44" s="23" t="str">
        <f>IF($A44="","",ROUND(SUMIFS(流水支出,流水账户,$A44,流水日期,"&gt;="&amp;报表月份,流水日期,"&lt;="&amp;EOMONTH(报表月份,0)),2))</f>
        <v/>
      </c>
      <c r="F44" s="23" t="str">
        <f t="shared" si="2"/>
        <v/>
      </c>
      <c r="G44" s="23" t="str">
        <f>IF($A44="","",ROUND(SUMIFS(流水本位,流水账户,$A44,流水日期,"&gt;="&amp;报表月份,流水日期,"&lt;="&amp;EOMONTH(报表月份,0),流水本位,"&gt;0"),2))</f>
        <v/>
      </c>
      <c r="H44" s="23" t="str">
        <f>IF($A44="","",-ROUND(SUMIFS(流水本位,流水账户,$A44,流水日期,"&gt;="&amp;报表月份,流水日期,"&lt;="&amp;EOMONTH(报表月份,0),流水本位,"&lt;0"),2))</f>
        <v/>
      </c>
      <c r="I44" s="23" t="str">
        <f>IF($A44="","",IFERROR(ROUND(参数设置!$I$33+SUMIFS(流水本位,流水账户,$A44,流水日期,"&lt;="&amp;EOMONTH(报表月份,0)),2),""))</f>
        <v/>
      </c>
    </row>
    <row r="45" ht="16.5" spans="1:9">
      <c r="A45" s="12" t="str">
        <f>IF(参数设置!$C$34="","",参数设置!$C$34)</f>
        <v/>
      </c>
      <c r="B45" s="12" t="str">
        <f>IF($A45="","",参数设置!$E$34)</f>
        <v/>
      </c>
      <c r="C45" s="23" t="str">
        <f>IF($A45="","",ROUND(N(参数设置!$G$34)+SUMIFS(流水净额,流水账户,$A45,流水日期,"&lt;"&amp;报表月份),2))</f>
        <v/>
      </c>
      <c r="D45" s="23" t="str">
        <f>IF($A45="","",ROUND(SUMIFS(流水收入,流水账户,$A45,流水日期,"&gt;="&amp;报表月份,流水日期,"&lt;="&amp;EOMONTH(报表月份,0)),2))</f>
        <v/>
      </c>
      <c r="E45" s="23" t="str">
        <f>IF($A45="","",ROUND(SUMIFS(流水支出,流水账户,$A45,流水日期,"&gt;="&amp;报表月份,流水日期,"&lt;="&amp;EOMONTH(报表月份,0)),2))</f>
        <v/>
      </c>
      <c r="F45" s="23" t="str">
        <f t="shared" si="2"/>
        <v/>
      </c>
      <c r="G45" s="23" t="str">
        <f>IF($A45="","",ROUND(SUMIFS(流水本位,流水账户,$A45,流水日期,"&gt;="&amp;报表月份,流水日期,"&lt;="&amp;EOMONTH(报表月份,0),流水本位,"&gt;0"),2))</f>
        <v/>
      </c>
      <c r="H45" s="23" t="str">
        <f>IF($A45="","",-ROUND(SUMIFS(流水本位,流水账户,$A45,流水日期,"&gt;="&amp;报表月份,流水日期,"&lt;="&amp;EOMONTH(报表月份,0),流水本位,"&lt;0"),2))</f>
        <v/>
      </c>
      <c r="I45" s="23" t="str">
        <f>IF($A45="","",IFERROR(ROUND(参数设置!$I$34+SUMIFS(流水本位,流水账户,$A45,流水日期,"&lt;="&amp;EOMONTH(报表月份,0)),2),""))</f>
        <v/>
      </c>
    </row>
    <row r="46" ht="16.5" spans="1:9">
      <c r="A46" s="12" t="str">
        <f>IF(参数设置!$C$35="","",参数设置!$C$35)</f>
        <v/>
      </c>
      <c r="B46" s="12" t="str">
        <f>IF($A46="","",参数设置!$E$35)</f>
        <v/>
      </c>
      <c r="C46" s="23" t="str">
        <f>IF($A46="","",ROUND(N(参数设置!$G$35)+SUMIFS(流水净额,流水账户,$A46,流水日期,"&lt;"&amp;报表月份),2))</f>
        <v/>
      </c>
      <c r="D46" s="23" t="str">
        <f>IF($A46="","",ROUND(SUMIFS(流水收入,流水账户,$A46,流水日期,"&gt;="&amp;报表月份,流水日期,"&lt;="&amp;EOMONTH(报表月份,0)),2))</f>
        <v/>
      </c>
      <c r="E46" s="23" t="str">
        <f>IF($A46="","",ROUND(SUMIFS(流水支出,流水账户,$A46,流水日期,"&gt;="&amp;报表月份,流水日期,"&lt;="&amp;EOMONTH(报表月份,0)),2))</f>
        <v/>
      </c>
      <c r="F46" s="23" t="str">
        <f t="shared" si="2"/>
        <v/>
      </c>
      <c r="G46" s="23" t="str">
        <f>IF($A46="","",ROUND(SUMIFS(流水本位,流水账户,$A46,流水日期,"&gt;="&amp;报表月份,流水日期,"&lt;="&amp;EOMONTH(报表月份,0),流水本位,"&gt;0"),2))</f>
        <v/>
      </c>
      <c r="H46" s="23" t="str">
        <f>IF($A46="","",-ROUND(SUMIFS(流水本位,流水账户,$A46,流水日期,"&gt;="&amp;报表月份,流水日期,"&lt;="&amp;EOMONTH(报表月份,0),流水本位,"&lt;0"),2))</f>
        <v/>
      </c>
      <c r="I46" s="23" t="str">
        <f>IF($A46="","",IFERROR(ROUND(参数设置!$I$35+SUMIFS(流水本位,流水账户,$A46,流水日期,"&lt;="&amp;EOMONTH(报表月份,0)),2),""))</f>
        <v/>
      </c>
    </row>
    <row r="47" ht="16.5" spans="1:9">
      <c r="A47" s="12" t="str">
        <f>IF(参数设置!$C$36="","",参数设置!$C$36)</f>
        <v/>
      </c>
      <c r="B47" s="12" t="str">
        <f>IF($A47="","",参数设置!$E$36)</f>
        <v/>
      </c>
      <c r="C47" s="23" t="str">
        <f>IF($A47="","",ROUND(N(参数设置!$G$36)+SUMIFS(流水净额,流水账户,$A47,流水日期,"&lt;"&amp;报表月份),2))</f>
        <v/>
      </c>
      <c r="D47" s="23" t="str">
        <f>IF($A47="","",ROUND(SUMIFS(流水收入,流水账户,$A47,流水日期,"&gt;="&amp;报表月份,流水日期,"&lt;="&amp;EOMONTH(报表月份,0)),2))</f>
        <v/>
      </c>
      <c r="E47" s="23" t="str">
        <f>IF($A47="","",ROUND(SUMIFS(流水支出,流水账户,$A47,流水日期,"&gt;="&amp;报表月份,流水日期,"&lt;="&amp;EOMONTH(报表月份,0)),2))</f>
        <v/>
      </c>
      <c r="F47" s="23" t="str">
        <f t="shared" si="2"/>
        <v/>
      </c>
      <c r="G47" s="23" t="str">
        <f>IF($A47="","",ROUND(SUMIFS(流水本位,流水账户,$A47,流水日期,"&gt;="&amp;报表月份,流水日期,"&lt;="&amp;EOMONTH(报表月份,0),流水本位,"&gt;0"),2))</f>
        <v/>
      </c>
      <c r="H47" s="23" t="str">
        <f>IF($A47="","",-ROUND(SUMIFS(流水本位,流水账户,$A47,流水日期,"&gt;="&amp;报表月份,流水日期,"&lt;="&amp;EOMONTH(报表月份,0),流水本位,"&lt;0"),2))</f>
        <v/>
      </c>
      <c r="I47" s="23" t="str">
        <f>IF($A47="","",IFERROR(ROUND(参数设置!$I$36+SUMIFS(流水本位,流水账户,$A47,流水日期,"&lt;="&amp;EOMONTH(报表月份,0)),2),""))</f>
        <v/>
      </c>
    </row>
    <row r="48" ht="16.5" spans="1:9">
      <c r="A48" s="12" t="str">
        <f>IF(参数设置!$C$37="","",参数设置!$C$37)</f>
        <v/>
      </c>
      <c r="B48" s="12" t="str">
        <f>IF($A48="","",参数设置!$E$37)</f>
        <v/>
      </c>
      <c r="C48" s="23" t="str">
        <f>IF($A48="","",ROUND(N(参数设置!$G$37)+SUMIFS(流水净额,流水账户,$A48,流水日期,"&lt;"&amp;报表月份),2))</f>
        <v/>
      </c>
      <c r="D48" s="23" t="str">
        <f>IF($A48="","",ROUND(SUMIFS(流水收入,流水账户,$A48,流水日期,"&gt;="&amp;报表月份,流水日期,"&lt;="&amp;EOMONTH(报表月份,0)),2))</f>
        <v/>
      </c>
      <c r="E48" s="23" t="str">
        <f>IF($A48="","",ROUND(SUMIFS(流水支出,流水账户,$A48,流水日期,"&gt;="&amp;报表月份,流水日期,"&lt;="&amp;EOMONTH(报表月份,0)),2))</f>
        <v/>
      </c>
      <c r="F48" s="23" t="str">
        <f t="shared" si="2"/>
        <v/>
      </c>
      <c r="G48" s="23" t="str">
        <f>IF($A48="","",ROUND(SUMIFS(流水本位,流水账户,$A48,流水日期,"&gt;="&amp;报表月份,流水日期,"&lt;="&amp;EOMONTH(报表月份,0),流水本位,"&gt;0"),2))</f>
        <v/>
      </c>
      <c r="H48" s="23" t="str">
        <f>IF($A48="","",-ROUND(SUMIFS(流水本位,流水账户,$A48,流水日期,"&gt;="&amp;报表月份,流水日期,"&lt;="&amp;EOMONTH(报表月份,0),流水本位,"&lt;0"),2))</f>
        <v/>
      </c>
      <c r="I48" s="23" t="str">
        <f>IF($A48="","",IFERROR(ROUND(参数设置!$I$37+SUMIFS(流水本位,流水账户,$A48,流水日期,"&lt;="&amp;EOMONTH(报表月份,0)),2),""))</f>
        <v/>
      </c>
    </row>
    <row r="49" ht="16.5" spans="1:9">
      <c r="A49" s="12" t="str">
        <f>IF(参数设置!$C$38="","",参数设置!$C$38)</f>
        <v/>
      </c>
      <c r="B49" s="12" t="str">
        <f>IF($A49="","",参数设置!$E$38)</f>
        <v/>
      </c>
      <c r="C49" s="23" t="str">
        <f>IF($A49="","",ROUND(N(参数设置!$G$38)+SUMIFS(流水净额,流水账户,$A49,流水日期,"&lt;"&amp;报表月份),2))</f>
        <v/>
      </c>
      <c r="D49" s="23" t="str">
        <f>IF($A49="","",ROUND(SUMIFS(流水收入,流水账户,$A49,流水日期,"&gt;="&amp;报表月份,流水日期,"&lt;="&amp;EOMONTH(报表月份,0)),2))</f>
        <v/>
      </c>
      <c r="E49" s="23" t="str">
        <f>IF($A49="","",ROUND(SUMIFS(流水支出,流水账户,$A49,流水日期,"&gt;="&amp;报表月份,流水日期,"&lt;="&amp;EOMONTH(报表月份,0)),2))</f>
        <v/>
      </c>
      <c r="F49" s="23" t="str">
        <f t="shared" si="2"/>
        <v/>
      </c>
      <c r="G49" s="23" t="str">
        <f>IF($A49="","",ROUND(SUMIFS(流水本位,流水账户,$A49,流水日期,"&gt;="&amp;报表月份,流水日期,"&lt;="&amp;EOMONTH(报表月份,0),流水本位,"&gt;0"),2))</f>
        <v/>
      </c>
      <c r="H49" s="23" t="str">
        <f>IF($A49="","",-ROUND(SUMIFS(流水本位,流水账户,$A49,流水日期,"&gt;="&amp;报表月份,流水日期,"&lt;="&amp;EOMONTH(报表月份,0),流水本位,"&lt;0"),2))</f>
        <v/>
      </c>
      <c r="I49" s="23" t="str">
        <f>IF($A49="","",IFERROR(ROUND(参数设置!$I$38+SUMIFS(流水本位,流水账户,$A49,流水日期,"&lt;="&amp;EOMONTH(报表月份,0)),2),""))</f>
        <v/>
      </c>
    </row>
    <row r="50" ht="16.5" spans="1:9">
      <c r="A50" s="12" t="str">
        <f>IF(参数设置!$C$39="","",参数设置!$C$39)</f>
        <v/>
      </c>
      <c r="B50" s="12" t="str">
        <f>IF($A50="","",参数设置!$E$39)</f>
        <v/>
      </c>
      <c r="C50" s="23" t="str">
        <f>IF($A50="","",ROUND(N(参数设置!$G$39)+SUMIFS(流水净额,流水账户,$A50,流水日期,"&lt;"&amp;报表月份),2))</f>
        <v/>
      </c>
      <c r="D50" s="23" t="str">
        <f>IF($A50="","",ROUND(SUMIFS(流水收入,流水账户,$A50,流水日期,"&gt;="&amp;报表月份,流水日期,"&lt;="&amp;EOMONTH(报表月份,0)),2))</f>
        <v/>
      </c>
      <c r="E50" s="23" t="str">
        <f>IF($A50="","",ROUND(SUMIFS(流水支出,流水账户,$A50,流水日期,"&gt;="&amp;报表月份,流水日期,"&lt;="&amp;EOMONTH(报表月份,0)),2))</f>
        <v/>
      </c>
      <c r="F50" s="23" t="str">
        <f t="shared" si="2"/>
        <v/>
      </c>
      <c r="G50" s="23" t="str">
        <f>IF($A50="","",ROUND(SUMIFS(流水本位,流水账户,$A50,流水日期,"&gt;="&amp;报表月份,流水日期,"&lt;="&amp;EOMONTH(报表月份,0),流水本位,"&gt;0"),2))</f>
        <v/>
      </c>
      <c r="H50" s="23" t="str">
        <f>IF($A50="","",-ROUND(SUMIFS(流水本位,流水账户,$A50,流水日期,"&gt;="&amp;报表月份,流水日期,"&lt;="&amp;EOMONTH(报表月份,0),流水本位,"&lt;0"),2))</f>
        <v/>
      </c>
      <c r="I50" s="23" t="str">
        <f>IF($A50="","",IFERROR(ROUND(参数设置!$I$39+SUMIFS(流水本位,流水账户,$A50,流水日期,"&lt;="&amp;EOMONTH(报表月份,0)),2),""))</f>
        <v/>
      </c>
    </row>
    <row r="51" ht="16.5" spans="1:9">
      <c r="A51" s="12" t="str">
        <f>IF(参数设置!$C$40="","",参数设置!$C$40)</f>
        <v/>
      </c>
      <c r="B51" s="12" t="str">
        <f>IF($A51="","",参数设置!$E$40)</f>
        <v/>
      </c>
      <c r="C51" s="23" t="str">
        <f>IF($A51="","",ROUND(N(参数设置!$G$40)+SUMIFS(流水净额,流水账户,$A51,流水日期,"&lt;"&amp;报表月份),2))</f>
        <v/>
      </c>
      <c r="D51" s="23" t="str">
        <f>IF($A51="","",ROUND(SUMIFS(流水收入,流水账户,$A51,流水日期,"&gt;="&amp;报表月份,流水日期,"&lt;="&amp;EOMONTH(报表月份,0)),2))</f>
        <v/>
      </c>
      <c r="E51" s="23" t="str">
        <f>IF($A51="","",ROUND(SUMIFS(流水支出,流水账户,$A51,流水日期,"&gt;="&amp;报表月份,流水日期,"&lt;="&amp;EOMONTH(报表月份,0)),2))</f>
        <v/>
      </c>
      <c r="F51" s="23" t="str">
        <f t="shared" si="2"/>
        <v/>
      </c>
      <c r="G51" s="23" t="str">
        <f>IF($A51="","",ROUND(SUMIFS(流水本位,流水账户,$A51,流水日期,"&gt;="&amp;报表月份,流水日期,"&lt;="&amp;EOMONTH(报表月份,0),流水本位,"&gt;0"),2))</f>
        <v/>
      </c>
      <c r="H51" s="23" t="str">
        <f>IF($A51="","",-ROUND(SUMIFS(流水本位,流水账户,$A51,流水日期,"&gt;="&amp;报表月份,流水日期,"&lt;="&amp;EOMONTH(报表月份,0),流水本位,"&lt;0"),2))</f>
        <v/>
      </c>
      <c r="I51" s="23" t="str">
        <f>IF($A51="","",IFERROR(ROUND(参数设置!$I$40+SUMIFS(流水本位,流水账户,$A51,流水日期,"&lt;="&amp;EOMONTH(报表月份,0)),2),""))</f>
        <v/>
      </c>
    </row>
    <row r="52" ht="16.5" spans="1:9">
      <c r="A52" s="36" t="s">
        <v>264</v>
      </c>
      <c r="B52" s="37" t="s">
        <v>292</v>
      </c>
      <c r="C52" s="14"/>
      <c r="D52" s="14"/>
      <c r="E52" s="14"/>
      <c r="F52" s="15"/>
      <c r="G52" s="7">
        <f>ROUND(SUM(G22:G51),2)</f>
        <v>1086060</v>
      </c>
      <c r="H52" s="7">
        <f>ROUND(SUM(H22:H51),2)</f>
        <v>357120</v>
      </c>
      <c r="I52" s="7">
        <f>ROUND(SUM(I22:I51),2)</f>
        <v>11921240</v>
      </c>
    </row>
  </sheetData>
  <mergeCells count="5">
    <mergeCell ref="A1:H1"/>
    <mergeCell ref="A2:H2"/>
    <mergeCell ref="A4:H4"/>
    <mergeCell ref="A20:I20"/>
    <mergeCell ref="B52:F52"/>
  </mergeCell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P41"/>
  <sheetViews>
    <sheetView showGridLines="0" workbookViewId="0">
      <pane xSplit="2" ySplit="11" topLeftCell="C12" activePane="bottomRight" state="frozen"/>
      <selection/>
      <selection pane="topRight"/>
      <selection pane="bottomLeft"/>
      <selection pane="bottomRight" activeCell="A18" sqref="A18"/>
    </sheetView>
  </sheetViews>
  <sheetFormatPr defaultColWidth="9" defaultRowHeight="13.5"/>
  <cols>
    <col min="1" max="1" width="15" customWidth="1"/>
    <col min="2" max="2" width="10" customWidth="1"/>
    <col min="3" max="14" width="12" customWidth="1"/>
    <col min="15" max="15" width="15" customWidth="1"/>
    <col min="16" max="16" width="9" customWidth="1"/>
  </cols>
  <sheetData>
    <row r="1" ht="30" customHeight="1" spans="1:16">
      <c r="A1" s="1" t="s">
        <v>293</v>
      </c>
    </row>
    <row r="2" ht="24" customHeight="1" spans="1:16">
      <c r="A2" s="2" t="s">
        <v>294</v>
      </c>
    </row>
    <row r="4" ht="30" customHeight="1" spans="1:16">
      <c r="A4" s="28" t="s">
        <v>130</v>
      </c>
      <c r="B4" s="28" t="s">
        <v>295</v>
      </c>
      <c r="C4" s="28" t="s">
        <v>296</v>
      </c>
      <c r="D4" s="28" t="s">
        <v>297</v>
      </c>
      <c r="E4" s="28" t="s">
        <v>298</v>
      </c>
      <c r="F4" s="28" t="s">
        <v>299</v>
      </c>
      <c r="G4" s="28" t="s">
        <v>300</v>
      </c>
      <c r="H4" s="28" t="s">
        <v>301</v>
      </c>
      <c r="I4" s="28" t="s">
        <v>302</v>
      </c>
      <c r="J4" s="28" t="s">
        <v>303</v>
      </c>
      <c r="K4" s="28" t="s">
        <v>304</v>
      </c>
      <c r="L4" s="28" t="s">
        <v>305</v>
      </c>
      <c r="M4" s="28" t="s">
        <v>306</v>
      </c>
      <c r="N4" s="28" t="s">
        <v>307</v>
      </c>
      <c r="O4" s="28" t="s">
        <v>282</v>
      </c>
      <c r="P4" s="28" t="s">
        <v>308</v>
      </c>
    </row>
    <row r="5" ht="16.5" spans="1:16">
      <c r="A5" s="38" t="s">
        <v>309</v>
      </c>
      <c r="B5" s="28" t="s">
        <v>140</v>
      </c>
      <c r="C5" s="7">
        <f t="shared" ref="C5:N5" si="0">ROUND(SUMIF($B$12:$B$41,"收入",C$12:C$41),2)</f>
        <v>0</v>
      </c>
      <c r="D5" s="7">
        <f t="shared" si="0"/>
        <v>0</v>
      </c>
      <c r="E5" s="7">
        <f t="shared" si="0"/>
        <v>0</v>
      </c>
      <c r="F5" s="7">
        <f t="shared" si="0"/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892660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>ROUND(SUM(C5:N5),2)</f>
        <v>892660</v>
      </c>
      <c r="P5" s="32" t="s">
        <v>265</v>
      </c>
    </row>
    <row r="6" ht="16.5" spans="1:16">
      <c r="A6" s="38" t="s">
        <v>310</v>
      </c>
      <c r="B6" s="28" t="s">
        <v>186</v>
      </c>
      <c r="C6" s="7">
        <f t="shared" ref="C6:N6" si="1">ROUND(SUMIF($B$12:$B$41,"支出",C$12:C$41),2)</f>
        <v>0</v>
      </c>
      <c r="D6" s="7">
        <f t="shared" si="1"/>
        <v>0</v>
      </c>
      <c r="E6" s="7">
        <f t="shared" si="1"/>
        <v>0</v>
      </c>
      <c r="F6" s="7">
        <f t="shared" si="1"/>
        <v>0</v>
      </c>
      <c r="G6" s="7">
        <f t="shared" si="1"/>
        <v>0</v>
      </c>
      <c r="H6" s="7">
        <f t="shared" si="1"/>
        <v>0</v>
      </c>
      <c r="I6" s="7">
        <f t="shared" si="1"/>
        <v>0</v>
      </c>
      <c r="J6" s="7">
        <f t="shared" si="1"/>
        <v>163720</v>
      </c>
      <c r="K6" s="7">
        <f t="shared" si="1"/>
        <v>0</v>
      </c>
      <c r="L6" s="7">
        <f t="shared" si="1"/>
        <v>0</v>
      </c>
      <c r="M6" s="7">
        <f t="shared" si="1"/>
        <v>0</v>
      </c>
      <c r="N6" s="7">
        <f t="shared" si="1"/>
        <v>0</v>
      </c>
      <c r="O6" s="7">
        <f>ROUND(SUM(C6:N6),2)</f>
        <v>163720</v>
      </c>
      <c r="P6" s="32" t="s">
        <v>265</v>
      </c>
    </row>
    <row r="7" ht="16.5" spans="1:16">
      <c r="A7" s="38" t="s">
        <v>311</v>
      </c>
      <c r="B7" s="28" t="s">
        <v>211</v>
      </c>
      <c r="C7" s="7">
        <f t="shared" ref="C7:N7" si="2">ROUND(SUMIF($B$12:$B$41,"内部转账",C$12:C$41),2)</f>
        <v>0</v>
      </c>
      <c r="D7" s="7">
        <f t="shared" si="2"/>
        <v>0</v>
      </c>
      <c r="E7" s="7">
        <f t="shared" si="2"/>
        <v>0</v>
      </c>
      <c r="F7" s="7">
        <f t="shared" si="2"/>
        <v>0</v>
      </c>
      <c r="G7" s="7">
        <f t="shared" si="2"/>
        <v>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si="2"/>
        <v>0</v>
      </c>
      <c r="O7" s="7">
        <f>ROUND(SUM(C7:N7),2)</f>
        <v>0</v>
      </c>
      <c r="P7" s="32" t="s">
        <v>265</v>
      </c>
    </row>
    <row r="8" ht="16.5" spans="1:16">
      <c r="A8" s="39" t="s">
        <v>312</v>
      </c>
      <c r="B8" s="36" t="s">
        <v>313</v>
      </c>
      <c r="C8" s="7">
        <f t="shared" ref="C8:N8" si="3">ROUND(C5-C6,2)</f>
        <v>0</v>
      </c>
      <c r="D8" s="7">
        <f t="shared" si="3"/>
        <v>0</v>
      </c>
      <c r="E8" s="7">
        <f t="shared" si="3"/>
        <v>0</v>
      </c>
      <c r="F8" s="7">
        <f t="shared" si="3"/>
        <v>0</v>
      </c>
      <c r="G8" s="7">
        <f t="shared" si="3"/>
        <v>0</v>
      </c>
      <c r="H8" s="7">
        <f t="shared" si="3"/>
        <v>0</v>
      </c>
      <c r="I8" s="7">
        <f t="shared" si="3"/>
        <v>0</v>
      </c>
      <c r="J8" s="7">
        <f t="shared" si="3"/>
        <v>728940</v>
      </c>
      <c r="K8" s="7">
        <f t="shared" si="3"/>
        <v>0</v>
      </c>
      <c r="L8" s="7">
        <f t="shared" si="3"/>
        <v>0</v>
      </c>
      <c r="M8" s="7">
        <f t="shared" si="3"/>
        <v>0</v>
      </c>
      <c r="N8" s="7">
        <f t="shared" si="3"/>
        <v>0</v>
      </c>
      <c r="O8" s="7">
        <f>ROUND(SUM(C8:N8),2)</f>
        <v>728940</v>
      </c>
      <c r="P8" s="32" t="s">
        <v>265</v>
      </c>
    </row>
    <row r="10" ht="22" customHeight="1" spans="1:16">
      <c r="A10" s="29" t="s">
        <v>314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/>
    </row>
    <row r="11" ht="30" customHeight="1" spans="1:16">
      <c r="A11" s="18" t="s">
        <v>130</v>
      </c>
      <c r="B11" s="18" t="s">
        <v>295</v>
      </c>
      <c r="C11" s="18" t="s">
        <v>296</v>
      </c>
      <c r="D11" s="18" t="s">
        <v>297</v>
      </c>
      <c r="E11" s="18" t="s">
        <v>298</v>
      </c>
      <c r="F11" s="18" t="s">
        <v>299</v>
      </c>
      <c r="G11" s="18" t="s">
        <v>300</v>
      </c>
      <c r="H11" s="18" t="s">
        <v>301</v>
      </c>
      <c r="I11" s="18" t="s">
        <v>302</v>
      </c>
      <c r="J11" s="18" t="s">
        <v>303</v>
      </c>
      <c r="K11" s="18" t="s">
        <v>304</v>
      </c>
      <c r="L11" s="18" t="s">
        <v>305</v>
      </c>
      <c r="M11" s="18" t="s">
        <v>306</v>
      </c>
      <c r="N11" s="18" t="s">
        <v>307</v>
      </c>
      <c r="O11" s="18" t="s">
        <v>282</v>
      </c>
      <c r="P11" s="18" t="s">
        <v>308</v>
      </c>
    </row>
    <row r="12" ht="16.5" spans="1:16">
      <c r="A12" s="6" t="str">
        <f>IF(参数设置!$O$11="","",参数设置!$O$11)</f>
        <v>销售回款</v>
      </c>
      <c r="B12" s="12" t="str">
        <f>IF($A12="","",参数设置!$P$11)</f>
        <v>收入</v>
      </c>
      <c r="C12" s="23">
        <f>IF($A12="","",ROUND(IF($B12="支出",-1,1)*SUMIFS(流水本位,流水类别,$A12,流水日期,"&gt;="&amp;DATE(管理年度,1,1),流水日期,"&lt;="&amp;EOMONTH(DATE(管理年度,1,1),0)),2))</f>
        <v>0</v>
      </c>
      <c r="D12" s="23">
        <f>IF($A12="","",ROUND(IF($B12="支出",-1,1)*SUMIFS(流水本位,流水类别,$A12,流水日期,"&gt;="&amp;DATE(管理年度,2,1),流水日期,"&lt;="&amp;EOMONTH(DATE(管理年度,2,1),0)),2))</f>
        <v>0</v>
      </c>
      <c r="E12" s="23">
        <f>IF($A12="","",ROUND(IF($B12="支出",-1,1)*SUMIFS(流水本位,流水类别,$A12,流水日期,"&gt;="&amp;DATE(管理年度,3,1),流水日期,"&lt;="&amp;EOMONTH(DATE(管理年度,3,1),0)),2))</f>
        <v>0</v>
      </c>
      <c r="F12" s="23">
        <f>IF($A12="","",ROUND(IF($B12="支出",-1,1)*SUMIFS(流水本位,流水类别,$A12,流水日期,"&gt;="&amp;DATE(管理年度,4,1),流水日期,"&lt;="&amp;EOMONTH(DATE(管理年度,4,1),0)),2))</f>
        <v>0</v>
      </c>
      <c r="G12" s="23">
        <f>IF($A12="","",ROUND(IF($B12="支出",-1,1)*SUMIFS(流水本位,流水类别,$A12,流水日期,"&gt;="&amp;DATE(管理年度,5,1),流水日期,"&lt;="&amp;EOMONTH(DATE(管理年度,5,1),0)),2))</f>
        <v>0</v>
      </c>
      <c r="H12" s="23">
        <f>IF($A12="","",ROUND(IF($B12="支出",-1,1)*SUMIFS(流水本位,流水类别,$A12,流水日期,"&gt;="&amp;DATE(管理年度,6,1),流水日期,"&lt;="&amp;EOMONTH(DATE(管理年度,6,1),0)),2))</f>
        <v>0</v>
      </c>
      <c r="I12" s="23">
        <f>IF($A12="","",ROUND(IF($B12="支出",-1,1)*SUMIFS(流水本位,流水类别,$A12,流水日期,"&gt;="&amp;DATE(管理年度,7,1),流水日期,"&lt;="&amp;EOMONTH(DATE(管理年度,7,1),0)),2))</f>
        <v>0</v>
      </c>
      <c r="J12" s="23">
        <f>IF($A12="","",ROUND(IF($B12="支出",-1,1)*SUMIFS(流水本位,流水类别,$A12,流水日期,"&gt;="&amp;DATE(管理年度,8,1),流水日期,"&lt;="&amp;EOMONTH(DATE(管理年度,8,1),0)),2))</f>
        <v>711500</v>
      </c>
      <c r="K12" s="23">
        <f>IF($A12="","",ROUND(IF($B12="支出",-1,1)*SUMIFS(流水本位,流水类别,$A12,流水日期,"&gt;="&amp;DATE(管理年度,9,1),流水日期,"&lt;="&amp;EOMONTH(DATE(管理年度,9,1),0)),2))</f>
        <v>0</v>
      </c>
      <c r="L12" s="23">
        <f>IF($A12="","",ROUND(IF($B12="支出",-1,1)*SUMIFS(流水本位,流水类别,$A12,流水日期,"&gt;="&amp;DATE(管理年度,10,1),流水日期,"&lt;="&amp;EOMONTH(DATE(管理年度,10,1),0)),2))</f>
        <v>0</v>
      </c>
      <c r="M12" s="23">
        <f>IF($A12="","",ROUND(IF($B12="支出",-1,1)*SUMIFS(流水本位,流水类别,$A12,流水日期,"&gt;="&amp;DATE(管理年度,11,1),流水日期,"&lt;="&amp;EOMONTH(DATE(管理年度,11,1),0)),2))</f>
        <v>0</v>
      </c>
      <c r="N12" s="23">
        <f>IF($A12="","",ROUND(IF($B12="支出",-1,1)*SUMIFS(流水本位,流水类别,$A12,流水日期,"&gt;="&amp;DATE(管理年度,12,1),流水日期,"&lt;="&amp;EOMONTH(DATE(管理年度,12,1),0)),2))</f>
        <v>0</v>
      </c>
      <c r="O12" s="23">
        <f t="shared" ref="O12:O41" si="4">IF($A12="","",ROUND(SUM(C12:N12),2))</f>
        <v>711500</v>
      </c>
      <c r="P12" s="30">
        <f t="shared" ref="P12:P41" si="5">IF(OR($A12="",$B12="内部转账"),"",IFERROR($O12/IF($B12="收入",$O$5,$O$6),""))</f>
        <v>0.797055989962584</v>
      </c>
    </row>
    <row r="13" ht="16.5" spans="1:16">
      <c r="A13" s="6" t="str">
        <f>IF(参数设置!$O$12="","",参数设置!$O$12)</f>
        <v>其他业务收入</v>
      </c>
      <c r="B13" s="12" t="str">
        <f>IF($A13="","",参数设置!$P$12)</f>
        <v>收入</v>
      </c>
      <c r="C13" s="23">
        <f>IF($A13="","",ROUND(IF($B13="支出",-1,1)*SUMIFS(流水本位,流水类别,$A13,流水日期,"&gt;="&amp;DATE(管理年度,1,1),流水日期,"&lt;="&amp;EOMONTH(DATE(管理年度,1,1),0)),2))</f>
        <v>0</v>
      </c>
      <c r="D13" s="23">
        <f>IF($A13="","",ROUND(IF($B13="支出",-1,1)*SUMIFS(流水本位,流水类别,$A13,流水日期,"&gt;="&amp;DATE(管理年度,2,1),流水日期,"&lt;="&amp;EOMONTH(DATE(管理年度,2,1),0)),2))</f>
        <v>0</v>
      </c>
      <c r="E13" s="23">
        <f>IF($A13="","",ROUND(IF($B13="支出",-1,1)*SUMIFS(流水本位,流水类别,$A13,流水日期,"&gt;="&amp;DATE(管理年度,3,1),流水日期,"&lt;="&amp;EOMONTH(DATE(管理年度,3,1),0)),2))</f>
        <v>0</v>
      </c>
      <c r="F13" s="23">
        <f>IF($A13="","",ROUND(IF($B13="支出",-1,1)*SUMIFS(流水本位,流水类别,$A13,流水日期,"&gt;="&amp;DATE(管理年度,4,1),流水日期,"&lt;="&amp;EOMONTH(DATE(管理年度,4,1),0)),2))</f>
        <v>0</v>
      </c>
      <c r="G13" s="23">
        <f>IF($A13="","",ROUND(IF($B13="支出",-1,1)*SUMIFS(流水本位,流水类别,$A13,流水日期,"&gt;="&amp;DATE(管理年度,5,1),流水日期,"&lt;="&amp;EOMONTH(DATE(管理年度,5,1),0)),2))</f>
        <v>0</v>
      </c>
      <c r="H13" s="23">
        <f>IF($A13="","",ROUND(IF($B13="支出",-1,1)*SUMIFS(流水本位,流水类别,$A13,流水日期,"&gt;="&amp;DATE(管理年度,6,1),流水日期,"&lt;="&amp;EOMONTH(DATE(管理年度,6,1),0)),2))</f>
        <v>0</v>
      </c>
      <c r="I13" s="23">
        <f>IF($A13="","",ROUND(IF($B13="支出",-1,1)*SUMIFS(流水本位,流水类别,$A13,流水日期,"&gt;="&amp;DATE(管理年度,7,1),流水日期,"&lt;="&amp;EOMONTH(DATE(管理年度,7,1),0)),2))</f>
        <v>0</v>
      </c>
      <c r="J13" s="23">
        <f>IF($A13="","",ROUND(IF($B13="支出",-1,1)*SUMIFS(流水本位,流水类别,$A13,流水日期,"&gt;="&amp;DATE(管理年度,8,1),流水日期,"&lt;="&amp;EOMONTH(DATE(管理年度,8,1),0)),2))</f>
        <v>35000</v>
      </c>
      <c r="K13" s="23">
        <f>IF($A13="","",ROUND(IF($B13="支出",-1,1)*SUMIFS(流水本位,流水类别,$A13,流水日期,"&gt;="&amp;DATE(管理年度,9,1),流水日期,"&lt;="&amp;EOMONTH(DATE(管理年度,9,1),0)),2))</f>
        <v>0</v>
      </c>
      <c r="L13" s="23">
        <f>IF($A13="","",ROUND(IF($B13="支出",-1,1)*SUMIFS(流水本位,流水类别,$A13,流水日期,"&gt;="&amp;DATE(管理年度,10,1),流水日期,"&lt;="&amp;EOMONTH(DATE(管理年度,10,1),0)),2))</f>
        <v>0</v>
      </c>
      <c r="M13" s="23">
        <f>IF($A13="","",ROUND(IF($B13="支出",-1,1)*SUMIFS(流水本位,流水类别,$A13,流水日期,"&gt;="&amp;DATE(管理年度,11,1),流水日期,"&lt;="&amp;EOMONTH(DATE(管理年度,11,1),0)),2))</f>
        <v>0</v>
      </c>
      <c r="N13" s="23">
        <f>IF($A13="","",ROUND(IF($B13="支出",-1,1)*SUMIFS(流水本位,流水类别,$A13,流水日期,"&gt;="&amp;DATE(管理年度,12,1),流水日期,"&lt;="&amp;EOMONTH(DATE(管理年度,12,1),0)),2))</f>
        <v>0</v>
      </c>
      <c r="O13" s="23">
        <f t="shared" si="4"/>
        <v>35000</v>
      </c>
      <c r="P13" s="30">
        <f t="shared" si="5"/>
        <v>0.0392086572715256</v>
      </c>
    </row>
    <row r="14" ht="16.5" spans="1:16">
      <c r="A14" s="6" t="str">
        <f>IF(参数设置!$O$13="","",参数设置!$O$13)</f>
        <v>投资款</v>
      </c>
      <c r="B14" s="12" t="str">
        <f>IF($A14="","",参数设置!$P$13)</f>
        <v>收入</v>
      </c>
      <c r="C14" s="23">
        <f>IF($A14="","",ROUND(IF($B14="支出",-1,1)*SUMIFS(流水本位,流水类别,$A14,流水日期,"&gt;="&amp;DATE(管理年度,1,1),流水日期,"&lt;="&amp;EOMONTH(DATE(管理年度,1,1),0)),2))</f>
        <v>0</v>
      </c>
      <c r="D14" s="23">
        <f>IF($A14="","",ROUND(IF($B14="支出",-1,1)*SUMIFS(流水本位,流水类别,$A14,流水日期,"&gt;="&amp;DATE(管理年度,2,1),流水日期,"&lt;="&amp;EOMONTH(DATE(管理年度,2,1),0)),2))</f>
        <v>0</v>
      </c>
      <c r="E14" s="23">
        <f>IF($A14="","",ROUND(IF($B14="支出",-1,1)*SUMIFS(流水本位,流水类别,$A14,流水日期,"&gt;="&amp;DATE(管理年度,3,1),流水日期,"&lt;="&amp;EOMONTH(DATE(管理年度,3,1),0)),2))</f>
        <v>0</v>
      </c>
      <c r="F14" s="23">
        <f>IF($A14="","",ROUND(IF($B14="支出",-1,1)*SUMIFS(流水本位,流水类别,$A14,流水日期,"&gt;="&amp;DATE(管理年度,4,1),流水日期,"&lt;="&amp;EOMONTH(DATE(管理年度,4,1),0)),2))</f>
        <v>0</v>
      </c>
      <c r="G14" s="23">
        <f>IF($A14="","",ROUND(IF($B14="支出",-1,1)*SUMIFS(流水本位,流水类别,$A14,流水日期,"&gt;="&amp;DATE(管理年度,5,1),流水日期,"&lt;="&amp;EOMONTH(DATE(管理年度,5,1),0)),2))</f>
        <v>0</v>
      </c>
      <c r="H14" s="23">
        <f>IF($A14="","",ROUND(IF($B14="支出",-1,1)*SUMIFS(流水本位,流水类别,$A14,流水日期,"&gt;="&amp;DATE(管理年度,6,1),流水日期,"&lt;="&amp;EOMONTH(DATE(管理年度,6,1),0)),2))</f>
        <v>0</v>
      </c>
      <c r="I14" s="23">
        <f>IF($A14="","",ROUND(IF($B14="支出",-1,1)*SUMIFS(流水本位,流水类别,$A14,流水日期,"&gt;="&amp;DATE(管理年度,7,1),流水日期,"&lt;="&amp;EOMONTH(DATE(管理年度,7,1),0)),2))</f>
        <v>0</v>
      </c>
      <c r="J14" s="23">
        <f>IF($A14="","",ROUND(IF($B14="支出",-1,1)*SUMIFS(流水本位,流水类别,$A14,流水日期,"&gt;="&amp;DATE(管理年度,8,1),流水日期,"&lt;="&amp;EOMONTH(DATE(管理年度,8,1),0)),2))</f>
        <v>86160</v>
      </c>
      <c r="K14" s="23">
        <f>IF($A14="","",ROUND(IF($B14="支出",-1,1)*SUMIFS(流水本位,流水类别,$A14,流水日期,"&gt;="&amp;DATE(管理年度,9,1),流水日期,"&lt;="&amp;EOMONTH(DATE(管理年度,9,1),0)),2))</f>
        <v>0</v>
      </c>
      <c r="L14" s="23">
        <f>IF($A14="","",ROUND(IF($B14="支出",-1,1)*SUMIFS(流水本位,流水类别,$A14,流水日期,"&gt;="&amp;DATE(管理年度,10,1),流水日期,"&lt;="&amp;EOMONTH(DATE(管理年度,10,1),0)),2))</f>
        <v>0</v>
      </c>
      <c r="M14" s="23">
        <f>IF($A14="","",ROUND(IF($B14="支出",-1,1)*SUMIFS(流水本位,流水类别,$A14,流水日期,"&gt;="&amp;DATE(管理年度,11,1),流水日期,"&lt;="&amp;EOMONTH(DATE(管理年度,11,1),0)),2))</f>
        <v>0</v>
      </c>
      <c r="N14" s="23">
        <f>IF($A14="","",ROUND(IF($B14="支出",-1,1)*SUMIFS(流水本位,流水类别,$A14,流水日期,"&gt;="&amp;DATE(管理年度,12,1),流水日期,"&lt;="&amp;EOMONTH(DATE(管理年度,12,1),0)),2))</f>
        <v>0</v>
      </c>
      <c r="O14" s="23">
        <f t="shared" si="4"/>
        <v>86160</v>
      </c>
      <c r="P14" s="30">
        <f t="shared" si="5"/>
        <v>0.0965205117289898</v>
      </c>
    </row>
    <row r="15" ht="16.5" spans="1:16">
      <c r="A15" s="6" t="str">
        <f>IF(参数设置!$O$14="","",参数设置!$O$14)</f>
        <v>借款</v>
      </c>
      <c r="B15" s="12" t="str">
        <f>IF($A15="","",参数设置!$P$14)</f>
        <v>收入</v>
      </c>
      <c r="C15" s="23">
        <f>IF($A15="","",ROUND(IF($B15="支出",-1,1)*SUMIFS(流水本位,流水类别,$A15,流水日期,"&gt;="&amp;DATE(管理年度,1,1),流水日期,"&lt;="&amp;EOMONTH(DATE(管理年度,1,1),0)),2))</f>
        <v>0</v>
      </c>
      <c r="D15" s="23">
        <f>IF($A15="","",ROUND(IF($B15="支出",-1,1)*SUMIFS(流水本位,流水类别,$A15,流水日期,"&gt;="&amp;DATE(管理年度,2,1),流水日期,"&lt;="&amp;EOMONTH(DATE(管理年度,2,1),0)),2))</f>
        <v>0</v>
      </c>
      <c r="E15" s="23">
        <f>IF($A15="","",ROUND(IF($B15="支出",-1,1)*SUMIFS(流水本位,流水类别,$A15,流水日期,"&gt;="&amp;DATE(管理年度,3,1),流水日期,"&lt;="&amp;EOMONTH(DATE(管理年度,3,1),0)),2))</f>
        <v>0</v>
      </c>
      <c r="F15" s="23">
        <f>IF($A15="","",ROUND(IF($B15="支出",-1,1)*SUMIFS(流水本位,流水类别,$A15,流水日期,"&gt;="&amp;DATE(管理年度,4,1),流水日期,"&lt;="&amp;EOMONTH(DATE(管理年度,4,1),0)),2))</f>
        <v>0</v>
      </c>
      <c r="G15" s="23">
        <f>IF($A15="","",ROUND(IF($B15="支出",-1,1)*SUMIFS(流水本位,流水类别,$A15,流水日期,"&gt;="&amp;DATE(管理年度,5,1),流水日期,"&lt;="&amp;EOMONTH(DATE(管理年度,5,1),0)),2))</f>
        <v>0</v>
      </c>
      <c r="H15" s="23">
        <f>IF($A15="","",ROUND(IF($B15="支出",-1,1)*SUMIFS(流水本位,流水类别,$A15,流水日期,"&gt;="&amp;DATE(管理年度,6,1),流水日期,"&lt;="&amp;EOMONTH(DATE(管理年度,6,1),0)),2))</f>
        <v>0</v>
      </c>
      <c r="I15" s="23">
        <f>IF($A15="","",ROUND(IF($B15="支出",-1,1)*SUMIFS(流水本位,流水类别,$A15,流水日期,"&gt;="&amp;DATE(管理年度,7,1),流水日期,"&lt;="&amp;EOMONTH(DATE(管理年度,7,1),0)),2))</f>
        <v>0</v>
      </c>
      <c r="J15" s="23">
        <f>IF($A15="","",ROUND(IF($B15="支出",-1,1)*SUMIFS(流水本位,流水类别,$A15,流水日期,"&gt;="&amp;DATE(管理年度,8,1),流水日期,"&lt;="&amp;EOMONTH(DATE(管理年度,8,1),0)),2))</f>
        <v>60000</v>
      </c>
      <c r="K15" s="23">
        <f>IF($A15="","",ROUND(IF($B15="支出",-1,1)*SUMIFS(流水本位,流水类别,$A15,流水日期,"&gt;="&amp;DATE(管理年度,9,1),流水日期,"&lt;="&amp;EOMONTH(DATE(管理年度,9,1),0)),2))</f>
        <v>0</v>
      </c>
      <c r="L15" s="23">
        <f>IF($A15="","",ROUND(IF($B15="支出",-1,1)*SUMIFS(流水本位,流水类别,$A15,流水日期,"&gt;="&amp;DATE(管理年度,10,1),流水日期,"&lt;="&amp;EOMONTH(DATE(管理年度,10,1),0)),2))</f>
        <v>0</v>
      </c>
      <c r="M15" s="23">
        <f>IF($A15="","",ROUND(IF($B15="支出",-1,1)*SUMIFS(流水本位,流水类别,$A15,流水日期,"&gt;="&amp;DATE(管理年度,11,1),流水日期,"&lt;="&amp;EOMONTH(DATE(管理年度,11,1),0)),2))</f>
        <v>0</v>
      </c>
      <c r="N15" s="23">
        <f>IF($A15="","",ROUND(IF($B15="支出",-1,1)*SUMIFS(流水本位,流水类别,$A15,流水日期,"&gt;="&amp;DATE(管理年度,12,1),流水日期,"&lt;="&amp;EOMONTH(DATE(管理年度,12,1),0)),2))</f>
        <v>0</v>
      </c>
      <c r="O15" s="23">
        <f t="shared" si="4"/>
        <v>60000</v>
      </c>
      <c r="P15" s="30">
        <f t="shared" si="5"/>
        <v>0.067214841036901</v>
      </c>
    </row>
    <row r="16" ht="16.5" spans="1:16">
      <c r="A16" s="6" t="str">
        <f>IF(参数设置!$O$15="","",参数设置!$O$15)</f>
        <v>利息收入</v>
      </c>
      <c r="B16" s="12" t="str">
        <f>IF($A16="","",参数设置!$P$15)</f>
        <v>收入</v>
      </c>
      <c r="C16" s="23">
        <f>IF($A16="","",ROUND(IF($B16="支出",-1,1)*SUMIFS(流水本位,流水类别,$A16,流水日期,"&gt;="&amp;DATE(管理年度,1,1),流水日期,"&lt;="&amp;EOMONTH(DATE(管理年度,1,1),0)),2))</f>
        <v>0</v>
      </c>
      <c r="D16" s="23">
        <f>IF($A16="","",ROUND(IF($B16="支出",-1,1)*SUMIFS(流水本位,流水类别,$A16,流水日期,"&gt;="&amp;DATE(管理年度,2,1),流水日期,"&lt;="&amp;EOMONTH(DATE(管理年度,2,1),0)),2))</f>
        <v>0</v>
      </c>
      <c r="E16" s="23">
        <f>IF($A16="","",ROUND(IF($B16="支出",-1,1)*SUMIFS(流水本位,流水类别,$A16,流水日期,"&gt;="&amp;DATE(管理年度,3,1),流水日期,"&lt;="&amp;EOMONTH(DATE(管理年度,3,1),0)),2))</f>
        <v>0</v>
      </c>
      <c r="F16" s="23">
        <f>IF($A16="","",ROUND(IF($B16="支出",-1,1)*SUMIFS(流水本位,流水类别,$A16,流水日期,"&gt;="&amp;DATE(管理年度,4,1),流水日期,"&lt;="&amp;EOMONTH(DATE(管理年度,4,1),0)),2))</f>
        <v>0</v>
      </c>
      <c r="G16" s="23">
        <f>IF($A16="","",ROUND(IF($B16="支出",-1,1)*SUMIFS(流水本位,流水类别,$A16,流水日期,"&gt;="&amp;DATE(管理年度,5,1),流水日期,"&lt;="&amp;EOMONTH(DATE(管理年度,5,1),0)),2))</f>
        <v>0</v>
      </c>
      <c r="H16" s="23">
        <f>IF($A16="","",ROUND(IF($B16="支出",-1,1)*SUMIFS(流水本位,流水类别,$A16,流水日期,"&gt;="&amp;DATE(管理年度,6,1),流水日期,"&lt;="&amp;EOMONTH(DATE(管理年度,6,1),0)),2))</f>
        <v>0</v>
      </c>
      <c r="I16" s="23">
        <f>IF($A16="","",ROUND(IF($B16="支出",-1,1)*SUMIFS(流水本位,流水类别,$A16,流水日期,"&gt;="&amp;DATE(管理年度,7,1),流水日期,"&lt;="&amp;EOMONTH(DATE(管理年度,7,1),0)),2))</f>
        <v>0</v>
      </c>
      <c r="J16" s="23">
        <f>IF($A16="","",ROUND(IF($B16="支出",-1,1)*SUMIFS(流水本位,流水类别,$A16,流水日期,"&gt;="&amp;DATE(管理年度,8,1),流水日期,"&lt;="&amp;EOMONTH(DATE(管理年度,8,1),0)),2))</f>
        <v>0</v>
      </c>
      <c r="K16" s="23">
        <f>IF($A16="","",ROUND(IF($B16="支出",-1,1)*SUMIFS(流水本位,流水类别,$A16,流水日期,"&gt;="&amp;DATE(管理年度,9,1),流水日期,"&lt;="&amp;EOMONTH(DATE(管理年度,9,1),0)),2))</f>
        <v>0</v>
      </c>
      <c r="L16" s="23">
        <f>IF($A16="","",ROUND(IF($B16="支出",-1,1)*SUMIFS(流水本位,流水类别,$A16,流水日期,"&gt;="&amp;DATE(管理年度,10,1),流水日期,"&lt;="&amp;EOMONTH(DATE(管理年度,10,1),0)),2))</f>
        <v>0</v>
      </c>
      <c r="M16" s="23">
        <f>IF($A16="","",ROUND(IF($B16="支出",-1,1)*SUMIFS(流水本位,流水类别,$A16,流水日期,"&gt;="&amp;DATE(管理年度,11,1),流水日期,"&lt;="&amp;EOMONTH(DATE(管理年度,11,1),0)),2))</f>
        <v>0</v>
      </c>
      <c r="N16" s="23">
        <f>IF($A16="","",ROUND(IF($B16="支出",-1,1)*SUMIFS(流水本位,流水类别,$A16,流水日期,"&gt;="&amp;DATE(管理年度,12,1),流水日期,"&lt;="&amp;EOMONTH(DATE(管理年度,12,1),0)),2))</f>
        <v>0</v>
      </c>
      <c r="O16" s="23">
        <f t="shared" si="4"/>
        <v>0</v>
      </c>
      <c r="P16" s="30">
        <f t="shared" si="5"/>
        <v>0</v>
      </c>
    </row>
    <row r="17" ht="16.5" spans="1:16">
      <c r="A17" s="6" t="str">
        <f>IF(参数设置!$O$16="","",参数设置!$O$16)</f>
        <v>退款收回</v>
      </c>
      <c r="B17" s="12" t="str">
        <f>IF($A17="","",参数设置!$P$16)</f>
        <v>收入</v>
      </c>
      <c r="C17" s="23">
        <f>IF($A17="","",ROUND(IF($B17="支出",-1,1)*SUMIFS(流水本位,流水类别,$A17,流水日期,"&gt;="&amp;DATE(管理年度,1,1),流水日期,"&lt;="&amp;EOMONTH(DATE(管理年度,1,1),0)),2))</f>
        <v>0</v>
      </c>
      <c r="D17" s="23">
        <f>IF($A17="","",ROUND(IF($B17="支出",-1,1)*SUMIFS(流水本位,流水类别,$A17,流水日期,"&gt;="&amp;DATE(管理年度,2,1),流水日期,"&lt;="&amp;EOMONTH(DATE(管理年度,2,1),0)),2))</f>
        <v>0</v>
      </c>
      <c r="E17" s="23">
        <f>IF($A17="","",ROUND(IF($B17="支出",-1,1)*SUMIFS(流水本位,流水类别,$A17,流水日期,"&gt;="&amp;DATE(管理年度,3,1),流水日期,"&lt;="&amp;EOMONTH(DATE(管理年度,3,1),0)),2))</f>
        <v>0</v>
      </c>
      <c r="F17" s="23">
        <f>IF($A17="","",ROUND(IF($B17="支出",-1,1)*SUMIFS(流水本位,流水类别,$A17,流水日期,"&gt;="&amp;DATE(管理年度,4,1),流水日期,"&lt;="&amp;EOMONTH(DATE(管理年度,4,1),0)),2))</f>
        <v>0</v>
      </c>
      <c r="G17" s="23">
        <f>IF($A17="","",ROUND(IF($B17="支出",-1,1)*SUMIFS(流水本位,流水类别,$A17,流水日期,"&gt;="&amp;DATE(管理年度,5,1),流水日期,"&lt;="&amp;EOMONTH(DATE(管理年度,5,1),0)),2))</f>
        <v>0</v>
      </c>
      <c r="H17" s="23">
        <f>IF($A17="","",ROUND(IF($B17="支出",-1,1)*SUMIFS(流水本位,流水类别,$A17,流水日期,"&gt;="&amp;DATE(管理年度,6,1),流水日期,"&lt;="&amp;EOMONTH(DATE(管理年度,6,1),0)),2))</f>
        <v>0</v>
      </c>
      <c r="I17" s="23">
        <f>IF($A17="","",ROUND(IF($B17="支出",-1,1)*SUMIFS(流水本位,流水类别,$A17,流水日期,"&gt;="&amp;DATE(管理年度,7,1),流水日期,"&lt;="&amp;EOMONTH(DATE(管理年度,7,1),0)),2))</f>
        <v>0</v>
      </c>
      <c r="J17" s="23">
        <f>IF($A17="","",ROUND(IF($B17="支出",-1,1)*SUMIFS(流水本位,流水类别,$A17,流水日期,"&gt;="&amp;DATE(管理年度,8,1),流水日期,"&lt;="&amp;EOMONTH(DATE(管理年度,8,1),0)),2))</f>
        <v>0</v>
      </c>
      <c r="K17" s="23">
        <f>IF($A17="","",ROUND(IF($B17="支出",-1,1)*SUMIFS(流水本位,流水类别,$A17,流水日期,"&gt;="&amp;DATE(管理年度,9,1),流水日期,"&lt;="&amp;EOMONTH(DATE(管理年度,9,1),0)),2))</f>
        <v>0</v>
      </c>
      <c r="L17" s="23">
        <f>IF($A17="","",ROUND(IF($B17="支出",-1,1)*SUMIFS(流水本位,流水类别,$A17,流水日期,"&gt;="&amp;DATE(管理年度,10,1),流水日期,"&lt;="&amp;EOMONTH(DATE(管理年度,10,1),0)),2))</f>
        <v>0</v>
      </c>
      <c r="M17" s="23">
        <f>IF($A17="","",ROUND(IF($B17="支出",-1,1)*SUMIFS(流水本位,流水类别,$A17,流水日期,"&gt;="&amp;DATE(管理年度,11,1),流水日期,"&lt;="&amp;EOMONTH(DATE(管理年度,11,1),0)),2))</f>
        <v>0</v>
      </c>
      <c r="N17" s="23">
        <f>IF($A17="","",ROUND(IF($B17="支出",-1,1)*SUMIFS(流水本位,流水类别,$A17,流水日期,"&gt;="&amp;DATE(管理年度,12,1),流水日期,"&lt;="&amp;EOMONTH(DATE(管理年度,12,1),0)),2))</f>
        <v>0</v>
      </c>
      <c r="O17" s="23">
        <f t="shared" si="4"/>
        <v>0</v>
      </c>
      <c r="P17" s="30">
        <f t="shared" si="5"/>
        <v>0</v>
      </c>
    </row>
    <row r="18" ht="16.5" spans="1:16">
      <c r="A18" s="6" t="str">
        <f>IF(参数设置!$O$17="","",参数设置!$O$17)</f>
        <v>采购付款</v>
      </c>
      <c r="B18" s="12" t="str">
        <f>IF($A18="","",参数设置!$P$17)</f>
        <v>支出</v>
      </c>
      <c r="C18" s="23">
        <f>IF($A18="","",ROUND(IF($B18="支出",-1,1)*SUMIFS(流水本位,流水类别,$A18,流水日期,"&gt;="&amp;DATE(管理年度,1,1),流水日期,"&lt;="&amp;EOMONTH(DATE(管理年度,1,1),0)),2))</f>
        <v>0</v>
      </c>
      <c r="D18" s="23">
        <f>IF($A18="","",ROUND(IF($B18="支出",-1,1)*SUMIFS(流水本位,流水类别,$A18,流水日期,"&gt;="&amp;DATE(管理年度,2,1),流水日期,"&lt;="&amp;EOMONTH(DATE(管理年度,2,1),0)),2))</f>
        <v>0</v>
      </c>
      <c r="E18" s="23">
        <f>IF($A18="","",ROUND(IF($B18="支出",-1,1)*SUMIFS(流水本位,流水类别,$A18,流水日期,"&gt;="&amp;DATE(管理年度,3,1),流水日期,"&lt;="&amp;EOMONTH(DATE(管理年度,3,1),0)),2))</f>
        <v>0</v>
      </c>
      <c r="F18" s="23">
        <f>IF($A18="","",ROUND(IF($B18="支出",-1,1)*SUMIFS(流水本位,流水类别,$A18,流水日期,"&gt;="&amp;DATE(管理年度,4,1),流水日期,"&lt;="&amp;EOMONTH(DATE(管理年度,4,1),0)),2))</f>
        <v>0</v>
      </c>
      <c r="G18" s="23">
        <f>IF($A18="","",ROUND(IF($B18="支出",-1,1)*SUMIFS(流水本位,流水类别,$A18,流水日期,"&gt;="&amp;DATE(管理年度,5,1),流水日期,"&lt;="&amp;EOMONTH(DATE(管理年度,5,1),0)),2))</f>
        <v>0</v>
      </c>
      <c r="H18" s="23">
        <f>IF($A18="","",ROUND(IF($B18="支出",-1,1)*SUMIFS(流水本位,流水类别,$A18,流水日期,"&gt;="&amp;DATE(管理年度,6,1),流水日期,"&lt;="&amp;EOMONTH(DATE(管理年度,6,1),0)),2))</f>
        <v>0</v>
      </c>
      <c r="I18" s="23">
        <f>IF($A18="","",ROUND(IF($B18="支出",-1,1)*SUMIFS(流水本位,流水类别,$A18,流水日期,"&gt;="&amp;DATE(管理年度,7,1),流水日期,"&lt;="&amp;EOMONTH(DATE(管理年度,7,1),0)),2))</f>
        <v>0</v>
      </c>
      <c r="J18" s="23">
        <f>IF($A18="","",ROUND(IF($B18="支出",-1,1)*SUMIFS(流水本位,流水类别,$A18,流水日期,"&gt;="&amp;DATE(管理年度,8,1),流水日期,"&lt;="&amp;EOMONTH(DATE(管理年度,8,1),0)),2))</f>
        <v>61420</v>
      </c>
      <c r="K18" s="23">
        <f>IF($A18="","",ROUND(IF($B18="支出",-1,1)*SUMIFS(流水本位,流水类别,$A18,流水日期,"&gt;="&amp;DATE(管理年度,9,1),流水日期,"&lt;="&amp;EOMONTH(DATE(管理年度,9,1),0)),2))</f>
        <v>0</v>
      </c>
      <c r="L18" s="23">
        <f>IF($A18="","",ROUND(IF($B18="支出",-1,1)*SUMIFS(流水本位,流水类别,$A18,流水日期,"&gt;="&amp;DATE(管理年度,10,1),流水日期,"&lt;="&amp;EOMONTH(DATE(管理年度,10,1),0)),2))</f>
        <v>0</v>
      </c>
      <c r="M18" s="23">
        <f>IF($A18="","",ROUND(IF($B18="支出",-1,1)*SUMIFS(流水本位,流水类别,$A18,流水日期,"&gt;="&amp;DATE(管理年度,11,1),流水日期,"&lt;="&amp;EOMONTH(DATE(管理年度,11,1),0)),2))</f>
        <v>0</v>
      </c>
      <c r="N18" s="23">
        <f>IF($A18="","",ROUND(IF($B18="支出",-1,1)*SUMIFS(流水本位,流水类别,$A18,流水日期,"&gt;="&amp;DATE(管理年度,12,1),流水日期,"&lt;="&amp;EOMONTH(DATE(管理年度,12,1),0)),2))</f>
        <v>0</v>
      </c>
      <c r="O18" s="23">
        <f t="shared" si="4"/>
        <v>61420</v>
      </c>
      <c r="P18" s="30">
        <f t="shared" si="5"/>
        <v>0.375152699731248</v>
      </c>
    </row>
    <row r="19" ht="16.5" spans="1:16">
      <c r="A19" s="6" t="str">
        <f>IF(参数设置!$O$18="","",参数设置!$O$18)</f>
        <v>工资</v>
      </c>
      <c r="B19" s="12" t="str">
        <f>IF($A19="","",参数设置!$P$18)</f>
        <v>支出</v>
      </c>
      <c r="C19" s="23">
        <f>IF($A19="","",ROUND(IF($B19="支出",-1,1)*SUMIFS(流水本位,流水类别,$A19,流水日期,"&gt;="&amp;DATE(管理年度,1,1),流水日期,"&lt;="&amp;EOMONTH(DATE(管理年度,1,1),0)),2))</f>
        <v>0</v>
      </c>
      <c r="D19" s="23">
        <f>IF($A19="","",ROUND(IF($B19="支出",-1,1)*SUMIFS(流水本位,流水类别,$A19,流水日期,"&gt;="&amp;DATE(管理年度,2,1),流水日期,"&lt;="&amp;EOMONTH(DATE(管理年度,2,1),0)),2))</f>
        <v>0</v>
      </c>
      <c r="E19" s="23">
        <f>IF($A19="","",ROUND(IF($B19="支出",-1,1)*SUMIFS(流水本位,流水类别,$A19,流水日期,"&gt;="&amp;DATE(管理年度,3,1),流水日期,"&lt;="&amp;EOMONTH(DATE(管理年度,3,1),0)),2))</f>
        <v>0</v>
      </c>
      <c r="F19" s="23">
        <f>IF($A19="","",ROUND(IF($B19="支出",-1,1)*SUMIFS(流水本位,流水类别,$A19,流水日期,"&gt;="&amp;DATE(管理年度,4,1),流水日期,"&lt;="&amp;EOMONTH(DATE(管理年度,4,1),0)),2))</f>
        <v>0</v>
      </c>
      <c r="G19" s="23">
        <f>IF($A19="","",ROUND(IF($B19="支出",-1,1)*SUMIFS(流水本位,流水类别,$A19,流水日期,"&gt;="&amp;DATE(管理年度,5,1),流水日期,"&lt;="&amp;EOMONTH(DATE(管理年度,5,1),0)),2))</f>
        <v>0</v>
      </c>
      <c r="H19" s="23">
        <f>IF($A19="","",ROUND(IF($B19="支出",-1,1)*SUMIFS(流水本位,流水类别,$A19,流水日期,"&gt;="&amp;DATE(管理年度,6,1),流水日期,"&lt;="&amp;EOMONTH(DATE(管理年度,6,1),0)),2))</f>
        <v>0</v>
      </c>
      <c r="I19" s="23">
        <f>IF($A19="","",ROUND(IF($B19="支出",-1,1)*SUMIFS(流水本位,流水类别,$A19,流水日期,"&gt;="&amp;DATE(管理年度,7,1),流水日期,"&lt;="&amp;EOMONTH(DATE(管理年度,7,1),0)),2))</f>
        <v>0</v>
      </c>
      <c r="J19" s="23">
        <f>IF($A19="","",ROUND(IF($B19="支出",-1,1)*SUMIFS(流水本位,流水类别,$A19,流水日期,"&gt;="&amp;DATE(管理年度,8,1),流水日期,"&lt;="&amp;EOMONTH(DATE(管理年度,8,1),0)),2))</f>
        <v>30000</v>
      </c>
      <c r="K19" s="23">
        <f>IF($A19="","",ROUND(IF($B19="支出",-1,1)*SUMIFS(流水本位,流水类别,$A19,流水日期,"&gt;="&amp;DATE(管理年度,9,1),流水日期,"&lt;="&amp;EOMONTH(DATE(管理年度,9,1),0)),2))</f>
        <v>0</v>
      </c>
      <c r="L19" s="23">
        <f>IF($A19="","",ROUND(IF($B19="支出",-1,1)*SUMIFS(流水本位,流水类别,$A19,流水日期,"&gt;="&amp;DATE(管理年度,10,1),流水日期,"&lt;="&amp;EOMONTH(DATE(管理年度,10,1),0)),2))</f>
        <v>0</v>
      </c>
      <c r="M19" s="23">
        <f>IF($A19="","",ROUND(IF($B19="支出",-1,1)*SUMIFS(流水本位,流水类别,$A19,流水日期,"&gt;="&amp;DATE(管理年度,11,1),流水日期,"&lt;="&amp;EOMONTH(DATE(管理年度,11,1),0)),2))</f>
        <v>0</v>
      </c>
      <c r="N19" s="23">
        <f>IF($A19="","",ROUND(IF($B19="支出",-1,1)*SUMIFS(流水本位,流水类别,$A19,流水日期,"&gt;="&amp;DATE(管理年度,12,1),流水日期,"&lt;="&amp;EOMONTH(DATE(管理年度,12,1),0)),2))</f>
        <v>0</v>
      </c>
      <c r="O19" s="23">
        <f t="shared" si="4"/>
        <v>30000</v>
      </c>
      <c r="P19" s="30">
        <f t="shared" si="5"/>
        <v>0.183239677498168</v>
      </c>
    </row>
    <row r="20" ht="16.5" spans="1:16">
      <c r="A20" s="6" t="str">
        <f>IF(参数设置!$O$19="","",参数设置!$O$19)</f>
        <v>运营费用</v>
      </c>
      <c r="B20" s="12" t="str">
        <f>IF($A20="","",参数设置!$P$19)</f>
        <v>支出</v>
      </c>
      <c r="C20" s="23">
        <f>IF($A20="","",ROUND(IF($B20="支出",-1,1)*SUMIFS(流水本位,流水类别,$A20,流水日期,"&gt;="&amp;DATE(管理年度,1,1),流水日期,"&lt;="&amp;EOMONTH(DATE(管理年度,1,1),0)),2))</f>
        <v>0</v>
      </c>
      <c r="D20" s="23">
        <f>IF($A20="","",ROUND(IF($B20="支出",-1,1)*SUMIFS(流水本位,流水类别,$A20,流水日期,"&gt;="&amp;DATE(管理年度,2,1),流水日期,"&lt;="&amp;EOMONTH(DATE(管理年度,2,1),0)),2))</f>
        <v>0</v>
      </c>
      <c r="E20" s="23">
        <f>IF($A20="","",ROUND(IF($B20="支出",-1,1)*SUMIFS(流水本位,流水类别,$A20,流水日期,"&gt;="&amp;DATE(管理年度,3,1),流水日期,"&lt;="&amp;EOMONTH(DATE(管理年度,3,1),0)),2))</f>
        <v>0</v>
      </c>
      <c r="F20" s="23">
        <f>IF($A20="","",ROUND(IF($B20="支出",-1,1)*SUMIFS(流水本位,流水类别,$A20,流水日期,"&gt;="&amp;DATE(管理年度,4,1),流水日期,"&lt;="&amp;EOMONTH(DATE(管理年度,4,1),0)),2))</f>
        <v>0</v>
      </c>
      <c r="G20" s="23">
        <f>IF($A20="","",ROUND(IF($B20="支出",-1,1)*SUMIFS(流水本位,流水类别,$A20,流水日期,"&gt;="&amp;DATE(管理年度,5,1),流水日期,"&lt;="&amp;EOMONTH(DATE(管理年度,5,1),0)),2))</f>
        <v>0</v>
      </c>
      <c r="H20" s="23">
        <f>IF($A20="","",ROUND(IF($B20="支出",-1,1)*SUMIFS(流水本位,流水类别,$A20,流水日期,"&gt;="&amp;DATE(管理年度,6,1),流水日期,"&lt;="&amp;EOMONTH(DATE(管理年度,6,1),0)),2))</f>
        <v>0</v>
      </c>
      <c r="I20" s="23">
        <f>IF($A20="","",ROUND(IF($B20="支出",-1,1)*SUMIFS(流水本位,流水类别,$A20,流水日期,"&gt;="&amp;DATE(管理年度,7,1),流水日期,"&lt;="&amp;EOMONTH(DATE(管理年度,7,1),0)),2))</f>
        <v>0</v>
      </c>
      <c r="J20" s="23">
        <f>IF($A20="","",ROUND(IF($B20="支出",-1,1)*SUMIFS(流水本位,流水类别,$A20,流水日期,"&gt;="&amp;DATE(管理年度,8,1),流水日期,"&lt;="&amp;EOMONTH(DATE(管理年度,8,1),0)),2))</f>
        <v>54300</v>
      </c>
      <c r="K20" s="23">
        <f>IF($A20="","",ROUND(IF($B20="支出",-1,1)*SUMIFS(流水本位,流水类别,$A20,流水日期,"&gt;="&amp;DATE(管理年度,9,1),流水日期,"&lt;="&amp;EOMONTH(DATE(管理年度,9,1),0)),2))</f>
        <v>0</v>
      </c>
      <c r="L20" s="23">
        <f>IF($A20="","",ROUND(IF($B20="支出",-1,1)*SUMIFS(流水本位,流水类别,$A20,流水日期,"&gt;="&amp;DATE(管理年度,10,1),流水日期,"&lt;="&amp;EOMONTH(DATE(管理年度,10,1),0)),2))</f>
        <v>0</v>
      </c>
      <c r="M20" s="23">
        <f>IF($A20="","",ROUND(IF($B20="支出",-1,1)*SUMIFS(流水本位,流水类别,$A20,流水日期,"&gt;="&amp;DATE(管理年度,11,1),流水日期,"&lt;="&amp;EOMONTH(DATE(管理年度,11,1),0)),2))</f>
        <v>0</v>
      </c>
      <c r="N20" s="23">
        <f>IF($A20="","",ROUND(IF($B20="支出",-1,1)*SUMIFS(流水本位,流水类别,$A20,流水日期,"&gt;="&amp;DATE(管理年度,12,1),流水日期,"&lt;="&amp;EOMONTH(DATE(管理年度,12,1),0)),2))</f>
        <v>0</v>
      </c>
      <c r="O20" s="23">
        <f t="shared" si="4"/>
        <v>54300</v>
      </c>
      <c r="P20" s="30">
        <f t="shared" si="5"/>
        <v>0.331663816271683</v>
      </c>
    </row>
    <row r="21" ht="16.5" spans="1:16">
      <c r="A21" s="6" t="str">
        <f>IF(参数设置!$O$20="","",参数设置!$O$20)</f>
        <v>税费</v>
      </c>
      <c r="B21" s="12" t="str">
        <f>IF($A21="","",参数设置!$P$20)</f>
        <v>支出</v>
      </c>
      <c r="C21" s="23">
        <f>IF($A21="","",ROUND(IF($B21="支出",-1,1)*SUMIFS(流水本位,流水类别,$A21,流水日期,"&gt;="&amp;DATE(管理年度,1,1),流水日期,"&lt;="&amp;EOMONTH(DATE(管理年度,1,1),0)),2))</f>
        <v>0</v>
      </c>
      <c r="D21" s="23">
        <f>IF($A21="","",ROUND(IF($B21="支出",-1,1)*SUMIFS(流水本位,流水类别,$A21,流水日期,"&gt;="&amp;DATE(管理年度,2,1),流水日期,"&lt;="&amp;EOMONTH(DATE(管理年度,2,1),0)),2))</f>
        <v>0</v>
      </c>
      <c r="E21" s="23">
        <f>IF($A21="","",ROUND(IF($B21="支出",-1,1)*SUMIFS(流水本位,流水类别,$A21,流水日期,"&gt;="&amp;DATE(管理年度,3,1),流水日期,"&lt;="&amp;EOMONTH(DATE(管理年度,3,1),0)),2))</f>
        <v>0</v>
      </c>
      <c r="F21" s="23">
        <f>IF($A21="","",ROUND(IF($B21="支出",-1,1)*SUMIFS(流水本位,流水类别,$A21,流水日期,"&gt;="&amp;DATE(管理年度,4,1),流水日期,"&lt;="&amp;EOMONTH(DATE(管理年度,4,1),0)),2))</f>
        <v>0</v>
      </c>
      <c r="G21" s="23">
        <f>IF($A21="","",ROUND(IF($B21="支出",-1,1)*SUMIFS(流水本位,流水类别,$A21,流水日期,"&gt;="&amp;DATE(管理年度,5,1),流水日期,"&lt;="&amp;EOMONTH(DATE(管理年度,5,1),0)),2))</f>
        <v>0</v>
      </c>
      <c r="H21" s="23">
        <f>IF($A21="","",ROUND(IF($B21="支出",-1,1)*SUMIFS(流水本位,流水类别,$A21,流水日期,"&gt;="&amp;DATE(管理年度,6,1),流水日期,"&lt;="&amp;EOMONTH(DATE(管理年度,6,1),0)),2))</f>
        <v>0</v>
      </c>
      <c r="I21" s="23">
        <f>IF($A21="","",ROUND(IF($B21="支出",-1,1)*SUMIFS(流水本位,流水类别,$A21,流水日期,"&gt;="&amp;DATE(管理年度,7,1),流水日期,"&lt;="&amp;EOMONTH(DATE(管理年度,7,1),0)),2))</f>
        <v>0</v>
      </c>
      <c r="J21" s="23">
        <f>IF($A21="","",ROUND(IF($B21="支出",-1,1)*SUMIFS(流水本位,流水类别,$A21,流水日期,"&gt;="&amp;DATE(管理年度,8,1),流水日期,"&lt;="&amp;EOMONTH(DATE(管理年度,8,1),0)),2))</f>
        <v>18000</v>
      </c>
      <c r="K21" s="23">
        <f>IF($A21="","",ROUND(IF($B21="支出",-1,1)*SUMIFS(流水本位,流水类别,$A21,流水日期,"&gt;="&amp;DATE(管理年度,9,1),流水日期,"&lt;="&amp;EOMONTH(DATE(管理年度,9,1),0)),2))</f>
        <v>0</v>
      </c>
      <c r="L21" s="23">
        <f>IF($A21="","",ROUND(IF($B21="支出",-1,1)*SUMIFS(流水本位,流水类别,$A21,流水日期,"&gt;="&amp;DATE(管理年度,10,1),流水日期,"&lt;="&amp;EOMONTH(DATE(管理年度,10,1),0)),2))</f>
        <v>0</v>
      </c>
      <c r="M21" s="23">
        <f>IF($A21="","",ROUND(IF($B21="支出",-1,1)*SUMIFS(流水本位,流水类别,$A21,流水日期,"&gt;="&amp;DATE(管理年度,11,1),流水日期,"&lt;="&amp;EOMONTH(DATE(管理年度,11,1),0)),2))</f>
        <v>0</v>
      </c>
      <c r="N21" s="23">
        <f>IF($A21="","",ROUND(IF($B21="支出",-1,1)*SUMIFS(流水本位,流水类别,$A21,流水日期,"&gt;="&amp;DATE(管理年度,12,1),流水日期,"&lt;="&amp;EOMONTH(DATE(管理年度,12,1),0)),2))</f>
        <v>0</v>
      </c>
      <c r="O21" s="23">
        <f t="shared" si="4"/>
        <v>18000</v>
      </c>
      <c r="P21" s="30">
        <f t="shared" si="5"/>
        <v>0.109943806498901</v>
      </c>
    </row>
    <row r="22" ht="16.5" spans="1:16">
      <c r="A22" s="6" t="str">
        <f>IF(参数设置!$O$21="","",参数设置!$O$21)</f>
        <v>手续费</v>
      </c>
      <c r="B22" s="12" t="str">
        <f>IF($A22="","",参数设置!$P$21)</f>
        <v>支出</v>
      </c>
      <c r="C22" s="23">
        <f>IF($A22="","",ROUND(IF($B22="支出",-1,1)*SUMIFS(流水本位,流水类别,$A22,流水日期,"&gt;="&amp;DATE(管理年度,1,1),流水日期,"&lt;="&amp;EOMONTH(DATE(管理年度,1,1),0)),2))</f>
        <v>0</v>
      </c>
      <c r="D22" s="23">
        <f>IF($A22="","",ROUND(IF($B22="支出",-1,1)*SUMIFS(流水本位,流水类别,$A22,流水日期,"&gt;="&amp;DATE(管理年度,2,1),流水日期,"&lt;="&amp;EOMONTH(DATE(管理年度,2,1),0)),2))</f>
        <v>0</v>
      </c>
      <c r="E22" s="23">
        <f>IF($A22="","",ROUND(IF($B22="支出",-1,1)*SUMIFS(流水本位,流水类别,$A22,流水日期,"&gt;="&amp;DATE(管理年度,3,1),流水日期,"&lt;="&amp;EOMONTH(DATE(管理年度,3,1),0)),2))</f>
        <v>0</v>
      </c>
      <c r="F22" s="23">
        <f>IF($A22="","",ROUND(IF($B22="支出",-1,1)*SUMIFS(流水本位,流水类别,$A22,流水日期,"&gt;="&amp;DATE(管理年度,4,1),流水日期,"&lt;="&amp;EOMONTH(DATE(管理年度,4,1),0)),2))</f>
        <v>0</v>
      </c>
      <c r="G22" s="23">
        <f>IF($A22="","",ROUND(IF($B22="支出",-1,1)*SUMIFS(流水本位,流水类别,$A22,流水日期,"&gt;="&amp;DATE(管理年度,5,1),流水日期,"&lt;="&amp;EOMONTH(DATE(管理年度,5,1),0)),2))</f>
        <v>0</v>
      </c>
      <c r="H22" s="23">
        <f>IF($A22="","",ROUND(IF($B22="支出",-1,1)*SUMIFS(流水本位,流水类别,$A22,流水日期,"&gt;="&amp;DATE(管理年度,6,1),流水日期,"&lt;="&amp;EOMONTH(DATE(管理年度,6,1),0)),2))</f>
        <v>0</v>
      </c>
      <c r="I22" s="23">
        <f>IF($A22="","",ROUND(IF($B22="支出",-1,1)*SUMIFS(流水本位,流水类别,$A22,流水日期,"&gt;="&amp;DATE(管理年度,7,1),流水日期,"&lt;="&amp;EOMONTH(DATE(管理年度,7,1),0)),2))</f>
        <v>0</v>
      </c>
      <c r="J22" s="23">
        <f>IF($A22="","",ROUND(IF($B22="支出",-1,1)*SUMIFS(流水本位,流水类别,$A22,流水日期,"&gt;="&amp;DATE(管理年度,8,1),流水日期,"&lt;="&amp;EOMONTH(DATE(管理年度,8,1),0)),2))</f>
        <v>0</v>
      </c>
      <c r="K22" s="23">
        <f>IF($A22="","",ROUND(IF($B22="支出",-1,1)*SUMIFS(流水本位,流水类别,$A22,流水日期,"&gt;="&amp;DATE(管理年度,9,1),流水日期,"&lt;="&amp;EOMONTH(DATE(管理年度,9,1),0)),2))</f>
        <v>0</v>
      </c>
      <c r="L22" s="23">
        <f>IF($A22="","",ROUND(IF($B22="支出",-1,1)*SUMIFS(流水本位,流水类别,$A22,流水日期,"&gt;="&amp;DATE(管理年度,10,1),流水日期,"&lt;="&amp;EOMONTH(DATE(管理年度,10,1),0)),2))</f>
        <v>0</v>
      </c>
      <c r="M22" s="23">
        <f>IF($A22="","",ROUND(IF($B22="支出",-1,1)*SUMIFS(流水本位,流水类别,$A22,流水日期,"&gt;="&amp;DATE(管理年度,11,1),流水日期,"&lt;="&amp;EOMONTH(DATE(管理年度,11,1),0)),2))</f>
        <v>0</v>
      </c>
      <c r="N22" s="23">
        <f>IF($A22="","",ROUND(IF($B22="支出",-1,1)*SUMIFS(流水本位,流水类别,$A22,流水日期,"&gt;="&amp;DATE(管理年度,12,1),流水日期,"&lt;="&amp;EOMONTH(DATE(管理年度,12,1),0)),2))</f>
        <v>0</v>
      </c>
      <c r="O22" s="23">
        <f t="shared" si="4"/>
        <v>0</v>
      </c>
      <c r="P22" s="30">
        <f t="shared" si="5"/>
        <v>0</v>
      </c>
    </row>
    <row r="23" ht="16.5" spans="1:16">
      <c r="A23" s="6" t="str">
        <f>IF(参数设置!$O$22="","",参数设置!$O$22)</f>
        <v>利息支出</v>
      </c>
      <c r="B23" s="12" t="str">
        <f>IF($A23="","",参数设置!$P$22)</f>
        <v>支出</v>
      </c>
      <c r="C23" s="23">
        <f>IF($A23="","",ROUND(IF($B23="支出",-1,1)*SUMIFS(流水本位,流水类别,$A23,流水日期,"&gt;="&amp;DATE(管理年度,1,1),流水日期,"&lt;="&amp;EOMONTH(DATE(管理年度,1,1),0)),2))</f>
        <v>0</v>
      </c>
      <c r="D23" s="23">
        <f>IF($A23="","",ROUND(IF($B23="支出",-1,1)*SUMIFS(流水本位,流水类别,$A23,流水日期,"&gt;="&amp;DATE(管理年度,2,1),流水日期,"&lt;="&amp;EOMONTH(DATE(管理年度,2,1),0)),2))</f>
        <v>0</v>
      </c>
      <c r="E23" s="23">
        <f>IF($A23="","",ROUND(IF($B23="支出",-1,1)*SUMIFS(流水本位,流水类别,$A23,流水日期,"&gt;="&amp;DATE(管理年度,3,1),流水日期,"&lt;="&amp;EOMONTH(DATE(管理年度,3,1),0)),2))</f>
        <v>0</v>
      </c>
      <c r="F23" s="23">
        <f>IF($A23="","",ROUND(IF($B23="支出",-1,1)*SUMIFS(流水本位,流水类别,$A23,流水日期,"&gt;="&amp;DATE(管理年度,4,1),流水日期,"&lt;="&amp;EOMONTH(DATE(管理年度,4,1),0)),2))</f>
        <v>0</v>
      </c>
      <c r="G23" s="23">
        <f>IF($A23="","",ROUND(IF($B23="支出",-1,1)*SUMIFS(流水本位,流水类别,$A23,流水日期,"&gt;="&amp;DATE(管理年度,5,1),流水日期,"&lt;="&amp;EOMONTH(DATE(管理年度,5,1),0)),2))</f>
        <v>0</v>
      </c>
      <c r="H23" s="23">
        <f>IF($A23="","",ROUND(IF($B23="支出",-1,1)*SUMIFS(流水本位,流水类别,$A23,流水日期,"&gt;="&amp;DATE(管理年度,6,1),流水日期,"&lt;="&amp;EOMONTH(DATE(管理年度,6,1),0)),2))</f>
        <v>0</v>
      </c>
      <c r="I23" s="23">
        <f>IF($A23="","",ROUND(IF($B23="支出",-1,1)*SUMIFS(流水本位,流水类别,$A23,流水日期,"&gt;="&amp;DATE(管理年度,7,1),流水日期,"&lt;="&amp;EOMONTH(DATE(管理年度,7,1),0)),2))</f>
        <v>0</v>
      </c>
      <c r="J23" s="23">
        <f>IF($A23="","",ROUND(IF($B23="支出",-1,1)*SUMIFS(流水本位,流水类别,$A23,流水日期,"&gt;="&amp;DATE(管理年度,8,1),流水日期,"&lt;="&amp;EOMONTH(DATE(管理年度,8,1),0)),2))</f>
        <v>0</v>
      </c>
      <c r="K23" s="23">
        <f>IF($A23="","",ROUND(IF($B23="支出",-1,1)*SUMIFS(流水本位,流水类别,$A23,流水日期,"&gt;="&amp;DATE(管理年度,9,1),流水日期,"&lt;="&amp;EOMONTH(DATE(管理年度,9,1),0)),2))</f>
        <v>0</v>
      </c>
      <c r="L23" s="23">
        <f>IF($A23="","",ROUND(IF($B23="支出",-1,1)*SUMIFS(流水本位,流水类别,$A23,流水日期,"&gt;="&amp;DATE(管理年度,10,1),流水日期,"&lt;="&amp;EOMONTH(DATE(管理年度,10,1),0)),2))</f>
        <v>0</v>
      </c>
      <c r="M23" s="23">
        <f>IF($A23="","",ROUND(IF($B23="支出",-1,1)*SUMIFS(流水本位,流水类别,$A23,流水日期,"&gt;="&amp;DATE(管理年度,11,1),流水日期,"&lt;="&amp;EOMONTH(DATE(管理年度,11,1),0)),2))</f>
        <v>0</v>
      </c>
      <c r="N23" s="23">
        <f>IF($A23="","",ROUND(IF($B23="支出",-1,1)*SUMIFS(流水本位,流水类别,$A23,流水日期,"&gt;="&amp;DATE(管理年度,12,1),流水日期,"&lt;="&amp;EOMONTH(DATE(管理年度,12,1),0)),2))</f>
        <v>0</v>
      </c>
      <c r="O23" s="23">
        <f t="shared" si="4"/>
        <v>0</v>
      </c>
      <c r="P23" s="30">
        <f t="shared" si="5"/>
        <v>0</v>
      </c>
    </row>
    <row r="24" ht="16.5" spans="1:16">
      <c r="A24" s="6" t="str">
        <f>IF(参数设置!$O$23="","",参数设置!$O$23)</f>
        <v>还款</v>
      </c>
      <c r="B24" s="12" t="str">
        <f>IF($A24="","",参数设置!$P$23)</f>
        <v>支出</v>
      </c>
      <c r="C24" s="23">
        <f>IF($A24="","",ROUND(IF($B24="支出",-1,1)*SUMIFS(流水本位,流水类别,$A24,流水日期,"&gt;="&amp;DATE(管理年度,1,1),流水日期,"&lt;="&amp;EOMONTH(DATE(管理年度,1,1),0)),2))</f>
        <v>0</v>
      </c>
      <c r="D24" s="23">
        <f>IF($A24="","",ROUND(IF($B24="支出",-1,1)*SUMIFS(流水本位,流水类别,$A24,流水日期,"&gt;="&amp;DATE(管理年度,2,1),流水日期,"&lt;="&amp;EOMONTH(DATE(管理年度,2,1),0)),2))</f>
        <v>0</v>
      </c>
      <c r="E24" s="23">
        <f>IF($A24="","",ROUND(IF($B24="支出",-1,1)*SUMIFS(流水本位,流水类别,$A24,流水日期,"&gt;="&amp;DATE(管理年度,3,1),流水日期,"&lt;="&amp;EOMONTH(DATE(管理年度,3,1),0)),2))</f>
        <v>0</v>
      </c>
      <c r="F24" s="23">
        <f>IF($A24="","",ROUND(IF($B24="支出",-1,1)*SUMIFS(流水本位,流水类别,$A24,流水日期,"&gt;="&amp;DATE(管理年度,4,1),流水日期,"&lt;="&amp;EOMONTH(DATE(管理年度,4,1),0)),2))</f>
        <v>0</v>
      </c>
      <c r="G24" s="23">
        <f>IF($A24="","",ROUND(IF($B24="支出",-1,1)*SUMIFS(流水本位,流水类别,$A24,流水日期,"&gt;="&amp;DATE(管理年度,5,1),流水日期,"&lt;="&amp;EOMONTH(DATE(管理年度,5,1),0)),2))</f>
        <v>0</v>
      </c>
      <c r="H24" s="23">
        <f>IF($A24="","",ROUND(IF($B24="支出",-1,1)*SUMIFS(流水本位,流水类别,$A24,流水日期,"&gt;="&amp;DATE(管理年度,6,1),流水日期,"&lt;="&amp;EOMONTH(DATE(管理年度,6,1),0)),2))</f>
        <v>0</v>
      </c>
      <c r="I24" s="23">
        <f>IF($A24="","",ROUND(IF($B24="支出",-1,1)*SUMIFS(流水本位,流水类别,$A24,流水日期,"&gt;="&amp;DATE(管理年度,7,1),流水日期,"&lt;="&amp;EOMONTH(DATE(管理年度,7,1),0)),2))</f>
        <v>0</v>
      </c>
      <c r="J24" s="23">
        <f>IF($A24="","",ROUND(IF($B24="支出",-1,1)*SUMIFS(流水本位,流水类别,$A24,流水日期,"&gt;="&amp;DATE(管理年度,8,1),流水日期,"&lt;="&amp;EOMONTH(DATE(管理年度,8,1),0)),2))</f>
        <v>0</v>
      </c>
      <c r="K24" s="23">
        <f>IF($A24="","",ROUND(IF($B24="支出",-1,1)*SUMIFS(流水本位,流水类别,$A24,流水日期,"&gt;="&amp;DATE(管理年度,9,1),流水日期,"&lt;="&amp;EOMONTH(DATE(管理年度,9,1),0)),2))</f>
        <v>0</v>
      </c>
      <c r="L24" s="23">
        <f>IF($A24="","",ROUND(IF($B24="支出",-1,1)*SUMIFS(流水本位,流水类别,$A24,流水日期,"&gt;="&amp;DATE(管理年度,10,1),流水日期,"&lt;="&amp;EOMONTH(DATE(管理年度,10,1),0)),2))</f>
        <v>0</v>
      </c>
      <c r="M24" s="23">
        <f>IF($A24="","",ROUND(IF($B24="支出",-1,1)*SUMIFS(流水本位,流水类别,$A24,流水日期,"&gt;="&amp;DATE(管理年度,11,1),流水日期,"&lt;="&amp;EOMONTH(DATE(管理年度,11,1),0)),2))</f>
        <v>0</v>
      </c>
      <c r="N24" s="23">
        <f>IF($A24="","",ROUND(IF($B24="支出",-1,1)*SUMIFS(流水本位,流水类别,$A24,流水日期,"&gt;="&amp;DATE(管理年度,12,1),流水日期,"&lt;="&amp;EOMONTH(DATE(管理年度,12,1),0)),2))</f>
        <v>0</v>
      </c>
      <c r="O24" s="23">
        <f t="shared" si="4"/>
        <v>0</v>
      </c>
      <c r="P24" s="30">
        <f t="shared" si="5"/>
        <v>0</v>
      </c>
    </row>
    <row r="25" ht="16.5" spans="1:16">
      <c r="A25" s="6" t="str">
        <f>IF(参数设置!$O$24="","",参数设置!$O$24)</f>
        <v>资产购买</v>
      </c>
      <c r="B25" s="12" t="str">
        <f>IF($A25="","",参数设置!$P$24)</f>
        <v>支出</v>
      </c>
      <c r="C25" s="23">
        <f>IF($A25="","",ROUND(IF($B25="支出",-1,1)*SUMIFS(流水本位,流水类别,$A25,流水日期,"&gt;="&amp;DATE(管理年度,1,1),流水日期,"&lt;="&amp;EOMONTH(DATE(管理年度,1,1),0)),2))</f>
        <v>0</v>
      </c>
      <c r="D25" s="23">
        <f>IF($A25="","",ROUND(IF($B25="支出",-1,1)*SUMIFS(流水本位,流水类别,$A25,流水日期,"&gt;="&amp;DATE(管理年度,2,1),流水日期,"&lt;="&amp;EOMONTH(DATE(管理年度,2,1),0)),2))</f>
        <v>0</v>
      </c>
      <c r="E25" s="23">
        <f>IF($A25="","",ROUND(IF($B25="支出",-1,1)*SUMIFS(流水本位,流水类别,$A25,流水日期,"&gt;="&amp;DATE(管理年度,3,1),流水日期,"&lt;="&amp;EOMONTH(DATE(管理年度,3,1),0)),2))</f>
        <v>0</v>
      </c>
      <c r="F25" s="23">
        <f>IF($A25="","",ROUND(IF($B25="支出",-1,1)*SUMIFS(流水本位,流水类别,$A25,流水日期,"&gt;="&amp;DATE(管理年度,4,1),流水日期,"&lt;="&amp;EOMONTH(DATE(管理年度,4,1),0)),2))</f>
        <v>0</v>
      </c>
      <c r="G25" s="23">
        <f>IF($A25="","",ROUND(IF($B25="支出",-1,1)*SUMIFS(流水本位,流水类别,$A25,流水日期,"&gt;="&amp;DATE(管理年度,5,1),流水日期,"&lt;="&amp;EOMONTH(DATE(管理年度,5,1),0)),2))</f>
        <v>0</v>
      </c>
      <c r="H25" s="23">
        <f>IF($A25="","",ROUND(IF($B25="支出",-1,1)*SUMIFS(流水本位,流水类别,$A25,流水日期,"&gt;="&amp;DATE(管理年度,6,1),流水日期,"&lt;="&amp;EOMONTH(DATE(管理年度,6,1),0)),2))</f>
        <v>0</v>
      </c>
      <c r="I25" s="23">
        <f>IF($A25="","",ROUND(IF($B25="支出",-1,1)*SUMIFS(流水本位,流水类别,$A25,流水日期,"&gt;="&amp;DATE(管理年度,7,1),流水日期,"&lt;="&amp;EOMONTH(DATE(管理年度,7,1),0)),2))</f>
        <v>0</v>
      </c>
      <c r="J25" s="23">
        <f>IF($A25="","",ROUND(IF($B25="支出",-1,1)*SUMIFS(流水本位,流水类别,$A25,流水日期,"&gt;="&amp;DATE(管理年度,8,1),流水日期,"&lt;="&amp;EOMONTH(DATE(管理年度,8,1),0)),2))</f>
        <v>0</v>
      </c>
      <c r="K25" s="23">
        <f>IF($A25="","",ROUND(IF($B25="支出",-1,1)*SUMIFS(流水本位,流水类别,$A25,流水日期,"&gt;="&amp;DATE(管理年度,9,1),流水日期,"&lt;="&amp;EOMONTH(DATE(管理年度,9,1),0)),2))</f>
        <v>0</v>
      </c>
      <c r="L25" s="23">
        <f>IF($A25="","",ROUND(IF($B25="支出",-1,1)*SUMIFS(流水本位,流水类别,$A25,流水日期,"&gt;="&amp;DATE(管理年度,10,1),流水日期,"&lt;="&amp;EOMONTH(DATE(管理年度,10,1),0)),2))</f>
        <v>0</v>
      </c>
      <c r="M25" s="23">
        <f>IF($A25="","",ROUND(IF($B25="支出",-1,1)*SUMIFS(流水本位,流水类别,$A25,流水日期,"&gt;="&amp;DATE(管理年度,11,1),流水日期,"&lt;="&amp;EOMONTH(DATE(管理年度,11,1),0)),2))</f>
        <v>0</v>
      </c>
      <c r="N25" s="23">
        <f>IF($A25="","",ROUND(IF($B25="支出",-1,1)*SUMIFS(流水本位,流水类别,$A25,流水日期,"&gt;="&amp;DATE(管理年度,12,1),流水日期,"&lt;="&amp;EOMONTH(DATE(管理年度,12,1),0)),2))</f>
        <v>0</v>
      </c>
      <c r="O25" s="23">
        <f t="shared" si="4"/>
        <v>0</v>
      </c>
      <c r="P25" s="30">
        <f t="shared" si="5"/>
        <v>0</v>
      </c>
    </row>
    <row r="26" ht="16.5" spans="1:16">
      <c r="A26" s="6" t="str">
        <f>IF(参数设置!$O$25="","",参数设置!$O$25)</f>
        <v>股利分配</v>
      </c>
      <c r="B26" s="12" t="str">
        <f>IF($A26="","",参数设置!$P$25)</f>
        <v>支出</v>
      </c>
      <c r="C26" s="23">
        <f>IF($A26="","",ROUND(IF($B26="支出",-1,1)*SUMIFS(流水本位,流水类别,$A26,流水日期,"&gt;="&amp;DATE(管理年度,1,1),流水日期,"&lt;="&amp;EOMONTH(DATE(管理年度,1,1),0)),2))</f>
        <v>0</v>
      </c>
      <c r="D26" s="23">
        <f>IF($A26="","",ROUND(IF($B26="支出",-1,1)*SUMIFS(流水本位,流水类别,$A26,流水日期,"&gt;="&amp;DATE(管理年度,2,1),流水日期,"&lt;="&amp;EOMONTH(DATE(管理年度,2,1),0)),2))</f>
        <v>0</v>
      </c>
      <c r="E26" s="23">
        <f>IF($A26="","",ROUND(IF($B26="支出",-1,1)*SUMIFS(流水本位,流水类别,$A26,流水日期,"&gt;="&amp;DATE(管理年度,3,1),流水日期,"&lt;="&amp;EOMONTH(DATE(管理年度,3,1),0)),2))</f>
        <v>0</v>
      </c>
      <c r="F26" s="23">
        <f>IF($A26="","",ROUND(IF($B26="支出",-1,1)*SUMIFS(流水本位,流水类别,$A26,流水日期,"&gt;="&amp;DATE(管理年度,4,1),流水日期,"&lt;="&amp;EOMONTH(DATE(管理年度,4,1),0)),2))</f>
        <v>0</v>
      </c>
      <c r="G26" s="23">
        <f>IF($A26="","",ROUND(IF($B26="支出",-1,1)*SUMIFS(流水本位,流水类别,$A26,流水日期,"&gt;="&amp;DATE(管理年度,5,1),流水日期,"&lt;="&amp;EOMONTH(DATE(管理年度,5,1),0)),2))</f>
        <v>0</v>
      </c>
      <c r="H26" s="23">
        <f>IF($A26="","",ROUND(IF($B26="支出",-1,1)*SUMIFS(流水本位,流水类别,$A26,流水日期,"&gt;="&amp;DATE(管理年度,6,1),流水日期,"&lt;="&amp;EOMONTH(DATE(管理年度,6,1),0)),2))</f>
        <v>0</v>
      </c>
      <c r="I26" s="23">
        <f>IF($A26="","",ROUND(IF($B26="支出",-1,1)*SUMIFS(流水本位,流水类别,$A26,流水日期,"&gt;="&amp;DATE(管理年度,7,1),流水日期,"&lt;="&amp;EOMONTH(DATE(管理年度,7,1),0)),2))</f>
        <v>0</v>
      </c>
      <c r="J26" s="23">
        <f>IF($A26="","",ROUND(IF($B26="支出",-1,1)*SUMIFS(流水本位,流水类别,$A26,流水日期,"&gt;="&amp;DATE(管理年度,8,1),流水日期,"&lt;="&amp;EOMONTH(DATE(管理年度,8,1),0)),2))</f>
        <v>0</v>
      </c>
      <c r="K26" s="23">
        <f>IF($A26="","",ROUND(IF($B26="支出",-1,1)*SUMIFS(流水本位,流水类别,$A26,流水日期,"&gt;="&amp;DATE(管理年度,9,1),流水日期,"&lt;="&amp;EOMONTH(DATE(管理年度,9,1),0)),2))</f>
        <v>0</v>
      </c>
      <c r="L26" s="23">
        <f>IF($A26="","",ROUND(IF($B26="支出",-1,1)*SUMIFS(流水本位,流水类别,$A26,流水日期,"&gt;="&amp;DATE(管理年度,10,1),流水日期,"&lt;="&amp;EOMONTH(DATE(管理年度,10,1),0)),2))</f>
        <v>0</v>
      </c>
      <c r="M26" s="23">
        <f>IF($A26="","",ROUND(IF($B26="支出",-1,1)*SUMIFS(流水本位,流水类别,$A26,流水日期,"&gt;="&amp;DATE(管理年度,11,1),流水日期,"&lt;="&amp;EOMONTH(DATE(管理年度,11,1),0)),2))</f>
        <v>0</v>
      </c>
      <c r="N26" s="23">
        <f>IF($A26="","",ROUND(IF($B26="支出",-1,1)*SUMIFS(流水本位,流水类别,$A26,流水日期,"&gt;="&amp;DATE(管理年度,12,1),流水日期,"&lt;="&amp;EOMONTH(DATE(管理年度,12,1),0)),2))</f>
        <v>0</v>
      </c>
      <c r="O26" s="23">
        <f t="shared" si="4"/>
        <v>0</v>
      </c>
      <c r="P26" s="30">
        <f t="shared" si="5"/>
        <v>0</v>
      </c>
    </row>
    <row r="27" ht="16.5" spans="1:16">
      <c r="A27" s="6" t="str">
        <f>IF(参数设置!$O$26="","",参数设置!$O$26)</f>
        <v>内部转账</v>
      </c>
      <c r="B27" s="12" t="str">
        <f>IF($A27="","",参数设置!$P$26)</f>
        <v>内部转账</v>
      </c>
      <c r="C27" s="23">
        <f>IF($A27="","",ROUND(IF($B27="支出",-1,1)*SUMIFS(流水本位,流水类别,$A27,流水日期,"&gt;="&amp;DATE(管理年度,1,1),流水日期,"&lt;="&amp;EOMONTH(DATE(管理年度,1,1),0)),2))</f>
        <v>0</v>
      </c>
      <c r="D27" s="23">
        <f>IF($A27="","",ROUND(IF($B27="支出",-1,1)*SUMIFS(流水本位,流水类别,$A27,流水日期,"&gt;="&amp;DATE(管理年度,2,1),流水日期,"&lt;="&amp;EOMONTH(DATE(管理年度,2,1),0)),2))</f>
        <v>0</v>
      </c>
      <c r="E27" s="23">
        <f>IF($A27="","",ROUND(IF($B27="支出",-1,1)*SUMIFS(流水本位,流水类别,$A27,流水日期,"&gt;="&amp;DATE(管理年度,3,1),流水日期,"&lt;="&amp;EOMONTH(DATE(管理年度,3,1),0)),2))</f>
        <v>0</v>
      </c>
      <c r="F27" s="23">
        <f>IF($A27="","",ROUND(IF($B27="支出",-1,1)*SUMIFS(流水本位,流水类别,$A27,流水日期,"&gt;="&amp;DATE(管理年度,4,1),流水日期,"&lt;="&amp;EOMONTH(DATE(管理年度,4,1),0)),2))</f>
        <v>0</v>
      </c>
      <c r="G27" s="23">
        <f>IF($A27="","",ROUND(IF($B27="支出",-1,1)*SUMIFS(流水本位,流水类别,$A27,流水日期,"&gt;="&amp;DATE(管理年度,5,1),流水日期,"&lt;="&amp;EOMONTH(DATE(管理年度,5,1),0)),2))</f>
        <v>0</v>
      </c>
      <c r="H27" s="23">
        <f>IF($A27="","",ROUND(IF($B27="支出",-1,1)*SUMIFS(流水本位,流水类别,$A27,流水日期,"&gt;="&amp;DATE(管理年度,6,1),流水日期,"&lt;="&amp;EOMONTH(DATE(管理年度,6,1),0)),2))</f>
        <v>0</v>
      </c>
      <c r="I27" s="23">
        <f>IF($A27="","",ROUND(IF($B27="支出",-1,1)*SUMIFS(流水本位,流水类别,$A27,流水日期,"&gt;="&amp;DATE(管理年度,7,1),流水日期,"&lt;="&amp;EOMONTH(DATE(管理年度,7,1),0)),2))</f>
        <v>0</v>
      </c>
      <c r="J27" s="23">
        <f>IF($A27="","",ROUND(IF($B27="支出",-1,1)*SUMIFS(流水本位,流水类别,$A27,流水日期,"&gt;="&amp;DATE(管理年度,8,1),流水日期,"&lt;="&amp;EOMONTH(DATE(管理年度,8,1),0)),2))</f>
        <v>0</v>
      </c>
      <c r="K27" s="23">
        <f>IF($A27="","",ROUND(IF($B27="支出",-1,1)*SUMIFS(流水本位,流水类别,$A27,流水日期,"&gt;="&amp;DATE(管理年度,9,1),流水日期,"&lt;="&amp;EOMONTH(DATE(管理年度,9,1),0)),2))</f>
        <v>0</v>
      </c>
      <c r="L27" s="23">
        <f>IF($A27="","",ROUND(IF($B27="支出",-1,1)*SUMIFS(流水本位,流水类别,$A27,流水日期,"&gt;="&amp;DATE(管理年度,10,1),流水日期,"&lt;="&amp;EOMONTH(DATE(管理年度,10,1),0)),2))</f>
        <v>0</v>
      </c>
      <c r="M27" s="23">
        <f>IF($A27="","",ROUND(IF($B27="支出",-1,1)*SUMIFS(流水本位,流水类别,$A27,流水日期,"&gt;="&amp;DATE(管理年度,11,1),流水日期,"&lt;="&amp;EOMONTH(DATE(管理年度,11,1),0)),2))</f>
        <v>0</v>
      </c>
      <c r="N27" s="23">
        <f>IF($A27="","",ROUND(IF($B27="支出",-1,1)*SUMIFS(流水本位,流水类别,$A27,流水日期,"&gt;="&amp;DATE(管理年度,12,1),流水日期,"&lt;="&amp;EOMONTH(DATE(管理年度,12,1),0)),2))</f>
        <v>0</v>
      </c>
      <c r="O27" s="23">
        <f t="shared" si="4"/>
        <v>0</v>
      </c>
      <c r="P27" s="30" t="str">
        <f t="shared" si="5"/>
        <v/>
      </c>
    </row>
    <row r="28" ht="16.5" spans="1:16">
      <c r="A28" s="6" t="str">
        <f>IF(参数设置!$O$27="","",参数设置!$O$27)</f>
        <v>购汇/结汇</v>
      </c>
      <c r="B28" s="12" t="str">
        <f>IF($A28="","",参数设置!$P$27)</f>
        <v>内部转账</v>
      </c>
      <c r="C28" s="23">
        <f>IF($A28="","",ROUND(IF($B28="支出",-1,1)*SUMIFS(流水本位,流水类别,$A28,流水日期,"&gt;="&amp;DATE(管理年度,1,1),流水日期,"&lt;="&amp;EOMONTH(DATE(管理年度,1,1),0)),2))</f>
        <v>0</v>
      </c>
      <c r="D28" s="23">
        <f>IF($A28="","",ROUND(IF($B28="支出",-1,1)*SUMIFS(流水本位,流水类别,$A28,流水日期,"&gt;="&amp;DATE(管理年度,2,1),流水日期,"&lt;="&amp;EOMONTH(DATE(管理年度,2,1),0)),2))</f>
        <v>0</v>
      </c>
      <c r="E28" s="23">
        <f>IF($A28="","",ROUND(IF($B28="支出",-1,1)*SUMIFS(流水本位,流水类别,$A28,流水日期,"&gt;="&amp;DATE(管理年度,3,1),流水日期,"&lt;="&amp;EOMONTH(DATE(管理年度,3,1),0)),2))</f>
        <v>0</v>
      </c>
      <c r="F28" s="23">
        <f>IF($A28="","",ROUND(IF($B28="支出",-1,1)*SUMIFS(流水本位,流水类别,$A28,流水日期,"&gt;="&amp;DATE(管理年度,4,1),流水日期,"&lt;="&amp;EOMONTH(DATE(管理年度,4,1),0)),2))</f>
        <v>0</v>
      </c>
      <c r="G28" s="23">
        <f>IF($A28="","",ROUND(IF($B28="支出",-1,1)*SUMIFS(流水本位,流水类别,$A28,流水日期,"&gt;="&amp;DATE(管理年度,5,1),流水日期,"&lt;="&amp;EOMONTH(DATE(管理年度,5,1),0)),2))</f>
        <v>0</v>
      </c>
      <c r="H28" s="23">
        <f>IF($A28="","",ROUND(IF($B28="支出",-1,1)*SUMIFS(流水本位,流水类别,$A28,流水日期,"&gt;="&amp;DATE(管理年度,6,1),流水日期,"&lt;="&amp;EOMONTH(DATE(管理年度,6,1),0)),2))</f>
        <v>0</v>
      </c>
      <c r="I28" s="23">
        <f>IF($A28="","",ROUND(IF($B28="支出",-1,1)*SUMIFS(流水本位,流水类别,$A28,流水日期,"&gt;="&amp;DATE(管理年度,7,1),流水日期,"&lt;="&amp;EOMONTH(DATE(管理年度,7,1),0)),2))</f>
        <v>0</v>
      </c>
      <c r="J28" s="23">
        <f>IF($A28="","",ROUND(IF($B28="支出",-1,1)*SUMIFS(流水本位,流水类别,$A28,流水日期,"&gt;="&amp;DATE(管理年度,8,1),流水日期,"&lt;="&amp;EOMONTH(DATE(管理年度,8,1),0)),2))</f>
        <v>0</v>
      </c>
      <c r="K28" s="23">
        <f>IF($A28="","",ROUND(IF($B28="支出",-1,1)*SUMIFS(流水本位,流水类别,$A28,流水日期,"&gt;="&amp;DATE(管理年度,9,1),流水日期,"&lt;="&amp;EOMONTH(DATE(管理年度,9,1),0)),2))</f>
        <v>0</v>
      </c>
      <c r="L28" s="23">
        <f>IF($A28="","",ROUND(IF($B28="支出",-1,1)*SUMIFS(流水本位,流水类别,$A28,流水日期,"&gt;="&amp;DATE(管理年度,10,1),流水日期,"&lt;="&amp;EOMONTH(DATE(管理年度,10,1),0)),2))</f>
        <v>0</v>
      </c>
      <c r="M28" s="23">
        <f>IF($A28="","",ROUND(IF($B28="支出",-1,1)*SUMIFS(流水本位,流水类别,$A28,流水日期,"&gt;="&amp;DATE(管理年度,11,1),流水日期,"&lt;="&amp;EOMONTH(DATE(管理年度,11,1),0)),2))</f>
        <v>0</v>
      </c>
      <c r="N28" s="23">
        <f>IF($A28="","",ROUND(IF($B28="支出",-1,1)*SUMIFS(流水本位,流水类别,$A28,流水日期,"&gt;="&amp;DATE(管理年度,12,1),流水日期,"&lt;="&amp;EOMONTH(DATE(管理年度,12,1),0)),2))</f>
        <v>0</v>
      </c>
      <c r="O28" s="23">
        <f t="shared" si="4"/>
        <v>0</v>
      </c>
      <c r="P28" s="30" t="str">
        <f t="shared" si="5"/>
        <v/>
      </c>
    </row>
    <row r="29" ht="16.5" spans="1:16">
      <c r="A29" s="6" t="str">
        <f>IF(参数设置!$O$28="","",参数设置!$O$28)</f>
        <v/>
      </c>
      <c r="B29" s="12" t="str">
        <f>IF($A29="","",参数设置!$P$28)</f>
        <v/>
      </c>
      <c r="C29" s="23" t="str">
        <f>IF($A29="","",ROUND(IF($B29="支出",-1,1)*SUMIFS(流水本位,流水类别,$A29,流水日期,"&gt;="&amp;DATE(管理年度,1,1),流水日期,"&lt;="&amp;EOMONTH(DATE(管理年度,1,1),0)),2))</f>
        <v/>
      </c>
      <c r="D29" s="23" t="str">
        <f>IF($A29="","",ROUND(IF($B29="支出",-1,1)*SUMIFS(流水本位,流水类别,$A29,流水日期,"&gt;="&amp;DATE(管理年度,2,1),流水日期,"&lt;="&amp;EOMONTH(DATE(管理年度,2,1),0)),2))</f>
        <v/>
      </c>
      <c r="E29" s="23" t="str">
        <f>IF($A29="","",ROUND(IF($B29="支出",-1,1)*SUMIFS(流水本位,流水类别,$A29,流水日期,"&gt;="&amp;DATE(管理年度,3,1),流水日期,"&lt;="&amp;EOMONTH(DATE(管理年度,3,1),0)),2))</f>
        <v/>
      </c>
      <c r="F29" s="23" t="str">
        <f>IF($A29="","",ROUND(IF($B29="支出",-1,1)*SUMIFS(流水本位,流水类别,$A29,流水日期,"&gt;="&amp;DATE(管理年度,4,1),流水日期,"&lt;="&amp;EOMONTH(DATE(管理年度,4,1),0)),2))</f>
        <v/>
      </c>
      <c r="G29" s="23" t="str">
        <f>IF($A29="","",ROUND(IF($B29="支出",-1,1)*SUMIFS(流水本位,流水类别,$A29,流水日期,"&gt;="&amp;DATE(管理年度,5,1),流水日期,"&lt;="&amp;EOMONTH(DATE(管理年度,5,1),0)),2))</f>
        <v/>
      </c>
      <c r="H29" s="23" t="str">
        <f>IF($A29="","",ROUND(IF($B29="支出",-1,1)*SUMIFS(流水本位,流水类别,$A29,流水日期,"&gt;="&amp;DATE(管理年度,6,1),流水日期,"&lt;="&amp;EOMONTH(DATE(管理年度,6,1),0)),2))</f>
        <v/>
      </c>
      <c r="I29" s="23" t="str">
        <f>IF($A29="","",ROUND(IF($B29="支出",-1,1)*SUMIFS(流水本位,流水类别,$A29,流水日期,"&gt;="&amp;DATE(管理年度,7,1),流水日期,"&lt;="&amp;EOMONTH(DATE(管理年度,7,1),0)),2))</f>
        <v/>
      </c>
      <c r="J29" s="23" t="str">
        <f>IF($A29="","",ROUND(IF($B29="支出",-1,1)*SUMIFS(流水本位,流水类别,$A29,流水日期,"&gt;="&amp;DATE(管理年度,8,1),流水日期,"&lt;="&amp;EOMONTH(DATE(管理年度,8,1),0)),2))</f>
        <v/>
      </c>
      <c r="K29" s="23" t="str">
        <f>IF($A29="","",ROUND(IF($B29="支出",-1,1)*SUMIFS(流水本位,流水类别,$A29,流水日期,"&gt;="&amp;DATE(管理年度,9,1),流水日期,"&lt;="&amp;EOMONTH(DATE(管理年度,9,1),0)),2))</f>
        <v/>
      </c>
      <c r="L29" s="23" t="str">
        <f>IF($A29="","",ROUND(IF($B29="支出",-1,1)*SUMIFS(流水本位,流水类别,$A29,流水日期,"&gt;="&amp;DATE(管理年度,10,1),流水日期,"&lt;="&amp;EOMONTH(DATE(管理年度,10,1),0)),2))</f>
        <v/>
      </c>
      <c r="M29" s="23" t="str">
        <f>IF($A29="","",ROUND(IF($B29="支出",-1,1)*SUMIFS(流水本位,流水类别,$A29,流水日期,"&gt;="&amp;DATE(管理年度,11,1),流水日期,"&lt;="&amp;EOMONTH(DATE(管理年度,11,1),0)),2))</f>
        <v/>
      </c>
      <c r="N29" s="23" t="str">
        <f>IF($A29="","",ROUND(IF($B29="支出",-1,1)*SUMIFS(流水本位,流水类别,$A29,流水日期,"&gt;="&amp;DATE(管理年度,12,1),流水日期,"&lt;="&amp;EOMONTH(DATE(管理年度,12,1),0)),2))</f>
        <v/>
      </c>
      <c r="O29" s="23" t="str">
        <f t="shared" si="4"/>
        <v/>
      </c>
      <c r="P29" s="30" t="str">
        <f t="shared" si="5"/>
        <v/>
      </c>
    </row>
    <row r="30" ht="16.5" spans="1:16">
      <c r="A30" s="6" t="str">
        <f>IF(参数设置!$O$29="","",参数设置!$O$29)</f>
        <v/>
      </c>
      <c r="B30" s="12" t="str">
        <f>IF($A30="","",参数设置!$P$29)</f>
        <v/>
      </c>
      <c r="C30" s="23" t="str">
        <f>IF($A30="","",ROUND(IF($B30="支出",-1,1)*SUMIFS(流水本位,流水类别,$A30,流水日期,"&gt;="&amp;DATE(管理年度,1,1),流水日期,"&lt;="&amp;EOMONTH(DATE(管理年度,1,1),0)),2))</f>
        <v/>
      </c>
      <c r="D30" s="23" t="str">
        <f>IF($A30="","",ROUND(IF($B30="支出",-1,1)*SUMIFS(流水本位,流水类别,$A30,流水日期,"&gt;="&amp;DATE(管理年度,2,1),流水日期,"&lt;="&amp;EOMONTH(DATE(管理年度,2,1),0)),2))</f>
        <v/>
      </c>
      <c r="E30" s="23" t="str">
        <f>IF($A30="","",ROUND(IF($B30="支出",-1,1)*SUMIFS(流水本位,流水类别,$A30,流水日期,"&gt;="&amp;DATE(管理年度,3,1),流水日期,"&lt;="&amp;EOMONTH(DATE(管理年度,3,1),0)),2))</f>
        <v/>
      </c>
      <c r="F30" s="23" t="str">
        <f>IF($A30="","",ROUND(IF($B30="支出",-1,1)*SUMIFS(流水本位,流水类别,$A30,流水日期,"&gt;="&amp;DATE(管理年度,4,1),流水日期,"&lt;="&amp;EOMONTH(DATE(管理年度,4,1),0)),2))</f>
        <v/>
      </c>
      <c r="G30" s="23" t="str">
        <f>IF($A30="","",ROUND(IF($B30="支出",-1,1)*SUMIFS(流水本位,流水类别,$A30,流水日期,"&gt;="&amp;DATE(管理年度,5,1),流水日期,"&lt;="&amp;EOMONTH(DATE(管理年度,5,1),0)),2))</f>
        <v/>
      </c>
      <c r="H30" s="23" t="str">
        <f>IF($A30="","",ROUND(IF($B30="支出",-1,1)*SUMIFS(流水本位,流水类别,$A30,流水日期,"&gt;="&amp;DATE(管理年度,6,1),流水日期,"&lt;="&amp;EOMONTH(DATE(管理年度,6,1),0)),2))</f>
        <v/>
      </c>
      <c r="I30" s="23" t="str">
        <f>IF($A30="","",ROUND(IF($B30="支出",-1,1)*SUMIFS(流水本位,流水类别,$A30,流水日期,"&gt;="&amp;DATE(管理年度,7,1),流水日期,"&lt;="&amp;EOMONTH(DATE(管理年度,7,1),0)),2))</f>
        <v/>
      </c>
      <c r="J30" s="23" t="str">
        <f>IF($A30="","",ROUND(IF($B30="支出",-1,1)*SUMIFS(流水本位,流水类别,$A30,流水日期,"&gt;="&amp;DATE(管理年度,8,1),流水日期,"&lt;="&amp;EOMONTH(DATE(管理年度,8,1),0)),2))</f>
        <v/>
      </c>
      <c r="K30" s="23" t="str">
        <f>IF($A30="","",ROUND(IF($B30="支出",-1,1)*SUMIFS(流水本位,流水类别,$A30,流水日期,"&gt;="&amp;DATE(管理年度,9,1),流水日期,"&lt;="&amp;EOMONTH(DATE(管理年度,9,1),0)),2))</f>
        <v/>
      </c>
      <c r="L30" s="23" t="str">
        <f>IF($A30="","",ROUND(IF($B30="支出",-1,1)*SUMIFS(流水本位,流水类别,$A30,流水日期,"&gt;="&amp;DATE(管理年度,10,1),流水日期,"&lt;="&amp;EOMONTH(DATE(管理年度,10,1),0)),2))</f>
        <v/>
      </c>
      <c r="M30" s="23" t="str">
        <f>IF($A30="","",ROUND(IF($B30="支出",-1,1)*SUMIFS(流水本位,流水类别,$A30,流水日期,"&gt;="&amp;DATE(管理年度,11,1),流水日期,"&lt;="&amp;EOMONTH(DATE(管理年度,11,1),0)),2))</f>
        <v/>
      </c>
      <c r="N30" s="23" t="str">
        <f>IF($A30="","",ROUND(IF($B30="支出",-1,1)*SUMIFS(流水本位,流水类别,$A30,流水日期,"&gt;="&amp;DATE(管理年度,12,1),流水日期,"&lt;="&amp;EOMONTH(DATE(管理年度,12,1),0)),2))</f>
        <v/>
      </c>
      <c r="O30" s="23" t="str">
        <f t="shared" si="4"/>
        <v/>
      </c>
      <c r="P30" s="30" t="str">
        <f t="shared" si="5"/>
        <v/>
      </c>
    </row>
    <row r="31" ht="16.5" spans="1:16">
      <c r="A31" s="6" t="str">
        <f>IF(参数设置!$O$30="","",参数设置!$O$30)</f>
        <v/>
      </c>
      <c r="B31" s="12" t="str">
        <f>IF($A31="","",参数设置!$P$30)</f>
        <v/>
      </c>
      <c r="C31" s="23" t="str">
        <f>IF($A31="","",ROUND(IF($B31="支出",-1,1)*SUMIFS(流水本位,流水类别,$A31,流水日期,"&gt;="&amp;DATE(管理年度,1,1),流水日期,"&lt;="&amp;EOMONTH(DATE(管理年度,1,1),0)),2))</f>
        <v/>
      </c>
      <c r="D31" s="23" t="str">
        <f>IF($A31="","",ROUND(IF($B31="支出",-1,1)*SUMIFS(流水本位,流水类别,$A31,流水日期,"&gt;="&amp;DATE(管理年度,2,1),流水日期,"&lt;="&amp;EOMONTH(DATE(管理年度,2,1),0)),2))</f>
        <v/>
      </c>
      <c r="E31" s="23" t="str">
        <f>IF($A31="","",ROUND(IF($B31="支出",-1,1)*SUMIFS(流水本位,流水类别,$A31,流水日期,"&gt;="&amp;DATE(管理年度,3,1),流水日期,"&lt;="&amp;EOMONTH(DATE(管理年度,3,1),0)),2))</f>
        <v/>
      </c>
      <c r="F31" s="23" t="str">
        <f>IF($A31="","",ROUND(IF($B31="支出",-1,1)*SUMIFS(流水本位,流水类别,$A31,流水日期,"&gt;="&amp;DATE(管理年度,4,1),流水日期,"&lt;="&amp;EOMONTH(DATE(管理年度,4,1),0)),2))</f>
        <v/>
      </c>
      <c r="G31" s="23" t="str">
        <f>IF($A31="","",ROUND(IF($B31="支出",-1,1)*SUMIFS(流水本位,流水类别,$A31,流水日期,"&gt;="&amp;DATE(管理年度,5,1),流水日期,"&lt;="&amp;EOMONTH(DATE(管理年度,5,1),0)),2))</f>
        <v/>
      </c>
      <c r="H31" s="23" t="str">
        <f>IF($A31="","",ROUND(IF($B31="支出",-1,1)*SUMIFS(流水本位,流水类别,$A31,流水日期,"&gt;="&amp;DATE(管理年度,6,1),流水日期,"&lt;="&amp;EOMONTH(DATE(管理年度,6,1),0)),2))</f>
        <v/>
      </c>
      <c r="I31" s="23" t="str">
        <f>IF($A31="","",ROUND(IF($B31="支出",-1,1)*SUMIFS(流水本位,流水类别,$A31,流水日期,"&gt;="&amp;DATE(管理年度,7,1),流水日期,"&lt;="&amp;EOMONTH(DATE(管理年度,7,1),0)),2))</f>
        <v/>
      </c>
      <c r="J31" s="23" t="str">
        <f>IF($A31="","",ROUND(IF($B31="支出",-1,1)*SUMIFS(流水本位,流水类别,$A31,流水日期,"&gt;="&amp;DATE(管理年度,8,1),流水日期,"&lt;="&amp;EOMONTH(DATE(管理年度,8,1),0)),2))</f>
        <v/>
      </c>
      <c r="K31" s="23" t="str">
        <f>IF($A31="","",ROUND(IF($B31="支出",-1,1)*SUMIFS(流水本位,流水类别,$A31,流水日期,"&gt;="&amp;DATE(管理年度,9,1),流水日期,"&lt;="&amp;EOMONTH(DATE(管理年度,9,1),0)),2))</f>
        <v/>
      </c>
      <c r="L31" s="23" t="str">
        <f>IF($A31="","",ROUND(IF($B31="支出",-1,1)*SUMIFS(流水本位,流水类别,$A31,流水日期,"&gt;="&amp;DATE(管理年度,10,1),流水日期,"&lt;="&amp;EOMONTH(DATE(管理年度,10,1),0)),2))</f>
        <v/>
      </c>
      <c r="M31" s="23" t="str">
        <f>IF($A31="","",ROUND(IF($B31="支出",-1,1)*SUMIFS(流水本位,流水类别,$A31,流水日期,"&gt;="&amp;DATE(管理年度,11,1),流水日期,"&lt;="&amp;EOMONTH(DATE(管理年度,11,1),0)),2))</f>
        <v/>
      </c>
      <c r="N31" s="23" t="str">
        <f>IF($A31="","",ROUND(IF($B31="支出",-1,1)*SUMIFS(流水本位,流水类别,$A31,流水日期,"&gt;="&amp;DATE(管理年度,12,1),流水日期,"&lt;="&amp;EOMONTH(DATE(管理年度,12,1),0)),2))</f>
        <v/>
      </c>
      <c r="O31" s="23" t="str">
        <f t="shared" si="4"/>
        <v/>
      </c>
      <c r="P31" s="30" t="str">
        <f t="shared" si="5"/>
        <v/>
      </c>
    </row>
    <row r="32" ht="16.5" spans="1:16">
      <c r="A32" s="6" t="str">
        <f>IF(参数设置!$O$31="","",参数设置!$O$31)</f>
        <v/>
      </c>
      <c r="B32" s="12" t="str">
        <f>IF($A32="","",参数设置!$P$31)</f>
        <v/>
      </c>
      <c r="C32" s="23" t="str">
        <f>IF($A32="","",ROUND(IF($B32="支出",-1,1)*SUMIFS(流水本位,流水类别,$A32,流水日期,"&gt;="&amp;DATE(管理年度,1,1),流水日期,"&lt;="&amp;EOMONTH(DATE(管理年度,1,1),0)),2))</f>
        <v/>
      </c>
      <c r="D32" s="23" t="str">
        <f>IF($A32="","",ROUND(IF($B32="支出",-1,1)*SUMIFS(流水本位,流水类别,$A32,流水日期,"&gt;="&amp;DATE(管理年度,2,1),流水日期,"&lt;="&amp;EOMONTH(DATE(管理年度,2,1),0)),2))</f>
        <v/>
      </c>
      <c r="E32" s="23" t="str">
        <f>IF($A32="","",ROUND(IF($B32="支出",-1,1)*SUMIFS(流水本位,流水类别,$A32,流水日期,"&gt;="&amp;DATE(管理年度,3,1),流水日期,"&lt;="&amp;EOMONTH(DATE(管理年度,3,1),0)),2))</f>
        <v/>
      </c>
      <c r="F32" s="23" t="str">
        <f>IF($A32="","",ROUND(IF($B32="支出",-1,1)*SUMIFS(流水本位,流水类别,$A32,流水日期,"&gt;="&amp;DATE(管理年度,4,1),流水日期,"&lt;="&amp;EOMONTH(DATE(管理年度,4,1),0)),2))</f>
        <v/>
      </c>
      <c r="G32" s="23" t="str">
        <f>IF($A32="","",ROUND(IF($B32="支出",-1,1)*SUMIFS(流水本位,流水类别,$A32,流水日期,"&gt;="&amp;DATE(管理年度,5,1),流水日期,"&lt;="&amp;EOMONTH(DATE(管理年度,5,1),0)),2))</f>
        <v/>
      </c>
      <c r="H32" s="23" t="str">
        <f>IF($A32="","",ROUND(IF($B32="支出",-1,1)*SUMIFS(流水本位,流水类别,$A32,流水日期,"&gt;="&amp;DATE(管理年度,6,1),流水日期,"&lt;="&amp;EOMONTH(DATE(管理年度,6,1),0)),2))</f>
        <v/>
      </c>
      <c r="I32" s="23" t="str">
        <f>IF($A32="","",ROUND(IF($B32="支出",-1,1)*SUMIFS(流水本位,流水类别,$A32,流水日期,"&gt;="&amp;DATE(管理年度,7,1),流水日期,"&lt;="&amp;EOMONTH(DATE(管理年度,7,1),0)),2))</f>
        <v/>
      </c>
      <c r="J32" s="23" t="str">
        <f>IF($A32="","",ROUND(IF($B32="支出",-1,1)*SUMIFS(流水本位,流水类别,$A32,流水日期,"&gt;="&amp;DATE(管理年度,8,1),流水日期,"&lt;="&amp;EOMONTH(DATE(管理年度,8,1),0)),2))</f>
        <v/>
      </c>
      <c r="K32" s="23" t="str">
        <f>IF($A32="","",ROUND(IF($B32="支出",-1,1)*SUMIFS(流水本位,流水类别,$A32,流水日期,"&gt;="&amp;DATE(管理年度,9,1),流水日期,"&lt;="&amp;EOMONTH(DATE(管理年度,9,1),0)),2))</f>
        <v/>
      </c>
      <c r="L32" s="23" t="str">
        <f>IF($A32="","",ROUND(IF($B32="支出",-1,1)*SUMIFS(流水本位,流水类别,$A32,流水日期,"&gt;="&amp;DATE(管理年度,10,1),流水日期,"&lt;="&amp;EOMONTH(DATE(管理年度,10,1),0)),2))</f>
        <v/>
      </c>
      <c r="M32" s="23" t="str">
        <f>IF($A32="","",ROUND(IF($B32="支出",-1,1)*SUMIFS(流水本位,流水类别,$A32,流水日期,"&gt;="&amp;DATE(管理年度,11,1),流水日期,"&lt;="&amp;EOMONTH(DATE(管理年度,11,1),0)),2))</f>
        <v/>
      </c>
      <c r="N32" s="23" t="str">
        <f>IF($A32="","",ROUND(IF($B32="支出",-1,1)*SUMIFS(流水本位,流水类别,$A32,流水日期,"&gt;="&amp;DATE(管理年度,12,1),流水日期,"&lt;="&amp;EOMONTH(DATE(管理年度,12,1),0)),2))</f>
        <v/>
      </c>
      <c r="O32" s="23" t="str">
        <f t="shared" si="4"/>
        <v/>
      </c>
      <c r="P32" s="30" t="str">
        <f t="shared" si="5"/>
        <v/>
      </c>
    </row>
    <row r="33" ht="16.5" spans="1:16">
      <c r="A33" s="6" t="str">
        <f>IF(参数设置!$O$32="","",参数设置!$O$32)</f>
        <v/>
      </c>
      <c r="B33" s="12" t="str">
        <f>IF($A33="","",参数设置!$P$32)</f>
        <v/>
      </c>
      <c r="C33" s="23" t="str">
        <f>IF($A33="","",ROUND(IF($B33="支出",-1,1)*SUMIFS(流水本位,流水类别,$A33,流水日期,"&gt;="&amp;DATE(管理年度,1,1),流水日期,"&lt;="&amp;EOMONTH(DATE(管理年度,1,1),0)),2))</f>
        <v/>
      </c>
      <c r="D33" s="23" t="str">
        <f>IF($A33="","",ROUND(IF($B33="支出",-1,1)*SUMIFS(流水本位,流水类别,$A33,流水日期,"&gt;="&amp;DATE(管理年度,2,1),流水日期,"&lt;="&amp;EOMONTH(DATE(管理年度,2,1),0)),2))</f>
        <v/>
      </c>
      <c r="E33" s="23" t="str">
        <f>IF($A33="","",ROUND(IF($B33="支出",-1,1)*SUMIFS(流水本位,流水类别,$A33,流水日期,"&gt;="&amp;DATE(管理年度,3,1),流水日期,"&lt;="&amp;EOMONTH(DATE(管理年度,3,1),0)),2))</f>
        <v/>
      </c>
      <c r="F33" s="23" t="str">
        <f>IF($A33="","",ROUND(IF($B33="支出",-1,1)*SUMIFS(流水本位,流水类别,$A33,流水日期,"&gt;="&amp;DATE(管理年度,4,1),流水日期,"&lt;="&amp;EOMONTH(DATE(管理年度,4,1),0)),2))</f>
        <v/>
      </c>
      <c r="G33" s="23" t="str">
        <f>IF($A33="","",ROUND(IF($B33="支出",-1,1)*SUMIFS(流水本位,流水类别,$A33,流水日期,"&gt;="&amp;DATE(管理年度,5,1),流水日期,"&lt;="&amp;EOMONTH(DATE(管理年度,5,1),0)),2))</f>
        <v/>
      </c>
      <c r="H33" s="23" t="str">
        <f>IF($A33="","",ROUND(IF($B33="支出",-1,1)*SUMIFS(流水本位,流水类别,$A33,流水日期,"&gt;="&amp;DATE(管理年度,6,1),流水日期,"&lt;="&amp;EOMONTH(DATE(管理年度,6,1),0)),2))</f>
        <v/>
      </c>
      <c r="I33" s="23" t="str">
        <f>IF($A33="","",ROUND(IF($B33="支出",-1,1)*SUMIFS(流水本位,流水类别,$A33,流水日期,"&gt;="&amp;DATE(管理年度,7,1),流水日期,"&lt;="&amp;EOMONTH(DATE(管理年度,7,1),0)),2))</f>
        <v/>
      </c>
      <c r="J33" s="23" t="str">
        <f>IF($A33="","",ROUND(IF($B33="支出",-1,1)*SUMIFS(流水本位,流水类别,$A33,流水日期,"&gt;="&amp;DATE(管理年度,8,1),流水日期,"&lt;="&amp;EOMONTH(DATE(管理年度,8,1),0)),2))</f>
        <v/>
      </c>
      <c r="K33" s="23" t="str">
        <f>IF($A33="","",ROUND(IF($B33="支出",-1,1)*SUMIFS(流水本位,流水类别,$A33,流水日期,"&gt;="&amp;DATE(管理年度,9,1),流水日期,"&lt;="&amp;EOMONTH(DATE(管理年度,9,1),0)),2))</f>
        <v/>
      </c>
      <c r="L33" s="23" t="str">
        <f>IF($A33="","",ROUND(IF($B33="支出",-1,1)*SUMIFS(流水本位,流水类别,$A33,流水日期,"&gt;="&amp;DATE(管理年度,10,1),流水日期,"&lt;="&amp;EOMONTH(DATE(管理年度,10,1),0)),2))</f>
        <v/>
      </c>
      <c r="M33" s="23" t="str">
        <f>IF($A33="","",ROUND(IF($B33="支出",-1,1)*SUMIFS(流水本位,流水类别,$A33,流水日期,"&gt;="&amp;DATE(管理年度,11,1),流水日期,"&lt;="&amp;EOMONTH(DATE(管理年度,11,1),0)),2))</f>
        <v/>
      </c>
      <c r="N33" s="23" t="str">
        <f>IF($A33="","",ROUND(IF($B33="支出",-1,1)*SUMIFS(流水本位,流水类别,$A33,流水日期,"&gt;="&amp;DATE(管理年度,12,1),流水日期,"&lt;="&amp;EOMONTH(DATE(管理年度,12,1),0)),2))</f>
        <v/>
      </c>
      <c r="O33" s="23" t="str">
        <f t="shared" si="4"/>
        <v/>
      </c>
      <c r="P33" s="30" t="str">
        <f t="shared" si="5"/>
        <v/>
      </c>
    </row>
    <row r="34" ht="16.5" spans="1:16">
      <c r="A34" s="6" t="str">
        <f>IF(参数设置!$O$33="","",参数设置!$O$33)</f>
        <v/>
      </c>
      <c r="B34" s="12" t="str">
        <f>IF($A34="","",参数设置!$P$33)</f>
        <v/>
      </c>
      <c r="C34" s="23" t="str">
        <f>IF($A34="","",ROUND(IF($B34="支出",-1,1)*SUMIFS(流水本位,流水类别,$A34,流水日期,"&gt;="&amp;DATE(管理年度,1,1),流水日期,"&lt;="&amp;EOMONTH(DATE(管理年度,1,1),0)),2))</f>
        <v/>
      </c>
      <c r="D34" s="23" t="str">
        <f>IF($A34="","",ROUND(IF($B34="支出",-1,1)*SUMIFS(流水本位,流水类别,$A34,流水日期,"&gt;="&amp;DATE(管理年度,2,1),流水日期,"&lt;="&amp;EOMONTH(DATE(管理年度,2,1),0)),2))</f>
        <v/>
      </c>
      <c r="E34" s="23" t="str">
        <f>IF($A34="","",ROUND(IF($B34="支出",-1,1)*SUMIFS(流水本位,流水类别,$A34,流水日期,"&gt;="&amp;DATE(管理年度,3,1),流水日期,"&lt;="&amp;EOMONTH(DATE(管理年度,3,1),0)),2))</f>
        <v/>
      </c>
      <c r="F34" s="23" t="str">
        <f>IF($A34="","",ROUND(IF($B34="支出",-1,1)*SUMIFS(流水本位,流水类别,$A34,流水日期,"&gt;="&amp;DATE(管理年度,4,1),流水日期,"&lt;="&amp;EOMONTH(DATE(管理年度,4,1),0)),2))</f>
        <v/>
      </c>
      <c r="G34" s="23" t="str">
        <f>IF($A34="","",ROUND(IF($B34="支出",-1,1)*SUMIFS(流水本位,流水类别,$A34,流水日期,"&gt;="&amp;DATE(管理年度,5,1),流水日期,"&lt;="&amp;EOMONTH(DATE(管理年度,5,1),0)),2))</f>
        <v/>
      </c>
      <c r="H34" s="23" t="str">
        <f>IF($A34="","",ROUND(IF($B34="支出",-1,1)*SUMIFS(流水本位,流水类别,$A34,流水日期,"&gt;="&amp;DATE(管理年度,6,1),流水日期,"&lt;="&amp;EOMONTH(DATE(管理年度,6,1),0)),2))</f>
        <v/>
      </c>
      <c r="I34" s="23" t="str">
        <f>IF($A34="","",ROUND(IF($B34="支出",-1,1)*SUMIFS(流水本位,流水类别,$A34,流水日期,"&gt;="&amp;DATE(管理年度,7,1),流水日期,"&lt;="&amp;EOMONTH(DATE(管理年度,7,1),0)),2))</f>
        <v/>
      </c>
      <c r="J34" s="23" t="str">
        <f>IF($A34="","",ROUND(IF($B34="支出",-1,1)*SUMIFS(流水本位,流水类别,$A34,流水日期,"&gt;="&amp;DATE(管理年度,8,1),流水日期,"&lt;="&amp;EOMONTH(DATE(管理年度,8,1),0)),2))</f>
        <v/>
      </c>
      <c r="K34" s="23" t="str">
        <f>IF($A34="","",ROUND(IF($B34="支出",-1,1)*SUMIFS(流水本位,流水类别,$A34,流水日期,"&gt;="&amp;DATE(管理年度,9,1),流水日期,"&lt;="&amp;EOMONTH(DATE(管理年度,9,1),0)),2))</f>
        <v/>
      </c>
      <c r="L34" s="23" t="str">
        <f>IF($A34="","",ROUND(IF($B34="支出",-1,1)*SUMIFS(流水本位,流水类别,$A34,流水日期,"&gt;="&amp;DATE(管理年度,10,1),流水日期,"&lt;="&amp;EOMONTH(DATE(管理年度,10,1),0)),2))</f>
        <v/>
      </c>
      <c r="M34" s="23" t="str">
        <f>IF($A34="","",ROUND(IF($B34="支出",-1,1)*SUMIFS(流水本位,流水类别,$A34,流水日期,"&gt;="&amp;DATE(管理年度,11,1),流水日期,"&lt;="&amp;EOMONTH(DATE(管理年度,11,1),0)),2))</f>
        <v/>
      </c>
      <c r="N34" s="23" t="str">
        <f>IF($A34="","",ROUND(IF($B34="支出",-1,1)*SUMIFS(流水本位,流水类别,$A34,流水日期,"&gt;="&amp;DATE(管理年度,12,1),流水日期,"&lt;="&amp;EOMONTH(DATE(管理年度,12,1),0)),2))</f>
        <v/>
      </c>
      <c r="O34" s="23" t="str">
        <f t="shared" si="4"/>
        <v/>
      </c>
      <c r="P34" s="30" t="str">
        <f t="shared" si="5"/>
        <v/>
      </c>
    </row>
    <row r="35" ht="16.5" spans="1:16">
      <c r="A35" s="6" t="str">
        <f>IF(参数设置!$O$34="","",参数设置!$O$34)</f>
        <v/>
      </c>
      <c r="B35" s="12" t="str">
        <f>IF($A35="","",参数设置!$P$34)</f>
        <v/>
      </c>
      <c r="C35" s="23" t="str">
        <f>IF($A35="","",ROUND(IF($B35="支出",-1,1)*SUMIFS(流水本位,流水类别,$A35,流水日期,"&gt;="&amp;DATE(管理年度,1,1),流水日期,"&lt;="&amp;EOMONTH(DATE(管理年度,1,1),0)),2))</f>
        <v/>
      </c>
      <c r="D35" s="23" t="str">
        <f>IF($A35="","",ROUND(IF($B35="支出",-1,1)*SUMIFS(流水本位,流水类别,$A35,流水日期,"&gt;="&amp;DATE(管理年度,2,1),流水日期,"&lt;="&amp;EOMONTH(DATE(管理年度,2,1),0)),2))</f>
        <v/>
      </c>
      <c r="E35" s="23" t="str">
        <f>IF($A35="","",ROUND(IF($B35="支出",-1,1)*SUMIFS(流水本位,流水类别,$A35,流水日期,"&gt;="&amp;DATE(管理年度,3,1),流水日期,"&lt;="&amp;EOMONTH(DATE(管理年度,3,1),0)),2))</f>
        <v/>
      </c>
      <c r="F35" s="23" t="str">
        <f>IF($A35="","",ROUND(IF($B35="支出",-1,1)*SUMIFS(流水本位,流水类别,$A35,流水日期,"&gt;="&amp;DATE(管理年度,4,1),流水日期,"&lt;="&amp;EOMONTH(DATE(管理年度,4,1),0)),2))</f>
        <v/>
      </c>
      <c r="G35" s="23" t="str">
        <f>IF($A35="","",ROUND(IF($B35="支出",-1,1)*SUMIFS(流水本位,流水类别,$A35,流水日期,"&gt;="&amp;DATE(管理年度,5,1),流水日期,"&lt;="&amp;EOMONTH(DATE(管理年度,5,1),0)),2))</f>
        <v/>
      </c>
      <c r="H35" s="23" t="str">
        <f>IF($A35="","",ROUND(IF($B35="支出",-1,1)*SUMIFS(流水本位,流水类别,$A35,流水日期,"&gt;="&amp;DATE(管理年度,6,1),流水日期,"&lt;="&amp;EOMONTH(DATE(管理年度,6,1),0)),2))</f>
        <v/>
      </c>
      <c r="I35" s="23" t="str">
        <f>IF($A35="","",ROUND(IF($B35="支出",-1,1)*SUMIFS(流水本位,流水类别,$A35,流水日期,"&gt;="&amp;DATE(管理年度,7,1),流水日期,"&lt;="&amp;EOMONTH(DATE(管理年度,7,1),0)),2))</f>
        <v/>
      </c>
      <c r="J35" s="23" t="str">
        <f>IF($A35="","",ROUND(IF($B35="支出",-1,1)*SUMIFS(流水本位,流水类别,$A35,流水日期,"&gt;="&amp;DATE(管理年度,8,1),流水日期,"&lt;="&amp;EOMONTH(DATE(管理年度,8,1),0)),2))</f>
        <v/>
      </c>
      <c r="K35" s="23" t="str">
        <f>IF($A35="","",ROUND(IF($B35="支出",-1,1)*SUMIFS(流水本位,流水类别,$A35,流水日期,"&gt;="&amp;DATE(管理年度,9,1),流水日期,"&lt;="&amp;EOMONTH(DATE(管理年度,9,1),0)),2))</f>
        <v/>
      </c>
      <c r="L35" s="23" t="str">
        <f>IF($A35="","",ROUND(IF($B35="支出",-1,1)*SUMIFS(流水本位,流水类别,$A35,流水日期,"&gt;="&amp;DATE(管理年度,10,1),流水日期,"&lt;="&amp;EOMONTH(DATE(管理年度,10,1),0)),2))</f>
        <v/>
      </c>
      <c r="M35" s="23" t="str">
        <f>IF($A35="","",ROUND(IF($B35="支出",-1,1)*SUMIFS(流水本位,流水类别,$A35,流水日期,"&gt;="&amp;DATE(管理年度,11,1),流水日期,"&lt;="&amp;EOMONTH(DATE(管理年度,11,1),0)),2))</f>
        <v/>
      </c>
      <c r="N35" s="23" t="str">
        <f>IF($A35="","",ROUND(IF($B35="支出",-1,1)*SUMIFS(流水本位,流水类别,$A35,流水日期,"&gt;="&amp;DATE(管理年度,12,1),流水日期,"&lt;="&amp;EOMONTH(DATE(管理年度,12,1),0)),2))</f>
        <v/>
      </c>
      <c r="O35" s="23" t="str">
        <f t="shared" si="4"/>
        <v/>
      </c>
      <c r="P35" s="30" t="str">
        <f t="shared" si="5"/>
        <v/>
      </c>
    </row>
    <row r="36" ht="16.5" spans="1:16">
      <c r="A36" s="6" t="str">
        <f>IF(参数设置!$O$35="","",参数设置!$O$35)</f>
        <v/>
      </c>
      <c r="B36" s="12" t="str">
        <f>IF($A36="","",参数设置!$P$35)</f>
        <v/>
      </c>
      <c r="C36" s="23" t="str">
        <f>IF($A36="","",ROUND(IF($B36="支出",-1,1)*SUMIFS(流水本位,流水类别,$A36,流水日期,"&gt;="&amp;DATE(管理年度,1,1),流水日期,"&lt;="&amp;EOMONTH(DATE(管理年度,1,1),0)),2))</f>
        <v/>
      </c>
      <c r="D36" s="23" t="str">
        <f>IF($A36="","",ROUND(IF($B36="支出",-1,1)*SUMIFS(流水本位,流水类别,$A36,流水日期,"&gt;="&amp;DATE(管理年度,2,1),流水日期,"&lt;="&amp;EOMONTH(DATE(管理年度,2,1),0)),2))</f>
        <v/>
      </c>
      <c r="E36" s="23" t="str">
        <f>IF($A36="","",ROUND(IF($B36="支出",-1,1)*SUMIFS(流水本位,流水类别,$A36,流水日期,"&gt;="&amp;DATE(管理年度,3,1),流水日期,"&lt;="&amp;EOMONTH(DATE(管理年度,3,1),0)),2))</f>
        <v/>
      </c>
      <c r="F36" s="23" t="str">
        <f>IF($A36="","",ROUND(IF($B36="支出",-1,1)*SUMIFS(流水本位,流水类别,$A36,流水日期,"&gt;="&amp;DATE(管理年度,4,1),流水日期,"&lt;="&amp;EOMONTH(DATE(管理年度,4,1),0)),2))</f>
        <v/>
      </c>
      <c r="G36" s="23" t="str">
        <f>IF($A36="","",ROUND(IF($B36="支出",-1,1)*SUMIFS(流水本位,流水类别,$A36,流水日期,"&gt;="&amp;DATE(管理年度,5,1),流水日期,"&lt;="&amp;EOMONTH(DATE(管理年度,5,1),0)),2))</f>
        <v/>
      </c>
      <c r="H36" s="23" t="str">
        <f>IF($A36="","",ROUND(IF($B36="支出",-1,1)*SUMIFS(流水本位,流水类别,$A36,流水日期,"&gt;="&amp;DATE(管理年度,6,1),流水日期,"&lt;="&amp;EOMONTH(DATE(管理年度,6,1),0)),2))</f>
        <v/>
      </c>
      <c r="I36" s="23" t="str">
        <f>IF($A36="","",ROUND(IF($B36="支出",-1,1)*SUMIFS(流水本位,流水类别,$A36,流水日期,"&gt;="&amp;DATE(管理年度,7,1),流水日期,"&lt;="&amp;EOMONTH(DATE(管理年度,7,1),0)),2))</f>
        <v/>
      </c>
      <c r="J36" s="23" t="str">
        <f>IF($A36="","",ROUND(IF($B36="支出",-1,1)*SUMIFS(流水本位,流水类别,$A36,流水日期,"&gt;="&amp;DATE(管理年度,8,1),流水日期,"&lt;="&amp;EOMONTH(DATE(管理年度,8,1),0)),2))</f>
        <v/>
      </c>
      <c r="K36" s="23" t="str">
        <f>IF($A36="","",ROUND(IF($B36="支出",-1,1)*SUMIFS(流水本位,流水类别,$A36,流水日期,"&gt;="&amp;DATE(管理年度,9,1),流水日期,"&lt;="&amp;EOMONTH(DATE(管理年度,9,1),0)),2))</f>
        <v/>
      </c>
      <c r="L36" s="23" t="str">
        <f>IF($A36="","",ROUND(IF($B36="支出",-1,1)*SUMIFS(流水本位,流水类别,$A36,流水日期,"&gt;="&amp;DATE(管理年度,10,1),流水日期,"&lt;="&amp;EOMONTH(DATE(管理年度,10,1),0)),2))</f>
        <v/>
      </c>
      <c r="M36" s="23" t="str">
        <f>IF($A36="","",ROUND(IF($B36="支出",-1,1)*SUMIFS(流水本位,流水类别,$A36,流水日期,"&gt;="&amp;DATE(管理年度,11,1),流水日期,"&lt;="&amp;EOMONTH(DATE(管理年度,11,1),0)),2))</f>
        <v/>
      </c>
      <c r="N36" s="23" t="str">
        <f>IF($A36="","",ROUND(IF($B36="支出",-1,1)*SUMIFS(流水本位,流水类别,$A36,流水日期,"&gt;="&amp;DATE(管理年度,12,1),流水日期,"&lt;="&amp;EOMONTH(DATE(管理年度,12,1),0)),2))</f>
        <v/>
      </c>
      <c r="O36" s="23" t="str">
        <f t="shared" si="4"/>
        <v/>
      </c>
      <c r="P36" s="30" t="str">
        <f t="shared" si="5"/>
        <v/>
      </c>
    </row>
    <row r="37" ht="16.5" spans="1:16">
      <c r="A37" s="6" t="str">
        <f>IF(参数设置!$O$36="","",参数设置!$O$36)</f>
        <v/>
      </c>
      <c r="B37" s="12" t="str">
        <f>IF($A37="","",参数设置!$P$36)</f>
        <v/>
      </c>
      <c r="C37" s="23" t="str">
        <f>IF($A37="","",ROUND(IF($B37="支出",-1,1)*SUMIFS(流水本位,流水类别,$A37,流水日期,"&gt;="&amp;DATE(管理年度,1,1),流水日期,"&lt;="&amp;EOMONTH(DATE(管理年度,1,1),0)),2))</f>
        <v/>
      </c>
      <c r="D37" s="23" t="str">
        <f>IF($A37="","",ROUND(IF($B37="支出",-1,1)*SUMIFS(流水本位,流水类别,$A37,流水日期,"&gt;="&amp;DATE(管理年度,2,1),流水日期,"&lt;="&amp;EOMONTH(DATE(管理年度,2,1),0)),2))</f>
        <v/>
      </c>
      <c r="E37" s="23" t="str">
        <f>IF($A37="","",ROUND(IF($B37="支出",-1,1)*SUMIFS(流水本位,流水类别,$A37,流水日期,"&gt;="&amp;DATE(管理年度,3,1),流水日期,"&lt;="&amp;EOMONTH(DATE(管理年度,3,1),0)),2))</f>
        <v/>
      </c>
      <c r="F37" s="23" t="str">
        <f>IF($A37="","",ROUND(IF($B37="支出",-1,1)*SUMIFS(流水本位,流水类别,$A37,流水日期,"&gt;="&amp;DATE(管理年度,4,1),流水日期,"&lt;="&amp;EOMONTH(DATE(管理年度,4,1),0)),2))</f>
        <v/>
      </c>
      <c r="G37" s="23" t="str">
        <f>IF($A37="","",ROUND(IF($B37="支出",-1,1)*SUMIFS(流水本位,流水类别,$A37,流水日期,"&gt;="&amp;DATE(管理年度,5,1),流水日期,"&lt;="&amp;EOMONTH(DATE(管理年度,5,1),0)),2))</f>
        <v/>
      </c>
      <c r="H37" s="23" t="str">
        <f>IF($A37="","",ROUND(IF($B37="支出",-1,1)*SUMIFS(流水本位,流水类别,$A37,流水日期,"&gt;="&amp;DATE(管理年度,6,1),流水日期,"&lt;="&amp;EOMONTH(DATE(管理年度,6,1),0)),2))</f>
        <v/>
      </c>
      <c r="I37" s="23" t="str">
        <f>IF($A37="","",ROUND(IF($B37="支出",-1,1)*SUMIFS(流水本位,流水类别,$A37,流水日期,"&gt;="&amp;DATE(管理年度,7,1),流水日期,"&lt;="&amp;EOMONTH(DATE(管理年度,7,1),0)),2))</f>
        <v/>
      </c>
      <c r="J37" s="23" t="str">
        <f>IF($A37="","",ROUND(IF($B37="支出",-1,1)*SUMIFS(流水本位,流水类别,$A37,流水日期,"&gt;="&amp;DATE(管理年度,8,1),流水日期,"&lt;="&amp;EOMONTH(DATE(管理年度,8,1),0)),2))</f>
        <v/>
      </c>
      <c r="K37" s="23" t="str">
        <f>IF($A37="","",ROUND(IF($B37="支出",-1,1)*SUMIFS(流水本位,流水类别,$A37,流水日期,"&gt;="&amp;DATE(管理年度,9,1),流水日期,"&lt;="&amp;EOMONTH(DATE(管理年度,9,1),0)),2))</f>
        <v/>
      </c>
      <c r="L37" s="23" t="str">
        <f>IF($A37="","",ROUND(IF($B37="支出",-1,1)*SUMIFS(流水本位,流水类别,$A37,流水日期,"&gt;="&amp;DATE(管理年度,10,1),流水日期,"&lt;="&amp;EOMONTH(DATE(管理年度,10,1),0)),2))</f>
        <v/>
      </c>
      <c r="M37" s="23" t="str">
        <f>IF($A37="","",ROUND(IF($B37="支出",-1,1)*SUMIFS(流水本位,流水类别,$A37,流水日期,"&gt;="&amp;DATE(管理年度,11,1),流水日期,"&lt;="&amp;EOMONTH(DATE(管理年度,11,1),0)),2))</f>
        <v/>
      </c>
      <c r="N37" s="23" t="str">
        <f>IF($A37="","",ROUND(IF($B37="支出",-1,1)*SUMIFS(流水本位,流水类别,$A37,流水日期,"&gt;="&amp;DATE(管理年度,12,1),流水日期,"&lt;="&amp;EOMONTH(DATE(管理年度,12,1),0)),2))</f>
        <v/>
      </c>
      <c r="O37" s="23" t="str">
        <f t="shared" si="4"/>
        <v/>
      </c>
      <c r="P37" s="30" t="str">
        <f t="shared" si="5"/>
        <v/>
      </c>
    </row>
    <row r="38" ht="16.5" spans="1:16">
      <c r="A38" s="6" t="str">
        <f>IF(参数设置!$O$37="","",参数设置!$O$37)</f>
        <v/>
      </c>
      <c r="B38" s="12" t="str">
        <f>IF($A38="","",参数设置!$P$37)</f>
        <v/>
      </c>
      <c r="C38" s="23" t="str">
        <f>IF($A38="","",ROUND(IF($B38="支出",-1,1)*SUMIFS(流水本位,流水类别,$A38,流水日期,"&gt;="&amp;DATE(管理年度,1,1),流水日期,"&lt;="&amp;EOMONTH(DATE(管理年度,1,1),0)),2))</f>
        <v/>
      </c>
      <c r="D38" s="23" t="str">
        <f>IF($A38="","",ROUND(IF($B38="支出",-1,1)*SUMIFS(流水本位,流水类别,$A38,流水日期,"&gt;="&amp;DATE(管理年度,2,1),流水日期,"&lt;="&amp;EOMONTH(DATE(管理年度,2,1),0)),2))</f>
        <v/>
      </c>
      <c r="E38" s="23" t="str">
        <f>IF($A38="","",ROUND(IF($B38="支出",-1,1)*SUMIFS(流水本位,流水类别,$A38,流水日期,"&gt;="&amp;DATE(管理年度,3,1),流水日期,"&lt;="&amp;EOMONTH(DATE(管理年度,3,1),0)),2))</f>
        <v/>
      </c>
      <c r="F38" s="23" t="str">
        <f>IF($A38="","",ROUND(IF($B38="支出",-1,1)*SUMIFS(流水本位,流水类别,$A38,流水日期,"&gt;="&amp;DATE(管理年度,4,1),流水日期,"&lt;="&amp;EOMONTH(DATE(管理年度,4,1),0)),2))</f>
        <v/>
      </c>
      <c r="G38" s="23" t="str">
        <f>IF($A38="","",ROUND(IF($B38="支出",-1,1)*SUMIFS(流水本位,流水类别,$A38,流水日期,"&gt;="&amp;DATE(管理年度,5,1),流水日期,"&lt;="&amp;EOMONTH(DATE(管理年度,5,1),0)),2))</f>
        <v/>
      </c>
      <c r="H38" s="23" t="str">
        <f>IF($A38="","",ROUND(IF($B38="支出",-1,1)*SUMIFS(流水本位,流水类别,$A38,流水日期,"&gt;="&amp;DATE(管理年度,6,1),流水日期,"&lt;="&amp;EOMONTH(DATE(管理年度,6,1),0)),2))</f>
        <v/>
      </c>
      <c r="I38" s="23" t="str">
        <f>IF($A38="","",ROUND(IF($B38="支出",-1,1)*SUMIFS(流水本位,流水类别,$A38,流水日期,"&gt;="&amp;DATE(管理年度,7,1),流水日期,"&lt;="&amp;EOMONTH(DATE(管理年度,7,1),0)),2))</f>
        <v/>
      </c>
      <c r="J38" s="23" t="str">
        <f>IF($A38="","",ROUND(IF($B38="支出",-1,1)*SUMIFS(流水本位,流水类别,$A38,流水日期,"&gt;="&amp;DATE(管理年度,8,1),流水日期,"&lt;="&amp;EOMONTH(DATE(管理年度,8,1),0)),2))</f>
        <v/>
      </c>
      <c r="K38" s="23" t="str">
        <f>IF($A38="","",ROUND(IF($B38="支出",-1,1)*SUMIFS(流水本位,流水类别,$A38,流水日期,"&gt;="&amp;DATE(管理年度,9,1),流水日期,"&lt;="&amp;EOMONTH(DATE(管理年度,9,1),0)),2))</f>
        <v/>
      </c>
      <c r="L38" s="23" t="str">
        <f>IF($A38="","",ROUND(IF($B38="支出",-1,1)*SUMIFS(流水本位,流水类别,$A38,流水日期,"&gt;="&amp;DATE(管理年度,10,1),流水日期,"&lt;="&amp;EOMONTH(DATE(管理年度,10,1),0)),2))</f>
        <v/>
      </c>
      <c r="M38" s="23" t="str">
        <f>IF($A38="","",ROUND(IF($B38="支出",-1,1)*SUMIFS(流水本位,流水类别,$A38,流水日期,"&gt;="&amp;DATE(管理年度,11,1),流水日期,"&lt;="&amp;EOMONTH(DATE(管理年度,11,1),0)),2))</f>
        <v/>
      </c>
      <c r="N38" s="23" t="str">
        <f>IF($A38="","",ROUND(IF($B38="支出",-1,1)*SUMIFS(流水本位,流水类别,$A38,流水日期,"&gt;="&amp;DATE(管理年度,12,1),流水日期,"&lt;="&amp;EOMONTH(DATE(管理年度,12,1),0)),2))</f>
        <v/>
      </c>
      <c r="O38" s="23" t="str">
        <f t="shared" si="4"/>
        <v/>
      </c>
      <c r="P38" s="30" t="str">
        <f t="shared" si="5"/>
        <v/>
      </c>
    </row>
    <row r="39" ht="16.5" spans="1:16">
      <c r="A39" s="6" t="str">
        <f>IF(参数设置!$O$38="","",参数设置!$O$38)</f>
        <v/>
      </c>
      <c r="B39" s="12" t="str">
        <f>IF($A39="","",参数设置!$P$38)</f>
        <v/>
      </c>
      <c r="C39" s="23" t="str">
        <f>IF($A39="","",ROUND(IF($B39="支出",-1,1)*SUMIFS(流水本位,流水类别,$A39,流水日期,"&gt;="&amp;DATE(管理年度,1,1),流水日期,"&lt;="&amp;EOMONTH(DATE(管理年度,1,1),0)),2))</f>
        <v/>
      </c>
      <c r="D39" s="23" t="str">
        <f>IF($A39="","",ROUND(IF($B39="支出",-1,1)*SUMIFS(流水本位,流水类别,$A39,流水日期,"&gt;="&amp;DATE(管理年度,2,1),流水日期,"&lt;="&amp;EOMONTH(DATE(管理年度,2,1),0)),2))</f>
        <v/>
      </c>
      <c r="E39" s="23" t="str">
        <f>IF($A39="","",ROUND(IF($B39="支出",-1,1)*SUMIFS(流水本位,流水类别,$A39,流水日期,"&gt;="&amp;DATE(管理年度,3,1),流水日期,"&lt;="&amp;EOMONTH(DATE(管理年度,3,1),0)),2))</f>
        <v/>
      </c>
      <c r="F39" s="23" t="str">
        <f>IF($A39="","",ROUND(IF($B39="支出",-1,1)*SUMIFS(流水本位,流水类别,$A39,流水日期,"&gt;="&amp;DATE(管理年度,4,1),流水日期,"&lt;="&amp;EOMONTH(DATE(管理年度,4,1),0)),2))</f>
        <v/>
      </c>
      <c r="G39" s="23" t="str">
        <f>IF($A39="","",ROUND(IF($B39="支出",-1,1)*SUMIFS(流水本位,流水类别,$A39,流水日期,"&gt;="&amp;DATE(管理年度,5,1),流水日期,"&lt;="&amp;EOMONTH(DATE(管理年度,5,1),0)),2))</f>
        <v/>
      </c>
      <c r="H39" s="23" t="str">
        <f>IF($A39="","",ROUND(IF($B39="支出",-1,1)*SUMIFS(流水本位,流水类别,$A39,流水日期,"&gt;="&amp;DATE(管理年度,6,1),流水日期,"&lt;="&amp;EOMONTH(DATE(管理年度,6,1),0)),2))</f>
        <v/>
      </c>
      <c r="I39" s="23" t="str">
        <f>IF($A39="","",ROUND(IF($B39="支出",-1,1)*SUMIFS(流水本位,流水类别,$A39,流水日期,"&gt;="&amp;DATE(管理年度,7,1),流水日期,"&lt;="&amp;EOMONTH(DATE(管理年度,7,1),0)),2))</f>
        <v/>
      </c>
      <c r="J39" s="23" t="str">
        <f>IF($A39="","",ROUND(IF($B39="支出",-1,1)*SUMIFS(流水本位,流水类别,$A39,流水日期,"&gt;="&amp;DATE(管理年度,8,1),流水日期,"&lt;="&amp;EOMONTH(DATE(管理年度,8,1),0)),2))</f>
        <v/>
      </c>
      <c r="K39" s="23" t="str">
        <f>IF($A39="","",ROUND(IF($B39="支出",-1,1)*SUMIFS(流水本位,流水类别,$A39,流水日期,"&gt;="&amp;DATE(管理年度,9,1),流水日期,"&lt;="&amp;EOMONTH(DATE(管理年度,9,1),0)),2))</f>
        <v/>
      </c>
      <c r="L39" s="23" t="str">
        <f>IF($A39="","",ROUND(IF($B39="支出",-1,1)*SUMIFS(流水本位,流水类别,$A39,流水日期,"&gt;="&amp;DATE(管理年度,10,1),流水日期,"&lt;="&amp;EOMONTH(DATE(管理年度,10,1),0)),2))</f>
        <v/>
      </c>
      <c r="M39" s="23" t="str">
        <f>IF($A39="","",ROUND(IF($B39="支出",-1,1)*SUMIFS(流水本位,流水类别,$A39,流水日期,"&gt;="&amp;DATE(管理年度,11,1),流水日期,"&lt;="&amp;EOMONTH(DATE(管理年度,11,1),0)),2))</f>
        <v/>
      </c>
      <c r="N39" s="23" t="str">
        <f>IF($A39="","",ROUND(IF($B39="支出",-1,1)*SUMIFS(流水本位,流水类别,$A39,流水日期,"&gt;="&amp;DATE(管理年度,12,1),流水日期,"&lt;="&amp;EOMONTH(DATE(管理年度,12,1),0)),2))</f>
        <v/>
      </c>
      <c r="O39" s="23" t="str">
        <f t="shared" si="4"/>
        <v/>
      </c>
      <c r="P39" s="30" t="str">
        <f t="shared" si="5"/>
        <v/>
      </c>
    </row>
    <row r="40" ht="16.5" spans="1:16">
      <c r="A40" s="6" t="str">
        <f>IF(参数设置!$O$39="","",参数设置!$O$39)</f>
        <v/>
      </c>
      <c r="B40" s="12" t="str">
        <f>IF($A40="","",参数设置!$P$39)</f>
        <v/>
      </c>
      <c r="C40" s="23" t="str">
        <f>IF($A40="","",ROUND(IF($B40="支出",-1,1)*SUMIFS(流水本位,流水类别,$A40,流水日期,"&gt;="&amp;DATE(管理年度,1,1),流水日期,"&lt;="&amp;EOMONTH(DATE(管理年度,1,1),0)),2))</f>
        <v/>
      </c>
      <c r="D40" s="23" t="str">
        <f>IF($A40="","",ROUND(IF($B40="支出",-1,1)*SUMIFS(流水本位,流水类别,$A40,流水日期,"&gt;="&amp;DATE(管理年度,2,1),流水日期,"&lt;="&amp;EOMONTH(DATE(管理年度,2,1),0)),2))</f>
        <v/>
      </c>
      <c r="E40" s="23" t="str">
        <f>IF($A40="","",ROUND(IF($B40="支出",-1,1)*SUMIFS(流水本位,流水类别,$A40,流水日期,"&gt;="&amp;DATE(管理年度,3,1),流水日期,"&lt;="&amp;EOMONTH(DATE(管理年度,3,1),0)),2))</f>
        <v/>
      </c>
      <c r="F40" s="23" t="str">
        <f>IF($A40="","",ROUND(IF($B40="支出",-1,1)*SUMIFS(流水本位,流水类别,$A40,流水日期,"&gt;="&amp;DATE(管理年度,4,1),流水日期,"&lt;="&amp;EOMONTH(DATE(管理年度,4,1),0)),2))</f>
        <v/>
      </c>
      <c r="G40" s="23" t="str">
        <f>IF($A40="","",ROUND(IF($B40="支出",-1,1)*SUMIFS(流水本位,流水类别,$A40,流水日期,"&gt;="&amp;DATE(管理年度,5,1),流水日期,"&lt;="&amp;EOMONTH(DATE(管理年度,5,1),0)),2))</f>
        <v/>
      </c>
      <c r="H40" s="23" t="str">
        <f>IF($A40="","",ROUND(IF($B40="支出",-1,1)*SUMIFS(流水本位,流水类别,$A40,流水日期,"&gt;="&amp;DATE(管理年度,6,1),流水日期,"&lt;="&amp;EOMONTH(DATE(管理年度,6,1),0)),2))</f>
        <v/>
      </c>
      <c r="I40" s="23" t="str">
        <f>IF($A40="","",ROUND(IF($B40="支出",-1,1)*SUMIFS(流水本位,流水类别,$A40,流水日期,"&gt;="&amp;DATE(管理年度,7,1),流水日期,"&lt;="&amp;EOMONTH(DATE(管理年度,7,1),0)),2))</f>
        <v/>
      </c>
      <c r="J40" s="23" t="str">
        <f>IF($A40="","",ROUND(IF($B40="支出",-1,1)*SUMIFS(流水本位,流水类别,$A40,流水日期,"&gt;="&amp;DATE(管理年度,8,1),流水日期,"&lt;="&amp;EOMONTH(DATE(管理年度,8,1),0)),2))</f>
        <v/>
      </c>
      <c r="K40" s="23" t="str">
        <f>IF($A40="","",ROUND(IF($B40="支出",-1,1)*SUMIFS(流水本位,流水类别,$A40,流水日期,"&gt;="&amp;DATE(管理年度,9,1),流水日期,"&lt;="&amp;EOMONTH(DATE(管理年度,9,1),0)),2))</f>
        <v/>
      </c>
      <c r="L40" s="23" t="str">
        <f>IF($A40="","",ROUND(IF($B40="支出",-1,1)*SUMIFS(流水本位,流水类别,$A40,流水日期,"&gt;="&amp;DATE(管理年度,10,1),流水日期,"&lt;="&amp;EOMONTH(DATE(管理年度,10,1),0)),2))</f>
        <v/>
      </c>
      <c r="M40" s="23" t="str">
        <f>IF($A40="","",ROUND(IF($B40="支出",-1,1)*SUMIFS(流水本位,流水类别,$A40,流水日期,"&gt;="&amp;DATE(管理年度,11,1),流水日期,"&lt;="&amp;EOMONTH(DATE(管理年度,11,1),0)),2))</f>
        <v/>
      </c>
      <c r="N40" s="23" t="str">
        <f>IF($A40="","",ROUND(IF($B40="支出",-1,1)*SUMIFS(流水本位,流水类别,$A40,流水日期,"&gt;="&amp;DATE(管理年度,12,1),流水日期,"&lt;="&amp;EOMONTH(DATE(管理年度,12,1),0)),2))</f>
        <v/>
      </c>
      <c r="O40" s="23" t="str">
        <f t="shared" si="4"/>
        <v/>
      </c>
      <c r="P40" s="30" t="str">
        <f t="shared" si="5"/>
        <v/>
      </c>
    </row>
    <row r="41" ht="16.5" spans="1:16">
      <c r="A41" s="6" t="str">
        <f>IF(参数设置!$O$40="","",参数设置!$O$40)</f>
        <v/>
      </c>
      <c r="B41" s="12" t="str">
        <f>IF($A41="","",参数设置!$P$40)</f>
        <v/>
      </c>
      <c r="C41" s="23" t="str">
        <f>IF($A41="","",ROUND(IF($B41="支出",-1,1)*SUMIFS(流水本位,流水类别,$A41,流水日期,"&gt;="&amp;DATE(管理年度,1,1),流水日期,"&lt;="&amp;EOMONTH(DATE(管理年度,1,1),0)),2))</f>
        <v/>
      </c>
      <c r="D41" s="23" t="str">
        <f>IF($A41="","",ROUND(IF($B41="支出",-1,1)*SUMIFS(流水本位,流水类别,$A41,流水日期,"&gt;="&amp;DATE(管理年度,2,1),流水日期,"&lt;="&amp;EOMONTH(DATE(管理年度,2,1),0)),2))</f>
        <v/>
      </c>
      <c r="E41" s="23" t="str">
        <f>IF($A41="","",ROUND(IF($B41="支出",-1,1)*SUMIFS(流水本位,流水类别,$A41,流水日期,"&gt;="&amp;DATE(管理年度,3,1),流水日期,"&lt;="&amp;EOMONTH(DATE(管理年度,3,1),0)),2))</f>
        <v/>
      </c>
      <c r="F41" s="23" t="str">
        <f>IF($A41="","",ROUND(IF($B41="支出",-1,1)*SUMIFS(流水本位,流水类别,$A41,流水日期,"&gt;="&amp;DATE(管理年度,4,1),流水日期,"&lt;="&amp;EOMONTH(DATE(管理年度,4,1),0)),2))</f>
        <v/>
      </c>
      <c r="G41" s="23" t="str">
        <f>IF($A41="","",ROUND(IF($B41="支出",-1,1)*SUMIFS(流水本位,流水类别,$A41,流水日期,"&gt;="&amp;DATE(管理年度,5,1),流水日期,"&lt;="&amp;EOMONTH(DATE(管理年度,5,1),0)),2))</f>
        <v/>
      </c>
      <c r="H41" s="23" t="str">
        <f>IF($A41="","",ROUND(IF($B41="支出",-1,1)*SUMIFS(流水本位,流水类别,$A41,流水日期,"&gt;="&amp;DATE(管理年度,6,1),流水日期,"&lt;="&amp;EOMONTH(DATE(管理年度,6,1),0)),2))</f>
        <v/>
      </c>
      <c r="I41" s="23" t="str">
        <f>IF($A41="","",ROUND(IF($B41="支出",-1,1)*SUMIFS(流水本位,流水类别,$A41,流水日期,"&gt;="&amp;DATE(管理年度,7,1),流水日期,"&lt;="&amp;EOMONTH(DATE(管理年度,7,1),0)),2))</f>
        <v/>
      </c>
      <c r="J41" s="23" t="str">
        <f>IF($A41="","",ROUND(IF($B41="支出",-1,1)*SUMIFS(流水本位,流水类别,$A41,流水日期,"&gt;="&amp;DATE(管理年度,8,1),流水日期,"&lt;="&amp;EOMONTH(DATE(管理年度,8,1),0)),2))</f>
        <v/>
      </c>
      <c r="K41" s="23" t="str">
        <f>IF($A41="","",ROUND(IF($B41="支出",-1,1)*SUMIFS(流水本位,流水类别,$A41,流水日期,"&gt;="&amp;DATE(管理年度,9,1),流水日期,"&lt;="&amp;EOMONTH(DATE(管理年度,9,1),0)),2))</f>
        <v/>
      </c>
      <c r="L41" s="23" t="str">
        <f>IF($A41="","",ROUND(IF($B41="支出",-1,1)*SUMIFS(流水本位,流水类别,$A41,流水日期,"&gt;="&amp;DATE(管理年度,10,1),流水日期,"&lt;="&amp;EOMONTH(DATE(管理年度,10,1),0)),2))</f>
        <v/>
      </c>
      <c r="M41" s="23" t="str">
        <f>IF($A41="","",ROUND(IF($B41="支出",-1,1)*SUMIFS(流水本位,流水类别,$A41,流水日期,"&gt;="&amp;DATE(管理年度,11,1),流水日期,"&lt;="&amp;EOMONTH(DATE(管理年度,11,1),0)),2))</f>
        <v/>
      </c>
      <c r="N41" s="23" t="str">
        <f>IF($A41="","",ROUND(IF($B41="支出",-1,1)*SUMIFS(流水本位,流水类别,$A41,流水日期,"&gt;="&amp;DATE(管理年度,12,1),流水日期,"&lt;="&amp;EOMONTH(DATE(管理年度,12,1),0)),2))</f>
        <v/>
      </c>
      <c r="O41" s="23" t="str">
        <f t="shared" si="4"/>
        <v/>
      </c>
      <c r="P41" s="30" t="str">
        <f t="shared" si="5"/>
        <v/>
      </c>
    </row>
  </sheetData>
  <mergeCells count="3">
    <mergeCell ref="A1:P1"/>
    <mergeCell ref="A2:P2"/>
    <mergeCell ref="A10:P10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T73"/>
  <sheetViews>
    <sheetView showGridLines="0" workbookViewId="0">
      <pane ySplit="6" topLeftCell="A29" activePane="bottomLeft" state="frozen"/>
      <selection/>
      <selection pane="bottomLeft" activeCell="F37" sqref="F37"/>
    </sheetView>
  </sheetViews>
  <sheetFormatPr defaultColWidth="9" defaultRowHeight="13.5"/>
  <cols>
    <col min="1" max="1" width="11" customWidth="1"/>
    <col min="2" max="2" width="23" customWidth="1"/>
    <col min="3" max="3" width="14.5" customWidth="1"/>
    <col min="4" max="7" width="15" customWidth="1"/>
    <col min="8" max="8" width="10" customWidth="1"/>
    <col min="9" max="20" width="17" customWidth="1"/>
  </cols>
  <sheetData>
    <row r="1" ht="30" customHeight="1" spans="1:20">
      <c r="A1" s="1" t="s">
        <v>315</v>
      </c>
    </row>
    <row r="2" ht="24" customHeight="1" spans="1:20">
      <c r="A2" s="2" t="s">
        <v>316</v>
      </c>
    </row>
    <row r="3" ht="16.5" spans="1:20">
      <c r="A3" s="25" t="s">
        <v>317</v>
      </c>
      <c r="B3" s="26">
        <v>46235</v>
      </c>
      <c r="C3" s="25" t="s">
        <v>318</v>
      </c>
      <c r="D3" s="26">
        <v>46265</v>
      </c>
      <c r="E3" s="25" t="s">
        <v>319</v>
      </c>
      <c r="F3" s="5">
        <f>IF(OR($B$3="",$D$3=""),"",IF($D$3&lt;$B$3,"※截止早于起始",IF($D$3-$B$3+1&gt;31,"※超过 31 天，请分段查",$D$3-$B$3+1)))</f>
        <v>31</v>
      </c>
      <c r="G3" s="27" t="s">
        <v>320</v>
      </c>
    </row>
    <row r="5" ht="22" customHeight="1" spans="1:20">
      <c r="A5" s="33" t="s">
        <v>321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ht="30" customHeight="1" spans="1:20">
      <c r="A6" s="28" t="s">
        <v>322</v>
      </c>
      <c r="B6" s="28" t="s">
        <v>323</v>
      </c>
      <c r="C6" s="28" t="s">
        <v>324</v>
      </c>
      <c r="D6" s="28" t="s">
        <v>325</v>
      </c>
      <c r="E6" s="28" t="s">
        <v>326</v>
      </c>
      <c r="F6" s="28" t="str">
        <f>IF(IF(参数设置!$C$11="","",参数设置!$C$11)="","",参数设置!$C$11&amp;"("&amp;参数设置!$E$11&amp;")")</f>
        <v>工商银行基本户-8888(CNY)</v>
      </c>
      <c r="G6" s="28" t="str">
        <f>IF(IF(参数设置!$C$12="","",参数设置!$C$12)="","",参数设置!$C$12&amp;"("&amp;参数设置!$E$12&amp;")")</f>
        <v>中国银行美元结算户-6688(USD)</v>
      </c>
      <c r="H6" s="28" t="str">
        <f>IF(IF(参数设置!$C$13="","",参数设置!$C$13)="","",参数设置!$C$13&amp;"("&amp;参数设置!$E$13&amp;")")</f>
        <v>汇丰银行港币结算户-5566(HKD)</v>
      </c>
      <c r="I6" s="28" t="str">
        <f>IF(IF(参数设置!$C$14="","",参数设置!$C$14)="","",参数设置!$C$14&amp;"("&amp;参数设置!$E$14&amp;")")</f>
        <v>招商银行一般户-2388(CNY)</v>
      </c>
      <c r="J6" s="28" t="str">
        <f>IF(IF(参数设置!$C$15="","",参数设置!$C$15)="","",参数设置!$C$15&amp;"("&amp;参数设置!$E$15&amp;")")</f>
        <v>汇丰银行美元结算户-7788(USD)</v>
      </c>
      <c r="K6" s="28" t="str">
        <f>IF(IF(参数设置!$C$16="","",参数设置!$C$16)="","",参数设置!$C$16&amp;"("&amp;参数设置!$E$16&amp;")")</f>
        <v>中国银行欧元结算户-9900(EUR)</v>
      </c>
      <c r="L6" s="28" t="str">
        <f>IF(IF(参数设置!$C$17="","",参数设置!$C$17)="","",参数设置!$C$17&amp;"("&amp;参数设置!$E$17&amp;")")</f>
        <v/>
      </c>
      <c r="M6" s="28" t="str">
        <f>IF(IF(参数设置!$C$18="","",参数设置!$C$18)="","",参数设置!$C$18&amp;"("&amp;参数设置!$E$18&amp;")")</f>
        <v/>
      </c>
      <c r="N6" s="28" t="str">
        <f>IF(IF(参数设置!$C$19="","",参数设置!$C$19)="","",参数设置!$C$19&amp;"("&amp;参数设置!$E$19&amp;")")</f>
        <v/>
      </c>
      <c r="O6" s="28" t="str">
        <f>IF(IF(参数设置!$C$20="","",参数设置!$C$20)="","",参数设置!$C$20&amp;"("&amp;参数设置!$E$20&amp;")")</f>
        <v/>
      </c>
      <c r="P6" s="28" t="str">
        <f>IF(IF(参数设置!$C$21="","",参数设置!$C$21)="","",参数设置!$C$21&amp;"("&amp;参数设置!$E$21&amp;")")</f>
        <v/>
      </c>
      <c r="Q6" s="28" t="str">
        <f>IF(IF(参数设置!$C$22="","",参数设置!$C$22)="","",参数设置!$C$22&amp;"("&amp;参数设置!$E$22&amp;")")</f>
        <v/>
      </c>
      <c r="R6" s="28" t="str">
        <f>IF(IF(参数设置!$C$23="","",参数设置!$C$23)="","",参数设置!$C$23&amp;"("&amp;参数设置!$E$23&amp;")")</f>
        <v/>
      </c>
      <c r="S6" s="28" t="str">
        <f>IF(IF(参数设置!$C$24="","",参数设置!$C$24)="","",参数设置!$C$24&amp;"("&amp;参数设置!$E$24&amp;")")</f>
        <v/>
      </c>
      <c r="T6" s="28" t="str">
        <f>IF(IF(参数设置!$C$25="","",参数设置!$C$25)="","",参数设置!$C$25&amp;"("&amp;参数设置!$E$25&amp;")")</f>
        <v/>
      </c>
    </row>
    <row r="7" ht="16.5" spans="1:20">
      <c r="A7" s="22">
        <f>IF(OR($B$3="",NOT(ISNUMBER($F$3))),"",IF(1&gt;$F$3,"",$B$3+0))</f>
        <v>46235</v>
      </c>
      <c r="B7" s="23">
        <f>IF($A7="","",ROUND(SUMIFS(流水本位,流水日期,$A7,流水属性,"&lt;&gt;内部转账",流水本位,"&gt;0"),2))</f>
        <v>0</v>
      </c>
      <c r="C7" s="23">
        <f>IF($A7="","",-ROUND(SUMIFS(流水本位,流水日期,$A7,流水属性,"&lt;&gt;内部转账",流水本位,"&lt;0"),2))</f>
        <v>0</v>
      </c>
      <c r="D7" s="23">
        <f t="shared" ref="D7:D37" si="0">IF($A7="","",ROUND($B7-$C7,2))</f>
        <v>0</v>
      </c>
      <c r="E7" s="23">
        <f>IF($A7="","",ROUND(SUM(账户期初本位)+SUMIFS(流水本位,流水日期,"&lt;="&amp;$A7),2))</f>
        <v>11192300</v>
      </c>
      <c r="F7" s="23">
        <f>IF(OR($A7="",IF(参数设置!$C$11="","",参数设置!$C$11)=""),"",ROUND(N(参数设置!$G$11)+SUMIFS(流水净额,流水账户,参数设置!$C$11,流水日期,"&lt;="&amp;$A7),2))</f>
        <v>500000</v>
      </c>
      <c r="G7" s="23">
        <f>IF(OR($A7="",IF(参数设置!$C$12="","",参数设置!$C$12)=""),"",ROUND(N(参数设置!$G$12)+SUMIFS(流水净额,流水账户,参数设置!$C$12,流水日期,"&lt;="&amp;$A7),2))</f>
        <v>800000</v>
      </c>
      <c r="H7" s="23">
        <f>IF(OR($A7="",IF(参数设置!$C$13="","",参数设置!$C$13)=""),"",ROUND(N(参数设置!$G$13)+SUMIFS(流水净额,流水账户,参数设置!$C$13,流水日期,"&lt;="&amp;$A7),2))</f>
        <v>300000</v>
      </c>
      <c r="I7" s="23">
        <f>IF(OR($A7="",IF(参数设置!$C$14="","",参数设置!$C$14)=""),"",ROUND(N(参数设置!$G$14)+SUMIFS(流水净额,流水账户,参数设置!$C$14,流水日期,"&lt;="&amp;$A7),2))</f>
        <v>200000</v>
      </c>
      <c r="J7" s="23">
        <f>IF(OR($A7="",IF(参数设置!$C$15="","",参数设置!$C$15)=""),"",ROUND(N(参数设置!$G$15)+SUMIFS(流水净额,流水账户,参数设置!$C$15,流水日期,"&lt;="&amp;$A7),2))</f>
        <v>500000</v>
      </c>
      <c r="K7" s="23">
        <f>IF(OR($A7="",IF(参数设置!$C$16="","",参数设置!$C$16)=""),"",ROUND(N(参数设置!$G$16)+SUMIFS(流水净额,流水账户,参数设置!$C$16,流水日期,"&lt;="&amp;$A7),2))</f>
        <v>120000</v>
      </c>
      <c r="L7" s="23" t="str">
        <f>IF(OR($A7="",IF(参数设置!$C$17="","",参数设置!$C$17)=""),"",ROUND(N(参数设置!$G$17)+SUMIFS(流水净额,流水账户,参数设置!$C$17,流水日期,"&lt;="&amp;$A7),2))</f>
        <v/>
      </c>
      <c r="M7" s="23" t="str">
        <f>IF(OR($A7="",IF(参数设置!$C$18="","",参数设置!$C$18)=""),"",ROUND(N(参数设置!$G$18)+SUMIFS(流水净额,流水账户,参数设置!$C$18,流水日期,"&lt;="&amp;$A7),2))</f>
        <v/>
      </c>
      <c r="N7" s="23" t="str">
        <f>IF(OR($A7="",IF(参数设置!$C$19="","",参数设置!$C$19)=""),"",ROUND(N(参数设置!$G$19)+SUMIFS(流水净额,流水账户,参数设置!$C$19,流水日期,"&lt;="&amp;$A7),2))</f>
        <v/>
      </c>
      <c r="O7" s="23" t="str">
        <f>IF(OR($A7="",IF(参数设置!$C$20="","",参数设置!$C$20)=""),"",ROUND(N(参数设置!$G$20)+SUMIFS(流水净额,流水账户,参数设置!$C$20,流水日期,"&lt;="&amp;$A7),2))</f>
        <v/>
      </c>
      <c r="P7" s="23" t="str">
        <f>IF(OR($A7="",IF(参数设置!$C$21="","",参数设置!$C$21)=""),"",ROUND(N(参数设置!$G$21)+SUMIFS(流水净额,流水账户,参数设置!$C$21,流水日期,"&lt;="&amp;$A7),2))</f>
        <v/>
      </c>
      <c r="Q7" s="23" t="str">
        <f>IF(OR($A7="",IF(参数设置!$C$22="","",参数设置!$C$22)=""),"",ROUND(N(参数设置!$G$22)+SUMIFS(流水净额,流水账户,参数设置!$C$22,流水日期,"&lt;="&amp;$A7),2))</f>
        <v/>
      </c>
      <c r="R7" s="23" t="str">
        <f>IF(OR($A7="",IF(参数设置!$C$23="","",参数设置!$C$23)=""),"",ROUND(N(参数设置!$G$23)+SUMIFS(流水净额,流水账户,参数设置!$C$23,流水日期,"&lt;="&amp;$A7),2))</f>
        <v/>
      </c>
      <c r="S7" s="23" t="str">
        <f>IF(OR($A7="",IF(参数设置!$C$24="","",参数设置!$C$24)=""),"",ROUND(N(参数设置!$G$24)+SUMIFS(流水净额,流水账户,参数设置!$C$24,流水日期,"&lt;="&amp;$A7),2))</f>
        <v/>
      </c>
      <c r="T7" s="23" t="str">
        <f>IF(OR($A7="",IF(参数设置!$C$25="","",参数设置!$C$25)=""),"",ROUND(N(参数设置!$G$25)+SUMIFS(流水净额,流水账户,参数设置!$C$25,流水日期,"&lt;="&amp;$A7),2))</f>
        <v/>
      </c>
    </row>
    <row r="8" ht="16.5" spans="1:20">
      <c r="A8" s="22">
        <f>IF(OR($B$3="",NOT(ISNUMBER($F$3))),"",IF(2&gt;$F$3,"",$B$3+1))</f>
        <v>46236</v>
      </c>
      <c r="B8" s="23">
        <f>IF($A8="","",ROUND(SUMIFS(流水本位,流水日期,$A8,流水属性,"&lt;&gt;内部转账",流水本位,"&gt;0"),2))</f>
        <v>0</v>
      </c>
      <c r="C8" s="23">
        <f>IF($A8="","",-ROUND(SUMIFS(流水本位,流水日期,$A8,流水属性,"&lt;&gt;内部转账",流水本位,"&lt;0"),2))</f>
        <v>0</v>
      </c>
      <c r="D8" s="23">
        <f t="shared" si="0"/>
        <v>0</v>
      </c>
      <c r="E8" s="23">
        <f>IF($A8="","",ROUND(SUM(账户期初本位)+SUMIFS(流水本位,流水日期,"&lt;="&amp;$A8),2))</f>
        <v>11192300</v>
      </c>
      <c r="F8" s="23">
        <f>IF(OR($A8="",IF(参数设置!$C$11="","",参数设置!$C$11)=""),"",ROUND(N(参数设置!$G$11)+SUMIFS(流水净额,流水账户,参数设置!$C$11,流水日期,"&lt;="&amp;$A8),2))</f>
        <v>500000</v>
      </c>
      <c r="G8" s="23">
        <f>IF(OR($A8="",IF(参数设置!$C$12="","",参数设置!$C$12)=""),"",ROUND(N(参数设置!$G$12)+SUMIFS(流水净额,流水账户,参数设置!$C$12,流水日期,"&lt;="&amp;$A8),2))</f>
        <v>800000</v>
      </c>
      <c r="H8" s="23">
        <f>IF(OR($A8="",IF(参数设置!$C$13="","",参数设置!$C$13)=""),"",ROUND(N(参数设置!$G$13)+SUMIFS(流水净额,流水账户,参数设置!$C$13,流水日期,"&lt;="&amp;$A8),2))</f>
        <v>300000</v>
      </c>
      <c r="I8" s="23">
        <f>IF(OR($A8="",IF(参数设置!$C$14="","",参数设置!$C$14)=""),"",ROUND(N(参数设置!$G$14)+SUMIFS(流水净额,流水账户,参数设置!$C$14,流水日期,"&lt;="&amp;$A8),2))</f>
        <v>200000</v>
      </c>
      <c r="J8" s="23">
        <f>IF(OR($A8="",IF(参数设置!$C$15="","",参数设置!$C$15)=""),"",ROUND(N(参数设置!$G$15)+SUMIFS(流水净额,流水账户,参数设置!$C$15,流水日期,"&lt;="&amp;$A8),2))</f>
        <v>500000</v>
      </c>
      <c r="K8" s="23">
        <f>IF(OR($A8="",IF(参数设置!$C$16="","",参数设置!$C$16)=""),"",ROUND(N(参数设置!$G$16)+SUMIFS(流水净额,流水账户,参数设置!$C$16,流水日期,"&lt;="&amp;$A8),2))</f>
        <v>120000</v>
      </c>
      <c r="L8" s="23" t="str">
        <f>IF(OR($A8="",IF(参数设置!$C$17="","",参数设置!$C$17)=""),"",ROUND(N(参数设置!$G$17)+SUMIFS(流水净额,流水账户,参数设置!$C$17,流水日期,"&lt;="&amp;$A8),2))</f>
        <v/>
      </c>
      <c r="M8" s="23" t="str">
        <f>IF(OR($A8="",IF(参数设置!$C$18="","",参数设置!$C$18)=""),"",ROUND(N(参数设置!$G$18)+SUMIFS(流水净额,流水账户,参数设置!$C$18,流水日期,"&lt;="&amp;$A8),2))</f>
        <v/>
      </c>
      <c r="N8" s="23" t="str">
        <f>IF(OR($A8="",IF(参数设置!$C$19="","",参数设置!$C$19)=""),"",ROUND(N(参数设置!$G$19)+SUMIFS(流水净额,流水账户,参数设置!$C$19,流水日期,"&lt;="&amp;$A8),2))</f>
        <v/>
      </c>
      <c r="O8" s="23" t="str">
        <f>IF(OR($A8="",IF(参数设置!$C$20="","",参数设置!$C$20)=""),"",ROUND(N(参数设置!$G$20)+SUMIFS(流水净额,流水账户,参数设置!$C$20,流水日期,"&lt;="&amp;$A8),2))</f>
        <v/>
      </c>
      <c r="P8" s="23" t="str">
        <f>IF(OR($A8="",IF(参数设置!$C$21="","",参数设置!$C$21)=""),"",ROUND(N(参数设置!$G$21)+SUMIFS(流水净额,流水账户,参数设置!$C$21,流水日期,"&lt;="&amp;$A8),2))</f>
        <v/>
      </c>
      <c r="Q8" s="23" t="str">
        <f>IF(OR($A8="",IF(参数设置!$C$22="","",参数设置!$C$22)=""),"",ROUND(N(参数设置!$G$22)+SUMIFS(流水净额,流水账户,参数设置!$C$22,流水日期,"&lt;="&amp;$A8),2))</f>
        <v/>
      </c>
      <c r="R8" s="23" t="str">
        <f>IF(OR($A8="",IF(参数设置!$C$23="","",参数设置!$C$23)=""),"",ROUND(N(参数设置!$G$23)+SUMIFS(流水净额,流水账户,参数设置!$C$23,流水日期,"&lt;="&amp;$A8),2))</f>
        <v/>
      </c>
      <c r="S8" s="23" t="str">
        <f>IF(OR($A8="",IF(参数设置!$C$24="","",参数设置!$C$24)=""),"",ROUND(N(参数设置!$G$24)+SUMIFS(流水净额,流水账户,参数设置!$C$24,流水日期,"&lt;="&amp;$A8),2))</f>
        <v/>
      </c>
      <c r="T8" s="23" t="str">
        <f>IF(OR($A8="",IF(参数设置!$C$25="","",参数设置!$C$25)=""),"",ROUND(N(参数设置!$G$25)+SUMIFS(流水净额,流水账户,参数设置!$C$25,流水日期,"&lt;="&amp;$A8),2))</f>
        <v/>
      </c>
    </row>
    <row r="9" ht="16.5" spans="1:20">
      <c r="A9" s="22">
        <f>IF(OR($B$3="",NOT(ISNUMBER($F$3))),"",IF(3&gt;$F$3,"",$B$3+2))</f>
        <v>46237</v>
      </c>
      <c r="B9" s="23">
        <f>IF($A9="","",ROUND(SUMIFS(流水本位,流水日期,$A9,流水属性,"&lt;&gt;内部转账",流水本位,"&gt;0"),2))</f>
        <v>120000</v>
      </c>
      <c r="C9" s="23">
        <f>IF($A9="","",-ROUND(SUMIFS(流水本位,流水日期,$A9,流水属性,"&lt;&gt;内部转账",流水本位,"&lt;0"),2))</f>
        <v>0</v>
      </c>
      <c r="D9" s="23">
        <f t="shared" si="0"/>
        <v>120000</v>
      </c>
      <c r="E9" s="23">
        <f>IF($A9="","",ROUND(SUM(账户期初本位)+SUMIFS(流水本位,流水日期,"&lt;="&amp;$A9),2))</f>
        <v>11312300</v>
      </c>
      <c r="F9" s="23">
        <f>IF(OR($A9="",IF(参数设置!$C$11="","",参数设置!$C$11)=""),"",ROUND(N(参数设置!$G$11)+SUMIFS(流水净额,流水账户,参数设置!$C$11,流水日期,"&lt;="&amp;$A9),2))</f>
        <v>620000</v>
      </c>
      <c r="G9" s="23">
        <f>IF(OR($A9="",IF(参数设置!$C$12="","",参数设置!$C$12)=""),"",ROUND(N(参数设置!$G$12)+SUMIFS(流水净额,流水账户,参数设置!$C$12,流水日期,"&lt;="&amp;$A9),2))</f>
        <v>800000</v>
      </c>
      <c r="H9" s="23">
        <f>IF(OR($A9="",IF(参数设置!$C$13="","",参数设置!$C$13)=""),"",ROUND(N(参数设置!$G$13)+SUMIFS(流水净额,流水账户,参数设置!$C$13,流水日期,"&lt;="&amp;$A9),2))</f>
        <v>300000</v>
      </c>
      <c r="I9" s="23">
        <f>IF(OR($A9="",IF(参数设置!$C$14="","",参数设置!$C$14)=""),"",ROUND(N(参数设置!$G$14)+SUMIFS(流水净额,流水账户,参数设置!$C$14,流水日期,"&lt;="&amp;$A9),2))</f>
        <v>200000</v>
      </c>
      <c r="J9" s="23">
        <f>IF(OR($A9="",IF(参数设置!$C$15="","",参数设置!$C$15)=""),"",ROUND(N(参数设置!$G$15)+SUMIFS(流水净额,流水账户,参数设置!$C$15,流水日期,"&lt;="&amp;$A9),2))</f>
        <v>500000</v>
      </c>
      <c r="K9" s="23">
        <f>IF(OR($A9="",IF(参数设置!$C$16="","",参数设置!$C$16)=""),"",ROUND(N(参数设置!$G$16)+SUMIFS(流水净额,流水账户,参数设置!$C$16,流水日期,"&lt;="&amp;$A9),2))</f>
        <v>120000</v>
      </c>
      <c r="L9" s="23" t="str">
        <f>IF(OR($A9="",IF(参数设置!$C$17="","",参数设置!$C$17)=""),"",ROUND(N(参数设置!$G$17)+SUMIFS(流水净额,流水账户,参数设置!$C$17,流水日期,"&lt;="&amp;$A9),2))</f>
        <v/>
      </c>
      <c r="M9" s="23" t="str">
        <f>IF(OR($A9="",IF(参数设置!$C$18="","",参数设置!$C$18)=""),"",ROUND(N(参数设置!$G$18)+SUMIFS(流水净额,流水账户,参数设置!$C$18,流水日期,"&lt;="&amp;$A9),2))</f>
        <v/>
      </c>
      <c r="N9" s="23" t="str">
        <f>IF(OR($A9="",IF(参数设置!$C$19="","",参数设置!$C$19)=""),"",ROUND(N(参数设置!$G$19)+SUMIFS(流水净额,流水账户,参数设置!$C$19,流水日期,"&lt;="&amp;$A9),2))</f>
        <v/>
      </c>
      <c r="O9" s="23" t="str">
        <f>IF(OR($A9="",IF(参数设置!$C$20="","",参数设置!$C$20)=""),"",ROUND(N(参数设置!$G$20)+SUMIFS(流水净额,流水账户,参数设置!$C$20,流水日期,"&lt;="&amp;$A9),2))</f>
        <v/>
      </c>
      <c r="P9" s="23" t="str">
        <f>IF(OR($A9="",IF(参数设置!$C$21="","",参数设置!$C$21)=""),"",ROUND(N(参数设置!$G$21)+SUMIFS(流水净额,流水账户,参数设置!$C$21,流水日期,"&lt;="&amp;$A9),2))</f>
        <v/>
      </c>
      <c r="Q9" s="23" t="str">
        <f>IF(OR($A9="",IF(参数设置!$C$22="","",参数设置!$C$22)=""),"",ROUND(N(参数设置!$G$22)+SUMIFS(流水净额,流水账户,参数设置!$C$22,流水日期,"&lt;="&amp;$A9),2))</f>
        <v/>
      </c>
      <c r="R9" s="23" t="str">
        <f>IF(OR($A9="",IF(参数设置!$C$23="","",参数设置!$C$23)=""),"",ROUND(N(参数设置!$G$23)+SUMIFS(流水净额,流水账户,参数设置!$C$23,流水日期,"&lt;="&amp;$A9),2))</f>
        <v/>
      </c>
      <c r="S9" s="23" t="str">
        <f>IF(OR($A9="",IF(参数设置!$C$24="","",参数设置!$C$24)=""),"",ROUND(N(参数设置!$G$24)+SUMIFS(流水净额,流水账户,参数设置!$C$24,流水日期,"&lt;="&amp;$A9),2))</f>
        <v/>
      </c>
      <c r="T9" s="23" t="str">
        <f>IF(OR($A9="",IF(参数设置!$C$25="","",参数设置!$C$25)=""),"",ROUND(N(参数设置!$G$25)+SUMIFS(流水净额,流水账户,参数设置!$C$25,流水日期,"&lt;="&amp;$A9),2))</f>
        <v/>
      </c>
    </row>
    <row r="10" ht="16.5" spans="1:20">
      <c r="A10" s="22">
        <f>IF(OR($B$3="",NOT(ISNUMBER($F$3))),"",IF(4&gt;$F$3,"",$B$3+3))</f>
        <v>46238</v>
      </c>
      <c r="B10" s="23">
        <f>IF($A10="","",ROUND(SUMIFS(流水本位,流水日期,$A10,流水属性,"&lt;&gt;内部转账",流水本位,"&gt;0"),2))</f>
        <v>179500</v>
      </c>
      <c r="C10" s="23">
        <f>IF($A10="","",-ROUND(SUMIFS(流水本位,流水日期,$A10,流水属性,"&lt;&gt;内部转账",流水本位,"&lt;0"),2))</f>
        <v>0</v>
      </c>
      <c r="D10" s="23">
        <f t="shared" si="0"/>
        <v>179500</v>
      </c>
      <c r="E10" s="23">
        <f>IF($A10="","",ROUND(SUM(账户期初本位)+SUMIFS(流水本位,流水日期,"&lt;="&amp;$A10),2))</f>
        <v>11491800</v>
      </c>
      <c r="F10" s="23">
        <f>IF(OR($A10="",IF(参数设置!$C$11="","",参数设置!$C$11)=""),"",ROUND(N(参数设置!$G$11)+SUMIFS(流水净额,流水账户,参数设置!$C$11,流水日期,"&lt;="&amp;$A10),2))</f>
        <v>620000</v>
      </c>
      <c r="G10" s="23">
        <f>IF(OR($A10="",IF(参数设置!$C$12="","",参数设置!$C$12)=""),"",ROUND(N(参数设置!$G$12)+SUMIFS(流水净额,流水账户,参数设置!$C$12,流水日期,"&lt;="&amp;$A10),2))</f>
        <v>825000</v>
      </c>
      <c r="H10" s="23">
        <f>IF(OR($A10="",IF(参数设置!$C$13="","",参数设置!$C$13)=""),"",ROUND(N(参数设置!$G$13)+SUMIFS(流水净额,流水账户,参数设置!$C$13,流水日期,"&lt;="&amp;$A10),2))</f>
        <v>300000</v>
      </c>
      <c r="I10" s="23">
        <f>IF(OR($A10="",IF(参数设置!$C$14="","",参数设置!$C$14)=""),"",ROUND(N(参数设置!$G$14)+SUMIFS(流水净额,流水账户,参数设置!$C$14,流水日期,"&lt;="&amp;$A10),2))</f>
        <v>200000</v>
      </c>
      <c r="J10" s="23">
        <f>IF(OR($A10="",IF(参数设置!$C$15="","",参数设置!$C$15)=""),"",ROUND(N(参数设置!$G$15)+SUMIFS(流水净额,流水账户,参数设置!$C$15,流水日期,"&lt;="&amp;$A10),2))</f>
        <v>500000</v>
      </c>
      <c r="K10" s="23">
        <f>IF(OR($A10="",IF(参数设置!$C$16="","",参数设置!$C$16)=""),"",ROUND(N(参数设置!$G$16)+SUMIFS(流水净额,流水账户,参数设置!$C$16,流水日期,"&lt;="&amp;$A10),2))</f>
        <v>120000</v>
      </c>
      <c r="L10" s="23" t="str">
        <f>IF(OR($A10="",IF(参数设置!$C$17="","",参数设置!$C$17)=""),"",ROUND(N(参数设置!$G$17)+SUMIFS(流水净额,流水账户,参数设置!$C$17,流水日期,"&lt;="&amp;$A10),2))</f>
        <v/>
      </c>
      <c r="M10" s="23" t="str">
        <f>IF(OR($A10="",IF(参数设置!$C$18="","",参数设置!$C$18)=""),"",ROUND(N(参数设置!$G$18)+SUMIFS(流水净额,流水账户,参数设置!$C$18,流水日期,"&lt;="&amp;$A10),2))</f>
        <v/>
      </c>
      <c r="N10" s="23" t="str">
        <f>IF(OR($A10="",IF(参数设置!$C$19="","",参数设置!$C$19)=""),"",ROUND(N(参数设置!$G$19)+SUMIFS(流水净额,流水账户,参数设置!$C$19,流水日期,"&lt;="&amp;$A10),2))</f>
        <v/>
      </c>
      <c r="O10" s="23" t="str">
        <f>IF(OR($A10="",IF(参数设置!$C$20="","",参数设置!$C$20)=""),"",ROUND(N(参数设置!$G$20)+SUMIFS(流水净额,流水账户,参数设置!$C$20,流水日期,"&lt;="&amp;$A10),2))</f>
        <v/>
      </c>
      <c r="P10" s="23" t="str">
        <f>IF(OR($A10="",IF(参数设置!$C$21="","",参数设置!$C$21)=""),"",ROUND(N(参数设置!$G$21)+SUMIFS(流水净额,流水账户,参数设置!$C$21,流水日期,"&lt;="&amp;$A10),2))</f>
        <v/>
      </c>
      <c r="Q10" s="23" t="str">
        <f>IF(OR($A10="",IF(参数设置!$C$22="","",参数设置!$C$22)=""),"",ROUND(N(参数设置!$G$22)+SUMIFS(流水净额,流水账户,参数设置!$C$22,流水日期,"&lt;="&amp;$A10),2))</f>
        <v/>
      </c>
      <c r="R10" s="23" t="str">
        <f>IF(OR($A10="",IF(参数设置!$C$23="","",参数设置!$C$23)=""),"",ROUND(N(参数设置!$G$23)+SUMIFS(流水净额,流水账户,参数设置!$C$23,流水日期,"&lt;="&amp;$A10),2))</f>
        <v/>
      </c>
      <c r="S10" s="23" t="str">
        <f>IF(OR($A10="",IF(参数设置!$C$24="","",参数设置!$C$24)=""),"",ROUND(N(参数设置!$G$24)+SUMIFS(流水净额,流水账户,参数设置!$C$24,流水日期,"&lt;="&amp;$A10),2))</f>
        <v/>
      </c>
      <c r="T10" s="23" t="str">
        <f>IF(OR($A10="",IF(参数设置!$C$25="","",参数设置!$C$25)=""),"",ROUND(N(参数设置!$G$25)+SUMIFS(流水净额,流水账户,参数设置!$C$25,流水日期,"&lt;="&amp;$A10),2))</f>
        <v/>
      </c>
    </row>
    <row r="11" ht="16.5" spans="1:20">
      <c r="A11" s="22">
        <f>IF(OR($B$3="",NOT(ISNUMBER($F$3))),"",IF(5&gt;$F$3,"",$B$3+4))</f>
        <v>46239</v>
      </c>
      <c r="B11" s="23">
        <f>IF($A11="","",ROUND(SUMIFS(流水本位,流水日期,$A11,流水属性,"&lt;&gt;内部转账",流水本位,"&gt;0"),2))</f>
        <v>0</v>
      </c>
      <c r="C11" s="23">
        <f>IF($A11="","",-ROUND(SUMIFS(流水本位,流水日期,$A11,流水属性,"&lt;&gt;内部转账",流水本位,"&lt;0"),2))</f>
        <v>4140</v>
      </c>
      <c r="D11" s="23">
        <f t="shared" si="0"/>
        <v>-4140</v>
      </c>
      <c r="E11" s="23">
        <f>IF($A11="","",ROUND(SUM(账户期初本位)+SUMIFS(流水本位,流水日期,"&lt;="&amp;$A11),2))</f>
        <v>11487660</v>
      </c>
      <c r="F11" s="23">
        <f>IF(OR($A11="",IF(参数设置!$C$11="","",参数设置!$C$11)=""),"",ROUND(N(参数设置!$G$11)+SUMIFS(流水净额,流水账户,参数设置!$C$11,流水日期,"&lt;="&amp;$A11),2))</f>
        <v>620000</v>
      </c>
      <c r="G11" s="23">
        <f>IF(OR($A11="",IF(参数设置!$C$12="","",参数设置!$C$12)=""),"",ROUND(N(参数设置!$G$12)+SUMIFS(流水净额,流水账户,参数设置!$C$12,流水日期,"&lt;="&amp;$A11),2))</f>
        <v>825000</v>
      </c>
      <c r="H11" s="23">
        <f>IF(OR($A11="",IF(参数设置!$C$13="","",参数设置!$C$13)=""),"",ROUND(N(参数设置!$G$13)+SUMIFS(流水净额,流水账户,参数设置!$C$13,流水日期,"&lt;="&amp;$A11),2))</f>
        <v>295500</v>
      </c>
      <c r="I11" s="23">
        <f>IF(OR($A11="",IF(参数设置!$C$14="","",参数设置!$C$14)=""),"",ROUND(N(参数设置!$G$14)+SUMIFS(流水净额,流水账户,参数设置!$C$14,流水日期,"&lt;="&amp;$A11),2))</f>
        <v>200000</v>
      </c>
      <c r="J11" s="23">
        <f>IF(OR($A11="",IF(参数设置!$C$15="","",参数设置!$C$15)=""),"",ROUND(N(参数设置!$G$15)+SUMIFS(流水净额,流水账户,参数设置!$C$15,流水日期,"&lt;="&amp;$A11),2))</f>
        <v>500000</v>
      </c>
      <c r="K11" s="23">
        <f>IF(OR($A11="",IF(参数设置!$C$16="","",参数设置!$C$16)=""),"",ROUND(N(参数设置!$G$16)+SUMIFS(流水净额,流水账户,参数设置!$C$16,流水日期,"&lt;="&amp;$A11),2))</f>
        <v>120000</v>
      </c>
      <c r="L11" s="23" t="str">
        <f>IF(OR($A11="",IF(参数设置!$C$17="","",参数设置!$C$17)=""),"",ROUND(N(参数设置!$G$17)+SUMIFS(流水净额,流水账户,参数设置!$C$17,流水日期,"&lt;="&amp;$A11),2))</f>
        <v/>
      </c>
      <c r="M11" s="23" t="str">
        <f>IF(OR($A11="",IF(参数设置!$C$18="","",参数设置!$C$18)=""),"",ROUND(N(参数设置!$G$18)+SUMIFS(流水净额,流水账户,参数设置!$C$18,流水日期,"&lt;="&amp;$A11),2))</f>
        <v/>
      </c>
      <c r="N11" s="23" t="str">
        <f>IF(OR($A11="",IF(参数设置!$C$19="","",参数设置!$C$19)=""),"",ROUND(N(参数设置!$G$19)+SUMIFS(流水净额,流水账户,参数设置!$C$19,流水日期,"&lt;="&amp;$A11),2))</f>
        <v/>
      </c>
      <c r="O11" s="23" t="str">
        <f>IF(OR($A11="",IF(参数设置!$C$20="","",参数设置!$C$20)=""),"",ROUND(N(参数设置!$G$20)+SUMIFS(流水净额,流水账户,参数设置!$C$20,流水日期,"&lt;="&amp;$A11),2))</f>
        <v/>
      </c>
      <c r="P11" s="23" t="str">
        <f>IF(OR($A11="",IF(参数设置!$C$21="","",参数设置!$C$21)=""),"",ROUND(N(参数设置!$G$21)+SUMIFS(流水净额,流水账户,参数设置!$C$21,流水日期,"&lt;="&amp;$A11),2))</f>
        <v/>
      </c>
      <c r="Q11" s="23" t="str">
        <f>IF(OR($A11="",IF(参数设置!$C$22="","",参数设置!$C$22)=""),"",ROUND(N(参数设置!$G$22)+SUMIFS(流水净额,流水账户,参数设置!$C$22,流水日期,"&lt;="&amp;$A11),2))</f>
        <v/>
      </c>
      <c r="R11" s="23" t="str">
        <f>IF(OR($A11="",IF(参数设置!$C$23="","",参数设置!$C$23)=""),"",ROUND(N(参数设置!$G$23)+SUMIFS(流水净额,流水账户,参数设置!$C$23,流水日期,"&lt;="&amp;$A11),2))</f>
        <v/>
      </c>
      <c r="S11" s="23" t="str">
        <f>IF(OR($A11="",IF(参数设置!$C$24="","",参数设置!$C$24)=""),"",ROUND(N(参数设置!$G$24)+SUMIFS(流水净额,流水账户,参数设置!$C$24,流水日期,"&lt;="&amp;$A11),2))</f>
        <v/>
      </c>
      <c r="T11" s="23" t="str">
        <f>IF(OR($A11="",IF(参数设置!$C$25="","",参数设置!$C$25)=""),"",ROUND(N(参数设置!$G$25)+SUMIFS(流水净额,流水账户,参数设置!$C$25,流水日期,"&lt;="&amp;$A11),2))</f>
        <v/>
      </c>
    </row>
    <row r="12" ht="16.5" spans="1:20">
      <c r="A12" s="22">
        <f>IF(OR($B$3="",NOT(ISNUMBER($F$3))),"",IF(6&gt;$F$3,"",$B$3+5))</f>
        <v>46240</v>
      </c>
      <c r="B12" s="23">
        <f>IF($A12="","",ROUND(SUMIFS(流水本位,流水日期,$A12,流水属性,"&lt;&gt;内部转账",流水本位,"&gt;0"),2))</f>
        <v>0</v>
      </c>
      <c r="C12" s="23">
        <f>IF($A12="","",-ROUND(SUMIFS(流水本位,流水日期,$A12,流水属性,"&lt;&gt;内部转账",流水本位,"&lt;0"),2))</f>
        <v>30000</v>
      </c>
      <c r="D12" s="23">
        <f t="shared" si="0"/>
        <v>-30000</v>
      </c>
      <c r="E12" s="23">
        <f>IF($A12="","",ROUND(SUM(账户期初本位)+SUMIFS(流水本位,流水日期,"&lt;="&amp;$A12),2))</f>
        <v>11457660</v>
      </c>
      <c r="F12" s="23">
        <f>IF(OR($A12="",IF(参数设置!$C$11="","",参数设置!$C$11)=""),"",ROUND(N(参数设置!$G$11)+SUMIFS(流水净额,流水账户,参数设置!$C$11,流水日期,"&lt;="&amp;$A12),2))</f>
        <v>620000</v>
      </c>
      <c r="G12" s="23">
        <f>IF(OR($A12="",IF(参数设置!$C$12="","",参数设置!$C$12)=""),"",ROUND(N(参数设置!$G$12)+SUMIFS(流水净额,流水账户,参数设置!$C$12,流水日期,"&lt;="&amp;$A12),2))</f>
        <v>825000</v>
      </c>
      <c r="H12" s="23">
        <f>IF(OR($A12="",IF(参数设置!$C$13="","",参数设置!$C$13)=""),"",ROUND(N(参数设置!$G$13)+SUMIFS(流水净额,流水账户,参数设置!$C$13,流水日期,"&lt;="&amp;$A12),2))</f>
        <v>295500</v>
      </c>
      <c r="I12" s="23">
        <f>IF(OR($A12="",IF(参数设置!$C$14="","",参数设置!$C$14)=""),"",ROUND(N(参数设置!$G$14)+SUMIFS(流水净额,流水账户,参数设置!$C$14,流水日期,"&lt;="&amp;$A12),2))</f>
        <v>170000</v>
      </c>
      <c r="J12" s="23">
        <f>IF(OR($A12="",IF(参数设置!$C$15="","",参数设置!$C$15)=""),"",ROUND(N(参数设置!$G$15)+SUMIFS(流水净额,流水账户,参数设置!$C$15,流水日期,"&lt;="&amp;$A12),2))</f>
        <v>500000</v>
      </c>
      <c r="K12" s="23">
        <f>IF(OR($A12="",IF(参数设置!$C$16="","",参数设置!$C$16)=""),"",ROUND(N(参数设置!$G$16)+SUMIFS(流水净额,流水账户,参数设置!$C$16,流水日期,"&lt;="&amp;$A12),2))</f>
        <v>120000</v>
      </c>
      <c r="L12" s="23" t="str">
        <f>IF(OR($A12="",IF(参数设置!$C$17="","",参数设置!$C$17)=""),"",ROUND(N(参数设置!$G$17)+SUMIFS(流水净额,流水账户,参数设置!$C$17,流水日期,"&lt;="&amp;$A12),2))</f>
        <v/>
      </c>
      <c r="M12" s="23" t="str">
        <f>IF(OR($A12="",IF(参数设置!$C$18="","",参数设置!$C$18)=""),"",ROUND(N(参数设置!$G$18)+SUMIFS(流水净额,流水账户,参数设置!$C$18,流水日期,"&lt;="&amp;$A12),2))</f>
        <v/>
      </c>
      <c r="N12" s="23" t="str">
        <f>IF(OR($A12="",IF(参数设置!$C$19="","",参数设置!$C$19)=""),"",ROUND(N(参数设置!$G$19)+SUMIFS(流水净额,流水账户,参数设置!$C$19,流水日期,"&lt;="&amp;$A12),2))</f>
        <v/>
      </c>
      <c r="O12" s="23" t="str">
        <f>IF(OR($A12="",IF(参数设置!$C$20="","",参数设置!$C$20)=""),"",ROUND(N(参数设置!$G$20)+SUMIFS(流水净额,流水账户,参数设置!$C$20,流水日期,"&lt;="&amp;$A12),2))</f>
        <v/>
      </c>
      <c r="P12" s="23" t="str">
        <f>IF(OR($A12="",IF(参数设置!$C$21="","",参数设置!$C$21)=""),"",ROUND(N(参数设置!$G$21)+SUMIFS(流水净额,流水账户,参数设置!$C$21,流水日期,"&lt;="&amp;$A12),2))</f>
        <v/>
      </c>
      <c r="Q12" s="23" t="str">
        <f>IF(OR($A12="",IF(参数设置!$C$22="","",参数设置!$C$22)=""),"",ROUND(N(参数设置!$G$22)+SUMIFS(流水净额,流水账户,参数设置!$C$22,流水日期,"&lt;="&amp;$A12),2))</f>
        <v/>
      </c>
      <c r="R12" s="23" t="str">
        <f>IF(OR($A12="",IF(参数设置!$C$23="","",参数设置!$C$23)=""),"",ROUND(N(参数设置!$G$23)+SUMIFS(流水净额,流水账户,参数设置!$C$23,流水日期,"&lt;="&amp;$A12),2))</f>
        <v/>
      </c>
      <c r="S12" s="23" t="str">
        <f>IF(OR($A12="",IF(参数设置!$C$24="","",参数设置!$C$24)=""),"",ROUND(N(参数设置!$G$24)+SUMIFS(流水净额,流水账户,参数设置!$C$24,流水日期,"&lt;="&amp;$A12),2))</f>
        <v/>
      </c>
      <c r="T12" s="23" t="str">
        <f>IF(OR($A12="",IF(参数设置!$C$25="","",参数设置!$C$25)=""),"",ROUND(N(参数设置!$G$25)+SUMIFS(流水净额,流水账户,参数设置!$C$25,流水日期,"&lt;="&amp;$A12),2))</f>
        <v/>
      </c>
    </row>
    <row r="13" ht="16.5" spans="1:20">
      <c r="A13" s="22">
        <f>IF(OR($B$3="",NOT(ISNUMBER($F$3))),"",IF(7&gt;$F$3,"",$B$3+6))</f>
        <v>46241</v>
      </c>
      <c r="B13" s="23">
        <f>IF($A13="","",ROUND(SUMIFS(流水本位,流水日期,$A13,流水属性,"&lt;&gt;内部转账",流水本位,"&gt;0"),2))</f>
        <v>86160</v>
      </c>
      <c r="C13" s="23">
        <f>IF($A13="","",-ROUND(SUMIFS(流水本位,流水日期,$A13,流水属性,"&lt;&gt;内部转账",流水本位,"&lt;0"),2))</f>
        <v>0</v>
      </c>
      <c r="D13" s="23">
        <f t="shared" si="0"/>
        <v>86160</v>
      </c>
      <c r="E13" s="23">
        <f>IF($A13="","",ROUND(SUM(账户期初本位)+SUMIFS(流水本位,流水日期,"&lt;="&amp;$A13),2))</f>
        <v>11543820</v>
      </c>
      <c r="F13" s="23">
        <f>IF(OR($A13="",IF(参数设置!$C$11="","",参数设置!$C$11)=""),"",ROUND(N(参数设置!$G$11)+SUMIFS(流水净额,流水账户,参数设置!$C$11,流水日期,"&lt;="&amp;$A13),2))</f>
        <v>620000</v>
      </c>
      <c r="G13" s="23">
        <f>IF(OR($A13="",IF(参数设置!$C$12="","",参数设置!$C$12)=""),"",ROUND(N(参数设置!$G$12)+SUMIFS(流水净额,流水账户,参数设置!$C$12,流水日期,"&lt;="&amp;$A13),2))</f>
        <v>825000</v>
      </c>
      <c r="H13" s="23">
        <f>IF(OR($A13="",IF(参数设置!$C$13="","",参数设置!$C$13)=""),"",ROUND(N(参数设置!$G$13)+SUMIFS(流水净额,流水账户,参数设置!$C$13,流水日期,"&lt;="&amp;$A13),2))</f>
        <v>295500</v>
      </c>
      <c r="I13" s="23">
        <f>IF(OR($A13="",IF(参数设置!$C$14="","",参数设置!$C$14)=""),"",ROUND(N(参数设置!$G$14)+SUMIFS(流水净额,流水账户,参数设置!$C$14,流水日期,"&lt;="&amp;$A13),2))</f>
        <v>170000</v>
      </c>
      <c r="J13" s="23">
        <f>IF(OR($A13="",IF(参数设置!$C$15="","",参数设置!$C$15)=""),"",ROUND(N(参数设置!$G$15)+SUMIFS(流水净额,流水账户,参数设置!$C$15,流水日期,"&lt;="&amp;$A13),2))</f>
        <v>512000</v>
      </c>
      <c r="K13" s="23">
        <f>IF(OR($A13="",IF(参数设置!$C$16="","",参数设置!$C$16)=""),"",ROUND(N(参数设置!$G$16)+SUMIFS(流水净额,流水账户,参数设置!$C$16,流水日期,"&lt;="&amp;$A13),2))</f>
        <v>120000</v>
      </c>
      <c r="L13" s="23" t="str">
        <f>IF(OR($A13="",IF(参数设置!$C$17="","",参数设置!$C$17)=""),"",ROUND(N(参数设置!$G$17)+SUMIFS(流水净额,流水账户,参数设置!$C$17,流水日期,"&lt;="&amp;$A13),2))</f>
        <v/>
      </c>
      <c r="M13" s="23" t="str">
        <f>IF(OR($A13="",IF(参数设置!$C$18="","",参数设置!$C$18)=""),"",ROUND(N(参数设置!$G$18)+SUMIFS(流水净额,流水账户,参数设置!$C$18,流水日期,"&lt;="&amp;$A13),2))</f>
        <v/>
      </c>
      <c r="N13" s="23" t="str">
        <f>IF(OR($A13="",IF(参数设置!$C$19="","",参数设置!$C$19)=""),"",ROUND(N(参数设置!$G$19)+SUMIFS(流水净额,流水账户,参数设置!$C$19,流水日期,"&lt;="&amp;$A13),2))</f>
        <v/>
      </c>
      <c r="O13" s="23" t="str">
        <f>IF(OR($A13="",IF(参数设置!$C$20="","",参数设置!$C$20)=""),"",ROUND(N(参数设置!$G$20)+SUMIFS(流水净额,流水账户,参数设置!$C$20,流水日期,"&lt;="&amp;$A13),2))</f>
        <v/>
      </c>
      <c r="P13" s="23" t="str">
        <f>IF(OR($A13="",IF(参数设置!$C$21="","",参数设置!$C$21)=""),"",ROUND(N(参数设置!$G$21)+SUMIFS(流水净额,流水账户,参数设置!$C$21,流水日期,"&lt;="&amp;$A13),2))</f>
        <v/>
      </c>
      <c r="Q13" s="23" t="str">
        <f>IF(OR($A13="",IF(参数设置!$C$22="","",参数设置!$C$22)=""),"",ROUND(N(参数设置!$G$22)+SUMIFS(流水净额,流水账户,参数设置!$C$22,流水日期,"&lt;="&amp;$A13),2))</f>
        <v/>
      </c>
      <c r="R13" s="23" t="str">
        <f>IF(OR($A13="",IF(参数设置!$C$23="","",参数设置!$C$23)=""),"",ROUND(N(参数设置!$G$23)+SUMIFS(流水净额,流水账户,参数设置!$C$23,流水日期,"&lt;="&amp;$A13),2))</f>
        <v/>
      </c>
      <c r="S13" s="23" t="str">
        <f>IF(OR($A13="",IF(参数设置!$C$24="","",参数设置!$C$24)=""),"",ROUND(N(参数设置!$G$24)+SUMIFS(流水净额,流水账户,参数设置!$C$24,流水日期,"&lt;="&amp;$A13),2))</f>
        <v/>
      </c>
      <c r="T13" s="23" t="str">
        <f>IF(OR($A13="",IF(参数设置!$C$25="","",参数设置!$C$25)=""),"",ROUND(N(参数设置!$G$25)+SUMIFS(流水净额,流水账户,参数设置!$C$25,流水日期,"&lt;="&amp;$A13),2))</f>
        <v/>
      </c>
    </row>
    <row r="14" ht="16.5" spans="1:20">
      <c r="A14" s="22">
        <f>IF(OR($B$3="",NOT(ISNUMBER($F$3))),"",IF(8&gt;$F$3,"",$B$3+7))</f>
        <v>46242</v>
      </c>
      <c r="B14" s="23">
        <f>IF($A14="","",ROUND(SUMIFS(流水本位,流水日期,$A14,流水属性,"&lt;&gt;内部转账",流水本位,"&gt;0"),2))</f>
        <v>0</v>
      </c>
      <c r="C14" s="23">
        <f>IF($A14="","",-ROUND(SUMIFS(流水本位,流水日期,$A14,流水属性,"&lt;&gt;内部转账",流水本位,"&lt;0"),2))</f>
        <v>18000</v>
      </c>
      <c r="D14" s="23">
        <f t="shared" si="0"/>
        <v>-18000</v>
      </c>
      <c r="E14" s="23">
        <f>IF($A14="","",ROUND(SUM(账户期初本位)+SUMIFS(流水本位,流水日期,"&lt;="&amp;$A14),2))</f>
        <v>11525820</v>
      </c>
      <c r="F14" s="23">
        <f>IF(OR($A14="",IF(参数设置!$C$11="","",参数设置!$C$11)=""),"",ROUND(N(参数设置!$G$11)+SUMIFS(流水净额,流水账户,参数设置!$C$11,流水日期,"&lt;="&amp;$A14),2))</f>
        <v>602000</v>
      </c>
      <c r="G14" s="23">
        <f>IF(OR($A14="",IF(参数设置!$C$12="","",参数设置!$C$12)=""),"",ROUND(N(参数设置!$G$12)+SUMIFS(流水净额,流水账户,参数设置!$C$12,流水日期,"&lt;="&amp;$A14),2))</f>
        <v>825000</v>
      </c>
      <c r="H14" s="23">
        <f>IF(OR($A14="",IF(参数设置!$C$13="","",参数设置!$C$13)=""),"",ROUND(N(参数设置!$G$13)+SUMIFS(流水净额,流水账户,参数设置!$C$13,流水日期,"&lt;="&amp;$A14),2))</f>
        <v>295500</v>
      </c>
      <c r="I14" s="23">
        <f>IF(OR($A14="",IF(参数设置!$C$14="","",参数设置!$C$14)=""),"",ROUND(N(参数设置!$G$14)+SUMIFS(流水净额,流水账户,参数设置!$C$14,流水日期,"&lt;="&amp;$A14),2))</f>
        <v>170000</v>
      </c>
      <c r="J14" s="23">
        <f>IF(OR($A14="",IF(参数设置!$C$15="","",参数设置!$C$15)=""),"",ROUND(N(参数设置!$G$15)+SUMIFS(流水净额,流水账户,参数设置!$C$15,流水日期,"&lt;="&amp;$A14),2))</f>
        <v>512000</v>
      </c>
      <c r="K14" s="23">
        <f>IF(OR($A14="",IF(参数设置!$C$16="","",参数设置!$C$16)=""),"",ROUND(N(参数设置!$G$16)+SUMIFS(流水净额,流水账户,参数设置!$C$16,流水日期,"&lt;="&amp;$A14),2))</f>
        <v>120000</v>
      </c>
      <c r="L14" s="23" t="str">
        <f>IF(OR($A14="",IF(参数设置!$C$17="","",参数设置!$C$17)=""),"",ROUND(N(参数设置!$G$17)+SUMIFS(流水净额,流水账户,参数设置!$C$17,流水日期,"&lt;="&amp;$A14),2))</f>
        <v/>
      </c>
      <c r="M14" s="23" t="str">
        <f>IF(OR($A14="",IF(参数设置!$C$18="","",参数设置!$C$18)=""),"",ROUND(N(参数设置!$G$18)+SUMIFS(流水净额,流水账户,参数设置!$C$18,流水日期,"&lt;="&amp;$A14),2))</f>
        <v/>
      </c>
      <c r="N14" s="23" t="str">
        <f>IF(OR($A14="",IF(参数设置!$C$19="","",参数设置!$C$19)=""),"",ROUND(N(参数设置!$G$19)+SUMIFS(流水净额,流水账户,参数设置!$C$19,流水日期,"&lt;="&amp;$A14),2))</f>
        <v/>
      </c>
      <c r="O14" s="23" t="str">
        <f>IF(OR($A14="",IF(参数设置!$C$20="","",参数设置!$C$20)=""),"",ROUND(N(参数设置!$G$20)+SUMIFS(流水净额,流水账户,参数设置!$C$20,流水日期,"&lt;="&amp;$A14),2))</f>
        <v/>
      </c>
      <c r="P14" s="23" t="str">
        <f>IF(OR($A14="",IF(参数设置!$C$21="","",参数设置!$C$21)=""),"",ROUND(N(参数设置!$G$21)+SUMIFS(流水净额,流水账户,参数设置!$C$21,流水日期,"&lt;="&amp;$A14),2))</f>
        <v/>
      </c>
      <c r="Q14" s="23" t="str">
        <f>IF(OR($A14="",IF(参数设置!$C$22="","",参数设置!$C$22)=""),"",ROUND(N(参数设置!$G$22)+SUMIFS(流水净额,流水账户,参数设置!$C$22,流水日期,"&lt;="&amp;$A14),2))</f>
        <v/>
      </c>
      <c r="R14" s="23" t="str">
        <f>IF(OR($A14="",IF(参数设置!$C$23="","",参数设置!$C$23)=""),"",ROUND(N(参数设置!$G$23)+SUMIFS(流水净额,流水账户,参数设置!$C$23,流水日期,"&lt;="&amp;$A14),2))</f>
        <v/>
      </c>
      <c r="S14" s="23" t="str">
        <f>IF(OR($A14="",IF(参数设置!$C$24="","",参数设置!$C$24)=""),"",ROUND(N(参数设置!$G$24)+SUMIFS(流水净额,流水账户,参数设置!$C$24,流水日期,"&lt;="&amp;$A14),2))</f>
        <v/>
      </c>
      <c r="T14" s="23" t="str">
        <f>IF(OR($A14="",IF(参数设置!$C$25="","",参数设置!$C$25)=""),"",ROUND(N(参数设置!$G$25)+SUMIFS(流水净额,流水账户,参数设置!$C$25,流水日期,"&lt;="&amp;$A14),2))</f>
        <v/>
      </c>
    </row>
    <row r="15" ht="16.5" spans="1:20">
      <c r="A15" s="22">
        <f>IF(OR($B$3="",NOT(ISNUMBER($F$3))),"",IF(9&gt;$F$3,"",$B$3+8))</f>
        <v>46243</v>
      </c>
      <c r="B15" s="23">
        <f>IF($A15="","",ROUND(SUMIFS(流水本位,流水日期,$A15,流水属性,"&lt;&gt;内部转账",流水本位,"&gt;0"),2))</f>
        <v>0</v>
      </c>
      <c r="C15" s="23">
        <f>IF($A15="","",-ROUND(SUMIFS(流水本位,流水日期,$A15,流水属性,"&lt;&gt;内部转账",流水本位,"&lt;0"),2))</f>
        <v>0</v>
      </c>
      <c r="D15" s="23">
        <f t="shared" si="0"/>
        <v>0</v>
      </c>
      <c r="E15" s="23">
        <f>IF($A15="","",ROUND(SUM(账户期初本位)+SUMIFS(流水本位,流水日期,"&lt;="&amp;$A15),2))</f>
        <v>11525820</v>
      </c>
      <c r="F15" s="23">
        <f>IF(OR($A15="",IF(参数设置!$C$11="","",参数设置!$C$11)=""),"",ROUND(N(参数设置!$G$11)+SUMIFS(流水净额,流水账户,参数设置!$C$11,流水日期,"&lt;="&amp;$A15),2))</f>
        <v>602000</v>
      </c>
      <c r="G15" s="23">
        <f>IF(OR($A15="",IF(参数设置!$C$12="","",参数设置!$C$12)=""),"",ROUND(N(参数设置!$G$12)+SUMIFS(流水净额,流水账户,参数设置!$C$12,流水日期,"&lt;="&amp;$A15),2))</f>
        <v>825000</v>
      </c>
      <c r="H15" s="23">
        <f>IF(OR($A15="",IF(参数设置!$C$13="","",参数设置!$C$13)=""),"",ROUND(N(参数设置!$G$13)+SUMIFS(流水净额,流水账户,参数设置!$C$13,流水日期,"&lt;="&amp;$A15),2))</f>
        <v>295500</v>
      </c>
      <c r="I15" s="23">
        <f>IF(OR($A15="",IF(参数设置!$C$14="","",参数设置!$C$14)=""),"",ROUND(N(参数设置!$G$14)+SUMIFS(流水净额,流水账户,参数设置!$C$14,流水日期,"&lt;="&amp;$A15),2))</f>
        <v>170000</v>
      </c>
      <c r="J15" s="23">
        <f>IF(OR($A15="",IF(参数设置!$C$15="","",参数设置!$C$15)=""),"",ROUND(N(参数设置!$G$15)+SUMIFS(流水净额,流水账户,参数设置!$C$15,流水日期,"&lt;="&amp;$A15),2))</f>
        <v>512000</v>
      </c>
      <c r="K15" s="23">
        <f>IF(OR($A15="",IF(参数设置!$C$16="","",参数设置!$C$16)=""),"",ROUND(N(参数设置!$G$16)+SUMIFS(流水净额,流水账户,参数设置!$C$16,流水日期,"&lt;="&amp;$A15),2))</f>
        <v>120000</v>
      </c>
      <c r="L15" s="23" t="str">
        <f>IF(OR($A15="",IF(参数设置!$C$17="","",参数设置!$C$17)=""),"",ROUND(N(参数设置!$G$17)+SUMIFS(流水净额,流水账户,参数设置!$C$17,流水日期,"&lt;="&amp;$A15),2))</f>
        <v/>
      </c>
      <c r="M15" s="23" t="str">
        <f>IF(OR($A15="",IF(参数设置!$C$18="","",参数设置!$C$18)=""),"",ROUND(N(参数设置!$G$18)+SUMIFS(流水净额,流水账户,参数设置!$C$18,流水日期,"&lt;="&amp;$A15),2))</f>
        <v/>
      </c>
      <c r="N15" s="23" t="str">
        <f>IF(OR($A15="",IF(参数设置!$C$19="","",参数设置!$C$19)=""),"",ROUND(N(参数设置!$G$19)+SUMIFS(流水净额,流水账户,参数设置!$C$19,流水日期,"&lt;="&amp;$A15),2))</f>
        <v/>
      </c>
      <c r="O15" s="23" t="str">
        <f>IF(OR($A15="",IF(参数设置!$C$20="","",参数设置!$C$20)=""),"",ROUND(N(参数设置!$G$20)+SUMIFS(流水净额,流水账户,参数设置!$C$20,流水日期,"&lt;="&amp;$A15),2))</f>
        <v/>
      </c>
      <c r="P15" s="23" t="str">
        <f>IF(OR($A15="",IF(参数设置!$C$21="","",参数设置!$C$21)=""),"",ROUND(N(参数设置!$G$21)+SUMIFS(流水净额,流水账户,参数设置!$C$21,流水日期,"&lt;="&amp;$A15),2))</f>
        <v/>
      </c>
      <c r="Q15" s="23" t="str">
        <f>IF(OR($A15="",IF(参数设置!$C$22="","",参数设置!$C$22)=""),"",ROUND(N(参数设置!$G$22)+SUMIFS(流水净额,流水账户,参数设置!$C$22,流水日期,"&lt;="&amp;$A15),2))</f>
        <v/>
      </c>
      <c r="R15" s="23" t="str">
        <f>IF(OR($A15="",IF(参数设置!$C$23="","",参数设置!$C$23)=""),"",ROUND(N(参数设置!$G$23)+SUMIFS(流水净额,流水账户,参数设置!$C$23,流水日期,"&lt;="&amp;$A15),2))</f>
        <v/>
      </c>
      <c r="S15" s="23" t="str">
        <f>IF(OR($A15="",IF(参数设置!$C$24="","",参数设置!$C$24)=""),"",ROUND(N(参数设置!$G$24)+SUMIFS(流水净额,流水账户,参数设置!$C$24,流水日期,"&lt;="&amp;$A15),2))</f>
        <v/>
      </c>
      <c r="T15" s="23" t="str">
        <f>IF(OR($A15="",IF(参数设置!$C$25="","",参数设置!$C$25)=""),"",ROUND(N(参数设置!$G$25)+SUMIFS(流水净额,流水账户,参数设置!$C$25,流水日期,"&lt;="&amp;$A15),2))</f>
        <v/>
      </c>
    </row>
    <row r="16" ht="16.5" spans="1:20">
      <c r="A16" s="22">
        <f>IF(OR($B$3="",NOT(ISNUMBER($F$3))),"",IF(10&gt;$F$3,"",$B$3+9))</f>
        <v>46244</v>
      </c>
      <c r="B16" s="23">
        <f>IF($A16="","",ROUND(SUMIFS(流水本位,流水日期,$A16,流水属性,"&lt;&gt;内部转账",流水本位,"&gt;0"),2))</f>
        <v>0</v>
      </c>
      <c r="C16" s="23">
        <f>IF($A16="","",-ROUND(SUMIFS(流水本位,流水日期,$A16,流水属性,"&lt;&gt;内部转账",流水本位,"&lt;0"),2))</f>
        <v>57280</v>
      </c>
      <c r="D16" s="23">
        <f t="shared" si="0"/>
        <v>-57280</v>
      </c>
      <c r="E16" s="23">
        <f>IF($A16="","",ROUND(SUM(账户期初本位)+SUMIFS(流水本位,流水日期,"&lt;="&amp;$A16),2))</f>
        <v>11468540</v>
      </c>
      <c r="F16" s="23">
        <f>IF(OR($A16="",IF(参数设置!$C$11="","",参数设置!$C$11)=""),"",ROUND(N(参数设置!$G$11)+SUMIFS(流水净额,流水账户,参数设置!$C$11,流水日期,"&lt;="&amp;$A16),2))</f>
        <v>602000</v>
      </c>
      <c r="G16" s="23">
        <f>IF(OR($A16="",IF(参数设置!$C$12="","",参数设置!$C$12)=""),"",ROUND(N(参数设置!$G$12)+SUMIFS(流水净额,流水账户,参数设置!$C$12,流水日期,"&lt;="&amp;$A16),2))</f>
        <v>817000</v>
      </c>
      <c r="H16" s="23">
        <f>IF(OR($A16="",IF(参数设置!$C$13="","",参数设置!$C$13)=""),"",ROUND(N(参数设置!$G$13)+SUMIFS(流水净额,流水账户,参数设置!$C$13,流水日期,"&lt;="&amp;$A16),2))</f>
        <v>295500</v>
      </c>
      <c r="I16" s="23">
        <f>IF(OR($A16="",IF(参数设置!$C$14="","",参数设置!$C$14)=""),"",ROUND(N(参数设置!$G$14)+SUMIFS(流水净额,流水账户,参数设置!$C$14,流水日期,"&lt;="&amp;$A16),2))</f>
        <v>170000</v>
      </c>
      <c r="J16" s="23">
        <f>IF(OR($A16="",IF(参数设置!$C$15="","",参数设置!$C$15)=""),"",ROUND(N(参数设置!$G$15)+SUMIFS(流水净额,流水账户,参数设置!$C$15,流水日期,"&lt;="&amp;$A16),2))</f>
        <v>512000</v>
      </c>
      <c r="K16" s="23">
        <f>IF(OR($A16="",IF(参数设置!$C$16="","",参数设置!$C$16)=""),"",ROUND(N(参数设置!$G$16)+SUMIFS(流水净额,流水账户,参数设置!$C$16,流水日期,"&lt;="&amp;$A16),2))</f>
        <v>120000</v>
      </c>
      <c r="L16" s="23" t="str">
        <f>IF(OR($A16="",IF(参数设置!$C$17="","",参数设置!$C$17)=""),"",ROUND(N(参数设置!$G$17)+SUMIFS(流水净额,流水账户,参数设置!$C$17,流水日期,"&lt;="&amp;$A16),2))</f>
        <v/>
      </c>
      <c r="M16" s="23" t="str">
        <f>IF(OR($A16="",IF(参数设置!$C$18="","",参数设置!$C$18)=""),"",ROUND(N(参数设置!$G$18)+SUMIFS(流水净额,流水账户,参数设置!$C$18,流水日期,"&lt;="&amp;$A16),2))</f>
        <v/>
      </c>
      <c r="N16" s="23" t="str">
        <f>IF(OR($A16="",IF(参数设置!$C$19="","",参数设置!$C$19)=""),"",ROUND(N(参数设置!$G$19)+SUMIFS(流水净额,流水账户,参数设置!$C$19,流水日期,"&lt;="&amp;$A16),2))</f>
        <v/>
      </c>
      <c r="O16" s="23" t="str">
        <f>IF(OR($A16="",IF(参数设置!$C$20="","",参数设置!$C$20)=""),"",ROUND(N(参数设置!$G$20)+SUMIFS(流水净额,流水账户,参数设置!$C$20,流水日期,"&lt;="&amp;$A16),2))</f>
        <v/>
      </c>
      <c r="P16" s="23" t="str">
        <f>IF(OR($A16="",IF(参数设置!$C$21="","",参数设置!$C$21)=""),"",ROUND(N(参数设置!$G$21)+SUMIFS(流水净额,流水账户,参数设置!$C$21,流水日期,"&lt;="&amp;$A16),2))</f>
        <v/>
      </c>
      <c r="Q16" s="23" t="str">
        <f>IF(OR($A16="",IF(参数设置!$C$22="","",参数设置!$C$22)=""),"",ROUND(N(参数设置!$G$22)+SUMIFS(流水净额,流水账户,参数设置!$C$22,流水日期,"&lt;="&amp;$A16),2))</f>
        <v/>
      </c>
      <c r="R16" s="23" t="str">
        <f>IF(OR($A16="",IF(参数设置!$C$23="","",参数设置!$C$23)=""),"",ROUND(N(参数设置!$G$23)+SUMIFS(流水净额,流水账户,参数设置!$C$23,流水日期,"&lt;="&amp;$A16),2))</f>
        <v/>
      </c>
      <c r="S16" s="23" t="str">
        <f>IF(OR($A16="",IF(参数设置!$C$24="","",参数设置!$C$24)=""),"",ROUND(N(参数设置!$G$24)+SUMIFS(流水净额,流水账户,参数设置!$C$24,流水日期,"&lt;="&amp;$A16),2))</f>
        <v/>
      </c>
      <c r="T16" s="23" t="str">
        <f>IF(OR($A16="",IF(参数设置!$C$25="","",参数设置!$C$25)=""),"",ROUND(N(参数设置!$G$25)+SUMIFS(流水净额,流水账户,参数设置!$C$25,流水日期,"&lt;="&amp;$A16),2))</f>
        <v/>
      </c>
    </row>
    <row r="17" ht="16.5" spans="1:20">
      <c r="A17" s="22">
        <f>IF(OR($B$3="",NOT(ISNUMBER($F$3))),"",IF(11&gt;$F$3,"",$B$3+10))</f>
        <v>46245</v>
      </c>
      <c r="B17" s="23">
        <f>IF($A17="","",ROUND(SUMIFS(流水本位,流水日期,$A17,流水属性,"&lt;&gt;内部转账",流水本位,"&gt;0"),2))</f>
        <v>73600</v>
      </c>
      <c r="C17" s="23">
        <f>IF($A17="","",-ROUND(SUMIFS(流水本位,流水日期,$A17,流水属性,"&lt;&gt;内部转账",流水本位,"&lt;0"),2))</f>
        <v>0</v>
      </c>
      <c r="D17" s="23">
        <f t="shared" si="0"/>
        <v>73600</v>
      </c>
      <c r="E17" s="23">
        <f>IF($A17="","",ROUND(SUM(账户期初本位)+SUMIFS(流水本位,流水日期,"&lt;="&amp;$A17),2))</f>
        <v>11542140</v>
      </c>
      <c r="F17" s="23">
        <f>IF(OR($A17="",IF(参数设置!$C$11="","",参数设置!$C$11)=""),"",ROUND(N(参数设置!$G$11)+SUMIFS(流水净额,流水账户,参数设置!$C$11,流水日期,"&lt;="&amp;$A17),2))</f>
        <v>602000</v>
      </c>
      <c r="G17" s="23">
        <f>IF(OR($A17="",IF(参数设置!$C$12="","",参数设置!$C$12)=""),"",ROUND(N(参数设置!$G$12)+SUMIFS(流水净额,流水账户,参数设置!$C$12,流水日期,"&lt;="&amp;$A17),2))</f>
        <v>817000</v>
      </c>
      <c r="H17" s="23">
        <f>IF(OR($A17="",IF(参数设置!$C$13="","",参数设置!$C$13)=""),"",ROUND(N(参数设置!$G$13)+SUMIFS(流水净额,流水账户,参数设置!$C$13,流水日期,"&lt;="&amp;$A17),2))</f>
        <v>375500</v>
      </c>
      <c r="I17" s="23">
        <f>IF(OR($A17="",IF(参数设置!$C$14="","",参数设置!$C$14)=""),"",ROUND(N(参数设置!$G$14)+SUMIFS(流水净额,流水账户,参数设置!$C$14,流水日期,"&lt;="&amp;$A17),2))</f>
        <v>170000</v>
      </c>
      <c r="J17" s="23">
        <f>IF(OR($A17="",IF(参数设置!$C$15="","",参数设置!$C$15)=""),"",ROUND(N(参数设置!$G$15)+SUMIFS(流水净额,流水账户,参数设置!$C$15,流水日期,"&lt;="&amp;$A17),2))</f>
        <v>512000</v>
      </c>
      <c r="K17" s="23">
        <f>IF(OR($A17="",IF(参数设置!$C$16="","",参数设置!$C$16)=""),"",ROUND(N(参数设置!$G$16)+SUMIFS(流水净额,流水账户,参数设置!$C$16,流水日期,"&lt;="&amp;$A17),2))</f>
        <v>120000</v>
      </c>
      <c r="L17" s="23" t="str">
        <f>IF(OR($A17="",IF(参数设置!$C$17="","",参数设置!$C$17)=""),"",ROUND(N(参数设置!$G$17)+SUMIFS(流水净额,流水账户,参数设置!$C$17,流水日期,"&lt;="&amp;$A17),2))</f>
        <v/>
      </c>
      <c r="M17" s="23" t="str">
        <f>IF(OR($A17="",IF(参数设置!$C$18="","",参数设置!$C$18)=""),"",ROUND(N(参数设置!$G$18)+SUMIFS(流水净额,流水账户,参数设置!$C$18,流水日期,"&lt;="&amp;$A17),2))</f>
        <v/>
      </c>
      <c r="N17" s="23" t="str">
        <f>IF(OR($A17="",IF(参数设置!$C$19="","",参数设置!$C$19)=""),"",ROUND(N(参数设置!$G$19)+SUMIFS(流水净额,流水账户,参数设置!$C$19,流水日期,"&lt;="&amp;$A17),2))</f>
        <v/>
      </c>
      <c r="O17" s="23" t="str">
        <f>IF(OR($A17="",IF(参数设置!$C$20="","",参数设置!$C$20)=""),"",ROUND(N(参数设置!$G$20)+SUMIFS(流水净额,流水账户,参数设置!$C$20,流水日期,"&lt;="&amp;$A17),2))</f>
        <v/>
      </c>
      <c r="P17" s="23" t="str">
        <f>IF(OR($A17="",IF(参数设置!$C$21="","",参数设置!$C$21)=""),"",ROUND(N(参数设置!$G$21)+SUMIFS(流水净额,流水账户,参数设置!$C$21,流水日期,"&lt;="&amp;$A17),2))</f>
        <v/>
      </c>
      <c r="Q17" s="23" t="str">
        <f>IF(OR($A17="",IF(参数设置!$C$22="","",参数设置!$C$22)=""),"",ROUND(N(参数设置!$G$22)+SUMIFS(流水净额,流水账户,参数设置!$C$22,流水日期,"&lt;="&amp;$A17),2))</f>
        <v/>
      </c>
      <c r="R17" s="23" t="str">
        <f>IF(OR($A17="",IF(参数设置!$C$23="","",参数设置!$C$23)=""),"",ROUND(N(参数设置!$G$23)+SUMIFS(流水净额,流水账户,参数设置!$C$23,流水日期,"&lt;="&amp;$A17),2))</f>
        <v/>
      </c>
      <c r="S17" s="23" t="str">
        <f>IF(OR($A17="",IF(参数设置!$C$24="","",参数设置!$C$24)=""),"",ROUND(N(参数设置!$G$24)+SUMIFS(流水净额,流水账户,参数设置!$C$24,流水日期,"&lt;="&amp;$A17),2))</f>
        <v/>
      </c>
      <c r="T17" s="23" t="str">
        <f>IF(OR($A17="",IF(参数设置!$C$25="","",参数设置!$C$25)=""),"",ROUND(N(参数设置!$G$25)+SUMIFS(流水净额,流水账户,参数设置!$C$25,流水日期,"&lt;="&amp;$A17),2))</f>
        <v/>
      </c>
    </row>
    <row r="18" ht="16.5" spans="1:20">
      <c r="A18" s="22">
        <f>IF(OR($B$3="",NOT(ISNUMBER($F$3))),"",IF(12&gt;$F$3,"",$B$3+11))</f>
        <v>46246</v>
      </c>
      <c r="B18" s="23">
        <f>IF($A18="","",ROUND(SUMIFS(流水本位,流水日期,$A18,流水属性,"&lt;&gt;内部转账",流水本位,"&gt;0"),2))</f>
        <v>60000</v>
      </c>
      <c r="C18" s="23">
        <f>IF($A18="","",-ROUND(SUMIFS(流水本位,流水日期,$A18,流水属性,"&lt;&gt;内部转账",流水本位,"&lt;0"),2))</f>
        <v>0</v>
      </c>
      <c r="D18" s="23">
        <f t="shared" si="0"/>
        <v>60000</v>
      </c>
      <c r="E18" s="23">
        <f>IF($A18="","",ROUND(SUM(账户期初本位)+SUMIFS(流水本位,流水日期,"&lt;="&amp;$A18),2))</f>
        <v>11602140</v>
      </c>
      <c r="F18" s="23">
        <f>IF(OR($A18="",IF(参数设置!$C$11="","",参数设置!$C$11)=""),"",ROUND(N(参数设置!$G$11)+SUMIFS(流水净额,流水账户,参数设置!$C$11,流水日期,"&lt;="&amp;$A18),2))</f>
        <v>602000</v>
      </c>
      <c r="G18" s="23">
        <f>IF(OR($A18="",IF(参数设置!$C$12="","",参数设置!$C$12)=""),"",ROUND(N(参数设置!$G$12)+SUMIFS(流水净额,流水账户,参数设置!$C$12,流水日期,"&lt;="&amp;$A18),2))</f>
        <v>817000</v>
      </c>
      <c r="H18" s="23">
        <f>IF(OR($A18="",IF(参数设置!$C$13="","",参数设置!$C$13)=""),"",ROUND(N(参数设置!$G$13)+SUMIFS(流水净额,流水账户,参数设置!$C$13,流水日期,"&lt;="&amp;$A18),2))</f>
        <v>375500</v>
      </c>
      <c r="I18" s="23">
        <f>IF(OR($A18="",IF(参数设置!$C$14="","",参数设置!$C$14)=""),"",ROUND(N(参数设置!$G$14)+SUMIFS(流水净额,流水账户,参数设置!$C$14,流水日期,"&lt;="&amp;$A18),2))</f>
        <v>230000</v>
      </c>
      <c r="J18" s="23">
        <f>IF(OR($A18="",IF(参数设置!$C$15="","",参数设置!$C$15)=""),"",ROUND(N(参数设置!$G$15)+SUMIFS(流水净额,流水账户,参数设置!$C$15,流水日期,"&lt;="&amp;$A18),2))</f>
        <v>512000</v>
      </c>
      <c r="K18" s="23">
        <f>IF(OR($A18="",IF(参数设置!$C$16="","",参数设置!$C$16)=""),"",ROUND(N(参数设置!$G$16)+SUMIFS(流水净额,流水账户,参数设置!$C$16,流水日期,"&lt;="&amp;$A18),2))</f>
        <v>120000</v>
      </c>
      <c r="L18" s="23" t="str">
        <f>IF(OR($A18="",IF(参数设置!$C$17="","",参数设置!$C$17)=""),"",ROUND(N(参数设置!$G$17)+SUMIFS(流水净额,流水账户,参数设置!$C$17,流水日期,"&lt;="&amp;$A18),2))</f>
        <v/>
      </c>
      <c r="M18" s="23" t="str">
        <f>IF(OR($A18="",IF(参数设置!$C$18="","",参数设置!$C$18)=""),"",ROUND(N(参数设置!$G$18)+SUMIFS(流水净额,流水账户,参数设置!$C$18,流水日期,"&lt;="&amp;$A18),2))</f>
        <v/>
      </c>
      <c r="N18" s="23" t="str">
        <f>IF(OR($A18="",IF(参数设置!$C$19="","",参数设置!$C$19)=""),"",ROUND(N(参数设置!$G$19)+SUMIFS(流水净额,流水账户,参数设置!$C$19,流水日期,"&lt;="&amp;$A18),2))</f>
        <v/>
      </c>
      <c r="O18" s="23" t="str">
        <f>IF(OR($A18="",IF(参数设置!$C$20="","",参数设置!$C$20)=""),"",ROUND(N(参数设置!$G$20)+SUMIFS(流水净额,流水账户,参数设置!$C$20,流水日期,"&lt;="&amp;$A18),2))</f>
        <v/>
      </c>
      <c r="P18" s="23" t="str">
        <f>IF(OR($A18="",IF(参数设置!$C$21="","",参数设置!$C$21)=""),"",ROUND(N(参数设置!$G$21)+SUMIFS(流水净额,流水账户,参数设置!$C$21,流水日期,"&lt;="&amp;$A18),2))</f>
        <v/>
      </c>
      <c r="Q18" s="23" t="str">
        <f>IF(OR($A18="",IF(参数设置!$C$22="","",参数设置!$C$22)=""),"",ROUND(N(参数设置!$G$22)+SUMIFS(流水净额,流水账户,参数设置!$C$22,流水日期,"&lt;="&amp;$A18),2))</f>
        <v/>
      </c>
      <c r="R18" s="23" t="str">
        <f>IF(OR($A18="",IF(参数设置!$C$23="","",参数设置!$C$23)=""),"",ROUND(N(参数设置!$G$23)+SUMIFS(流水净额,流水账户,参数设置!$C$23,流水日期,"&lt;="&amp;$A18),2))</f>
        <v/>
      </c>
      <c r="S18" s="23" t="str">
        <f>IF(OR($A18="",IF(参数设置!$C$24="","",参数设置!$C$24)=""),"",ROUND(N(参数设置!$G$24)+SUMIFS(流水净额,流水账户,参数设置!$C$24,流水日期,"&lt;="&amp;$A18),2))</f>
        <v/>
      </c>
      <c r="T18" s="23" t="str">
        <f>IF(OR($A18="",IF(参数设置!$C$25="","",参数设置!$C$25)=""),"",ROUND(N(参数设置!$G$25)+SUMIFS(流水净额,流水账户,参数设置!$C$25,流水日期,"&lt;="&amp;$A18),2))</f>
        <v/>
      </c>
    </row>
    <row r="19" ht="16.5" spans="1:20">
      <c r="A19" s="22">
        <f>IF(OR($B$3="",NOT(ISNUMBER($F$3))),"",IF(13&gt;$F$3,"",$B$3+12))</f>
        <v>46247</v>
      </c>
      <c r="B19" s="23">
        <f>IF($A19="","",ROUND(SUMIFS(流水本位,流水日期,$A19,流水属性,"&lt;&gt;内部转账",流水本位,"&gt;0"),2))</f>
        <v>0</v>
      </c>
      <c r="C19" s="23">
        <f>IF($A19="","",-ROUND(SUMIFS(流水本位,流水日期,$A19,流水属性,"&lt;&gt;内部转账",流水本位,"&lt;0"),2))</f>
        <v>35900</v>
      </c>
      <c r="D19" s="23">
        <f t="shared" si="0"/>
        <v>-35900</v>
      </c>
      <c r="E19" s="23">
        <f>IF($A19="","",ROUND(SUM(账户期初本位)+SUMIFS(流水本位,流水日期,"&lt;="&amp;$A19),2))</f>
        <v>11566240</v>
      </c>
      <c r="F19" s="23">
        <f>IF(OR($A19="",IF(参数设置!$C$11="","",参数设置!$C$11)=""),"",ROUND(N(参数设置!$G$11)+SUMIFS(流水净额,流水账户,参数设置!$C$11,流水日期,"&lt;="&amp;$A19),2))</f>
        <v>602000</v>
      </c>
      <c r="G19" s="23">
        <f>IF(OR($A19="",IF(参数设置!$C$12="","",参数设置!$C$12)=""),"",ROUND(N(参数设置!$G$12)+SUMIFS(流水净额,流水账户,参数设置!$C$12,流水日期,"&lt;="&amp;$A19),2))</f>
        <v>817000</v>
      </c>
      <c r="H19" s="23">
        <f>IF(OR($A19="",IF(参数设置!$C$13="","",参数设置!$C$13)=""),"",ROUND(N(参数设置!$G$13)+SUMIFS(流水净额,流水账户,参数设置!$C$13,流水日期,"&lt;="&amp;$A19),2))</f>
        <v>375500</v>
      </c>
      <c r="I19" s="23">
        <f>IF(OR($A19="",IF(参数设置!$C$14="","",参数设置!$C$14)=""),"",ROUND(N(参数设置!$G$14)+SUMIFS(流水净额,流水账户,参数设置!$C$14,流水日期,"&lt;="&amp;$A19),2))</f>
        <v>230000</v>
      </c>
      <c r="J19" s="23">
        <f>IF(OR($A19="",IF(参数设置!$C$15="","",参数设置!$C$15)=""),"",ROUND(N(参数设置!$G$15)+SUMIFS(流水净额,流水账户,参数设置!$C$15,流水日期,"&lt;="&amp;$A19),2))</f>
        <v>507000</v>
      </c>
      <c r="K19" s="23">
        <f>IF(OR($A19="",IF(参数设置!$C$16="","",参数设置!$C$16)=""),"",ROUND(N(参数设置!$G$16)+SUMIFS(流水净额,流水账户,参数设置!$C$16,流水日期,"&lt;="&amp;$A19),2))</f>
        <v>120000</v>
      </c>
      <c r="L19" s="23" t="str">
        <f>IF(OR($A19="",IF(参数设置!$C$17="","",参数设置!$C$17)=""),"",ROUND(N(参数设置!$G$17)+SUMIFS(流水净额,流水账户,参数设置!$C$17,流水日期,"&lt;="&amp;$A19),2))</f>
        <v/>
      </c>
      <c r="M19" s="23" t="str">
        <f>IF(OR($A19="",IF(参数设置!$C$18="","",参数设置!$C$18)=""),"",ROUND(N(参数设置!$G$18)+SUMIFS(流水净额,流水账户,参数设置!$C$18,流水日期,"&lt;="&amp;$A19),2))</f>
        <v/>
      </c>
      <c r="N19" s="23" t="str">
        <f>IF(OR($A19="",IF(参数设置!$C$19="","",参数设置!$C$19)=""),"",ROUND(N(参数设置!$G$19)+SUMIFS(流水净额,流水账户,参数设置!$C$19,流水日期,"&lt;="&amp;$A19),2))</f>
        <v/>
      </c>
      <c r="O19" s="23" t="str">
        <f>IF(OR($A19="",IF(参数设置!$C$20="","",参数设置!$C$20)=""),"",ROUND(N(参数设置!$G$20)+SUMIFS(流水净额,流水账户,参数设置!$C$20,流水日期,"&lt;="&amp;$A19),2))</f>
        <v/>
      </c>
      <c r="P19" s="23" t="str">
        <f>IF(OR($A19="",IF(参数设置!$C$21="","",参数设置!$C$21)=""),"",ROUND(N(参数设置!$G$21)+SUMIFS(流水净额,流水账户,参数设置!$C$21,流水日期,"&lt;="&amp;$A19),2))</f>
        <v/>
      </c>
      <c r="Q19" s="23" t="str">
        <f>IF(OR($A19="",IF(参数设置!$C$22="","",参数设置!$C$22)=""),"",ROUND(N(参数设置!$G$22)+SUMIFS(流水净额,流水账户,参数设置!$C$22,流水日期,"&lt;="&amp;$A19),2))</f>
        <v/>
      </c>
      <c r="R19" s="23" t="str">
        <f>IF(OR($A19="",IF(参数设置!$C$23="","",参数设置!$C$23)=""),"",ROUND(N(参数设置!$G$23)+SUMIFS(流水净额,流水账户,参数设置!$C$23,流水日期,"&lt;="&amp;$A19),2))</f>
        <v/>
      </c>
      <c r="S19" s="23" t="str">
        <f>IF(OR($A19="",IF(参数设置!$C$24="","",参数设置!$C$24)=""),"",ROUND(N(参数设置!$G$24)+SUMIFS(流水净额,流水账户,参数设置!$C$24,流水日期,"&lt;="&amp;$A19),2))</f>
        <v/>
      </c>
      <c r="T19" s="23" t="str">
        <f>IF(OR($A19="",IF(参数设置!$C$25="","",参数设置!$C$25)=""),"",ROUND(N(参数设置!$G$25)+SUMIFS(流水净额,流水账户,参数设置!$C$25,流水日期,"&lt;="&amp;$A19),2))</f>
        <v/>
      </c>
    </row>
    <row r="20" ht="16.5" spans="1:20">
      <c r="A20" s="22">
        <f>IF(OR($B$3="",NOT(ISNUMBER($F$3))),"",IF(14&gt;$F$3,"",$B$3+13))</f>
        <v>46248</v>
      </c>
      <c r="B20" s="23">
        <f>IF($A20="","",ROUND(SUMIFS(流水本位,流水日期,$A20,流水属性,"&lt;&gt;内部转账",流水本位,"&gt;0"),2))</f>
        <v>0</v>
      </c>
      <c r="C20" s="23">
        <f>IF($A20="","",-ROUND(SUMIFS(流水本位,流水日期,$A20,流水属性,"&lt;&gt;内部转账",流水本位,"&lt;0"),2))</f>
        <v>0</v>
      </c>
      <c r="D20" s="23">
        <f t="shared" si="0"/>
        <v>0</v>
      </c>
      <c r="E20" s="23">
        <f>IF($A20="","",ROUND(SUM(账户期初本位)+SUMIFS(流水本位,流水日期,"&lt;="&amp;$A20),2))</f>
        <v>11566240</v>
      </c>
      <c r="F20" s="23">
        <f>IF(OR($A20="",IF(参数设置!$C$11="","",参数设置!$C$11)=""),"",ROUND(N(参数设置!$G$11)+SUMIFS(流水净额,流水账户,参数设置!$C$11,流水日期,"&lt;="&amp;$A20),2))</f>
        <v>552000</v>
      </c>
      <c r="G20" s="23">
        <f>IF(OR($A20="",IF(参数设置!$C$12="","",参数设置!$C$12)=""),"",ROUND(N(参数设置!$G$12)+SUMIFS(流水净额,流水账户,参数设置!$C$12,流水日期,"&lt;="&amp;$A20),2))</f>
        <v>817000</v>
      </c>
      <c r="H20" s="23">
        <f>IF(OR($A20="",IF(参数设置!$C$13="","",参数设置!$C$13)=""),"",ROUND(N(参数设置!$G$13)+SUMIFS(流水净额,流水账户,参数设置!$C$13,流水日期,"&lt;="&amp;$A20),2))</f>
        <v>375500</v>
      </c>
      <c r="I20" s="23">
        <f>IF(OR($A20="",IF(参数设置!$C$14="","",参数设置!$C$14)=""),"",ROUND(N(参数设置!$G$14)+SUMIFS(流水净额,流水账户,参数设置!$C$14,流水日期,"&lt;="&amp;$A20),2))</f>
        <v>280000</v>
      </c>
      <c r="J20" s="23">
        <f>IF(OR($A20="",IF(参数设置!$C$15="","",参数设置!$C$15)=""),"",ROUND(N(参数设置!$G$15)+SUMIFS(流水净额,流水账户,参数设置!$C$15,流水日期,"&lt;="&amp;$A20),2))</f>
        <v>507000</v>
      </c>
      <c r="K20" s="23">
        <f>IF(OR($A20="",IF(参数设置!$C$16="","",参数设置!$C$16)=""),"",ROUND(N(参数设置!$G$16)+SUMIFS(流水净额,流水账户,参数设置!$C$16,流水日期,"&lt;="&amp;$A20),2))</f>
        <v>120000</v>
      </c>
      <c r="L20" s="23" t="str">
        <f>IF(OR($A20="",IF(参数设置!$C$17="","",参数设置!$C$17)=""),"",ROUND(N(参数设置!$G$17)+SUMIFS(流水净额,流水账户,参数设置!$C$17,流水日期,"&lt;="&amp;$A20),2))</f>
        <v/>
      </c>
      <c r="M20" s="23" t="str">
        <f>IF(OR($A20="",IF(参数设置!$C$18="","",参数设置!$C$18)=""),"",ROUND(N(参数设置!$G$18)+SUMIFS(流水净额,流水账户,参数设置!$C$18,流水日期,"&lt;="&amp;$A20),2))</f>
        <v/>
      </c>
      <c r="N20" s="23" t="str">
        <f>IF(OR($A20="",IF(参数设置!$C$19="","",参数设置!$C$19)=""),"",ROUND(N(参数设置!$G$19)+SUMIFS(流水净额,流水账户,参数设置!$C$19,流水日期,"&lt;="&amp;$A20),2))</f>
        <v/>
      </c>
      <c r="O20" s="23" t="str">
        <f>IF(OR($A20="",IF(参数设置!$C$20="","",参数设置!$C$20)=""),"",ROUND(N(参数设置!$G$20)+SUMIFS(流水净额,流水账户,参数设置!$C$20,流水日期,"&lt;="&amp;$A20),2))</f>
        <v/>
      </c>
      <c r="P20" s="23" t="str">
        <f>IF(OR($A20="",IF(参数设置!$C$21="","",参数设置!$C$21)=""),"",ROUND(N(参数设置!$G$21)+SUMIFS(流水净额,流水账户,参数设置!$C$21,流水日期,"&lt;="&amp;$A20),2))</f>
        <v/>
      </c>
      <c r="Q20" s="23" t="str">
        <f>IF(OR($A20="",IF(参数设置!$C$22="","",参数设置!$C$22)=""),"",ROUND(N(参数设置!$G$22)+SUMIFS(流水净额,流水账户,参数设置!$C$22,流水日期,"&lt;="&amp;$A20),2))</f>
        <v/>
      </c>
      <c r="R20" s="23" t="str">
        <f>IF(OR($A20="",IF(参数设置!$C$23="","",参数设置!$C$23)=""),"",ROUND(N(参数设置!$G$23)+SUMIFS(流水净额,流水账户,参数设置!$C$23,流水日期,"&lt;="&amp;$A20),2))</f>
        <v/>
      </c>
      <c r="S20" s="23" t="str">
        <f>IF(OR($A20="",IF(参数设置!$C$24="","",参数设置!$C$24)=""),"",ROUND(N(参数设置!$G$24)+SUMIFS(流水净额,流水账户,参数设置!$C$24,流水日期,"&lt;="&amp;$A20),2))</f>
        <v/>
      </c>
      <c r="T20" s="23" t="str">
        <f>IF(OR($A20="",IF(参数设置!$C$25="","",参数设置!$C$25)=""),"",ROUND(N(参数设置!$G$25)+SUMIFS(流水净额,流水账户,参数设置!$C$25,流水日期,"&lt;="&amp;$A20),2))</f>
        <v/>
      </c>
    </row>
    <row r="21" ht="16.5" spans="1:20">
      <c r="A21" s="22">
        <f>IF(OR($B$3="",NOT(ISNUMBER($F$3))),"",IF(15&gt;$F$3,"",$B$3+14))</f>
        <v>46249</v>
      </c>
      <c r="B21" s="23">
        <f>IF($A21="","",ROUND(SUMIFS(流水本位,流水日期,$A21,流水属性,"&lt;&gt;内部转账",流水本位,"&gt;0"),2))</f>
        <v>0</v>
      </c>
      <c r="C21" s="23">
        <f>IF($A21="","",-ROUND(SUMIFS(流水本位,流水日期,$A21,流水属性,"&lt;&gt;内部转账",流水本位,"&lt;0"),2))</f>
        <v>0</v>
      </c>
      <c r="D21" s="23">
        <f t="shared" si="0"/>
        <v>0</v>
      </c>
      <c r="E21" s="23">
        <f>IF($A21="","",ROUND(SUM(账户期初本位)+SUMIFS(流水本位,流水日期,"&lt;="&amp;$A21),2))</f>
        <v>11566240</v>
      </c>
      <c r="F21" s="23">
        <f>IF(OR($A21="",IF(参数设置!$C$11="","",参数设置!$C$11)=""),"",ROUND(N(参数设置!$G$11)+SUMIFS(流水净额,流水账户,参数设置!$C$11,流水日期,"&lt;="&amp;$A21),2))</f>
        <v>552000</v>
      </c>
      <c r="G21" s="23">
        <f>IF(OR($A21="",IF(参数设置!$C$12="","",参数设置!$C$12)=""),"",ROUND(N(参数设置!$G$12)+SUMIFS(流水净额,流水账户,参数设置!$C$12,流水日期,"&lt;="&amp;$A21),2))</f>
        <v>817000</v>
      </c>
      <c r="H21" s="23">
        <f>IF(OR($A21="",IF(参数设置!$C$13="","",参数设置!$C$13)=""),"",ROUND(N(参数设置!$G$13)+SUMIFS(流水净额,流水账户,参数设置!$C$13,流水日期,"&lt;="&amp;$A21),2))</f>
        <v>375500</v>
      </c>
      <c r="I21" s="23">
        <f>IF(OR($A21="",IF(参数设置!$C$14="","",参数设置!$C$14)=""),"",ROUND(N(参数设置!$G$14)+SUMIFS(流水净额,流水账户,参数设置!$C$14,流水日期,"&lt;="&amp;$A21),2))</f>
        <v>280000</v>
      </c>
      <c r="J21" s="23">
        <f>IF(OR($A21="",IF(参数设置!$C$15="","",参数设置!$C$15)=""),"",ROUND(N(参数设置!$G$15)+SUMIFS(流水净额,流水账户,参数设置!$C$15,流水日期,"&lt;="&amp;$A21),2))</f>
        <v>507000</v>
      </c>
      <c r="K21" s="23">
        <f>IF(OR($A21="",IF(参数设置!$C$16="","",参数设置!$C$16)=""),"",ROUND(N(参数设置!$G$16)+SUMIFS(流水净额,流水账户,参数设置!$C$16,流水日期,"&lt;="&amp;$A21),2))</f>
        <v>120000</v>
      </c>
      <c r="L21" s="23" t="str">
        <f>IF(OR($A21="",IF(参数设置!$C$17="","",参数设置!$C$17)=""),"",ROUND(N(参数设置!$G$17)+SUMIFS(流水净额,流水账户,参数设置!$C$17,流水日期,"&lt;="&amp;$A21),2))</f>
        <v/>
      </c>
      <c r="M21" s="23" t="str">
        <f>IF(OR($A21="",IF(参数设置!$C$18="","",参数设置!$C$18)=""),"",ROUND(N(参数设置!$G$18)+SUMIFS(流水净额,流水账户,参数设置!$C$18,流水日期,"&lt;="&amp;$A21),2))</f>
        <v/>
      </c>
      <c r="N21" s="23" t="str">
        <f>IF(OR($A21="",IF(参数设置!$C$19="","",参数设置!$C$19)=""),"",ROUND(N(参数设置!$G$19)+SUMIFS(流水净额,流水账户,参数设置!$C$19,流水日期,"&lt;="&amp;$A21),2))</f>
        <v/>
      </c>
      <c r="O21" s="23" t="str">
        <f>IF(OR($A21="",IF(参数设置!$C$20="","",参数设置!$C$20)=""),"",ROUND(N(参数设置!$G$20)+SUMIFS(流水净额,流水账户,参数设置!$C$20,流水日期,"&lt;="&amp;$A21),2))</f>
        <v/>
      </c>
      <c r="P21" s="23" t="str">
        <f>IF(OR($A21="",IF(参数设置!$C$21="","",参数设置!$C$21)=""),"",ROUND(N(参数设置!$G$21)+SUMIFS(流水净额,流水账户,参数设置!$C$21,流水日期,"&lt;="&amp;$A21),2))</f>
        <v/>
      </c>
      <c r="Q21" s="23" t="str">
        <f>IF(OR($A21="",IF(参数设置!$C$22="","",参数设置!$C$22)=""),"",ROUND(N(参数设置!$G$22)+SUMIFS(流水净额,流水账户,参数设置!$C$22,流水日期,"&lt;="&amp;$A21),2))</f>
        <v/>
      </c>
      <c r="R21" s="23" t="str">
        <f>IF(OR($A21="",IF(参数设置!$C$23="","",参数设置!$C$23)=""),"",ROUND(N(参数设置!$G$23)+SUMIFS(流水净额,流水账户,参数设置!$C$23,流水日期,"&lt;="&amp;$A21),2))</f>
        <v/>
      </c>
      <c r="S21" s="23" t="str">
        <f>IF(OR($A21="",IF(参数设置!$C$24="","",参数设置!$C$24)=""),"",ROUND(N(参数设置!$G$24)+SUMIFS(流水净额,流水账户,参数设置!$C$24,流水日期,"&lt;="&amp;$A21),2))</f>
        <v/>
      </c>
      <c r="T21" s="23" t="str">
        <f>IF(OR($A21="",IF(参数设置!$C$25="","",参数设置!$C$25)=""),"",ROUND(N(参数设置!$G$25)+SUMIFS(流水净额,流水账户,参数设置!$C$25,流水日期,"&lt;="&amp;$A21),2))</f>
        <v/>
      </c>
    </row>
    <row r="22" ht="16.5" spans="1:20">
      <c r="A22" s="22">
        <f>IF(OR($B$3="",NOT(ISNUMBER($F$3))),"",IF(16&gt;$F$3,"",$B$3+15))</f>
        <v>46250</v>
      </c>
      <c r="B22" s="23">
        <f>IF($A22="","",ROUND(SUMIFS(流水本位,流水日期,$A22,流水属性,"&lt;&gt;内部转账",流水本位,"&gt;0"),2))</f>
        <v>0</v>
      </c>
      <c r="C22" s="23">
        <f>IF($A22="","",-ROUND(SUMIFS(流水本位,流水日期,$A22,流水属性,"&lt;&gt;内部转账",流水本位,"&lt;0"),2))</f>
        <v>0</v>
      </c>
      <c r="D22" s="23">
        <f t="shared" si="0"/>
        <v>0</v>
      </c>
      <c r="E22" s="23">
        <f>IF($A22="","",ROUND(SUM(账户期初本位)+SUMIFS(流水本位,流水日期,"&lt;="&amp;$A22),2))</f>
        <v>11566240</v>
      </c>
      <c r="F22" s="23">
        <f>IF(OR($A22="",IF(参数设置!$C$11="","",参数设置!$C$11)=""),"",ROUND(N(参数设置!$G$11)+SUMIFS(流水净额,流水账户,参数设置!$C$11,流水日期,"&lt;="&amp;$A22),2))</f>
        <v>552000</v>
      </c>
      <c r="G22" s="23">
        <f>IF(OR($A22="",IF(参数设置!$C$12="","",参数设置!$C$12)=""),"",ROUND(N(参数设置!$G$12)+SUMIFS(流水净额,流水账户,参数设置!$C$12,流水日期,"&lt;="&amp;$A22),2))</f>
        <v>817000</v>
      </c>
      <c r="H22" s="23">
        <f>IF(OR($A22="",IF(参数设置!$C$13="","",参数设置!$C$13)=""),"",ROUND(N(参数设置!$G$13)+SUMIFS(流水净额,流水账户,参数设置!$C$13,流水日期,"&lt;="&amp;$A22),2))</f>
        <v>375500</v>
      </c>
      <c r="I22" s="23">
        <f>IF(OR($A22="",IF(参数设置!$C$14="","",参数设置!$C$14)=""),"",ROUND(N(参数设置!$G$14)+SUMIFS(流水净额,流水账户,参数设置!$C$14,流水日期,"&lt;="&amp;$A22),2))</f>
        <v>280000</v>
      </c>
      <c r="J22" s="23">
        <f>IF(OR($A22="",IF(参数设置!$C$15="","",参数设置!$C$15)=""),"",ROUND(N(参数设置!$G$15)+SUMIFS(流水净额,流水账户,参数设置!$C$15,流水日期,"&lt;="&amp;$A22),2))</f>
        <v>507000</v>
      </c>
      <c r="K22" s="23">
        <f>IF(OR($A22="",IF(参数设置!$C$16="","",参数设置!$C$16)=""),"",ROUND(N(参数设置!$G$16)+SUMIFS(流水净额,流水账户,参数设置!$C$16,流水日期,"&lt;="&amp;$A22),2))</f>
        <v>120000</v>
      </c>
      <c r="L22" s="23" t="str">
        <f>IF(OR($A22="",IF(参数设置!$C$17="","",参数设置!$C$17)=""),"",ROUND(N(参数设置!$G$17)+SUMIFS(流水净额,流水账户,参数设置!$C$17,流水日期,"&lt;="&amp;$A22),2))</f>
        <v/>
      </c>
      <c r="M22" s="23" t="str">
        <f>IF(OR($A22="",IF(参数设置!$C$18="","",参数设置!$C$18)=""),"",ROUND(N(参数设置!$G$18)+SUMIFS(流水净额,流水账户,参数设置!$C$18,流水日期,"&lt;="&amp;$A22),2))</f>
        <v/>
      </c>
      <c r="N22" s="23" t="str">
        <f>IF(OR($A22="",IF(参数设置!$C$19="","",参数设置!$C$19)=""),"",ROUND(N(参数设置!$G$19)+SUMIFS(流水净额,流水账户,参数设置!$C$19,流水日期,"&lt;="&amp;$A22),2))</f>
        <v/>
      </c>
      <c r="O22" s="23" t="str">
        <f>IF(OR($A22="",IF(参数设置!$C$20="","",参数设置!$C$20)=""),"",ROUND(N(参数设置!$G$20)+SUMIFS(流水净额,流水账户,参数设置!$C$20,流水日期,"&lt;="&amp;$A22),2))</f>
        <v/>
      </c>
      <c r="P22" s="23" t="str">
        <f>IF(OR($A22="",IF(参数设置!$C$21="","",参数设置!$C$21)=""),"",ROUND(N(参数设置!$G$21)+SUMIFS(流水净额,流水账户,参数设置!$C$21,流水日期,"&lt;="&amp;$A22),2))</f>
        <v/>
      </c>
      <c r="Q22" s="23" t="str">
        <f>IF(OR($A22="",IF(参数设置!$C$22="","",参数设置!$C$22)=""),"",ROUND(N(参数设置!$G$22)+SUMIFS(流水净额,流水账户,参数设置!$C$22,流水日期,"&lt;="&amp;$A22),2))</f>
        <v/>
      </c>
      <c r="R22" s="23" t="str">
        <f>IF(OR($A22="",IF(参数设置!$C$23="","",参数设置!$C$23)=""),"",ROUND(N(参数设置!$G$23)+SUMIFS(流水净额,流水账户,参数设置!$C$23,流水日期,"&lt;="&amp;$A22),2))</f>
        <v/>
      </c>
      <c r="S22" s="23" t="str">
        <f>IF(OR($A22="",IF(参数设置!$C$24="","",参数设置!$C$24)=""),"",ROUND(N(参数设置!$G$24)+SUMIFS(流水净额,流水账户,参数设置!$C$24,流水日期,"&lt;="&amp;$A22),2))</f>
        <v/>
      </c>
      <c r="T22" s="23" t="str">
        <f>IF(OR($A22="",IF(参数设置!$C$25="","",参数设置!$C$25)=""),"",ROUND(N(参数设置!$G$25)+SUMIFS(流水净额,流水账户,参数设置!$C$25,流水日期,"&lt;="&amp;$A22),2))</f>
        <v/>
      </c>
    </row>
    <row r="23" ht="16.5" spans="1:20">
      <c r="A23" s="22">
        <f>IF(OR($B$3="",NOT(ISNUMBER($F$3))),"",IF(17&gt;$F$3,"",$B$3+16))</f>
        <v>46251</v>
      </c>
      <c r="B23" s="23">
        <f>IF($A23="","",ROUND(SUMIFS(流水本位,流水日期,$A23,流水属性,"&lt;&gt;内部转账",流水本位,"&gt;0"),2))</f>
        <v>0</v>
      </c>
      <c r="C23" s="23">
        <f>IF($A23="","",-ROUND(SUMIFS(流水本位,流水日期,$A23,流水属性,"&lt;&gt;内部转账",流水本位,"&lt;0"),2))</f>
        <v>0</v>
      </c>
      <c r="D23" s="23">
        <f t="shared" si="0"/>
        <v>0</v>
      </c>
      <c r="E23" s="23">
        <f>IF($A23="","",ROUND(SUM(账户期初本位)+SUMIFS(流水本位,流水日期,"&lt;="&amp;$A23),2))</f>
        <v>11566240</v>
      </c>
      <c r="F23" s="23">
        <f>IF(OR($A23="",IF(参数设置!$C$11="","",参数设置!$C$11)=""),"",ROUND(N(参数设置!$G$11)+SUMIFS(流水净额,流水账户,参数设置!$C$11,流水日期,"&lt;="&amp;$A23),2))</f>
        <v>552000</v>
      </c>
      <c r="G23" s="23">
        <f>IF(OR($A23="",IF(参数设置!$C$12="","",参数设置!$C$12)=""),"",ROUND(N(参数设置!$G$12)+SUMIFS(流水净额,流水账户,参数设置!$C$12,流水日期,"&lt;="&amp;$A23),2))</f>
        <v>817000</v>
      </c>
      <c r="H23" s="23">
        <f>IF(OR($A23="",IF(参数设置!$C$13="","",参数设置!$C$13)=""),"",ROUND(N(参数设置!$G$13)+SUMIFS(流水净额,流水账户,参数设置!$C$13,流水日期,"&lt;="&amp;$A23),2))</f>
        <v>375500</v>
      </c>
      <c r="I23" s="23">
        <f>IF(OR($A23="",IF(参数设置!$C$14="","",参数设置!$C$14)=""),"",ROUND(N(参数设置!$G$14)+SUMIFS(流水净额,流水账户,参数设置!$C$14,流水日期,"&lt;="&amp;$A23),2))</f>
        <v>280000</v>
      </c>
      <c r="J23" s="23">
        <f>IF(OR($A23="",IF(参数设置!$C$15="","",参数设置!$C$15)=""),"",ROUND(N(参数设置!$G$15)+SUMIFS(流水净额,流水账户,参数设置!$C$15,流水日期,"&lt;="&amp;$A23),2))</f>
        <v>507000</v>
      </c>
      <c r="K23" s="23">
        <f>IF(OR($A23="",IF(参数设置!$C$16="","",参数设置!$C$16)=""),"",ROUND(N(参数设置!$G$16)+SUMIFS(流水净额,流水账户,参数设置!$C$16,流水日期,"&lt;="&amp;$A23),2))</f>
        <v>120000</v>
      </c>
      <c r="L23" s="23" t="str">
        <f>IF(OR($A23="",IF(参数设置!$C$17="","",参数设置!$C$17)=""),"",ROUND(N(参数设置!$G$17)+SUMIFS(流水净额,流水账户,参数设置!$C$17,流水日期,"&lt;="&amp;$A23),2))</f>
        <v/>
      </c>
      <c r="M23" s="23" t="str">
        <f>IF(OR($A23="",IF(参数设置!$C$18="","",参数设置!$C$18)=""),"",ROUND(N(参数设置!$G$18)+SUMIFS(流水净额,流水账户,参数设置!$C$18,流水日期,"&lt;="&amp;$A23),2))</f>
        <v/>
      </c>
      <c r="N23" s="23" t="str">
        <f>IF(OR($A23="",IF(参数设置!$C$19="","",参数设置!$C$19)=""),"",ROUND(N(参数设置!$G$19)+SUMIFS(流水净额,流水账户,参数设置!$C$19,流水日期,"&lt;="&amp;$A23),2))</f>
        <v/>
      </c>
      <c r="O23" s="23" t="str">
        <f>IF(OR($A23="",IF(参数设置!$C$20="","",参数设置!$C$20)=""),"",ROUND(N(参数设置!$G$20)+SUMIFS(流水净额,流水账户,参数设置!$C$20,流水日期,"&lt;="&amp;$A23),2))</f>
        <v/>
      </c>
      <c r="P23" s="23" t="str">
        <f>IF(OR($A23="",IF(参数设置!$C$21="","",参数设置!$C$21)=""),"",ROUND(N(参数设置!$G$21)+SUMIFS(流水净额,流水账户,参数设置!$C$21,流水日期,"&lt;="&amp;$A23),2))</f>
        <v/>
      </c>
      <c r="Q23" s="23" t="str">
        <f>IF(OR($A23="",IF(参数设置!$C$22="","",参数设置!$C$22)=""),"",ROUND(N(参数设置!$G$22)+SUMIFS(流水净额,流水账户,参数设置!$C$22,流水日期,"&lt;="&amp;$A23),2))</f>
        <v/>
      </c>
      <c r="R23" s="23" t="str">
        <f>IF(OR($A23="",IF(参数设置!$C$23="","",参数设置!$C$23)=""),"",ROUND(N(参数设置!$G$23)+SUMIFS(流水净额,流水账户,参数设置!$C$23,流水日期,"&lt;="&amp;$A23),2))</f>
        <v/>
      </c>
      <c r="S23" s="23" t="str">
        <f>IF(OR($A23="",IF(参数设置!$C$24="","",参数设置!$C$24)=""),"",ROUND(N(参数设置!$G$24)+SUMIFS(流水净额,流水账户,参数设置!$C$24,流水日期,"&lt;="&amp;$A23),2))</f>
        <v/>
      </c>
      <c r="T23" s="23" t="str">
        <f>IF(OR($A23="",IF(参数设置!$C$25="","",参数设置!$C$25)=""),"",ROUND(N(参数设置!$G$25)+SUMIFS(流水净额,流水账户,参数设置!$C$25,流水日期,"&lt;="&amp;$A23),2))</f>
        <v/>
      </c>
    </row>
    <row r="24" ht="16.5" spans="1:20">
      <c r="A24" s="22">
        <f>IF(OR($B$3="",NOT(ISNUMBER($F$3))),"",IF(18&gt;$F$3,"",$B$3+17))</f>
        <v>46252</v>
      </c>
      <c r="B24" s="23">
        <f>IF($A24="","",ROUND(SUMIFS(流水本位,流水日期,$A24,流水属性,"&lt;&gt;内部转账",流水本位,"&gt;0"),2))</f>
        <v>107700</v>
      </c>
      <c r="C24" s="23">
        <f>IF($A24="","",-ROUND(SUMIFS(流水本位,流水日期,$A24,流水属性,"&lt;&gt;内部转账",流水本位,"&lt;0"),2))</f>
        <v>0</v>
      </c>
      <c r="D24" s="23">
        <f t="shared" si="0"/>
        <v>107700</v>
      </c>
      <c r="E24" s="23">
        <f>IF($A24="","",ROUND(SUM(账户期初本位)+SUMIFS(流水本位,流水日期,"&lt;="&amp;$A24),2))</f>
        <v>11673940</v>
      </c>
      <c r="F24" s="23">
        <f>IF(OR($A24="",IF(参数设置!$C$11="","",参数设置!$C$11)=""),"",ROUND(N(参数设置!$G$11)+SUMIFS(流水净额,流水账户,参数设置!$C$11,流水日期,"&lt;="&amp;$A24),2))</f>
        <v>552000</v>
      </c>
      <c r="G24" s="23">
        <f>IF(OR($A24="",IF(参数设置!$C$12="","",参数设置!$C$12)=""),"",ROUND(N(参数设置!$G$12)+SUMIFS(流水净额,流水账户,参数设置!$C$12,流水日期,"&lt;="&amp;$A24),2))</f>
        <v>832000</v>
      </c>
      <c r="H24" s="23">
        <f>IF(OR($A24="",IF(参数设置!$C$13="","",参数设置!$C$13)=""),"",ROUND(N(参数设置!$G$13)+SUMIFS(流水净额,流水账户,参数设置!$C$13,流水日期,"&lt;="&amp;$A24),2))</f>
        <v>375500</v>
      </c>
      <c r="I24" s="23">
        <f>IF(OR($A24="",IF(参数设置!$C$14="","",参数设置!$C$14)=""),"",ROUND(N(参数设置!$G$14)+SUMIFS(流水净额,流水账户,参数设置!$C$14,流水日期,"&lt;="&amp;$A24),2))</f>
        <v>280000</v>
      </c>
      <c r="J24" s="23">
        <f>IF(OR($A24="",IF(参数设置!$C$15="","",参数设置!$C$15)=""),"",ROUND(N(参数设置!$G$15)+SUMIFS(流水净额,流水账户,参数设置!$C$15,流水日期,"&lt;="&amp;$A24),2))</f>
        <v>507000</v>
      </c>
      <c r="K24" s="23">
        <f>IF(OR($A24="",IF(参数设置!$C$16="","",参数设置!$C$16)=""),"",ROUND(N(参数设置!$G$16)+SUMIFS(流水净额,流水账户,参数设置!$C$16,流水日期,"&lt;="&amp;$A24),2))</f>
        <v>120000</v>
      </c>
      <c r="L24" s="23" t="str">
        <f>IF(OR($A24="",IF(参数设置!$C$17="","",参数设置!$C$17)=""),"",ROUND(N(参数设置!$G$17)+SUMIFS(流水净额,流水账户,参数设置!$C$17,流水日期,"&lt;="&amp;$A24),2))</f>
        <v/>
      </c>
      <c r="M24" s="23" t="str">
        <f>IF(OR($A24="",IF(参数设置!$C$18="","",参数设置!$C$18)=""),"",ROUND(N(参数设置!$G$18)+SUMIFS(流水净额,流水账户,参数设置!$C$18,流水日期,"&lt;="&amp;$A24),2))</f>
        <v/>
      </c>
      <c r="N24" s="23" t="str">
        <f>IF(OR($A24="",IF(参数设置!$C$19="","",参数设置!$C$19)=""),"",ROUND(N(参数设置!$G$19)+SUMIFS(流水净额,流水账户,参数设置!$C$19,流水日期,"&lt;="&amp;$A24),2))</f>
        <v/>
      </c>
      <c r="O24" s="23" t="str">
        <f>IF(OR($A24="",IF(参数设置!$C$20="","",参数设置!$C$20)=""),"",ROUND(N(参数设置!$G$20)+SUMIFS(流水净额,流水账户,参数设置!$C$20,流水日期,"&lt;="&amp;$A24),2))</f>
        <v/>
      </c>
      <c r="P24" s="23" t="str">
        <f>IF(OR($A24="",IF(参数设置!$C$21="","",参数设置!$C$21)=""),"",ROUND(N(参数设置!$G$21)+SUMIFS(流水净额,流水账户,参数设置!$C$21,流水日期,"&lt;="&amp;$A24),2))</f>
        <v/>
      </c>
      <c r="Q24" s="23" t="str">
        <f>IF(OR($A24="",IF(参数设置!$C$22="","",参数设置!$C$22)=""),"",ROUND(N(参数设置!$G$22)+SUMIFS(流水净额,流水账户,参数设置!$C$22,流水日期,"&lt;="&amp;$A24),2))</f>
        <v/>
      </c>
      <c r="R24" s="23" t="str">
        <f>IF(OR($A24="",IF(参数设置!$C$23="","",参数设置!$C$23)=""),"",ROUND(N(参数设置!$G$23)+SUMIFS(流水净额,流水账户,参数设置!$C$23,流水日期,"&lt;="&amp;$A24),2))</f>
        <v/>
      </c>
      <c r="S24" s="23" t="str">
        <f>IF(OR($A24="",IF(参数设置!$C$24="","",参数设置!$C$24)=""),"",ROUND(N(参数设置!$G$24)+SUMIFS(流水净额,流水账户,参数设置!$C$24,流水日期,"&lt;="&amp;$A24),2))</f>
        <v/>
      </c>
      <c r="T24" s="23" t="str">
        <f>IF(OR($A24="",IF(参数设置!$C$25="","",参数设置!$C$25)=""),"",ROUND(N(参数设置!$G$25)+SUMIFS(流水净额,流水账户,参数设置!$C$25,流水日期,"&lt;="&amp;$A24),2))</f>
        <v/>
      </c>
    </row>
    <row r="25" ht="16.5" spans="1:20">
      <c r="A25" s="22">
        <f>IF(OR($B$3="",NOT(ISNUMBER($F$3))),"",IF(19&gt;$F$3,"",$B$3+18))</f>
        <v>46253</v>
      </c>
      <c r="B25" s="23">
        <f>IF($A25="","",ROUND(SUMIFS(流水本位,流水日期,$A25,流水属性,"&lt;&gt;内部转账",流水本位,"&gt;0"),2))</f>
        <v>0</v>
      </c>
      <c r="C25" s="23">
        <f>IF($A25="","",-ROUND(SUMIFS(流水本位,流水日期,$A25,流水属性,"&lt;&gt;内部转账",流水本位,"&lt;0"),2))</f>
        <v>18400</v>
      </c>
      <c r="D25" s="23">
        <f t="shared" si="0"/>
        <v>-18400</v>
      </c>
      <c r="E25" s="23">
        <f>IF($A25="","",ROUND(SUM(账户期初本位)+SUMIFS(流水本位,流水日期,"&lt;="&amp;$A25),2))</f>
        <v>11655540</v>
      </c>
      <c r="F25" s="23">
        <f>IF(OR($A25="",IF(参数设置!$C$11="","",参数设置!$C$11)=""),"",ROUND(N(参数设置!$G$11)+SUMIFS(流水净额,流水账户,参数设置!$C$11,流水日期,"&lt;="&amp;$A25),2))</f>
        <v>552000</v>
      </c>
      <c r="G25" s="23">
        <f>IF(OR($A25="",IF(参数设置!$C$12="","",参数设置!$C$12)=""),"",ROUND(N(参数设置!$G$12)+SUMIFS(流水净额,流水账户,参数设置!$C$12,流水日期,"&lt;="&amp;$A25),2))</f>
        <v>832000</v>
      </c>
      <c r="H25" s="23">
        <f>IF(OR($A25="",IF(参数设置!$C$13="","",参数设置!$C$13)=""),"",ROUND(N(参数设置!$G$13)+SUMIFS(流水净额,流水账户,参数设置!$C$13,流水日期,"&lt;="&amp;$A25),2))</f>
        <v>355500</v>
      </c>
      <c r="I25" s="23">
        <f>IF(OR($A25="",IF(参数设置!$C$14="","",参数设置!$C$14)=""),"",ROUND(N(参数设置!$G$14)+SUMIFS(流水净额,流水账户,参数设置!$C$14,流水日期,"&lt;="&amp;$A25),2))</f>
        <v>280000</v>
      </c>
      <c r="J25" s="23">
        <f>IF(OR($A25="",IF(参数设置!$C$15="","",参数设置!$C$15)=""),"",ROUND(N(参数设置!$G$15)+SUMIFS(流水净额,流水账户,参数设置!$C$15,流水日期,"&lt;="&amp;$A25),2))</f>
        <v>507000</v>
      </c>
      <c r="K25" s="23">
        <f>IF(OR($A25="",IF(参数设置!$C$16="","",参数设置!$C$16)=""),"",ROUND(N(参数设置!$G$16)+SUMIFS(流水净额,流水账户,参数设置!$C$16,流水日期,"&lt;="&amp;$A25),2))</f>
        <v>120000</v>
      </c>
      <c r="L25" s="23" t="str">
        <f>IF(OR($A25="",IF(参数设置!$C$17="","",参数设置!$C$17)=""),"",ROUND(N(参数设置!$G$17)+SUMIFS(流水净额,流水账户,参数设置!$C$17,流水日期,"&lt;="&amp;$A25),2))</f>
        <v/>
      </c>
      <c r="M25" s="23" t="str">
        <f>IF(OR($A25="",IF(参数设置!$C$18="","",参数设置!$C$18)=""),"",ROUND(N(参数设置!$G$18)+SUMIFS(流水净额,流水账户,参数设置!$C$18,流水日期,"&lt;="&amp;$A25),2))</f>
        <v/>
      </c>
      <c r="N25" s="23" t="str">
        <f>IF(OR($A25="",IF(参数设置!$C$19="","",参数设置!$C$19)=""),"",ROUND(N(参数设置!$G$19)+SUMIFS(流水净额,流水账户,参数设置!$C$19,流水日期,"&lt;="&amp;$A25),2))</f>
        <v/>
      </c>
      <c r="O25" s="23" t="str">
        <f>IF(OR($A25="",IF(参数设置!$C$20="","",参数设置!$C$20)=""),"",ROUND(N(参数设置!$G$20)+SUMIFS(流水净额,流水账户,参数设置!$C$20,流水日期,"&lt;="&amp;$A25),2))</f>
        <v/>
      </c>
      <c r="P25" s="23" t="str">
        <f>IF(OR($A25="",IF(参数设置!$C$21="","",参数设置!$C$21)=""),"",ROUND(N(参数设置!$G$21)+SUMIFS(流水净额,流水账户,参数设置!$C$21,流水日期,"&lt;="&amp;$A25),2))</f>
        <v/>
      </c>
      <c r="Q25" s="23" t="str">
        <f>IF(OR($A25="",IF(参数设置!$C$22="","",参数设置!$C$22)=""),"",ROUND(N(参数设置!$G$22)+SUMIFS(流水净额,流水账户,参数设置!$C$22,流水日期,"&lt;="&amp;$A25),2))</f>
        <v/>
      </c>
      <c r="R25" s="23" t="str">
        <f>IF(OR($A25="",IF(参数设置!$C$23="","",参数设置!$C$23)=""),"",ROUND(N(参数设置!$G$23)+SUMIFS(流水净额,流水账户,参数设置!$C$23,流水日期,"&lt;="&amp;$A25),2))</f>
        <v/>
      </c>
      <c r="S25" s="23" t="str">
        <f>IF(OR($A25="",IF(参数设置!$C$24="","",参数设置!$C$24)=""),"",ROUND(N(参数设置!$G$24)+SUMIFS(流水净额,流水账户,参数设置!$C$24,流水日期,"&lt;="&amp;$A25),2))</f>
        <v/>
      </c>
      <c r="T25" s="23" t="str">
        <f>IF(OR($A25="",IF(参数设置!$C$25="","",参数设置!$C$25)=""),"",ROUND(N(参数设置!$G$25)+SUMIFS(流水净额,流水账户,参数设置!$C$25,流水日期,"&lt;="&amp;$A25),2))</f>
        <v/>
      </c>
    </row>
    <row r="26" ht="16.5" spans="1:20">
      <c r="A26" s="22">
        <f>IF(OR($B$3="",NOT(ISNUMBER($F$3))),"",IF(20&gt;$F$3,"",$B$3+19))</f>
        <v>46254</v>
      </c>
      <c r="B26" s="23">
        <f>IF($A26="","",ROUND(SUMIFS(流水本位,流水日期,$A26,流水属性,"&lt;&gt;内部转账",流水本位,"&gt;0"),2))</f>
        <v>230700</v>
      </c>
      <c r="C26" s="23">
        <f>IF($A26="","",-ROUND(SUMIFS(流水本位,流水日期,$A26,流水属性,"&lt;&gt;内部转账",流水本位,"&lt;0"),2))</f>
        <v>0</v>
      </c>
      <c r="D26" s="23">
        <f t="shared" si="0"/>
        <v>230700</v>
      </c>
      <c r="E26" s="23">
        <f>IF($A26="","",ROUND(SUM(账户期初本位)+SUMIFS(流水本位,流水日期,"&lt;="&amp;$A26),2))</f>
        <v>11886240</v>
      </c>
      <c r="F26" s="23">
        <f>IF(OR($A26="",IF(参数设置!$C$11="","",参数设置!$C$11)=""),"",ROUND(N(参数设置!$G$11)+SUMIFS(流水净额,流水账户,参数设置!$C$11,流水日期,"&lt;="&amp;$A26),2))</f>
        <v>552000</v>
      </c>
      <c r="G26" s="23">
        <f>IF(OR($A26="",IF(参数设置!$C$12="","",参数设置!$C$12)=""),"",ROUND(N(参数设置!$G$12)+SUMIFS(流水净额,流水账户,参数设置!$C$12,流水日期,"&lt;="&amp;$A26),2))</f>
        <v>832000</v>
      </c>
      <c r="H26" s="23">
        <f>IF(OR($A26="",IF(参数设置!$C$13="","",参数设置!$C$13)=""),"",ROUND(N(参数设置!$G$13)+SUMIFS(流水净额,流水账户,参数设置!$C$13,流水日期,"&lt;="&amp;$A26),2))</f>
        <v>355500</v>
      </c>
      <c r="I26" s="23">
        <f>IF(OR($A26="",IF(参数设置!$C$14="","",参数设置!$C$14)=""),"",ROUND(N(参数设置!$G$14)+SUMIFS(流水净额,流水账户,参数设置!$C$14,流水日期,"&lt;="&amp;$A26),2))</f>
        <v>280000</v>
      </c>
      <c r="J26" s="23">
        <f>IF(OR($A26="",IF(参数设置!$C$15="","",参数设置!$C$15)=""),"",ROUND(N(参数设置!$G$15)+SUMIFS(流水净额,流水账户,参数设置!$C$15,流水日期,"&lt;="&amp;$A26),2))</f>
        <v>507000</v>
      </c>
      <c r="K26" s="23">
        <f>IF(OR($A26="",IF(参数设置!$C$16="","",参数设置!$C$16)=""),"",ROUND(N(参数设置!$G$16)+SUMIFS(流水净额,流水账户,参数设置!$C$16,流水日期,"&lt;="&amp;$A26),2))</f>
        <v>150000</v>
      </c>
      <c r="L26" s="23" t="str">
        <f>IF(OR($A26="",IF(参数设置!$C$17="","",参数设置!$C$17)=""),"",ROUND(N(参数设置!$G$17)+SUMIFS(流水净额,流水账户,参数设置!$C$17,流水日期,"&lt;="&amp;$A26),2))</f>
        <v/>
      </c>
      <c r="M26" s="23" t="str">
        <f>IF(OR($A26="",IF(参数设置!$C$18="","",参数设置!$C$18)=""),"",ROUND(N(参数设置!$G$18)+SUMIFS(流水净额,流水账户,参数设置!$C$18,流水日期,"&lt;="&amp;$A26),2))</f>
        <v/>
      </c>
      <c r="N26" s="23" t="str">
        <f>IF(OR($A26="",IF(参数设置!$C$19="","",参数设置!$C$19)=""),"",ROUND(N(参数设置!$G$19)+SUMIFS(流水净额,流水账户,参数设置!$C$19,流水日期,"&lt;="&amp;$A26),2))</f>
        <v/>
      </c>
      <c r="O26" s="23" t="str">
        <f>IF(OR($A26="",IF(参数设置!$C$20="","",参数设置!$C$20)=""),"",ROUND(N(参数设置!$G$20)+SUMIFS(流水净额,流水账户,参数设置!$C$20,流水日期,"&lt;="&amp;$A26),2))</f>
        <v/>
      </c>
      <c r="P26" s="23" t="str">
        <f>IF(OR($A26="",IF(参数设置!$C$21="","",参数设置!$C$21)=""),"",ROUND(N(参数设置!$G$21)+SUMIFS(流水净额,流水账户,参数设置!$C$21,流水日期,"&lt;="&amp;$A26),2))</f>
        <v/>
      </c>
      <c r="Q26" s="23" t="str">
        <f>IF(OR($A26="",IF(参数设置!$C$22="","",参数设置!$C$22)=""),"",ROUND(N(参数设置!$G$22)+SUMIFS(流水净额,流水账户,参数设置!$C$22,流水日期,"&lt;="&amp;$A26),2))</f>
        <v/>
      </c>
      <c r="R26" s="23" t="str">
        <f>IF(OR($A26="",IF(参数设置!$C$23="","",参数设置!$C$23)=""),"",ROUND(N(参数设置!$G$23)+SUMIFS(流水净额,流水账户,参数设置!$C$23,流水日期,"&lt;="&amp;$A26),2))</f>
        <v/>
      </c>
      <c r="S26" s="23" t="str">
        <f>IF(OR($A26="",IF(参数设置!$C$24="","",参数设置!$C$24)=""),"",ROUND(N(参数设置!$G$24)+SUMIFS(流水净额,流水账户,参数设置!$C$24,流水日期,"&lt;="&amp;$A26),2))</f>
        <v/>
      </c>
      <c r="T26" s="23" t="str">
        <f>IF(OR($A26="",IF(参数设置!$C$25="","",参数设置!$C$25)=""),"",ROUND(N(参数设置!$G$25)+SUMIFS(流水净额,流水账户,参数设置!$C$25,流水日期,"&lt;="&amp;$A26),2))</f>
        <v/>
      </c>
    </row>
    <row r="27" ht="16.5" spans="1:20">
      <c r="A27" s="22">
        <f>IF(OR($B$3="",NOT(ISNUMBER($F$3))),"",IF(21&gt;$F$3,"",$B$3+20))</f>
        <v>46255</v>
      </c>
      <c r="B27" s="23">
        <f>IF($A27="","",ROUND(SUMIFS(流水本位,流水日期,$A27,流水属性,"&lt;&gt;内部转账",流水本位,"&gt;0"),2))</f>
        <v>35000</v>
      </c>
      <c r="C27" s="23">
        <f>IF($A27="","",-ROUND(SUMIFS(流水本位,流水日期,$A27,流水属性,"&lt;&gt;内部转账",流水本位,"&lt;0"),2))</f>
        <v>0</v>
      </c>
      <c r="D27" s="23">
        <f t="shared" si="0"/>
        <v>35000</v>
      </c>
      <c r="E27" s="23">
        <f>IF($A27="","",ROUND(SUM(账户期初本位)+SUMIFS(流水本位,流水日期,"&lt;="&amp;$A27),2))</f>
        <v>11921240</v>
      </c>
      <c r="F27" s="23">
        <f>IF(OR($A27="",IF(参数设置!$C$11="","",参数设置!$C$11)=""),"",ROUND(N(参数设置!$G$11)+SUMIFS(流水净额,流水账户,参数设置!$C$11,流水日期,"&lt;="&amp;$A27),2))</f>
        <v>587000</v>
      </c>
      <c r="G27" s="23">
        <f>IF(OR($A27="",IF(参数设置!$C$12="","",参数设置!$C$12)=""),"",ROUND(N(参数设置!$G$12)+SUMIFS(流水净额,流水账户,参数设置!$C$12,流水日期,"&lt;="&amp;$A27),2))</f>
        <v>832000</v>
      </c>
      <c r="H27" s="23">
        <f>IF(OR($A27="",IF(参数设置!$C$13="","",参数设置!$C$13)=""),"",ROUND(N(参数设置!$G$13)+SUMIFS(流水净额,流水账户,参数设置!$C$13,流水日期,"&lt;="&amp;$A27),2))</f>
        <v>355500</v>
      </c>
      <c r="I27" s="23">
        <f>IF(OR($A27="",IF(参数设置!$C$14="","",参数设置!$C$14)=""),"",ROUND(N(参数设置!$G$14)+SUMIFS(流水净额,流水账户,参数设置!$C$14,流水日期,"&lt;="&amp;$A27),2))</f>
        <v>280000</v>
      </c>
      <c r="J27" s="23">
        <f>IF(OR($A27="",IF(参数设置!$C$15="","",参数设置!$C$15)=""),"",ROUND(N(参数设置!$G$15)+SUMIFS(流水净额,流水账户,参数设置!$C$15,流水日期,"&lt;="&amp;$A27),2))</f>
        <v>507000</v>
      </c>
      <c r="K27" s="23">
        <f>IF(OR($A27="",IF(参数设置!$C$16="","",参数设置!$C$16)=""),"",ROUND(N(参数设置!$G$16)+SUMIFS(流水净额,流水账户,参数设置!$C$16,流水日期,"&lt;="&amp;$A27),2))</f>
        <v>150000</v>
      </c>
      <c r="L27" s="23" t="str">
        <f>IF(OR($A27="",IF(参数设置!$C$17="","",参数设置!$C$17)=""),"",ROUND(N(参数设置!$G$17)+SUMIFS(流水净额,流水账户,参数设置!$C$17,流水日期,"&lt;="&amp;$A27),2))</f>
        <v/>
      </c>
      <c r="M27" s="23" t="str">
        <f>IF(OR($A27="",IF(参数设置!$C$18="","",参数设置!$C$18)=""),"",ROUND(N(参数设置!$G$18)+SUMIFS(流水净额,流水账户,参数设置!$C$18,流水日期,"&lt;="&amp;$A27),2))</f>
        <v/>
      </c>
      <c r="N27" s="23" t="str">
        <f>IF(OR($A27="",IF(参数设置!$C$19="","",参数设置!$C$19)=""),"",ROUND(N(参数设置!$G$19)+SUMIFS(流水净额,流水账户,参数设置!$C$19,流水日期,"&lt;="&amp;$A27),2))</f>
        <v/>
      </c>
      <c r="O27" s="23" t="str">
        <f>IF(OR($A27="",IF(参数设置!$C$20="","",参数设置!$C$20)=""),"",ROUND(N(参数设置!$G$20)+SUMIFS(流水净额,流水账户,参数设置!$C$20,流水日期,"&lt;="&amp;$A27),2))</f>
        <v/>
      </c>
      <c r="P27" s="23" t="str">
        <f>IF(OR($A27="",IF(参数设置!$C$21="","",参数设置!$C$21)=""),"",ROUND(N(参数设置!$G$21)+SUMIFS(流水净额,流水账户,参数设置!$C$21,流水日期,"&lt;="&amp;$A27),2))</f>
        <v/>
      </c>
      <c r="Q27" s="23" t="str">
        <f>IF(OR($A27="",IF(参数设置!$C$22="","",参数设置!$C$22)=""),"",ROUND(N(参数设置!$G$22)+SUMIFS(流水净额,流水账户,参数设置!$C$22,流水日期,"&lt;="&amp;$A27),2))</f>
        <v/>
      </c>
      <c r="R27" s="23" t="str">
        <f>IF(OR($A27="",IF(参数设置!$C$23="","",参数设置!$C$23)=""),"",ROUND(N(参数设置!$G$23)+SUMIFS(流水净额,流水账户,参数设置!$C$23,流水日期,"&lt;="&amp;$A27),2))</f>
        <v/>
      </c>
      <c r="S27" s="23" t="str">
        <f>IF(OR($A27="",IF(参数设置!$C$24="","",参数设置!$C$24)=""),"",ROUND(N(参数设置!$G$24)+SUMIFS(流水净额,流水账户,参数设置!$C$24,流水日期,"&lt;="&amp;$A27),2))</f>
        <v/>
      </c>
      <c r="T27" s="23" t="str">
        <f>IF(OR($A27="",IF(参数设置!$C$25="","",参数设置!$C$25)=""),"",ROUND(N(参数设置!$G$25)+SUMIFS(流水净额,流水账户,参数设置!$C$25,流水日期,"&lt;="&amp;$A27),2))</f>
        <v/>
      </c>
    </row>
    <row r="28" ht="16.5" spans="1:20">
      <c r="A28" s="22">
        <f>IF(OR($B$3="",NOT(ISNUMBER($F$3))),"",IF(22&gt;$F$3,"",$B$3+21))</f>
        <v>46256</v>
      </c>
      <c r="B28" s="23">
        <f>IF($A28="","",ROUND(SUMIFS(流水本位,流水日期,$A28,流水属性,"&lt;&gt;内部转账",流水本位,"&gt;0"),2))</f>
        <v>0</v>
      </c>
      <c r="C28" s="23">
        <f>IF($A28="","",-ROUND(SUMIFS(流水本位,流水日期,$A28,流水属性,"&lt;&gt;内部转账",流水本位,"&lt;0"),2))</f>
        <v>0</v>
      </c>
      <c r="D28" s="23">
        <f t="shared" si="0"/>
        <v>0</v>
      </c>
      <c r="E28" s="23">
        <f>IF($A28="","",ROUND(SUM(账户期初本位)+SUMIFS(流水本位,流水日期,"&lt;="&amp;$A28),2))</f>
        <v>11921240</v>
      </c>
      <c r="F28" s="23">
        <f>IF(OR($A28="",IF(参数设置!$C$11="","",参数设置!$C$11)=""),"",ROUND(N(参数设置!$G$11)+SUMIFS(流水净额,流水账户,参数设置!$C$11,流水日期,"&lt;="&amp;$A28),2))</f>
        <v>587000</v>
      </c>
      <c r="G28" s="23">
        <f>IF(OR($A28="",IF(参数设置!$C$12="","",参数设置!$C$12)=""),"",ROUND(N(参数设置!$G$12)+SUMIFS(流水净额,流水账户,参数设置!$C$12,流水日期,"&lt;="&amp;$A28),2))</f>
        <v>832000</v>
      </c>
      <c r="H28" s="23">
        <f>IF(OR($A28="",IF(参数设置!$C$13="","",参数设置!$C$13)=""),"",ROUND(N(参数设置!$G$13)+SUMIFS(流水净额,流水账户,参数设置!$C$13,流水日期,"&lt;="&amp;$A28),2))</f>
        <v>355500</v>
      </c>
      <c r="I28" s="23">
        <f>IF(OR($A28="",IF(参数设置!$C$14="","",参数设置!$C$14)=""),"",ROUND(N(参数设置!$G$14)+SUMIFS(流水净额,流水账户,参数设置!$C$14,流水日期,"&lt;="&amp;$A28),2))</f>
        <v>280000</v>
      </c>
      <c r="J28" s="23">
        <f>IF(OR($A28="",IF(参数设置!$C$15="","",参数设置!$C$15)=""),"",ROUND(N(参数设置!$G$15)+SUMIFS(流水净额,流水账户,参数设置!$C$15,流水日期,"&lt;="&amp;$A28),2))</f>
        <v>507000</v>
      </c>
      <c r="K28" s="23">
        <f>IF(OR($A28="",IF(参数设置!$C$16="","",参数设置!$C$16)=""),"",ROUND(N(参数设置!$G$16)+SUMIFS(流水净额,流水账户,参数设置!$C$16,流水日期,"&lt;="&amp;$A28),2))</f>
        <v>150000</v>
      </c>
      <c r="L28" s="23" t="str">
        <f>IF(OR($A28="",IF(参数设置!$C$17="","",参数设置!$C$17)=""),"",ROUND(N(参数设置!$G$17)+SUMIFS(流水净额,流水账户,参数设置!$C$17,流水日期,"&lt;="&amp;$A28),2))</f>
        <v/>
      </c>
      <c r="M28" s="23" t="str">
        <f>IF(OR($A28="",IF(参数设置!$C$18="","",参数设置!$C$18)=""),"",ROUND(N(参数设置!$G$18)+SUMIFS(流水净额,流水账户,参数设置!$C$18,流水日期,"&lt;="&amp;$A28),2))</f>
        <v/>
      </c>
      <c r="N28" s="23" t="str">
        <f>IF(OR($A28="",IF(参数设置!$C$19="","",参数设置!$C$19)=""),"",ROUND(N(参数设置!$G$19)+SUMIFS(流水净额,流水账户,参数设置!$C$19,流水日期,"&lt;="&amp;$A28),2))</f>
        <v/>
      </c>
      <c r="O28" s="23" t="str">
        <f>IF(OR($A28="",IF(参数设置!$C$20="","",参数设置!$C$20)=""),"",ROUND(N(参数设置!$G$20)+SUMIFS(流水净额,流水账户,参数设置!$C$20,流水日期,"&lt;="&amp;$A28),2))</f>
        <v/>
      </c>
      <c r="P28" s="23" t="str">
        <f>IF(OR($A28="",IF(参数设置!$C$21="","",参数设置!$C$21)=""),"",ROUND(N(参数设置!$G$21)+SUMIFS(流水净额,流水账户,参数设置!$C$21,流水日期,"&lt;="&amp;$A28),2))</f>
        <v/>
      </c>
      <c r="Q28" s="23" t="str">
        <f>IF(OR($A28="",IF(参数设置!$C$22="","",参数设置!$C$22)=""),"",ROUND(N(参数设置!$G$22)+SUMIFS(流水净额,流水账户,参数设置!$C$22,流水日期,"&lt;="&amp;$A28),2))</f>
        <v/>
      </c>
      <c r="R28" s="23" t="str">
        <f>IF(OR($A28="",IF(参数设置!$C$23="","",参数设置!$C$23)=""),"",ROUND(N(参数设置!$G$23)+SUMIFS(流水净额,流水账户,参数设置!$C$23,流水日期,"&lt;="&amp;$A28),2))</f>
        <v/>
      </c>
      <c r="S28" s="23" t="str">
        <f>IF(OR($A28="",IF(参数设置!$C$24="","",参数设置!$C$24)=""),"",ROUND(N(参数设置!$G$24)+SUMIFS(流水净额,流水账户,参数设置!$C$24,流水日期,"&lt;="&amp;$A28),2))</f>
        <v/>
      </c>
      <c r="T28" s="23" t="str">
        <f>IF(OR($A28="",IF(参数设置!$C$25="","",参数设置!$C$25)=""),"",ROUND(N(参数设置!$G$25)+SUMIFS(流水净额,流水账户,参数设置!$C$25,流水日期,"&lt;="&amp;$A28),2))</f>
        <v/>
      </c>
    </row>
    <row r="29" ht="16.5" spans="1:20">
      <c r="A29" s="22">
        <f>IF(OR($B$3="",NOT(ISNUMBER($F$3))),"",IF(23&gt;$F$3,"",$B$3+22))</f>
        <v>46257</v>
      </c>
      <c r="B29" s="23">
        <f>IF($A29="","",ROUND(SUMIFS(流水本位,流水日期,$A29,流水属性,"&lt;&gt;内部转账",流水本位,"&gt;0"),2))</f>
        <v>0</v>
      </c>
      <c r="C29" s="23">
        <f>IF($A29="","",-ROUND(SUMIFS(流水本位,流水日期,$A29,流水属性,"&lt;&gt;内部转账",流水本位,"&lt;0"),2))</f>
        <v>0</v>
      </c>
      <c r="D29" s="23">
        <f t="shared" si="0"/>
        <v>0</v>
      </c>
      <c r="E29" s="23">
        <f>IF($A29="","",ROUND(SUM(账户期初本位)+SUMIFS(流水本位,流水日期,"&lt;="&amp;$A29),2))</f>
        <v>11921240</v>
      </c>
      <c r="F29" s="23">
        <f>IF(OR($A29="",IF(参数设置!$C$11="","",参数设置!$C$11)=""),"",ROUND(N(参数设置!$G$11)+SUMIFS(流水净额,流水账户,参数设置!$C$11,流水日期,"&lt;="&amp;$A29),2))</f>
        <v>587000</v>
      </c>
      <c r="G29" s="23">
        <f>IF(OR($A29="",IF(参数设置!$C$12="","",参数设置!$C$12)=""),"",ROUND(N(参数设置!$G$12)+SUMIFS(流水净额,流水账户,参数设置!$C$12,流水日期,"&lt;="&amp;$A29),2))</f>
        <v>832000</v>
      </c>
      <c r="H29" s="23">
        <f>IF(OR($A29="",IF(参数设置!$C$13="","",参数设置!$C$13)=""),"",ROUND(N(参数设置!$G$13)+SUMIFS(流水净额,流水账户,参数设置!$C$13,流水日期,"&lt;="&amp;$A29),2))</f>
        <v>355500</v>
      </c>
      <c r="I29" s="23">
        <f>IF(OR($A29="",IF(参数设置!$C$14="","",参数设置!$C$14)=""),"",ROUND(N(参数设置!$G$14)+SUMIFS(流水净额,流水账户,参数设置!$C$14,流水日期,"&lt;="&amp;$A29),2))</f>
        <v>280000</v>
      </c>
      <c r="J29" s="23">
        <f>IF(OR($A29="",IF(参数设置!$C$15="","",参数设置!$C$15)=""),"",ROUND(N(参数设置!$G$15)+SUMIFS(流水净额,流水账户,参数设置!$C$15,流水日期,"&lt;="&amp;$A29),2))</f>
        <v>507000</v>
      </c>
      <c r="K29" s="23">
        <f>IF(OR($A29="",IF(参数设置!$C$16="","",参数设置!$C$16)=""),"",ROUND(N(参数设置!$G$16)+SUMIFS(流水净额,流水账户,参数设置!$C$16,流水日期,"&lt;="&amp;$A29),2))</f>
        <v>150000</v>
      </c>
      <c r="L29" s="23" t="str">
        <f>IF(OR($A29="",IF(参数设置!$C$17="","",参数设置!$C$17)=""),"",ROUND(N(参数设置!$G$17)+SUMIFS(流水净额,流水账户,参数设置!$C$17,流水日期,"&lt;="&amp;$A29),2))</f>
        <v/>
      </c>
      <c r="M29" s="23" t="str">
        <f>IF(OR($A29="",IF(参数设置!$C$18="","",参数设置!$C$18)=""),"",ROUND(N(参数设置!$G$18)+SUMIFS(流水净额,流水账户,参数设置!$C$18,流水日期,"&lt;="&amp;$A29),2))</f>
        <v/>
      </c>
      <c r="N29" s="23" t="str">
        <f>IF(OR($A29="",IF(参数设置!$C$19="","",参数设置!$C$19)=""),"",ROUND(N(参数设置!$G$19)+SUMIFS(流水净额,流水账户,参数设置!$C$19,流水日期,"&lt;="&amp;$A29),2))</f>
        <v/>
      </c>
      <c r="O29" s="23" t="str">
        <f>IF(OR($A29="",IF(参数设置!$C$20="","",参数设置!$C$20)=""),"",ROUND(N(参数设置!$G$20)+SUMIFS(流水净额,流水账户,参数设置!$C$20,流水日期,"&lt;="&amp;$A29),2))</f>
        <v/>
      </c>
      <c r="P29" s="23" t="str">
        <f>IF(OR($A29="",IF(参数设置!$C$21="","",参数设置!$C$21)=""),"",ROUND(N(参数设置!$G$21)+SUMIFS(流水净额,流水账户,参数设置!$C$21,流水日期,"&lt;="&amp;$A29),2))</f>
        <v/>
      </c>
      <c r="Q29" s="23" t="str">
        <f>IF(OR($A29="",IF(参数设置!$C$22="","",参数设置!$C$22)=""),"",ROUND(N(参数设置!$G$22)+SUMIFS(流水净额,流水账户,参数设置!$C$22,流水日期,"&lt;="&amp;$A29),2))</f>
        <v/>
      </c>
      <c r="R29" s="23" t="str">
        <f>IF(OR($A29="",IF(参数设置!$C$23="","",参数设置!$C$23)=""),"",ROUND(N(参数设置!$G$23)+SUMIFS(流水净额,流水账户,参数设置!$C$23,流水日期,"&lt;="&amp;$A29),2))</f>
        <v/>
      </c>
      <c r="S29" s="23" t="str">
        <f>IF(OR($A29="",IF(参数设置!$C$24="","",参数设置!$C$24)=""),"",ROUND(N(参数设置!$G$24)+SUMIFS(流水净额,流水账户,参数设置!$C$24,流水日期,"&lt;="&amp;$A29),2))</f>
        <v/>
      </c>
      <c r="T29" s="23" t="str">
        <f>IF(OR($A29="",IF(参数设置!$C$25="","",参数设置!$C$25)=""),"",ROUND(N(参数设置!$G$25)+SUMIFS(流水净额,流水账户,参数设置!$C$25,流水日期,"&lt;="&amp;$A29),2))</f>
        <v/>
      </c>
    </row>
    <row r="30" ht="16.5" spans="1:20">
      <c r="A30" s="22">
        <f>IF(OR($B$3="",NOT(ISNUMBER($F$3))),"",IF(24&gt;$F$3,"",$B$3+23))</f>
        <v>46258</v>
      </c>
      <c r="B30" s="23">
        <f>IF($A30="","",ROUND(SUMIFS(流水本位,流水日期,$A30,流水属性,"&lt;&gt;内部转账",流水本位,"&gt;0"),2))</f>
        <v>0</v>
      </c>
      <c r="C30" s="23">
        <f>IF($A30="","",-ROUND(SUMIFS(流水本位,流水日期,$A30,流水属性,"&lt;&gt;内部转账",流水本位,"&lt;0"),2))</f>
        <v>0</v>
      </c>
      <c r="D30" s="23">
        <f t="shared" si="0"/>
        <v>0</v>
      </c>
      <c r="E30" s="23">
        <f>IF($A30="","",ROUND(SUM(账户期初本位)+SUMIFS(流水本位,流水日期,"&lt;="&amp;$A30),2))</f>
        <v>11921240</v>
      </c>
      <c r="F30" s="23">
        <f>IF(OR($A30="",IF(参数设置!$C$11="","",参数设置!$C$11)=""),"",ROUND(N(参数设置!$G$11)+SUMIFS(流水净额,流水账户,参数设置!$C$11,流水日期,"&lt;="&amp;$A30),2))</f>
        <v>587000</v>
      </c>
      <c r="G30" s="23">
        <f>IF(OR($A30="",IF(参数设置!$C$12="","",参数设置!$C$12)=""),"",ROUND(N(参数设置!$G$12)+SUMIFS(流水净额,流水账户,参数设置!$C$12,流水日期,"&lt;="&amp;$A30),2))</f>
        <v>832000</v>
      </c>
      <c r="H30" s="23">
        <f>IF(OR($A30="",IF(参数设置!$C$13="","",参数设置!$C$13)=""),"",ROUND(N(参数设置!$G$13)+SUMIFS(流水净额,流水账户,参数设置!$C$13,流水日期,"&lt;="&amp;$A30),2))</f>
        <v>355500</v>
      </c>
      <c r="I30" s="23">
        <f>IF(OR($A30="",IF(参数设置!$C$14="","",参数设置!$C$14)=""),"",ROUND(N(参数设置!$G$14)+SUMIFS(流水净额,流水账户,参数设置!$C$14,流水日期,"&lt;="&amp;$A30),2))</f>
        <v>280000</v>
      </c>
      <c r="J30" s="23">
        <f>IF(OR($A30="",IF(参数设置!$C$15="","",参数设置!$C$15)=""),"",ROUND(N(参数设置!$G$15)+SUMIFS(流水净额,流水账户,参数设置!$C$15,流水日期,"&lt;="&amp;$A30),2))</f>
        <v>507000</v>
      </c>
      <c r="K30" s="23">
        <f>IF(OR($A30="",IF(参数设置!$C$16="","",参数设置!$C$16)=""),"",ROUND(N(参数设置!$G$16)+SUMIFS(流水净额,流水账户,参数设置!$C$16,流水日期,"&lt;="&amp;$A30),2))</f>
        <v>150000</v>
      </c>
      <c r="L30" s="23" t="str">
        <f>IF(OR($A30="",IF(参数设置!$C$17="","",参数设置!$C$17)=""),"",ROUND(N(参数设置!$G$17)+SUMIFS(流水净额,流水账户,参数设置!$C$17,流水日期,"&lt;="&amp;$A30),2))</f>
        <v/>
      </c>
      <c r="M30" s="23" t="str">
        <f>IF(OR($A30="",IF(参数设置!$C$18="","",参数设置!$C$18)=""),"",ROUND(N(参数设置!$G$18)+SUMIFS(流水净额,流水账户,参数设置!$C$18,流水日期,"&lt;="&amp;$A30),2))</f>
        <v/>
      </c>
      <c r="N30" s="23" t="str">
        <f>IF(OR($A30="",IF(参数设置!$C$19="","",参数设置!$C$19)=""),"",ROUND(N(参数设置!$G$19)+SUMIFS(流水净额,流水账户,参数设置!$C$19,流水日期,"&lt;="&amp;$A30),2))</f>
        <v/>
      </c>
      <c r="O30" s="23" t="str">
        <f>IF(OR($A30="",IF(参数设置!$C$20="","",参数设置!$C$20)=""),"",ROUND(N(参数设置!$G$20)+SUMIFS(流水净额,流水账户,参数设置!$C$20,流水日期,"&lt;="&amp;$A30),2))</f>
        <v/>
      </c>
      <c r="P30" s="23" t="str">
        <f>IF(OR($A30="",IF(参数设置!$C$21="","",参数设置!$C$21)=""),"",ROUND(N(参数设置!$G$21)+SUMIFS(流水净额,流水账户,参数设置!$C$21,流水日期,"&lt;="&amp;$A30),2))</f>
        <v/>
      </c>
      <c r="Q30" s="23" t="str">
        <f>IF(OR($A30="",IF(参数设置!$C$22="","",参数设置!$C$22)=""),"",ROUND(N(参数设置!$G$22)+SUMIFS(流水净额,流水账户,参数设置!$C$22,流水日期,"&lt;="&amp;$A30),2))</f>
        <v/>
      </c>
      <c r="R30" s="23" t="str">
        <f>IF(OR($A30="",IF(参数设置!$C$23="","",参数设置!$C$23)=""),"",ROUND(N(参数设置!$G$23)+SUMIFS(流水净额,流水账户,参数设置!$C$23,流水日期,"&lt;="&amp;$A30),2))</f>
        <v/>
      </c>
      <c r="S30" s="23" t="str">
        <f>IF(OR($A30="",IF(参数设置!$C$24="","",参数设置!$C$24)=""),"",ROUND(N(参数设置!$G$24)+SUMIFS(流水净额,流水账户,参数设置!$C$24,流水日期,"&lt;="&amp;$A30),2))</f>
        <v/>
      </c>
      <c r="T30" s="23" t="str">
        <f>IF(OR($A30="",IF(参数设置!$C$25="","",参数设置!$C$25)=""),"",ROUND(N(参数设置!$G$25)+SUMIFS(流水净额,流水账户,参数设置!$C$25,流水日期,"&lt;="&amp;$A30),2))</f>
        <v/>
      </c>
    </row>
    <row r="31" ht="16.5" spans="1:20">
      <c r="A31" s="22">
        <f>IF(OR($B$3="",NOT(ISNUMBER($F$3))),"",IF(25&gt;$F$3,"",$B$3+24))</f>
        <v>46259</v>
      </c>
      <c r="B31" s="23">
        <f>IF($A31="","",ROUND(SUMIFS(流水本位,流水日期,$A31,流水属性,"&lt;&gt;内部转账",流水本位,"&gt;0"),2))</f>
        <v>0</v>
      </c>
      <c r="C31" s="23">
        <f>IF($A31="","",-ROUND(SUMIFS(流水本位,流水日期,$A31,流水属性,"&lt;&gt;内部转账",流水本位,"&lt;0"),2))</f>
        <v>0</v>
      </c>
      <c r="D31" s="23">
        <f t="shared" si="0"/>
        <v>0</v>
      </c>
      <c r="E31" s="23">
        <f>IF($A31="","",ROUND(SUM(账户期初本位)+SUMIFS(流水本位,流水日期,"&lt;="&amp;$A31),2))</f>
        <v>11921240</v>
      </c>
      <c r="F31" s="23">
        <f>IF(OR($A31="",IF(参数设置!$C$11="","",参数设置!$C$11)=""),"",ROUND(N(参数设置!$G$11)+SUMIFS(流水净额,流水账户,参数设置!$C$11,流水日期,"&lt;="&amp;$A31),2))</f>
        <v>730400</v>
      </c>
      <c r="G31" s="23">
        <f>IF(OR($A31="",IF(参数设置!$C$12="","",参数设置!$C$12)=""),"",ROUND(N(参数设置!$G$12)+SUMIFS(流水净额,流水账户,参数设置!$C$12,流水日期,"&lt;="&amp;$A31),2))</f>
        <v>812000</v>
      </c>
      <c r="H31" s="23">
        <f>IF(OR($A31="",IF(参数设置!$C$13="","",参数设置!$C$13)=""),"",ROUND(N(参数设置!$G$13)+SUMIFS(流水净额,流水账户,参数设置!$C$13,流水日期,"&lt;="&amp;$A31),2))</f>
        <v>355500</v>
      </c>
      <c r="I31" s="23">
        <f>IF(OR($A31="",IF(参数设置!$C$14="","",参数设置!$C$14)=""),"",ROUND(N(参数设置!$G$14)+SUMIFS(流水净额,流水账户,参数设置!$C$14,流水日期,"&lt;="&amp;$A31),2))</f>
        <v>280000</v>
      </c>
      <c r="J31" s="23">
        <f>IF(OR($A31="",IF(参数设置!$C$15="","",参数设置!$C$15)=""),"",ROUND(N(参数设置!$G$15)+SUMIFS(流水净额,流水账户,参数设置!$C$15,流水日期,"&lt;="&amp;$A31),2))</f>
        <v>507000</v>
      </c>
      <c r="K31" s="23">
        <f>IF(OR($A31="",IF(参数设置!$C$16="","",参数设置!$C$16)=""),"",ROUND(N(参数设置!$G$16)+SUMIFS(流水净额,流水账户,参数设置!$C$16,流水日期,"&lt;="&amp;$A31),2))</f>
        <v>150000</v>
      </c>
      <c r="L31" s="23" t="str">
        <f>IF(OR($A31="",IF(参数设置!$C$17="","",参数设置!$C$17)=""),"",ROUND(N(参数设置!$G$17)+SUMIFS(流水净额,流水账户,参数设置!$C$17,流水日期,"&lt;="&amp;$A31),2))</f>
        <v/>
      </c>
      <c r="M31" s="23" t="str">
        <f>IF(OR($A31="",IF(参数设置!$C$18="","",参数设置!$C$18)=""),"",ROUND(N(参数设置!$G$18)+SUMIFS(流水净额,流水账户,参数设置!$C$18,流水日期,"&lt;="&amp;$A31),2))</f>
        <v/>
      </c>
      <c r="N31" s="23" t="str">
        <f>IF(OR($A31="",IF(参数设置!$C$19="","",参数设置!$C$19)=""),"",ROUND(N(参数设置!$G$19)+SUMIFS(流水净额,流水账户,参数设置!$C$19,流水日期,"&lt;="&amp;$A31),2))</f>
        <v/>
      </c>
      <c r="O31" s="23" t="str">
        <f>IF(OR($A31="",IF(参数设置!$C$20="","",参数设置!$C$20)=""),"",ROUND(N(参数设置!$G$20)+SUMIFS(流水净额,流水账户,参数设置!$C$20,流水日期,"&lt;="&amp;$A31),2))</f>
        <v/>
      </c>
      <c r="P31" s="23" t="str">
        <f>IF(OR($A31="",IF(参数设置!$C$21="","",参数设置!$C$21)=""),"",ROUND(N(参数设置!$G$21)+SUMIFS(流水净额,流水账户,参数设置!$C$21,流水日期,"&lt;="&amp;$A31),2))</f>
        <v/>
      </c>
      <c r="Q31" s="23" t="str">
        <f>IF(OR($A31="",IF(参数设置!$C$22="","",参数设置!$C$22)=""),"",ROUND(N(参数设置!$G$22)+SUMIFS(流水净额,流水账户,参数设置!$C$22,流水日期,"&lt;="&amp;$A31),2))</f>
        <v/>
      </c>
      <c r="R31" s="23" t="str">
        <f>IF(OR($A31="",IF(参数设置!$C$23="","",参数设置!$C$23)=""),"",ROUND(N(参数设置!$G$23)+SUMIFS(流水净额,流水账户,参数设置!$C$23,流水日期,"&lt;="&amp;$A31),2))</f>
        <v/>
      </c>
      <c r="S31" s="23" t="str">
        <f>IF(OR($A31="",IF(参数设置!$C$24="","",参数设置!$C$24)=""),"",ROUND(N(参数设置!$G$24)+SUMIFS(流水净额,流水账户,参数设置!$C$24,流水日期,"&lt;="&amp;$A31),2))</f>
        <v/>
      </c>
      <c r="T31" s="23" t="str">
        <f>IF(OR($A31="",IF(参数设置!$C$25="","",参数设置!$C$25)=""),"",ROUND(N(参数设置!$G$25)+SUMIFS(流水净额,流水账户,参数设置!$C$25,流水日期,"&lt;="&amp;$A31),2))</f>
        <v/>
      </c>
    </row>
    <row r="32" ht="16.5" spans="1:20">
      <c r="A32" s="22">
        <f>IF(OR($B$3="",NOT(ISNUMBER($F$3))),"",IF(26&gt;$F$3,"",$B$3+25))</f>
        <v>46260</v>
      </c>
      <c r="B32" s="23">
        <f>IF($A32="","",ROUND(SUMIFS(流水本位,流水日期,$A32,流水属性,"&lt;&gt;内部转账",流水本位,"&gt;0"),2))</f>
        <v>0</v>
      </c>
      <c r="C32" s="23">
        <f>IF($A32="","",-ROUND(SUMIFS(流水本位,流水日期,$A32,流水属性,"&lt;&gt;内部转账",流水本位,"&lt;0"),2))</f>
        <v>0</v>
      </c>
      <c r="D32" s="23">
        <f t="shared" si="0"/>
        <v>0</v>
      </c>
      <c r="E32" s="23">
        <f>IF($A32="","",ROUND(SUM(账户期初本位)+SUMIFS(流水本位,流水日期,"&lt;="&amp;$A32),2))</f>
        <v>11921240</v>
      </c>
      <c r="F32" s="23">
        <f>IF(OR($A32="",IF(参数设置!$C$11="","",参数设置!$C$11)=""),"",ROUND(N(参数设置!$G$11)+SUMIFS(流水净额,流水账户,参数设置!$C$11,流水日期,"&lt;="&amp;$A32),2))</f>
        <v>730400</v>
      </c>
      <c r="G32" s="23">
        <f>IF(OR($A32="",IF(参数设置!$C$12="","",参数设置!$C$12)=""),"",ROUND(N(参数设置!$G$12)+SUMIFS(流水净额,流水账户,参数设置!$C$12,流水日期,"&lt;="&amp;$A32),2))</f>
        <v>812000</v>
      </c>
      <c r="H32" s="23">
        <f>IF(OR($A32="",IF(参数设置!$C$13="","",参数设置!$C$13)=""),"",ROUND(N(参数设置!$G$13)+SUMIFS(流水净额,流水账户,参数设置!$C$13,流水日期,"&lt;="&amp;$A32),2))</f>
        <v>355500</v>
      </c>
      <c r="I32" s="23">
        <f>IF(OR($A32="",IF(参数设置!$C$14="","",参数设置!$C$14)=""),"",ROUND(N(参数设置!$G$14)+SUMIFS(流水净额,流水账户,参数设置!$C$14,流水日期,"&lt;="&amp;$A32),2))</f>
        <v>280000</v>
      </c>
      <c r="J32" s="23">
        <f>IF(OR($A32="",IF(参数设置!$C$15="","",参数设置!$C$15)=""),"",ROUND(N(参数设置!$G$15)+SUMIFS(流水净额,流水账户,参数设置!$C$15,流水日期,"&lt;="&amp;$A32),2))</f>
        <v>507000</v>
      </c>
      <c r="K32" s="23">
        <f>IF(OR($A32="",IF(参数设置!$C$16="","",参数设置!$C$16)=""),"",ROUND(N(参数设置!$G$16)+SUMIFS(流水净额,流水账户,参数设置!$C$16,流水日期,"&lt;="&amp;$A32),2))</f>
        <v>150000</v>
      </c>
      <c r="L32" s="23" t="str">
        <f>IF(OR($A32="",IF(参数设置!$C$17="","",参数设置!$C$17)=""),"",ROUND(N(参数设置!$G$17)+SUMIFS(流水净额,流水账户,参数设置!$C$17,流水日期,"&lt;="&amp;$A32),2))</f>
        <v/>
      </c>
      <c r="M32" s="23" t="str">
        <f>IF(OR($A32="",IF(参数设置!$C$18="","",参数设置!$C$18)=""),"",ROUND(N(参数设置!$G$18)+SUMIFS(流水净额,流水账户,参数设置!$C$18,流水日期,"&lt;="&amp;$A32),2))</f>
        <v/>
      </c>
      <c r="N32" s="23" t="str">
        <f>IF(OR($A32="",IF(参数设置!$C$19="","",参数设置!$C$19)=""),"",ROUND(N(参数设置!$G$19)+SUMIFS(流水净额,流水账户,参数设置!$C$19,流水日期,"&lt;="&amp;$A32),2))</f>
        <v/>
      </c>
      <c r="O32" s="23" t="str">
        <f>IF(OR($A32="",IF(参数设置!$C$20="","",参数设置!$C$20)=""),"",ROUND(N(参数设置!$G$20)+SUMIFS(流水净额,流水账户,参数设置!$C$20,流水日期,"&lt;="&amp;$A32),2))</f>
        <v/>
      </c>
      <c r="P32" s="23" t="str">
        <f>IF(OR($A32="",IF(参数设置!$C$21="","",参数设置!$C$21)=""),"",ROUND(N(参数设置!$G$21)+SUMIFS(流水净额,流水账户,参数设置!$C$21,流水日期,"&lt;="&amp;$A32),2))</f>
        <v/>
      </c>
      <c r="Q32" s="23" t="str">
        <f>IF(OR($A32="",IF(参数设置!$C$22="","",参数设置!$C$22)=""),"",ROUND(N(参数设置!$G$22)+SUMIFS(流水净额,流水账户,参数设置!$C$22,流水日期,"&lt;="&amp;$A32),2))</f>
        <v/>
      </c>
      <c r="R32" s="23" t="str">
        <f>IF(OR($A32="",IF(参数设置!$C$23="","",参数设置!$C$23)=""),"",ROUND(N(参数设置!$G$23)+SUMIFS(流水净额,流水账户,参数设置!$C$23,流水日期,"&lt;="&amp;$A32),2))</f>
        <v/>
      </c>
      <c r="S32" s="23" t="str">
        <f>IF(OR($A32="",IF(参数设置!$C$24="","",参数设置!$C$24)=""),"",ROUND(N(参数设置!$G$24)+SUMIFS(流水净额,流水账户,参数设置!$C$24,流水日期,"&lt;="&amp;$A32),2))</f>
        <v/>
      </c>
      <c r="T32" s="23" t="str">
        <f>IF(OR($A32="",IF(参数设置!$C$25="","",参数设置!$C$25)=""),"",ROUND(N(参数设置!$G$25)+SUMIFS(流水净额,流水账户,参数设置!$C$25,流水日期,"&lt;="&amp;$A32),2))</f>
        <v/>
      </c>
    </row>
    <row r="33" ht="16.5" spans="1:20">
      <c r="A33" s="22">
        <f>IF(OR($B$3="",NOT(ISNUMBER($F$3))),"",IF(27&gt;$F$3,"",$B$3+26))</f>
        <v>46261</v>
      </c>
      <c r="B33" s="23">
        <f>IF($A33="","",ROUND(SUMIFS(流水本位,流水日期,$A33,流水属性,"&lt;&gt;内部转账",流水本位,"&gt;0"),2))</f>
        <v>0</v>
      </c>
      <c r="C33" s="23">
        <f>IF($A33="","",-ROUND(SUMIFS(流水本位,流水日期,$A33,流水属性,"&lt;&gt;内部转账",流水本位,"&lt;0"),2))</f>
        <v>0</v>
      </c>
      <c r="D33" s="23">
        <f t="shared" si="0"/>
        <v>0</v>
      </c>
      <c r="E33" s="23">
        <f>IF($A33="","",ROUND(SUM(账户期初本位)+SUMIFS(流水本位,流水日期,"&lt;="&amp;$A33),2))</f>
        <v>11921240</v>
      </c>
      <c r="F33" s="23">
        <f>IF(OR($A33="",IF(参数设置!$C$11="","",参数设置!$C$11)=""),"",ROUND(N(参数设置!$G$11)+SUMIFS(流水净额,流水账户,参数设置!$C$11,流水日期,"&lt;="&amp;$A33),2))</f>
        <v>730400</v>
      </c>
      <c r="G33" s="23">
        <f>IF(OR($A33="",IF(参数设置!$C$12="","",参数设置!$C$12)=""),"",ROUND(N(参数设置!$G$12)+SUMIFS(流水净额,流水账户,参数设置!$C$12,流水日期,"&lt;="&amp;$A33),2))</f>
        <v>812000</v>
      </c>
      <c r="H33" s="23">
        <f>IF(OR($A33="",IF(参数设置!$C$13="","",参数设置!$C$13)=""),"",ROUND(N(参数设置!$G$13)+SUMIFS(流水净额,流水账户,参数设置!$C$13,流水日期,"&lt;="&amp;$A33),2))</f>
        <v>355500</v>
      </c>
      <c r="I33" s="23">
        <f>IF(OR($A33="",IF(参数设置!$C$14="","",参数设置!$C$14)=""),"",ROUND(N(参数设置!$G$14)+SUMIFS(流水净额,流水账户,参数设置!$C$14,流水日期,"&lt;="&amp;$A33),2))</f>
        <v>280000</v>
      </c>
      <c r="J33" s="23">
        <f>IF(OR($A33="",IF(参数设置!$C$15="","",参数设置!$C$15)=""),"",ROUND(N(参数设置!$G$15)+SUMIFS(流水净额,流水账户,参数设置!$C$15,流水日期,"&lt;="&amp;$A33),2))</f>
        <v>507000</v>
      </c>
      <c r="K33" s="23">
        <f>IF(OR($A33="",IF(参数设置!$C$16="","",参数设置!$C$16)=""),"",ROUND(N(参数设置!$G$16)+SUMIFS(流水净额,流水账户,参数设置!$C$16,流水日期,"&lt;="&amp;$A33),2))</f>
        <v>150000</v>
      </c>
      <c r="L33" s="23" t="str">
        <f>IF(OR($A33="",IF(参数设置!$C$17="","",参数设置!$C$17)=""),"",ROUND(N(参数设置!$G$17)+SUMIFS(流水净额,流水账户,参数设置!$C$17,流水日期,"&lt;="&amp;$A33),2))</f>
        <v/>
      </c>
      <c r="M33" s="23" t="str">
        <f>IF(OR($A33="",IF(参数设置!$C$18="","",参数设置!$C$18)=""),"",ROUND(N(参数设置!$G$18)+SUMIFS(流水净额,流水账户,参数设置!$C$18,流水日期,"&lt;="&amp;$A33),2))</f>
        <v/>
      </c>
      <c r="N33" s="23" t="str">
        <f>IF(OR($A33="",IF(参数设置!$C$19="","",参数设置!$C$19)=""),"",ROUND(N(参数设置!$G$19)+SUMIFS(流水净额,流水账户,参数设置!$C$19,流水日期,"&lt;="&amp;$A33),2))</f>
        <v/>
      </c>
      <c r="O33" s="23" t="str">
        <f>IF(OR($A33="",IF(参数设置!$C$20="","",参数设置!$C$20)=""),"",ROUND(N(参数设置!$G$20)+SUMIFS(流水净额,流水账户,参数设置!$C$20,流水日期,"&lt;="&amp;$A33),2))</f>
        <v/>
      </c>
      <c r="P33" s="23" t="str">
        <f>IF(OR($A33="",IF(参数设置!$C$21="","",参数设置!$C$21)=""),"",ROUND(N(参数设置!$G$21)+SUMIFS(流水净额,流水账户,参数设置!$C$21,流水日期,"&lt;="&amp;$A33),2))</f>
        <v/>
      </c>
      <c r="Q33" s="23" t="str">
        <f>IF(OR($A33="",IF(参数设置!$C$22="","",参数设置!$C$22)=""),"",ROUND(N(参数设置!$G$22)+SUMIFS(流水净额,流水账户,参数设置!$C$22,流水日期,"&lt;="&amp;$A33),2))</f>
        <v/>
      </c>
      <c r="R33" s="23" t="str">
        <f>IF(OR($A33="",IF(参数设置!$C$23="","",参数设置!$C$23)=""),"",ROUND(N(参数设置!$G$23)+SUMIFS(流水净额,流水账户,参数设置!$C$23,流水日期,"&lt;="&amp;$A33),2))</f>
        <v/>
      </c>
      <c r="S33" s="23" t="str">
        <f>IF(OR($A33="",IF(参数设置!$C$24="","",参数设置!$C$24)=""),"",ROUND(N(参数设置!$G$24)+SUMIFS(流水净额,流水账户,参数设置!$C$24,流水日期,"&lt;="&amp;$A33),2))</f>
        <v/>
      </c>
      <c r="T33" s="23" t="str">
        <f>IF(OR($A33="",IF(参数设置!$C$25="","",参数设置!$C$25)=""),"",ROUND(N(参数设置!$G$25)+SUMIFS(流水净额,流水账户,参数设置!$C$25,流水日期,"&lt;="&amp;$A33),2))</f>
        <v/>
      </c>
    </row>
    <row r="34" ht="16.5" spans="1:20">
      <c r="A34" s="22">
        <f>IF(OR($B$3="",NOT(ISNUMBER($F$3))),"",IF(28&gt;$F$3,"",$B$3+27))</f>
        <v>46262</v>
      </c>
      <c r="B34" s="23">
        <f>IF($A34="","",ROUND(SUMIFS(流水本位,流水日期,$A34,流水属性,"&lt;&gt;内部转账",流水本位,"&gt;0"),2))</f>
        <v>0</v>
      </c>
      <c r="C34" s="23">
        <f>IF($A34="","",-ROUND(SUMIFS(流水本位,流水日期,$A34,流水属性,"&lt;&gt;内部转账",流水本位,"&lt;0"),2))</f>
        <v>0</v>
      </c>
      <c r="D34" s="23">
        <f t="shared" si="0"/>
        <v>0</v>
      </c>
      <c r="E34" s="23">
        <f>IF($A34="","",ROUND(SUM(账户期初本位)+SUMIFS(流水本位,流水日期,"&lt;="&amp;$A34),2))</f>
        <v>11921240</v>
      </c>
      <c r="F34" s="23">
        <f>IF(OR($A34="",IF(参数设置!$C$11="","",参数设置!$C$11)=""),"",ROUND(N(参数设置!$G$11)+SUMIFS(流水净额,流水账户,参数设置!$C$11,流水日期,"&lt;="&amp;$A34),2))</f>
        <v>730400</v>
      </c>
      <c r="G34" s="23">
        <f>IF(OR($A34="",IF(参数设置!$C$12="","",参数设置!$C$12)=""),"",ROUND(N(参数设置!$G$12)+SUMIFS(流水净额,流水账户,参数设置!$C$12,流水日期,"&lt;="&amp;$A34),2))</f>
        <v>812000</v>
      </c>
      <c r="H34" s="23">
        <f>IF(OR($A34="",IF(参数设置!$C$13="","",参数设置!$C$13)=""),"",ROUND(N(参数设置!$G$13)+SUMIFS(流水净额,流水账户,参数设置!$C$13,流水日期,"&lt;="&amp;$A34),2))</f>
        <v>355500</v>
      </c>
      <c r="I34" s="23">
        <f>IF(OR($A34="",IF(参数设置!$C$14="","",参数设置!$C$14)=""),"",ROUND(N(参数设置!$G$14)+SUMIFS(流水净额,流水账户,参数设置!$C$14,流水日期,"&lt;="&amp;$A34),2))</f>
        <v>280000</v>
      </c>
      <c r="J34" s="23">
        <f>IF(OR($A34="",IF(参数设置!$C$15="","",参数设置!$C$15)=""),"",ROUND(N(参数设置!$G$15)+SUMIFS(流水净额,流水账户,参数设置!$C$15,流水日期,"&lt;="&amp;$A34),2))</f>
        <v>507000</v>
      </c>
      <c r="K34" s="23">
        <f>IF(OR($A34="",IF(参数设置!$C$16="","",参数设置!$C$16)=""),"",ROUND(N(参数设置!$G$16)+SUMIFS(流水净额,流水账户,参数设置!$C$16,流水日期,"&lt;="&amp;$A34),2))</f>
        <v>150000</v>
      </c>
      <c r="L34" s="23" t="str">
        <f>IF(OR($A34="",IF(参数设置!$C$17="","",参数设置!$C$17)=""),"",ROUND(N(参数设置!$G$17)+SUMIFS(流水净额,流水账户,参数设置!$C$17,流水日期,"&lt;="&amp;$A34),2))</f>
        <v/>
      </c>
      <c r="M34" s="23" t="str">
        <f>IF(OR($A34="",IF(参数设置!$C$18="","",参数设置!$C$18)=""),"",ROUND(N(参数设置!$G$18)+SUMIFS(流水净额,流水账户,参数设置!$C$18,流水日期,"&lt;="&amp;$A34),2))</f>
        <v/>
      </c>
      <c r="N34" s="23" t="str">
        <f>IF(OR($A34="",IF(参数设置!$C$19="","",参数设置!$C$19)=""),"",ROUND(N(参数设置!$G$19)+SUMIFS(流水净额,流水账户,参数设置!$C$19,流水日期,"&lt;="&amp;$A34),2))</f>
        <v/>
      </c>
      <c r="O34" s="23" t="str">
        <f>IF(OR($A34="",IF(参数设置!$C$20="","",参数设置!$C$20)=""),"",ROUND(N(参数设置!$G$20)+SUMIFS(流水净额,流水账户,参数设置!$C$20,流水日期,"&lt;="&amp;$A34),2))</f>
        <v/>
      </c>
      <c r="P34" s="23" t="str">
        <f>IF(OR($A34="",IF(参数设置!$C$21="","",参数设置!$C$21)=""),"",ROUND(N(参数设置!$G$21)+SUMIFS(流水净额,流水账户,参数设置!$C$21,流水日期,"&lt;="&amp;$A34),2))</f>
        <v/>
      </c>
      <c r="Q34" s="23" t="str">
        <f>IF(OR($A34="",IF(参数设置!$C$22="","",参数设置!$C$22)=""),"",ROUND(N(参数设置!$G$22)+SUMIFS(流水净额,流水账户,参数设置!$C$22,流水日期,"&lt;="&amp;$A34),2))</f>
        <v/>
      </c>
      <c r="R34" s="23" t="str">
        <f>IF(OR($A34="",IF(参数设置!$C$23="","",参数设置!$C$23)=""),"",ROUND(N(参数设置!$G$23)+SUMIFS(流水净额,流水账户,参数设置!$C$23,流水日期,"&lt;="&amp;$A34),2))</f>
        <v/>
      </c>
      <c r="S34" s="23" t="str">
        <f>IF(OR($A34="",IF(参数设置!$C$24="","",参数设置!$C$24)=""),"",ROUND(N(参数设置!$G$24)+SUMIFS(流水净额,流水账户,参数设置!$C$24,流水日期,"&lt;="&amp;$A34),2))</f>
        <v/>
      </c>
      <c r="T34" s="23" t="str">
        <f>IF(OR($A34="",IF(参数设置!$C$25="","",参数设置!$C$25)=""),"",ROUND(N(参数设置!$G$25)+SUMIFS(流水净额,流水账户,参数设置!$C$25,流水日期,"&lt;="&amp;$A34),2))</f>
        <v/>
      </c>
    </row>
    <row r="35" ht="16.5" spans="1:20">
      <c r="A35" s="22">
        <f>IF(OR($B$3="",NOT(ISNUMBER($F$3))),"",IF(29&gt;$F$3,"",$B$3+28))</f>
        <v>46263</v>
      </c>
      <c r="B35" s="23">
        <f>IF($A35="","",ROUND(SUMIFS(流水本位,流水日期,$A35,流水属性,"&lt;&gt;内部转账",流水本位,"&gt;0"),2))</f>
        <v>0</v>
      </c>
      <c r="C35" s="23">
        <f>IF($A35="","",-ROUND(SUMIFS(流水本位,流水日期,$A35,流水属性,"&lt;&gt;内部转账",流水本位,"&lt;0"),2))</f>
        <v>0</v>
      </c>
      <c r="D35" s="23">
        <f t="shared" si="0"/>
        <v>0</v>
      </c>
      <c r="E35" s="23">
        <f>IF($A35="","",ROUND(SUM(账户期初本位)+SUMIFS(流水本位,流水日期,"&lt;="&amp;$A35),2))</f>
        <v>11921240</v>
      </c>
      <c r="F35" s="23">
        <f>IF(OR($A35="",IF(参数设置!$C$11="","",参数设置!$C$11)=""),"",ROUND(N(参数设置!$G$11)+SUMIFS(流水净额,流水账户,参数设置!$C$11,流水日期,"&lt;="&amp;$A35),2))</f>
        <v>730400</v>
      </c>
      <c r="G35" s="23">
        <f>IF(OR($A35="",IF(参数设置!$C$12="","",参数设置!$C$12)=""),"",ROUND(N(参数设置!$G$12)+SUMIFS(流水净额,流水账户,参数设置!$C$12,流水日期,"&lt;="&amp;$A35),2))</f>
        <v>812000</v>
      </c>
      <c r="H35" s="23">
        <f>IF(OR($A35="",IF(参数设置!$C$13="","",参数设置!$C$13)=""),"",ROUND(N(参数设置!$G$13)+SUMIFS(流水净额,流水账户,参数设置!$C$13,流水日期,"&lt;="&amp;$A35),2))</f>
        <v>355500</v>
      </c>
      <c r="I35" s="23">
        <f>IF(OR($A35="",IF(参数设置!$C$14="","",参数设置!$C$14)=""),"",ROUND(N(参数设置!$G$14)+SUMIFS(流水净额,流水账户,参数设置!$C$14,流水日期,"&lt;="&amp;$A35),2))</f>
        <v>280000</v>
      </c>
      <c r="J35" s="23">
        <f>IF(OR($A35="",IF(参数设置!$C$15="","",参数设置!$C$15)=""),"",ROUND(N(参数设置!$G$15)+SUMIFS(流水净额,流水账户,参数设置!$C$15,流水日期,"&lt;="&amp;$A35),2))</f>
        <v>507000</v>
      </c>
      <c r="K35" s="23">
        <f>IF(OR($A35="",IF(参数设置!$C$16="","",参数设置!$C$16)=""),"",ROUND(N(参数设置!$G$16)+SUMIFS(流水净额,流水账户,参数设置!$C$16,流水日期,"&lt;="&amp;$A35),2))</f>
        <v>150000</v>
      </c>
      <c r="L35" s="23" t="str">
        <f>IF(OR($A35="",IF(参数设置!$C$17="","",参数设置!$C$17)=""),"",ROUND(N(参数设置!$G$17)+SUMIFS(流水净额,流水账户,参数设置!$C$17,流水日期,"&lt;="&amp;$A35),2))</f>
        <v/>
      </c>
      <c r="M35" s="23" t="str">
        <f>IF(OR($A35="",IF(参数设置!$C$18="","",参数设置!$C$18)=""),"",ROUND(N(参数设置!$G$18)+SUMIFS(流水净额,流水账户,参数设置!$C$18,流水日期,"&lt;="&amp;$A35),2))</f>
        <v/>
      </c>
      <c r="N35" s="23" t="str">
        <f>IF(OR($A35="",IF(参数设置!$C$19="","",参数设置!$C$19)=""),"",ROUND(N(参数设置!$G$19)+SUMIFS(流水净额,流水账户,参数设置!$C$19,流水日期,"&lt;="&amp;$A35),2))</f>
        <v/>
      </c>
      <c r="O35" s="23" t="str">
        <f>IF(OR($A35="",IF(参数设置!$C$20="","",参数设置!$C$20)=""),"",ROUND(N(参数设置!$G$20)+SUMIFS(流水净额,流水账户,参数设置!$C$20,流水日期,"&lt;="&amp;$A35),2))</f>
        <v/>
      </c>
      <c r="P35" s="23" t="str">
        <f>IF(OR($A35="",IF(参数设置!$C$21="","",参数设置!$C$21)=""),"",ROUND(N(参数设置!$G$21)+SUMIFS(流水净额,流水账户,参数设置!$C$21,流水日期,"&lt;="&amp;$A35),2))</f>
        <v/>
      </c>
      <c r="Q35" s="23" t="str">
        <f>IF(OR($A35="",IF(参数设置!$C$22="","",参数设置!$C$22)=""),"",ROUND(N(参数设置!$G$22)+SUMIFS(流水净额,流水账户,参数设置!$C$22,流水日期,"&lt;="&amp;$A35),2))</f>
        <v/>
      </c>
      <c r="R35" s="23" t="str">
        <f>IF(OR($A35="",IF(参数设置!$C$23="","",参数设置!$C$23)=""),"",ROUND(N(参数设置!$G$23)+SUMIFS(流水净额,流水账户,参数设置!$C$23,流水日期,"&lt;="&amp;$A35),2))</f>
        <v/>
      </c>
      <c r="S35" s="23" t="str">
        <f>IF(OR($A35="",IF(参数设置!$C$24="","",参数设置!$C$24)=""),"",ROUND(N(参数设置!$G$24)+SUMIFS(流水净额,流水账户,参数设置!$C$24,流水日期,"&lt;="&amp;$A35),2))</f>
        <v/>
      </c>
      <c r="T35" s="23" t="str">
        <f>IF(OR($A35="",IF(参数设置!$C$25="","",参数设置!$C$25)=""),"",ROUND(N(参数设置!$G$25)+SUMIFS(流水净额,流水账户,参数设置!$C$25,流水日期,"&lt;="&amp;$A35),2))</f>
        <v/>
      </c>
    </row>
    <row r="36" ht="16.5" spans="1:20">
      <c r="A36" s="22">
        <f>IF(OR($B$3="",NOT(ISNUMBER($F$3))),"",IF(30&gt;$F$3,"",$B$3+29))</f>
        <v>46264</v>
      </c>
      <c r="B36" s="23">
        <f>IF($A36="","",ROUND(SUMIFS(流水本位,流水日期,$A36,流水属性,"&lt;&gt;内部转账",流水本位,"&gt;0"),2))</f>
        <v>0</v>
      </c>
      <c r="C36" s="23">
        <f>IF($A36="","",-ROUND(SUMIFS(流水本位,流水日期,$A36,流水属性,"&lt;&gt;内部转账",流水本位,"&lt;0"),2))</f>
        <v>0</v>
      </c>
      <c r="D36" s="23">
        <f t="shared" si="0"/>
        <v>0</v>
      </c>
      <c r="E36" s="23">
        <f>IF($A36="","",ROUND(SUM(账户期初本位)+SUMIFS(流水本位,流水日期,"&lt;="&amp;$A36),2))</f>
        <v>11921240</v>
      </c>
      <c r="F36" s="23">
        <f>IF(OR($A36="",IF(参数设置!$C$11="","",参数设置!$C$11)=""),"",ROUND(N(参数设置!$G$11)+SUMIFS(流水净额,流水账户,参数设置!$C$11,流水日期,"&lt;="&amp;$A36),2))</f>
        <v>730400</v>
      </c>
      <c r="G36" s="23">
        <f>IF(OR($A36="",IF(参数设置!$C$12="","",参数设置!$C$12)=""),"",ROUND(N(参数设置!$G$12)+SUMIFS(流水净额,流水账户,参数设置!$C$12,流水日期,"&lt;="&amp;$A36),2))</f>
        <v>812000</v>
      </c>
      <c r="H36" s="23">
        <f>IF(OR($A36="",IF(参数设置!$C$13="","",参数设置!$C$13)=""),"",ROUND(N(参数设置!$G$13)+SUMIFS(流水净额,流水账户,参数设置!$C$13,流水日期,"&lt;="&amp;$A36),2))</f>
        <v>355500</v>
      </c>
      <c r="I36" s="23">
        <f>IF(OR($A36="",IF(参数设置!$C$14="","",参数设置!$C$14)=""),"",ROUND(N(参数设置!$G$14)+SUMIFS(流水净额,流水账户,参数设置!$C$14,流水日期,"&lt;="&amp;$A36),2))</f>
        <v>280000</v>
      </c>
      <c r="J36" s="23">
        <f>IF(OR($A36="",IF(参数设置!$C$15="","",参数设置!$C$15)=""),"",ROUND(N(参数设置!$G$15)+SUMIFS(流水净额,流水账户,参数设置!$C$15,流水日期,"&lt;="&amp;$A36),2))</f>
        <v>507000</v>
      </c>
      <c r="K36" s="23">
        <f>IF(OR($A36="",IF(参数设置!$C$16="","",参数设置!$C$16)=""),"",ROUND(N(参数设置!$G$16)+SUMIFS(流水净额,流水账户,参数设置!$C$16,流水日期,"&lt;="&amp;$A36),2))</f>
        <v>150000</v>
      </c>
      <c r="L36" s="23" t="str">
        <f>IF(OR($A36="",IF(参数设置!$C$17="","",参数设置!$C$17)=""),"",ROUND(N(参数设置!$G$17)+SUMIFS(流水净额,流水账户,参数设置!$C$17,流水日期,"&lt;="&amp;$A36),2))</f>
        <v/>
      </c>
      <c r="M36" s="23" t="str">
        <f>IF(OR($A36="",IF(参数设置!$C$18="","",参数设置!$C$18)=""),"",ROUND(N(参数设置!$G$18)+SUMIFS(流水净额,流水账户,参数设置!$C$18,流水日期,"&lt;="&amp;$A36),2))</f>
        <v/>
      </c>
      <c r="N36" s="23" t="str">
        <f>IF(OR($A36="",IF(参数设置!$C$19="","",参数设置!$C$19)=""),"",ROUND(N(参数设置!$G$19)+SUMIFS(流水净额,流水账户,参数设置!$C$19,流水日期,"&lt;="&amp;$A36),2))</f>
        <v/>
      </c>
      <c r="O36" s="23" t="str">
        <f>IF(OR($A36="",IF(参数设置!$C$20="","",参数设置!$C$20)=""),"",ROUND(N(参数设置!$G$20)+SUMIFS(流水净额,流水账户,参数设置!$C$20,流水日期,"&lt;="&amp;$A36),2))</f>
        <v/>
      </c>
      <c r="P36" s="23" t="str">
        <f>IF(OR($A36="",IF(参数设置!$C$21="","",参数设置!$C$21)=""),"",ROUND(N(参数设置!$G$21)+SUMIFS(流水净额,流水账户,参数设置!$C$21,流水日期,"&lt;="&amp;$A36),2))</f>
        <v/>
      </c>
      <c r="Q36" s="23" t="str">
        <f>IF(OR($A36="",IF(参数设置!$C$22="","",参数设置!$C$22)=""),"",ROUND(N(参数设置!$G$22)+SUMIFS(流水净额,流水账户,参数设置!$C$22,流水日期,"&lt;="&amp;$A36),2))</f>
        <v/>
      </c>
      <c r="R36" s="23" t="str">
        <f>IF(OR($A36="",IF(参数设置!$C$23="","",参数设置!$C$23)=""),"",ROUND(N(参数设置!$G$23)+SUMIFS(流水净额,流水账户,参数设置!$C$23,流水日期,"&lt;="&amp;$A36),2))</f>
        <v/>
      </c>
      <c r="S36" s="23" t="str">
        <f>IF(OR($A36="",IF(参数设置!$C$24="","",参数设置!$C$24)=""),"",ROUND(N(参数设置!$G$24)+SUMIFS(流水净额,流水账户,参数设置!$C$24,流水日期,"&lt;="&amp;$A36),2))</f>
        <v/>
      </c>
      <c r="T36" s="23" t="str">
        <f>IF(OR($A36="",IF(参数设置!$C$25="","",参数设置!$C$25)=""),"",ROUND(N(参数设置!$G$25)+SUMIFS(流水净额,流水账户,参数设置!$C$25,流水日期,"&lt;="&amp;$A36),2))</f>
        <v/>
      </c>
    </row>
    <row r="37" ht="16.5" spans="1:20">
      <c r="A37" s="22">
        <f>IF(OR($B$3="",NOT(ISNUMBER($F$3))),"",IF(31&gt;$F$3,"",$B$3+30))</f>
        <v>46265</v>
      </c>
      <c r="B37" s="23">
        <f>IF($A37="","",ROUND(SUMIFS(流水本位,流水日期,$A37,流水属性,"&lt;&gt;内部转账",流水本位,"&gt;0"),2))</f>
        <v>0</v>
      </c>
      <c r="C37" s="23">
        <f>IF($A37="","",-ROUND(SUMIFS(流水本位,流水日期,$A37,流水属性,"&lt;&gt;内部转账",流水本位,"&lt;0"),2))</f>
        <v>0</v>
      </c>
      <c r="D37" s="23">
        <f t="shared" si="0"/>
        <v>0</v>
      </c>
      <c r="E37" s="23">
        <f>IF($A37="","",ROUND(SUM(账户期初本位)+SUMIFS(流水本位,流水日期,"&lt;="&amp;$A37),2))</f>
        <v>11921240</v>
      </c>
      <c r="F37" s="23">
        <f>IF(OR($A37="",IF(参数设置!$C$11="","",参数设置!$C$11)=""),"",ROUND(N(参数设置!$G$11)+SUMIFS(流水净额,流水账户,参数设置!$C$11,流水日期,"&lt;="&amp;$A37),2))</f>
        <v>730400</v>
      </c>
      <c r="G37" s="23">
        <f>IF(OR($A37="",IF(参数设置!$C$12="","",参数设置!$C$12)=""),"",ROUND(N(参数设置!$G$12)+SUMIFS(流水净额,流水账户,参数设置!$C$12,流水日期,"&lt;="&amp;$A37),2))</f>
        <v>812000</v>
      </c>
      <c r="H37" s="23">
        <f>IF(OR($A37="",IF(参数设置!$C$13="","",参数设置!$C$13)=""),"",ROUND(N(参数设置!$G$13)+SUMIFS(流水净额,流水账户,参数设置!$C$13,流水日期,"&lt;="&amp;$A37),2))</f>
        <v>355500</v>
      </c>
      <c r="I37" s="23">
        <f>IF(OR($A37="",IF(参数设置!$C$14="","",参数设置!$C$14)=""),"",ROUND(N(参数设置!$G$14)+SUMIFS(流水净额,流水账户,参数设置!$C$14,流水日期,"&lt;="&amp;$A37),2))</f>
        <v>280000</v>
      </c>
      <c r="J37" s="23">
        <f>IF(OR($A37="",IF(参数设置!$C$15="","",参数设置!$C$15)=""),"",ROUND(N(参数设置!$G$15)+SUMIFS(流水净额,流水账户,参数设置!$C$15,流水日期,"&lt;="&amp;$A37),2))</f>
        <v>507000</v>
      </c>
      <c r="K37" s="23">
        <f>IF(OR($A37="",IF(参数设置!$C$16="","",参数设置!$C$16)=""),"",ROUND(N(参数设置!$G$16)+SUMIFS(流水净额,流水账户,参数设置!$C$16,流水日期,"&lt;="&amp;$A37),2))</f>
        <v>150000</v>
      </c>
      <c r="L37" s="23" t="str">
        <f>IF(OR($A37="",IF(参数设置!$C$17="","",参数设置!$C$17)=""),"",ROUND(N(参数设置!$G$17)+SUMIFS(流水净额,流水账户,参数设置!$C$17,流水日期,"&lt;="&amp;$A37),2))</f>
        <v/>
      </c>
      <c r="M37" s="23" t="str">
        <f>IF(OR($A37="",IF(参数设置!$C$18="","",参数设置!$C$18)=""),"",ROUND(N(参数设置!$G$18)+SUMIFS(流水净额,流水账户,参数设置!$C$18,流水日期,"&lt;="&amp;$A37),2))</f>
        <v/>
      </c>
      <c r="N37" s="23" t="str">
        <f>IF(OR($A37="",IF(参数设置!$C$19="","",参数设置!$C$19)=""),"",ROUND(N(参数设置!$G$19)+SUMIFS(流水净额,流水账户,参数设置!$C$19,流水日期,"&lt;="&amp;$A37),2))</f>
        <v/>
      </c>
      <c r="O37" s="23" t="str">
        <f>IF(OR($A37="",IF(参数设置!$C$20="","",参数设置!$C$20)=""),"",ROUND(N(参数设置!$G$20)+SUMIFS(流水净额,流水账户,参数设置!$C$20,流水日期,"&lt;="&amp;$A37),2))</f>
        <v/>
      </c>
      <c r="P37" s="23" t="str">
        <f>IF(OR($A37="",IF(参数设置!$C$21="","",参数设置!$C$21)=""),"",ROUND(N(参数设置!$G$21)+SUMIFS(流水净额,流水账户,参数设置!$C$21,流水日期,"&lt;="&amp;$A37),2))</f>
        <v/>
      </c>
      <c r="Q37" s="23" t="str">
        <f>IF(OR($A37="",IF(参数设置!$C$22="","",参数设置!$C$22)=""),"",ROUND(N(参数设置!$G$22)+SUMIFS(流水净额,流水账户,参数设置!$C$22,流水日期,"&lt;="&amp;$A37),2))</f>
        <v/>
      </c>
      <c r="R37" s="23" t="str">
        <f>IF(OR($A37="",IF(参数设置!$C$23="","",参数设置!$C$23)=""),"",ROUND(N(参数设置!$G$23)+SUMIFS(流水净额,流水账户,参数设置!$C$23,流水日期,"&lt;="&amp;$A37),2))</f>
        <v/>
      </c>
      <c r="S37" s="23" t="str">
        <f>IF(OR($A37="",IF(参数设置!$C$24="","",参数设置!$C$24)=""),"",ROUND(N(参数设置!$G$24)+SUMIFS(流水净额,流水账户,参数设置!$C$24,流水日期,"&lt;="&amp;$A37),2))</f>
        <v/>
      </c>
      <c r="T37" s="23" t="str">
        <f>IF(OR($A37="",IF(参数设置!$C$25="","",参数设置!$C$25)=""),"",ROUND(N(参数设置!$G$25)+SUMIFS(流水净额,流水账户,参数设置!$C$25,流水日期,"&lt;="&amp;$A37),2))</f>
        <v/>
      </c>
    </row>
    <row r="38" ht="16.5" spans="1:20">
      <c r="A38" s="28" t="s">
        <v>327</v>
      </c>
      <c r="B38" s="7">
        <f>ROUND(SUM(B7:B37),2)</f>
        <v>892660</v>
      </c>
      <c r="C38" s="7">
        <f>ROUND(SUM(C7:C37),2)</f>
        <v>163720</v>
      </c>
      <c r="D38" s="7">
        <f>ROUND(SUM(D7:D37),2)</f>
        <v>728940</v>
      </c>
      <c r="E38" s="27" t="s">
        <v>328</v>
      </c>
    </row>
    <row r="40" ht="22" customHeight="1" spans="1:20">
      <c r="A40" s="34" t="s">
        <v>329</v>
      </c>
      <c r="B40" s="14"/>
      <c r="C40" s="14"/>
      <c r="D40" s="14"/>
      <c r="E40" s="14"/>
      <c r="F40" s="14"/>
      <c r="G40" s="14"/>
      <c r="H40" s="14"/>
      <c r="I40" s="15"/>
    </row>
    <row r="41" ht="16.5" spans="1:20">
      <c r="A41" s="25" t="s">
        <v>330</v>
      </c>
      <c r="B41" s="35">
        <v>46265</v>
      </c>
      <c r="C41" s="27" t="s">
        <v>331</v>
      </c>
      <c r="D41" s="14"/>
      <c r="E41" s="14"/>
      <c r="F41" s="14"/>
      <c r="G41" s="14"/>
      <c r="H41" s="14"/>
      <c r="I41" s="15"/>
    </row>
    <row r="42" ht="30" customHeight="1" spans="1:20">
      <c r="A42" s="36" t="s">
        <v>118</v>
      </c>
      <c r="B42" s="36" t="s">
        <v>259</v>
      </c>
      <c r="C42" s="36" t="s">
        <v>226</v>
      </c>
      <c r="D42" s="36" t="s">
        <v>332</v>
      </c>
      <c r="E42" s="36" t="s">
        <v>333</v>
      </c>
      <c r="F42" s="36" t="s">
        <v>334</v>
      </c>
      <c r="G42" s="36" t="s">
        <v>335</v>
      </c>
      <c r="H42" s="36" t="s">
        <v>336</v>
      </c>
      <c r="I42" s="36" t="s">
        <v>337</v>
      </c>
    </row>
    <row r="43" ht="16.5" spans="1:20">
      <c r="A43" s="4">
        <f>IF($B43="","",1)</f>
        <v>1</v>
      </c>
      <c r="B43" s="12" t="str">
        <f>IF(参数设置!$C$11="","",参数设置!$C$11)</f>
        <v>工商银行基本户-8888</v>
      </c>
      <c r="C43" s="12" t="str">
        <f>IF($B43="","",参数设置!$E$11)</f>
        <v>CNY</v>
      </c>
      <c r="D43" s="23">
        <f>IF(OR($B43="",$B$41=""),"",ROUND(N(参数设置!$G$11)+SUMIFS(流水净额,流水账户,$B43,流水日期,"&lt;"&amp;$B$41),2))</f>
        <v>730400</v>
      </c>
      <c r="E43" s="23">
        <f>IF(OR($B43="",$B$41=""),"",ROUND(SUMIFS(流水收入,流水账户,$B43,流水日期,$B$41),2))</f>
        <v>0</v>
      </c>
      <c r="F43" s="23">
        <f>IF(OR($B43="",$B$41=""),"",ROUND(SUMIFS(流水支出,流水账户,$B43,流水日期,$B$41),2))</f>
        <v>0</v>
      </c>
      <c r="G43" s="23">
        <f t="shared" ref="G43:G72" si="1">IF(OR($B43="",$B$41=""),"",ROUND($D43+$E43-$F43,2))</f>
        <v>730400</v>
      </c>
      <c r="H43" s="24">
        <f>IF(OR($B43="",$B$41=""),"",IFERROR(IF($C43=本位币,1,IFERROR(LOOKUP(2,1/((汇率月份&lt;=$B$41)*(INDEX(月末汇率区,0,MATCH($C43,汇率币种头,0))&lt;&gt;"")),INDEX(月末汇率区,0,MATCH($C43,汇率币种头,0))),IFERROR(LOOKUP(2,1/((汇率月份&lt;=$B$41)*(INDEX(记账汇率区,0,MATCH($C43,汇率币种头,0))&lt;&gt;"")),INDEX(记账汇率区,0,MATCH($C43,汇率币种头,0))),""))),""))</f>
        <v>1</v>
      </c>
      <c r="I43" s="23">
        <f t="shared" ref="I43:I72" si="2">IF(OR($B43="",$H43=""),"",ROUND($G43*$H43,2))</f>
        <v>730400</v>
      </c>
    </row>
    <row r="44" ht="16.5" spans="1:20">
      <c r="A44" s="4">
        <f>IF($B44="","",2)</f>
        <v>2</v>
      </c>
      <c r="B44" s="12" t="str">
        <f>IF(参数设置!$C$12="","",参数设置!$C$12)</f>
        <v>中国银行美元结算户-6688</v>
      </c>
      <c r="C44" s="12" t="str">
        <f>IF($B44="","",参数设置!$E$12)</f>
        <v>USD</v>
      </c>
      <c r="D44" s="23">
        <f>IF(OR($B44="",$B$41=""),"",ROUND(N(参数设置!$G$12)+SUMIFS(流水净额,流水账户,$B44,流水日期,"&lt;"&amp;$B$41),2))</f>
        <v>812000</v>
      </c>
      <c r="E44" s="23">
        <f>IF(OR($B44="",$B$41=""),"",ROUND(SUMIFS(流水收入,流水账户,$B44,流水日期,$B$41),2))</f>
        <v>0</v>
      </c>
      <c r="F44" s="23">
        <f>IF(OR($B44="",$B$41=""),"",ROUND(SUMIFS(流水支出,流水账户,$B44,流水日期,$B$41),2))</f>
        <v>0</v>
      </c>
      <c r="G44" s="23">
        <f t="shared" si="1"/>
        <v>812000</v>
      </c>
      <c r="H44" s="24">
        <f>IF(OR($B44="",$B$41=""),"",IFERROR(IF($C44=本位币,1,IFERROR(LOOKUP(2,1/((汇率月份&lt;=$B$41)*(INDEX(月末汇率区,0,MATCH($C44,汇率币种头,0))&lt;&gt;"")),INDEX(月末汇率区,0,MATCH($C44,汇率币种头,0))),IFERROR(LOOKUP(2,1/((汇率月份&lt;=$B$41)*(INDEX(记账汇率区,0,MATCH($C44,汇率币种头,0))&lt;&gt;"")),INDEX(记账汇率区,0,MATCH($C44,汇率币种头,0))),""))),""))</f>
        <v>7.18</v>
      </c>
      <c r="I44" s="23">
        <f t="shared" si="2"/>
        <v>5830160</v>
      </c>
    </row>
    <row r="45" ht="16.5" spans="1:20">
      <c r="A45" s="4">
        <f>IF($B45="","",3)</f>
        <v>3</v>
      </c>
      <c r="B45" s="12" t="str">
        <f>IF(参数设置!$C$13="","",参数设置!$C$13)</f>
        <v>汇丰银行港币结算户-5566</v>
      </c>
      <c r="C45" s="12" t="str">
        <f>IF($B45="","",参数设置!$E$13)</f>
        <v>HKD</v>
      </c>
      <c r="D45" s="23">
        <f>IF(OR($B45="",$B$41=""),"",ROUND(N(参数设置!$G$13)+SUMIFS(流水净额,流水账户,$B45,流水日期,"&lt;"&amp;$B$41),2))</f>
        <v>355500</v>
      </c>
      <c r="E45" s="23">
        <f>IF(OR($B45="",$B$41=""),"",ROUND(SUMIFS(流水收入,流水账户,$B45,流水日期,$B$41),2))</f>
        <v>0</v>
      </c>
      <c r="F45" s="23">
        <f>IF(OR($B45="",$B$41=""),"",ROUND(SUMIFS(流水支出,流水账户,$B45,流水日期,$B$41),2))</f>
        <v>0</v>
      </c>
      <c r="G45" s="23">
        <f t="shared" si="1"/>
        <v>355500</v>
      </c>
      <c r="H45" s="24">
        <f>IF(OR($B45="",$B$41=""),"",IFERROR(IF($C45=本位币,1,IFERROR(LOOKUP(2,1/((汇率月份&lt;=$B$41)*(INDEX(月末汇率区,0,MATCH($C45,汇率币种头,0))&lt;&gt;"")),INDEX(月末汇率区,0,MATCH($C45,汇率币种头,0))),IFERROR(LOOKUP(2,1/((汇率月份&lt;=$B$41)*(INDEX(记账汇率区,0,MATCH($C45,汇率币种头,0))&lt;&gt;"")),INDEX(记账汇率区,0,MATCH($C45,汇率币种头,0))),""))),""))</f>
        <v>0.92</v>
      </c>
      <c r="I45" s="23">
        <f t="shared" si="2"/>
        <v>327060</v>
      </c>
    </row>
    <row r="46" ht="16.5" spans="1:20">
      <c r="A46" s="4">
        <f>IF($B46="","",4)</f>
        <v>4</v>
      </c>
      <c r="B46" s="12" t="str">
        <f>IF(参数设置!$C$14="","",参数设置!$C$14)</f>
        <v>招商银行一般户-2388</v>
      </c>
      <c r="C46" s="12" t="str">
        <f>IF($B46="","",参数设置!$E$14)</f>
        <v>CNY</v>
      </c>
      <c r="D46" s="23">
        <f>IF(OR($B46="",$B$41=""),"",ROUND(N(参数设置!$G$14)+SUMIFS(流水净额,流水账户,$B46,流水日期,"&lt;"&amp;$B$41),2))</f>
        <v>280000</v>
      </c>
      <c r="E46" s="23">
        <f>IF(OR($B46="",$B$41=""),"",ROUND(SUMIFS(流水收入,流水账户,$B46,流水日期,$B$41),2))</f>
        <v>0</v>
      </c>
      <c r="F46" s="23">
        <f>IF(OR($B46="",$B$41=""),"",ROUND(SUMIFS(流水支出,流水账户,$B46,流水日期,$B$41),2))</f>
        <v>0</v>
      </c>
      <c r="G46" s="23">
        <f t="shared" si="1"/>
        <v>280000</v>
      </c>
      <c r="H46" s="24">
        <f>IF(OR($B46="",$B$41=""),"",IFERROR(IF($C46=本位币,1,IFERROR(LOOKUP(2,1/((汇率月份&lt;=$B$41)*(INDEX(月末汇率区,0,MATCH($C46,汇率币种头,0))&lt;&gt;"")),INDEX(月末汇率区,0,MATCH($C46,汇率币种头,0))),IFERROR(LOOKUP(2,1/((汇率月份&lt;=$B$41)*(INDEX(记账汇率区,0,MATCH($C46,汇率币种头,0))&lt;&gt;"")),INDEX(记账汇率区,0,MATCH($C46,汇率币种头,0))),""))),""))</f>
        <v>1</v>
      </c>
      <c r="I46" s="23">
        <f t="shared" si="2"/>
        <v>280000</v>
      </c>
    </row>
    <row r="47" ht="16.5" spans="1:20">
      <c r="A47" s="4">
        <f>IF($B47="","",5)</f>
        <v>5</v>
      </c>
      <c r="B47" s="12" t="str">
        <f>IF(参数设置!$C$15="","",参数设置!$C$15)</f>
        <v>汇丰银行美元结算户-7788</v>
      </c>
      <c r="C47" s="12" t="str">
        <f>IF($B47="","",参数设置!$E$15)</f>
        <v>USD</v>
      </c>
      <c r="D47" s="23">
        <f>IF(OR($B47="",$B$41=""),"",ROUND(N(参数设置!$G$15)+SUMIFS(流水净额,流水账户,$B47,流水日期,"&lt;"&amp;$B$41),2))</f>
        <v>507000</v>
      </c>
      <c r="E47" s="23">
        <f>IF(OR($B47="",$B$41=""),"",ROUND(SUMIFS(流水收入,流水账户,$B47,流水日期,$B$41),2))</f>
        <v>0</v>
      </c>
      <c r="F47" s="23">
        <f>IF(OR($B47="",$B$41=""),"",ROUND(SUMIFS(流水支出,流水账户,$B47,流水日期,$B$41),2))</f>
        <v>0</v>
      </c>
      <c r="G47" s="23">
        <f t="shared" si="1"/>
        <v>507000</v>
      </c>
      <c r="H47" s="24">
        <f>IF(OR($B47="",$B$41=""),"",IFERROR(IF($C47=本位币,1,IFERROR(LOOKUP(2,1/((汇率月份&lt;=$B$41)*(INDEX(月末汇率区,0,MATCH($C47,汇率币种头,0))&lt;&gt;"")),INDEX(月末汇率区,0,MATCH($C47,汇率币种头,0))),IFERROR(LOOKUP(2,1/((汇率月份&lt;=$B$41)*(INDEX(记账汇率区,0,MATCH($C47,汇率币种头,0))&lt;&gt;"")),INDEX(记账汇率区,0,MATCH($C47,汇率币种头,0))),""))),""))</f>
        <v>7.18</v>
      </c>
      <c r="I47" s="23">
        <f t="shared" si="2"/>
        <v>3640260</v>
      </c>
    </row>
    <row r="48" ht="16.5" spans="1:20">
      <c r="A48" s="4">
        <f>IF($B48="","",6)</f>
        <v>6</v>
      </c>
      <c r="B48" s="12" t="str">
        <f>IF(参数设置!$C$16="","",参数设置!$C$16)</f>
        <v>中国银行欧元结算户-9900</v>
      </c>
      <c r="C48" s="12" t="str">
        <f>IF($B48="","",参数设置!$E$16)</f>
        <v>EUR</v>
      </c>
      <c r="D48" s="23">
        <f>IF(OR($B48="",$B$41=""),"",ROUND(N(参数设置!$G$16)+SUMIFS(流水净额,流水账户,$B48,流水日期,"&lt;"&amp;$B$41),2))</f>
        <v>150000</v>
      </c>
      <c r="E48" s="23">
        <f>IF(OR($B48="",$B$41=""),"",ROUND(SUMIFS(流水收入,流水账户,$B48,流水日期,$B$41),2))</f>
        <v>0</v>
      </c>
      <c r="F48" s="23">
        <f>IF(OR($B48="",$B$41=""),"",ROUND(SUMIFS(流水支出,流水账户,$B48,流水日期,$B$41),2))</f>
        <v>0</v>
      </c>
      <c r="G48" s="23">
        <f t="shared" si="1"/>
        <v>150000</v>
      </c>
      <c r="H48" s="24">
        <f>IF(OR($B48="",$B$41=""),"",IFERROR(IF($C48=本位币,1,IFERROR(LOOKUP(2,1/((汇率月份&lt;=$B$41)*(INDEX(月末汇率区,0,MATCH($C48,汇率币种头,0))&lt;&gt;"")),INDEX(月末汇率区,0,MATCH($C48,汇率币种头,0))),IFERROR(LOOKUP(2,1/((汇率月份&lt;=$B$41)*(INDEX(记账汇率区,0,MATCH($C48,汇率币种头,0))&lt;&gt;"")),INDEX(记账汇率区,0,MATCH($C48,汇率币种头,0))),""))),""))</f>
        <v>7.69</v>
      </c>
      <c r="I48" s="23">
        <f t="shared" si="2"/>
        <v>1153500</v>
      </c>
    </row>
    <row r="49" ht="16.5" spans="1:9">
      <c r="A49" s="4" t="str">
        <f>IF($B49="","",7)</f>
        <v/>
      </c>
      <c r="B49" s="12" t="str">
        <f>IF(参数设置!$C$17="","",参数设置!$C$17)</f>
        <v/>
      </c>
      <c r="C49" s="12" t="str">
        <f>IF($B49="","",参数设置!$E$17)</f>
        <v/>
      </c>
      <c r="D49" s="23" t="str">
        <f>IF(OR($B49="",$B$41=""),"",ROUND(N(参数设置!$G$17)+SUMIFS(流水净额,流水账户,$B49,流水日期,"&lt;"&amp;$B$41),2))</f>
        <v/>
      </c>
      <c r="E49" s="23" t="str">
        <f>IF(OR($B49="",$B$41=""),"",ROUND(SUMIFS(流水收入,流水账户,$B49,流水日期,$B$41),2))</f>
        <v/>
      </c>
      <c r="F49" s="23" t="str">
        <f>IF(OR($B49="",$B$41=""),"",ROUND(SUMIFS(流水支出,流水账户,$B49,流水日期,$B$41),2))</f>
        <v/>
      </c>
      <c r="G49" s="23" t="str">
        <f t="shared" si="1"/>
        <v/>
      </c>
      <c r="H49" s="24" t="str">
        <f>IF(OR($B49="",$B$41=""),"",IFERROR(IF($C49=本位币,1,IFERROR(LOOKUP(2,1/((汇率月份&lt;=$B$41)*(INDEX(月末汇率区,0,MATCH($C49,汇率币种头,0))&lt;&gt;"")),INDEX(月末汇率区,0,MATCH($C49,汇率币种头,0))),IFERROR(LOOKUP(2,1/((汇率月份&lt;=$B$41)*(INDEX(记账汇率区,0,MATCH($C49,汇率币种头,0))&lt;&gt;"")),INDEX(记账汇率区,0,MATCH($C49,汇率币种头,0))),""))),""))</f>
        <v/>
      </c>
      <c r="I49" s="23" t="str">
        <f t="shared" si="2"/>
        <v/>
      </c>
    </row>
    <row r="50" ht="16.5" spans="1:9">
      <c r="A50" s="4" t="str">
        <f>IF($B50="","",8)</f>
        <v/>
      </c>
      <c r="B50" s="12" t="str">
        <f>IF(参数设置!$C$18="","",参数设置!$C$18)</f>
        <v/>
      </c>
      <c r="C50" s="12" t="str">
        <f>IF($B50="","",参数设置!$E$18)</f>
        <v/>
      </c>
      <c r="D50" s="23" t="str">
        <f>IF(OR($B50="",$B$41=""),"",ROUND(N(参数设置!$G$18)+SUMIFS(流水净额,流水账户,$B50,流水日期,"&lt;"&amp;$B$41),2))</f>
        <v/>
      </c>
      <c r="E50" s="23" t="str">
        <f>IF(OR($B50="",$B$41=""),"",ROUND(SUMIFS(流水收入,流水账户,$B50,流水日期,$B$41),2))</f>
        <v/>
      </c>
      <c r="F50" s="23" t="str">
        <f>IF(OR($B50="",$B$41=""),"",ROUND(SUMIFS(流水支出,流水账户,$B50,流水日期,$B$41),2))</f>
        <v/>
      </c>
      <c r="G50" s="23" t="str">
        <f t="shared" si="1"/>
        <v/>
      </c>
      <c r="H50" s="24" t="str">
        <f>IF(OR($B50="",$B$41=""),"",IFERROR(IF($C50=本位币,1,IFERROR(LOOKUP(2,1/((汇率月份&lt;=$B$41)*(INDEX(月末汇率区,0,MATCH($C50,汇率币种头,0))&lt;&gt;"")),INDEX(月末汇率区,0,MATCH($C50,汇率币种头,0))),IFERROR(LOOKUP(2,1/((汇率月份&lt;=$B$41)*(INDEX(记账汇率区,0,MATCH($C50,汇率币种头,0))&lt;&gt;"")),INDEX(记账汇率区,0,MATCH($C50,汇率币种头,0))),""))),""))</f>
        <v/>
      </c>
      <c r="I50" s="23" t="str">
        <f t="shared" si="2"/>
        <v/>
      </c>
    </row>
    <row r="51" ht="16.5" spans="1:9">
      <c r="A51" s="4" t="str">
        <f>IF($B51="","",9)</f>
        <v/>
      </c>
      <c r="B51" s="12" t="str">
        <f>IF(参数设置!$C$19="","",参数设置!$C$19)</f>
        <v/>
      </c>
      <c r="C51" s="12" t="str">
        <f>IF($B51="","",参数设置!$E$19)</f>
        <v/>
      </c>
      <c r="D51" s="23" t="str">
        <f>IF(OR($B51="",$B$41=""),"",ROUND(N(参数设置!$G$19)+SUMIFS(流水净额,流水账户,$B51,流水日期,"&lt;"&amp;$B$41),2))</f>
        <v/>
      </c>
      <c r="E51" s="23" t="str">
        <f>IF(OR($B51="",$B$41=""),"",ROUND(SUMIFS(流水收入,流水账户,$B51,流水日期,$B$41),2))</f>
        <v/>
      </c>
      <c r="F51" s="23" t="str">
        <f>IF(OR($B51="",$B$41=""),"",ROUND(SUMIFS(流水支出,流水账户,$B51,流水日期,$B$41),2))</f>
        <v/>
      </c>
      <c r="G51" s="23" t="str">
        <f t="shared" si="1"/>
        <v/>
      </c>
      <c r="H51" s="24" t="str">
        <f>IF(OR($B51="",$B$41=""),"",IFERROR(IF($C51=本位币,1,IFERROR(LOOKUP(2,1/((汇率月份&lt;=$B$41)*(INDEX(月末汇率区,0,MATCH($C51,汇率币种头,0))&lt;&gt;"")),INDEX(月末汇率区,0,MATCH($C51,汇率币种头,0))),IFERROR(LOOKUP(2,1/((汇率月份&lt;=$B$41)*(INDEX(记账汇率区,0,MATCH($C51,汇率币种头,0))&lt;&gt;"")),INDEX(记账汇率区,0,MATCH($C51,汇率币种头,0))),""))),""))</f>
        <v/>
      </c>
      <c r="I51" s="23" t="str">
        <f t="shared" si="2"/>
        <v/>
      </c>
    </row>
    <row r="52" ht="16.5" spans="1:9">
      <c r="A52" s="4" t="str">
        <f>IF($B52="","",10)</f>
        <v/>
      </c>
      <c r="B52" s="12" t="str">
        <f>IF(参数设置!$C$20="","",参数设置!$C$20)</f>
        <v/>
      </c>
      <c r="C52" s="12" t="str">
        <f>IF($B52="","",参数设置!$E$20)</f>
        <v/>
      </c>
      <c r="D52" s="23" t="str">
        <f>IF(OR($B52="",$B$41=""),"",ROUND(N(参数设置!$G$20)+SUMIFS(流水净额,流水账户,$B52,流水日期,"&lt;"&amp;$B$41),2))</f>
        <v/>
      </c>
      <c r="E52" s="23" t="str">
        <f>IF(OR($B52="",$B$41=""),"",ROUND(SUMIFS(流水收入,流水账户,$B52,流水日期,$B$41),2))</f>
        <v/>
      </c>
      <c r="F52" s="23" t="str">
        <f>IF(OR($B52="",$B$41=""),"",ROUND(SUMIFS(流水支出,流水账户,$B52,流水日期,$B$41),2))</f>
        <v/>
      </c>
      <c r="G52" s="23" t="str">
        <f t="shared" si="1"/>
        <v/>
      </c>
      <c r="H52" s="24" t="str">
        <f>IF(OR($B52="",$B$41=""),"",IFERROR(IF($C52=本位币,1,IFERROR(LOOKUP(2,1/((汇率月份&lt;=$B$41)*(INDEX(月末汇率区,0,MATCH($C52,汇率币种头,0))&lt;&gt;"")),INDEX(月末汇率区,0,MATCH($C52,汇率币种头,0))),IFERROR(LOOKUP(2,1/((汇率月份&lt;=$B$41)*(INDEX(记账汇率区,0,MATCH($C52,汇率币种头,0))&lt;&gt;"")),INDEX(记账汇率区,0,MATCH($C52,汇率币种头,0))),""))),""))</f>
        <v/>
      </c>
      <c r="I52" s="23" t="str">
        <f t="shared" si="2"/>
        <v/>
      </c>
    </row>
    <row r="53" ht="16.5" spans="1:9">
      <c r="A53" s="4" t="str">
        <f>IF($B53="","",11)</f>
        <v/>
      </c>
      <c r="B53" s="12" t="str">
        <f>IF(参数设置!$C$21="","",参数设置!$C$21)</f>
        <v/>
      </c>
      <c r="C53" s="12" t="str">
        <f>IF($B53="","",参数设置!$E$21)</f>
        <v/>
      </c>
      <c r="D53" s="23" t="str">
        <f>IF(OR($B53="",$B$41=""),"",ROUND(N(参数设置!$G$21)+SUMIFS(流水净额,流水账户,$B53,流水日期,"&lt;"&amp;$B$41),2))</f>
        <v/>
      </c>
      <c r="E53" s="23" t="str">
        <f>IF(OR($B53="",$B$41=""),"",ROUND(SUMIFS(流水收入,流水账户,$B53,流水日期,$B$41),2))</f>
        <v/>
      </c>
      <c r="F53" s="23" t="str">
        <f>IF(OR($B53="",$B$41=""),"",ROUND(SUMIFS(流水支出,流水账户,$B53,流水日期,$B$41),2))</f>
        <v/>
      </c>
      <c r="G53" s="23" t="str">
        <f t="shared" si="1"/>
        <v/>
      </c>
      <c r="H53" s="24" t="str">
        <f>IF(OR($B53="",$B$41=""),"",IFERROR(IF($C53=本位币,1,IFERROR(LOOKUP(2,1/((汇率月份&lt;=$B$41)*(INDEX(月末汇率区,0,MATCH($C53,汇率币种头,0))&lt;&gt;"")),INDEX(月末汇率区,0,MATCH($C53,汇率币种头,0))),IFERROR(LOOKUP(2,1/((汇率月份&lt;=$B$41)*(INDEX(记账汇率区,0,MATCH($C53,汇率币种头,0))&lt;&gt;"")),INDEX(记账汇率区,0,MATCH($C53,汇率币种头,0))),""))),""))</f>
        <v/>
      </c>
      <c r="I53" s="23" t="str">
        <f t="shared" si="2"/>
        <v/>
      </c>
    </row>
    <row r="54" ht="16.5" spans="1:9">
      <c r="A54" s="4" t="str">
        <f>IF($B54="","",12)</f>
        <v/>
      </c>
      <c r="B54" s="12" t="str">
        <f>IF(参数设置!$C$22="","",参数设置!$C$22)</f>
        <v/>
      </c>
      <c r="C54" s="12" t="str">
        <f>IF($B54="","",参数设置!$E$22)</f>
        <v/>
      </c>
      <c r="D54" s="23" t="str">
        <f>IF(OR($B54="",$B$41=""),"",ROUND(N(参数设置!$G$22)+SUMIFS(流水净额,流水账户,$B54,流水日期,"&lt;"&amp;$B$41),2))</f>
        <v/>
      </c>
      <c r="E54" s="23" t="str">
        <f>IF(OR($B54="",$B$41=""),"",ROUND(SUMIFS(流水收入,流水账户,$B54,流水日期,$B$41),2))</f>
        <v/>
      </c>
      <c r="F54" s="23" t="str">
        <f>IF(OR($B54="",$B$41=""),"",ROUND(SUMIFS(流水支出,流水账户,$B54,流水日期,$B$41),2))</f>
        <v/>
      </c>
      <c r="G54" s="23" t="str">
        <f t="shared" si="1"/>
        <v/>
      </c>
      <c r="H54" s="24" t="str">
        <f>IF(OR($B54="",$B$41=""),"",IFERROR(IF($C54=本位币,1,IFERROR(LOOKUP(2,1/((汇率月份&lt;=$B$41)*(INDEX(月末汇率区,0,MATCH($C54,汇率币种头,0))&lt;&gt;"")),INDEX(月末汇率区,0,MATCH($C54,汇率币种头,0))),IFERROR(LOOKUP(2,1/((汇率月份&lt;=$B$41)*(INDEX(记账汇率区,0,MATCH($C54,汇率币种头,0))&lt;&gt;"")),INDEX(记账汇率区,0,MATCH($C54,汇率币种头,0))),""))),""))</f>
        <v/>
      </c>
      <c r="I54" s="23" t="str">
        <f t="shared" si="2"/>
        <v/>
      </c>
    </row>
    <row r="55" ht="16.5" spans="1:9">
      <c r="A55" s="4" t="str">
        <f>IF($B55="","",13)</f>
        <v/>
      </c>
      <c r="B55" s="12" t="str">
        <f>IF(参数设置!$C$23="","",参数设置!$C$23)</f>
        <v/>
      </c>
      <c r="C55" s="12" t="str">
        <f>IF($B55="","",参数设置!$E$23)</f>
        <v/>
      </c>
      <c r="D55" s="23" t="str">
        <f>IF(OR($B55="",$B$41=""),"",ROUND(N(参数设置!$G$23)+SUMIFS(流水净额,流水账户,$B55,流水日期,"&lt;"&amp;$B$41),2))</f>
        <v/>
      </c>
      <c r="E55" s="23" t="str">
        <f>IF(OR($B55="",$B$41=""),"",ROUND(SUMIFS(流水收入,流水账户,$B55,流水日期,$B$41),2))</f>
        <v/>
      </c>
      <c r="F55" s="23" t="str">
        <f>IF(OR($B55="",$B$41=""),"",ROUND(SUMIFS(流水支出,流水账户,$B55,流水日期,$B$41),2))</f>
        <v/>
      </c>
      <c r="G55" s="23" t="str">
        <f t="shared" si="1"/>
        <v/>
      </c>
      <c r="H55" s="24" t="str">
        <f>IF(OR($B55="",$B$41=""),"",IFERROR(IF($C55=本位币,1,IFERROR(LOOKUP(2,1/((汇率月份&lt;=$B$41)*(INDEX(月末汇率区,0,MATCH($C55,汇率币种头,0))&lt;&gt;"")),INDEX(月末汇率区,0,MATCH($C55,汇率币种头,0))),IFERROR(LOOKUP(2,1/((汇率月份&lt;=$B$41)*(INDEX(记账汇率区,0,MATCH($C55,汇率币种头,0))&lt;&gt;"")),INDEX(记账汇率区,0,MATCH($C55,汇率币种头,0))),""))),""))</f>
        <v/>
      </c>
      <c r="I55" s="23" t="str">
        <f t="shared" si="2"/>
        <v/>
      </c>
    </row>
    <row r="56" ht="16.5" spans="1:9">
      <c r="A56" s="4" t="str">
        <f>IF($B56="","",14)</f>
        <v/>
      </c>
      <c r="B56" s="12" t="str">
        <f>IF(参数设置!$C$24="","",参数设置!$C$24)</f>
        <v/>
      </c>
      <c r="C56" s="12" t="str">
        <f>IF($B56="","",参数设置!$E$24)</f>
        <v/>
      </c>
      <c r="D56" s="23" t="str">
        <f>IF(OR($B56="",$B$41=""),"",ROUND(N(参数设置!$G$24)+SUMIFS(流水净额,流水账户,$B56,流水日期,"&lt;"&amp;$B$41),2))</f>
        <v/>
      </c>
      <c r="E56" s="23" t="str">
        <f>IF(OR($B56="",$B$41=""),"",ROUND(SUMIFS(流水收入,流水账户,$B56,流水日期,$B$41),2))</f>
        <v/>
      </c>
      <c r="F56" s="23" t="str">
        <f>IF(OR($B56="",$B$41=""),"",ROUND(SUMIFS(流水支出,流水账户,$B56,流水日期,$B$41),2))</f>
        <v/>
      </c>
      <c r="G56" s="23" t="str">
        <f t="shared" si="1"/>
        <v/>
      </c>
      <c r="H56" s="24" t="str">
        <f>IF(OR($B56="",$B$41=""),"",IFERROR(IF($C56=本位币,1,IFERROR(LOOKUP(2,1/((汇率月份&lt;=$B$41)*(INDEX(月末汇率区,0,MATCH($C56,汇率币种头,0))&lt;&gt;"")),INDEX(月末汇率区,0,MATCH($C56,汇率币种头,0))),IFERROR(LOOKUP(2,1/((汇率月份&lt;=$B$41)*(INDEX(记账汇率区,0,MATCH($C56,汇率币种头,0))&lt;&gt;"")),INDEX(记账汇率区,0,MATCH($C56,汇率币种头,0))),""))),""))</f>
        <v/>
      </c>
      <c r="I56" s="23" t="str">
        <f t="shared" si="2"/>
        <v/>
      </c>
    </row>
    <row r="57" ht="16.5" spans="1:9">
      <c r="A57" s="4" t="str">
        <f>IF($B57="","",15)</f>
        <v/>
      </c>
      <c r="B57" s="12" t="str">
        <f>IF(参数设置!$C$25="","",参数设置!$C$25)</f>
        <v/>
      </c>
      <c r="C57" s="12" t="str">
        <f>IF($B57="","",参数设置!$E$25)</f>
        <v/>
      </c>
      <c r="D57" s="23" t="str">
        <f>IF(OR($B57="",$B$41=""),"",ROUND(N(参数设置!$G$25)+SUMIFS(流水净额,流水账户,$B57,流水日期,"&lt;"&amp;$B$41),2))</f>
        <v/>
      </c>
      <c r="E57" s="23" t="str">
        <f>IF(OR($B57="",$B$41=""),"",ROUND(SUMIFS(流水收入,流水账户,$B57,流水日期,$B$41),2))</f>
        <v/>
      </c>
      <c r="F57" s="23" t="str">
        <f>IF(OR($B57="",$B$41=""),"",ROUND(SUMIFS(流水支出,流水账户,$B57,流水日期,$B$41),2))</f>
        <v/>
      </c>
      <c r="G57" s="23" t="str">
        <f t="shared" si="1"/>
        <v/>
      </c>
      <c r="H57" s="24" t="str">
        <f>IF(OR($B57="",$B$41=""),"",IFERROR(IF($C57=本位币,1,IFERROR(LOOKUP(2,1/((汇率月份&lt;=$B$41)*(INDEX(月末汇率区,0,MATCH($C57,汇率币种头,0))&lt;&gt;"")),INDEX(月末汇率区,0,MATCH($C57,汇率币种头,0))),IFERROR(LOOKUP(2,1/((汇率月份&lt;=$B$41)*(INDEX(记账汇率区,0,MATCH($C57,汇率币种头,0))&lt;&gt;"")),INDEX(记账汇率区,0,MATCH($C57,汇率币种头,0))),""))),""))</f>
        <v/>
      </c>
      <c r="I57" s="23" t="str">
        <f t="shared" si="2"/>
        <v/>
      </c>
    </row>
    <row r="58" ht="16.5" spans="1:9">
      <c r="A58" s="4" t="str">
        <f>IF($B58="","",16)</f>
        <v/>
      </c>
      <c r="B58" s="12" t="str">
        <f>IF(参数设置!$C$26="","",参数设置!$C$26)</f>
        <v/>
      </c>
      <c r="C58" s="12" t="str">
        <f>IF($B58="","",参数设置!$E$26)</f>
        <v/>
      </c>
      <c r="D58" s="23" t="str">
        <f>IF(OR($B58="",$B$41=""),"",ROUND(N(参数设置!$G$26)+SUMIFS(流水净额,流水账户,$B58,流水日期,"&lt;"&amp;$B$41),2))</f>
        <v/>
      </c>
      <c r="E58" s="23" t="str">
        <f>IF(OR($B58="",$B$41=""),"",ROUND(SUMIFS(流水收入,流水账户,$B58,流水日期,$B$41),2))</f>
        <v/>
      </c>
      <c r="F58" s="23" t="str">
        <f>IF(OR($B58="",$B$41=""),"",ROUND(SUMIFS(流水支出,流水账户,$B58,流水日期,$B$41),2))</f>
        <v/>
      </c>
      <c r="G58" s="23" t="str">
        <f t="shared" si="1"/>
        <v/>
      </c>
      <c r="H58" s="24" t="str">
        <f>IF(OR($B58="",$B$41=""),"",IFERROR(IF($C58=本位币,1,IFERROR(LOOKUP(2,1/((汇率月份&lt;=$B$41)*(INDEX(月末汇率区,0,MATCH($C58,汇率币种头,0))&lt;&gt;"")),INDEX(月末汇率区,0,MATCH($C58,汇率币种头,0))),IFERROR(LOOKUP(2,1/((汇率月份&lt;=$B$41)*(INDEX(记账汇率区,0,MATCH($C58,汇率币种头,0))&lt;&gt;"")),INDEX(记账汇率区,0,MATCH($C58,汇率币种头,0))),""))),""))</f>
        <v/>
      </c>
      <c r="I58" s="23" t="str">
        <f t="shared" si="2"/>
        <v/>
      </c>
    </row>
    <row r="59" ht="16.5" spans="1:9">
      <c r="A59" s="4" t="str">
        <f>IF($B59="","",17)</f>
        <v/>
      </c>
      <c r="B59" s="12" t="str">
        <f>IF(参数设置!$C$27="","",参数设置!$C$27)</f>
        <v/>
      </c>
      <c r="C59" s="12" t="str">
        <f>IF($B59="","",参数设置!$E$27)</f>
        <v/>
      </c>
      <c r="D59" s="23" t="str">
        <f>IF(OR($B59="",$B$41=""),"",ROUND(N(参数设置!$G$27)+SUMIFS(流水净额,流水账户,$B59,流水日期,"&lt;"&amp;$B$41),2))</f>
        <v/>
      </c>
      <c r="E59" s="23" t="str">
        <f>IF(OR($B59="",$B$41=""),"",ROUND(SUMIFS(流水收入,流水账户,$B59,流水日期,$B$41),2))</f>
        <v/>
      </c>
      <c r="F59" s="23" t="str">
        <f>IF(OR($B59="",$B$41=""),"",ROUND(SUMIFS(流水支出,流水账户,$B59,流水日期,$B$41),2))</f>
        <v/>
      </c>
      <c r="G59" s="23" t="str">
        <f t="shared" si="1"/>
        <v/>
      </c>
      <c r="H59" s="24" t="str">
        <f>IF(OR($B59="",$B$41=""),"",IFERROR(IF($C59=本位币,1,IFERROR(LOOKUP(2,1/((汇率月份&lt;=$B$41)*(INDEX(月末汇率区,0,MATCH($C59,汇率币种头,0))&lt;&gt;"")),INDEX(月末汇率区,0,MATCH($C59,汇率币种头,0))),IFERROR(LOOKUP(2,1/((汇率月份&lt;=$B$41)*(INDEX(记账汇率区,0,MATCH($C59,汇率币种头,0))&lt;&gt;"")),INDEX(记账汇率区,0,MATCH($C59,汇率币种头,0))),""))),""))</f>
        <v/>
      </c>
      <c r="I59" s="23" t="str">
        <f t="shared" si="2"/>
        <v/>
      </c>
    </row>
    <row r="60" ht="16.5" spans="1:9">
      <c r="A60" s="4" t="str">
        <f>IF($B60="","",18)</f>
        <v/>
      </c>
      <c r="B60" s="12" t="str">
        <f>IF(参数设置!$C$28="","",参数设置!$C$28)</f>
        <v/>
      </c>
      <c r="C60" s="12" t="str">
        <f>IF($B60="","",参数设置!$E$28)</f>
        <v/>
      </c>
      <c r="D60" s="23" t="str">
        <f>IF(OR($B60="",$B$41=""),"",ROUND(N(参数设置!$G$28)+SUMIFS(流水净额,流水账户,$B60,流水日期,"&lt;"&amp;$B$41),2))</f>
        <v/>
      </c>
      <c r="E60" s="23" t="str">
        <f>IF(OR($B60="",$B$41=""),"",ROUND(SUMIFS(流水收入,流水账户,$B60,流水日期,$B$41),2))</f>
        <v/>
      </c>
      <c r="F60" s="23" t="str">
        <f>IF(OR($B60="",$B$41=""),"",ROUND(SUMIFS(流水支出,流水账户,$B60,流水日期,$B$41),2))</f>
        <v/>
      </c>
      <c r="G60" s="23" t="str">
        <f t="shared" si="1"/>
        <v/>
      </c>
      <c r="H60" s="24" t="str">
        <f>IF(OR($B60="",$B$41=""),"",IFERROR(IF($C60=本位币,1,IFERROR(LOOKUP(2,1/((汇率月份&lt;=$B$41)*(INDEX(月末汇率区,0,MATCH($C60,汇率币种头,0))&lt;&gt;"")),INDEX(月末汇率区,0,MATCH($C60,汇率币种头,0))),IFERROR(LOOKUP(2,1/((汇率月份&lt;=$B$41)*(INDEX(记账汇率区,0,MATCH($C60,汇率币种头,0))&lt;&gt;"")),INDEX(记账汇率区,0,MATCH($C60,汇率币种头,0))),""))),""))</f>
        <v/>
      </c>
      <c r="I60" s="23" t="str">
        <f t="shared" si="2"/>
        <v/>
      </c>
    </row>
    <row r="61" ht="16.5" spans="1:9">
      <c r="A61" s="4" t="str">
        <f>IF($B61="","",19)</f>
        <v/>
      </c>
      <c r="B61" s="12" t="str">
        <f>IF(参数设置!$C$29="","",参数设置!$C$29)</f>
        <v/>
      </c>
      <c r="C61" s="12" t="str">
        <f>IF($B61="","",参数设置!$E$29)</f>
        <v/>
      </c>
      <c r="D61" s="23" t="str">
        <f>IF(OR($B61="",$B$41=""),"",ROUND(N(参数设置!$G$29)+SUMIFS(流水净额,流水账户,$B61,流水日期,"&lt;"&amp;$B$41),2))</f>
        <v/>
      </c>
      <c r="E61" s="23" t="str">
        <f>IF(OR($B61="",$B$41=""),"",ROUND(SUMIFS(流水收入,流水账户,$B61,流水日期,$B$41),2))</f>
        <v/>
      </c>
      <c r="F61" s="23" t="str">
        <f>IF(OR($B61="",$B$41=""),"",ROUND(SUMIFS(流水支出,流水账户,$B61,流水日期,$B$41),2))</f>
        <v/>
      </c>
      <c r="G61" s="23" t="str">
        <f t="shared" si="1"/>
        <v/>
      </c>
      <c r="H61" s="24" t="str">
        <f>IF(OR($B61="",$B$41=""),"",IFERROR(IF($C61=本位币,1,IFERROR(LOOKUP(2,1/((汇率月份&lt;=$B$41)*(INDEX(月末汇率区,0,MATCH($C61,汇率币种头,0))&lt;&gt;"")),INDEX(月末汇率区,0,MATCH($C61,汇率币种头,0))),IFERROR(LOOKUP(2,1/((汇率月份&lt;=$B$41)*(INDEX(记账汇率区,0,MATCH($C61,汇率币种头,0))&lt;&gt;"")),INDEX(记账汇率区,0,MATCH($C61,汇率币种头,0))),""))),""))</f>
        <v/>
      </c>
      <c r="I61" s="23" t="str">
        <f t="shared" si="2"/>
        <v/>
      </c>
    </row>
    <row r="62" ht="16.5" spans="1:9">
      <c r="A62" s="4" t="str">
        <f>IF($B62="","",20)</f>
        <v/>
      </c>
      <c r="B62" s="12" t="str">
        <f>IF(参数设置!$C$30="","",参数设置!$C$30)</f>
        <v/>
      </c>
      <c r="C62" s="12" t="str">
        <f>IF($B62="","",参数设置!$E$30)</f>
        <v/>
      </c>
      <c r="D62" s="23" t="str">
        <f>IF(OR($B62="",$B$41=""),"",ROUND(N(参数设置!$G$30)+SUMIFS(流水净额,流水账户,$B62,流水日期,"&lt;"&amp;$B$41),2))</f>
        <v/>
      </c>
      <c r="E62" s="23" t="str">
        <f>IF(OR($B62="",$B$41=""),"",ROUND(SUMIFS(流水收入,流水账户,$B62,流水日期,$B$41),2))</f>
        <v/>
      </c>
      <c r="F62" s="23" t="str">
        <f>IF(OR($B62="",$B$41=""),"",ROUND(SUMIFS(流水支出,流水账户,$B62,流水日期,$B$41),2))</f>
        <v/>
      </c>
      <c r="G62" s="23" t="str">
        <f t="shared" si="1"/>
        <v/>
      </c>
      <c r="H62" s="24" t="str">
        <f>IF(OR($B62="",$B$41=""),"",IFERROR(IF($C62=本位币,1,IFERROR(LOOKUP(2,1/((汇率月份&lt;=$B$41)*(INDEX(月末汇率区,0,MATCH($C62,汇率币种头,0))&lt;&gt;"")),INDEX(月末汇率区,0,MATCH($C62,汇率币种头,0))),IFERROR(LOOKUP(2,1/((汇率月份&lt;=$B$41)*(INDEX(记账汇率区,0,MATCH($C62,汇率币种头,0))&lt;&gt;"")),INDEX(记账汇率区,0,MATCH($C62,汇率币种头,0))),""))),""))</f>
        <v/>
      </c>
      <c r="I62" s="23" t="str">
        <f t="shared" si="2"/>
        <v/>
      </c>
    </row>
    <row r="63" ht="16.5" spans="1:9">
      <c r="A63" s="4" t="str">
        <f>IF($B63="","",21)</f>
        <v/>
      </c>
      <c r="B63" s="12" t="str">
        <f>IF(参数设置!$C$31="","",参数设置!$C$31)</f>
        <v/>
      </c>
      <c r="C63" s="12" t="str">
        <f>IF($B63="","",参数设置!$E$31)</f>
        <v/>
      </c>
      <c r="D63" s="23" t="str">
        <f>IF(OR($B63="",$B$41=""),"",ROUND(N(参数设置!$G$31)+SUMIFS(流水净额,流水账户,$B63,流水日期,"&lt;"&amp;$B$41),2))</f>
        <v/>
      </c>
      <c r="E63" s="23" t="str">
        <f>IF(OR($B63="",$B$41=""),"",ROUND(SUMIFS(流水收入,流水账户,$B63,流水日期,$B$41),2))</f>
        <v/>
      </c>
      <c r="F63" s="23" t="str">
        <f>IF(OR($B63="",$B$41=""),"",ROUND(SUMIFS(流水支出,流水账户,$B63,流水日期,$B$41),2))</f>
        <v/>
      </c>
      <c r="G63" s="23" t="str">
        <f t="shared" si="1"/>
        <v/>
      </c>
      <c r="H63" s="24" t="str">
        <f>IF(OR($B63="",$B$41=""),"",IFERROR(IF($C63=本位币,1,IFERROR(LOOKUP(2,1/((汇率月份&lt;=$B$41)*(INDEX(月末汇率区,0,MATCH($C63,汇率币种头,0))&lt;&gt;"")),INDEX(月末汇率区,0,MATCH($C63,汇率币种头,0))),IFERROR(LOOKUP(2,1/((汇率月份&lt;=$B$41)*(INDEX(记账汇率区,0,MATCH($C63,汇率币种头,0))&lt;&gt;"")),INDEX(记账汇率区,0,MATCH($C63,汇率币种头,0))),""))),""))</f>
        <v/>
      </c>
      <c r="I63" s="23" t="str">
        <f t="shared" si="2"/>
        <v/>
      </c>
    </row>
    <row r="64" ht="16.5" spans="1:9">
      <c r="A64" s="4" t="str">
        <f>IF($B64="","",22)</f>
        <v/>
      </c>
      <c r="B64" s="12" t="str">
        <f>IF(参数设置!$C$32="","",参数设置!$C$32)</f>
        <v/>
      </c>
      <c r="C64" s="12" t="str">
        <f>IF($B64="","",参数设置!$E$32)</f>
        <v/>
      </c>
      <c r="D64" s="23" t="str">
        <f>IF(OR($B64="",$B$41=""),"",ROUND(N(参数设置!$G$32)+SUMIFS(流水净额,流水账户,$B64,流水日期,"&lt;"&amp;$B$41),2))</f>
        <v/>
      </c>
      <c r="E64" s="23" t="str">
        <f>IF(OR($B64="",$B$41=""),"",ROUND(SUMIFS(流水收入,流水账户,$B64,流水日期,$B$41),2))</f>
        <v/>
      </c>
      <c r="F64" s="23" t="str">
        <f>IF(OR($B64="",$B$41=""),"",ROUND(SUMIFS(流水支出,流水账户,$B64,流水日期,$B$41),2))</f>
        <v/>
      </c>
      <c r="G64" s="23" t="str">
        <f t="shared" si="1"/>
        <v/>
      </c>
      <c r="H64" s="24" t="str">
        <f>IF(OR($B64="",$B$41=""),"",IFERROR(IF($C64=本位币,1,IFERROR(LOOKUP(2,1/((汇率月份&lt;=$B$41)*(INDEX(月末汇率区,0,MATCH($C64,汇率币种头,0))&lt;&gt;"")),INDEX(月末汇率区,0,MATCH($C64,汇率币种头,0))),IFERROR(LOOKUP(2,1/((汇率月份&lt;=$B$41)*(INDEX(记账汇率区,0,MATCH($C64,汇率币种头,0))&lt;&gt;"")),INDEX(记账汇率区,0,MATCH($C64,汇率币种头,0))),""))),""))</f>
        <v/>
      </c>
      <c r="I64" s="23" t="str">
        <f t="shared" si="2"/>
        <v/>
      </c>
    </row>
    <row r="65" ht="16.5" spans="1:9">
      <c r="A65" s="4" t="str">
        <f>IF($B65="","",23)</f>
        <v/>
      </c>
      <c r="B65" s="12" t="str">
        <f>IF(参数设置!$C$33="","",参数设置!$C$33)</f>
        <v/>
      </c>
      <c r="C65" s="12" t="str">
        <f>IF($B65="","",参数设置!$E$33)</f>
        <v/>
      </c>
      <c r="D65" s="23" t="str">
        <f>IF(OR($B65="",$B$41=""),"",ROUND(N(参数设置!$G$33)+SUMIFS(流水净额,流水账户,$B65,流水日期,"&lt;"&amp;$B$41),2))</f>
        <v/>
      </c>
      <c r="E65" s="23" t="str">
        <f>IF(OR($B65="",$B$41=""),"",ROUND(SUMIFS(流水收入,流水账户,$B65,流水日期,$B$41),2))</f>
        <v/>
      </c>
      <c r="F65" s="23" t="str">
        <f>IF(OR($B65="",$B$41=""),"",ROUND(SUMIFS(流水支出,流水账户,$B65,流水日期,$B$41),2))</f>
        <v/>
      </c>
      <c r="G65" s="23" t="str">
        <f t="shared" si="1"/>
        <v/>
      </c>
      <c r="H65" s="24" t="str">
        <f>IF(OR($B65="",$B$41=""),"",IFERROR(IF($C65=本位币,1,IFERROR(LOOKUP(2,1/((汇率月份&lt;=$B$41)*(INDEX(月末汇率区,0,MATCH($C65,汇率币种头,0))&lt;&gt;"")),INDEX(月末汇率区,0,MATCH($C65,汇率币种头,0))),IFERROR(LOOKUP(2,1/((汇率月份&lt;=$B$41)*(INDEX(记账汇率区,0,MATCH($C65,汇率币种头,0))&lt;&gt;"")),INDEX(记账汇率区,0,MATCH($C65,汇率币种头,0))),""))),""))</f>
        <v/>
      </c>
      <c r="I65" s="23" t="str">
        <f t="shared" si="2"/>
        <v/>
      </c>
    </row>
    <row r="66" ht="16.5" spans="1:9">
      <c r="A66" s="4" t="str">
        <f>IF($B66="","",24)</f>
        <v/>
      </c>
      <c r="B66" s="12" t="str">
        <f>IF(参数设置!$C$34="","",参数设置!$C$34)</f>
        <v/>
      </c>
      <c r="C66" s="12" t="str">
        <f>IF($B66="","",参数设置!$E$34)</f>
        <v/>
      </c>
      <c r="D66" s="23" t="str">
        <f>IF(OR($B66="",$B$41=""),"",ROUND(N(参数设置!$G$34)+SUMIFS(流水净额,流水账户,$B66,流水日期,"&lt;"&amp;$B$41),2))</f>
        <v/>
      </c>
      <c r="E66" s="23" t="str">
        <f>IF(OR($B66="",$B$41=""),"",ROUND(SUMIFS(流水收入,流水账户,$B66,流水日期,$B$41),2))</f>
        <v/>
      </c>
      <c r="F66" s="23" t="str">
        <f>IF(OR($B66="",$B$41=""),"",ROUND(SUMIFS(流水支出,流水账户,$B66,流水日期,$B$41),2))</f>
        <v/>
      </c>
      <c r="G66" s="23" t="str">
        <f t="shared" si="1"/>
        <v/>
      </c>
      <c r="H66" s="24" t="str">
        <f>IF(OR($B66="",$B$41=""),"",IFERROR(IF($C66=本位币,1,IFERROR(LOOKUP(2,1/((汇率月份&lt;=$B$41)*(INDEX(月末汇率区,0,MATCH($C66,汇率币种头,0))&lt;&gt;"")),INDEX(月末汇率区,0,MATCH($C66,汇率币种头,0))),IFERROR(LOOKUP(2,1/((汇率月份&lt;=$B$41)*(INDEX(记账汇率区,0,MATCH($C66,汇率币种头,0))&lt;&gt;"")),INDEX(记账汇率区,0,MATCH($C66,汇率币种头,0))),""))),""))</f>
        <v/>
      </c>
      <c r="I66" s="23" t="str">
        <f t="shared" si="2"/>
        <v/>
      </c>
    </row>
    <row r="67" ht="16.5" spans="1:9">
      <c r="A67" s="4" t="str">
        <f>IF($B67="","",25)</f>
        <v/>
      </c>
      <c r="B67" s="12" t="str">
        <f>IF(参数设置!$C$35="","",参数设置!$C$35)</f>
        <v/>
      </c>
      <c r="C67" s="12" t="str">
        <f>IF($B67="","",参数设置!$E$35)</f>
        <v/>
      </c>
      <c r="D67" s="23" t="str">
        <f>IF(OR($B67="",$B$41=""),"",ROUND(N(参数设置!$G$35)+SUMIFS(流水净额,流水账户,$B67,流水日期,"&lt;"&amp;$B$41),2))</f>
        <v/>
      </c>
      <c r="E67" s="23" t="str">
        <f>IF(OR($B67="",$B$41=""),"",ROUND(SUMIFS(流水收入,流水账户,$B67,流水日期,$B$41),2))</f>
        <v/>
      </c>
      <c r="F67" s="23" t="str">
        <f>IF(OR($B67="",$B$41=""),"",ROUND(SUMIFS(流水支出,流水账户,$B67,流水日期,$B$41),2))</f>
        <v/>
      </c>
      <c r="G67" s="23" t="str">
        <f t="shared" si="1"/>
        <v/>
      </c>
      <c r="H67" s="24" t="str">
        <f>IF(OR($B67="",$B$41=""),"",IFERROR(IF($C67=本位币,1,IFERROR(LOOKUP(2,1/((汇率月份&lt;=$B$41)*(INDEX(月末汇率区,0,MATCH($C67,汇率币种头,0))&lt;&gt;"")),INDEX(月末汇率区,0,MATCH($C67,汇率币种头,0))),IFERROR(LOOKUP(2,1/((汇率月份&lt;=$B$41)*(INDEX(记账汇率区,0,MATCH($C67,汇率币种头,0))&lt;&gt;"")),INDEX(记账汇率区,0,MATCH($C67,汇率币种头,0))),""))),""))</f>
        <v/>
      </c>
      <c r="I67" s="23" t="str">
        <f t="shared" si="2"/>
        <v/>
      </c>
    </row>
    <row r="68" ht="16.5" spans="1:9">
      <c r="A68" s="4" t="str">
        <f>IF($B68="","",26)</f>
        <v/>
      </c>
      <c r="B68" s="12" t="str">
        <f>IF(参数设置!$C$36="","",参数设置!$C$36)</f>
        <v/>
      </c>
      <c r="C68" s="12" t="str">
        <f>IF($B68="","",参数设置!$E$36)</f>
        <v/>
      </c>
      <c r="D68" s="23" t="str">
        <f>IF(OR($B68="",$B$41=""),"",ROUND(N(参数设置!$G$36)+SUMIFS(流水净额,流水账户,$B68,流水日期,"&lt;"&amp;$B$41),2))</f>
        <v/>
      </c>
      <c r="E68" s="23" t="str">
        <f>IF(OR($B68="",$B$41=""),"",ROUND(SUMIFS(流水收入,流水账户,$B68,流水日期,$B$41),2))</f>
        <v/>
      </c>
      <c r="F68" s="23" t="str">
        <f>IF(OR($B68="",$B$41=""),"",ROUND(SUMIFS(流水支出,流水账户,$B68,流水日期,$B$41),2))</f>
        <v/>
      </c>
      <c r="G68" s="23" t="str">
        <f t="shared" si="1"/>
        <v/>
      </c>
      <c r="H68" s="24" t="str">
        <f>IF(OR($B68="",$B$41=""),"",IFERROR(IF($C68=本位币,1,IFERROR(LOOKUP(2,1/((汇率月份&lt;=$B$41)*(INDEX(月末汇率区,0,MATCH($C68,汇率币种头,0))&lt;&gt;"")),INDEX(月末汇率区,0,MATCH($C68,汇率币种头,0))),IFERROR(LOOKUP(2,1/((汇率月份&lt;=$B$41)*(INDEX(记账汇率区,0,MATCH($C68,汇率币种头,0))&lt;&gt;"")),INDEX(记账汇率区,0,MATCH($C68,汇率币种头,0))),""))),""))</f>
        <v/>
      </c>
      <c r="I68" s="23" t="str">
        <f t="shared" si="2"/>
        <v/>
      </c>
    </row>
    <row r="69" ht="16.5" spans="1:9">
      <c r="A69" s="4" t="str">
        <f>IF($B69="","",27)</f>
        <v/>
      </c>
      <c r="B69" s="12" t="str">
        <f>IF(参数设置!$C$37="","",参数设置!$C$37)</f>
        <v/>
      </c>
      <c r="C69" s="12" t="str">
        <f>IF($B69="","",参数设置!$E$37)</f>
        <v/>
      </c>
      <c r="D69" s="23" t="str">
        <f>IF(OR($B69="",$B$41=""),"",ROUND(N(参数设置!$G$37)+SUMIFS(流水净额,流水账户,$B69,流水日期,"&lt;"&amp;$B$41),2))</f>
        <v/>
      </c>
      <c r="E69" s="23" t="str">
        <f>IF(OR($B69="",$B$41=""),"",ROUND(SUMIFS(流水收入,流水账户,$B69,流水日期,$B$41),2))</f>
        <v/>
      </c>
      <c r="F69" s="23" t="str">
        <f>IF(OR($B69="",$B$41=""),"",ROUND(SUMIFS(流水支出,流水账户,$B69,流水日期,$B$41),2))</f>
        <v/>
      </c>
      <c r="G69" s="23" t="str">
        <f t="shared" si="1"/>
        <v/>
      </c>
      <c r="H69" s="24" t="str">
        <f>IF(OR($B69="",$B$41=""),"",IFERROR(IF($C69=本位币,1,IFERROR(LOOKUP(2,1/((汇率月份&lt;=$B$41)*(INDEX(月末汇率区,0,MATCH($C69,汇率币种头,0))&lt;&gt;"")),INDEX(月末汇率区,0,MATCH($C69,汇率币种头,0))),IFERROR(LOOKUP(2,1/((汇率月份&lt;=$B$41)*(INDEX(记账汇率区,0,MATCH($C69,汇率币种头,0))&lt;&gt;"")),INDEX(记账汇率区,0,MATCH($C69,汇率币种头,0))),""))),""))</f>
        <v/>
      </c>
      <c r="I69" s="23" t="str">
        <f t="shared" si="2"/>
        <v/>
      </c>
    </row>
    <row r="70" ht="16.5" spans="1:9">
      <c r="A70" s="4" t="str">
        <f>IF($B70="","",28)</f>
        <v/>
      </c>
      <c r="B70" s="12" t="str">
        <f>IF(参数设置!$C$38="","",参数设置!$C$38)</f>
        <v/>
      </c>
      <c r="C70" s="12" t="str">
        <f>IF($B70="","",参数设置!$E$38)</f>
        <v/>
      </c>
      <c r="D70" s="23" t="str">
        <f>IF(OR($B70="",$B$41=""),"",ROUND(N(参数设置!$G$38)+SUMIFS(流水净额,流水账户,$B70,流水日期,"&lt;"&amp;$B$41),2))</f>
        <v/>
      </c>
      <c r="E70" s="23" t="str">
        <f>IF(OR($B70="",$B$41=""),"",ROUND(SUMIFS(流水收入,流水账户,$B70,流水日期,$B$41),2))</f>
        <v/>
      </c>
      <c r="F70" s="23" t="str">
        <f>IF(OR($B70="",$B$41=""),"",ROUND(SUMIFS(流水支出,流水账户,$B70,流水日期,$B$41),2))</f>
        <v/>
      </c>
      <c r="G70" s="23" t="str">
        <f t="shared" si="1"/>
        <v/>
      </c>
      <c r="H70" s="24" t="str">
        <f>IF(OR($B70="",$B$41=""),"",IFERROR(IF($C70=本位币,1,IFERROR(LOOKUP(2,1/((汇率月份&lt;=$B$41)*(INDEX(月末汇率区,0,MATCH($C70,汇率币种头,0))&lt;&gt;"")),INDEX(月末汇率区,0,MATCH($C70,汇率币种头,0))),IFERROR(LOOKUP(2,1/((汇率月份&lt;=$B$41)*(INDEX(记账汇率区,0,MATCH($C70,汇率币种头,0))&lt;&gt;"")),INDEX(记账汇率区,0,MATCH($C70,汇率币种头,0))),""))),""))</f>
        <v/>
      </c>
      <c r="I70" s="23" t="str">
        <f t="shared" si="2"/>
        <v/>
      </c>
    </row>
    <row r="71" ht="16.5" spans="1:9">
      <c r="A71" s="4" t="str">
        <f>IF($B71="","",29)</f>
        <v/>
      </c>
      <c r="B71" s="12" t="str">
        <f>IF(参数设置!$C$39="","",参数设置!$C$39)</f>
        <v/>
      </c>
      <c r="C71" s="12" t="str">
        <f>IF($B71="","",参数设置!$E$39)</f>
        <v/>
      </c>
      <c r="D71" s="23" t="str">
        <f>IF(OR($B71="",$B$41=""),"",ROUND(N(参数设置!$G$39)+SUMIFS(流水净额,流水账户,$B71,流水日期,"&lt;"&amp;$B$41),2))</f>
        <v/>
      </c>
      <c r="E71" s="23" t="str">
        <f>IF(OR($B71="",$B$41=""),"",ROUND(SUMIFS(流水收入,流水账户,$B71,流水日期,$B$41),2))</f>
        <v/>
      </c>
      <c r="F71" s="23" t="str">
        <f>IF(OR($B71="",$B$41=""),"",ROUND(SUMIFS(流水支出,流水账户,$B71,流水日期,$B$41),2))</f>
        <v/>
      </c>
      <c r="G71" s="23" t="str">
        <f t="shared" si="1"/>
        <v/>
      </c>
      <c r="H71" s="24" t="str">
        <f>IF(OR($B71="",$B$41=""),"",IFERROR(IF($C71=本位币,1,IFERROR(LOOKUP(2,1/((汇率月份&lt;=$B$41)*(INDEX(月末汇率区,0,MATCH($C71,汇率币种头,0))&lt;&gt;"")),INDEX(月末汇率区,0,MATCH($C71,汇率币种头,0))),IFERROR(LOOKUP(2,1/((汇率月份&lt;=$B$41)*(INDEX(记账汇率区,0,MATCH($C71,汇率币种头,0))&lt;&gt;"")),INDEX(记账汇率区,0,MATCH($C71,汇率币种头,0))),""))),""))</f>
        <v/>
      </c>
      <c r="I71" s="23" t="str">
        <f t="shared" si="2"/>
        <v/>
      </c>
    </row>
    <row r="72" ht="16.5" spans="1:9">
      <c r="A72" s="4" t="str">
        <f>IF($B72="","",30)</f>
        <v/>
      </c>
      <c r="B72" s="12" t="str">
        <f>IF(参数设置!$C$40="","",参数设置!$C$40)</f>
        <v/>
      </c>
      <c r="C72" s="12" t="str">
        <f>IF($B72="","",参数设置!$E$40)</f>
        <v/>
      </c>
      <c r="D72" s="23" t="str">
        <f>IF(OR($B72="",$B$41=""),"",ROUND(N(参数设置!$G$40)+SUMIFS(流水净额,流水账户,$B72,流水日期,"&lt;"&amp;$B$41),2))</f>
        <v/>
      </c>
      <c r="E72" s="23" t="str">
        <f>IF(OR($B72="",$B$41=""),"",ROUND(SUMIFS(流水收入,流水账户,$B72,流水日期,$B$41),2))</f>
        <v/>
      </c>
      <c r="F72" s="23" t="str">
        <f>IF(OR($B72="",$B$41=""),"",ROUND(SUMIFS(流水支出,流水账户,$B72,流水日期,$B$41),2))</f>
        <v/>
      </c>
      <c r="G72" s="23" t="str">
        <f t="shared" si="1"/>
        <v/>
      </c>
      <c r="H72" s="24" t="str">
        <f>IF(OR($B72="",$B$41=""),"",IFERROR(IF($C72=本位币,1,IFERROR(LOOKUP(2,1/((汇率月份&lt;=$B$41)*(INDEX(月末汇率区,0,MATCH($C72,汇率币种头,0))&lt;&gt;"")),INDEX(月末汇率区,0,MATCH($C72,汇率币种头,0))),IFERROR(LOOKUP(2,1/((汇率月份&lt;=$B$41)*(INDEX(记账汇率区,0,MATCH($C72,汇率币种头,0))&lt;&gt;"")),INDEX(记账汇率区,0,MATCH($C72,汇率币种头,0))),""))),""))</f>
        <v/>
      </c>
      <c r="I72" s="23" t="str">
        <f t="shared" si="2"/>
        <v/>
      </c>
    </row>
    <row r="73" ht="16.5" spans="1:9">
      <c r="A73" s="36" t="s">
        <v>264</v>
      </c>
      <c r="B73" s="37" t="s">
        <v>292</v>
      </c>
      <c r="C73" s="14"/>
      <c r="D73" s="14"/>
      <c r="E73" s="14"/>
      <c r="F73" s="14"/>
      <c r="G73" s="14"/>
      <c r="H73" s="15"/>
      <c r="I73" s="7">
        <f>ROUND(SUM(I43:I72),2)</f>
        <v>11961380</v>
      </c>
    </row>
  </sheetData>
  <mergeCells count="6">
    <mergeCell ref="A1:T1"/>
    <mergeCell ref="A2:T2"/>
    <mergeCell ref="A5:T5"/>
    <mergeCell ref="A40:I40"/>
    <mergeCell ref="C41:I41"/>
    <mergeCell ref="B73:H73"/>
  </mergeCells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75623"/>
    <pageSetUpPr fitToPage="1"/>
  </sheetPr>
  <dimension ref="A1:H299"/>
  <sheetViews>
    <sheetView showGridLines="0" tabSelected="1" workbookViewId="0">
      <pane ySplit="6" topLeftCell="A7" activePane="bottomLeft" state="frozen"/>
      <selection/>
      <selection pane="bottomLeft" activeCell="C27" sqref="C27"/>
    </sheetView>
  </sheetViews>
  <sheetFormatPr defaultColWidth="9" defaultRowHeight="13.5" outlineLevelCol="7"/>
  <cols>
    <col min="1" max="1" width="20" customWidth="1"/>
    <col min="2" max="4" width="16" customWidth="1"/>
    <col min="5" max="6" width="14" customWidth="1"/>
    <col min="7" max="8" width="16" customWidth="1"/>
  </cols>
  <sheetData>
    <row r="1" ht="30" customHeight="1" spans="1:8">
      <c r="A1" s="1" t="s">
        <v>338</v>
      </c>
    </row>
    <row r="2" ht="24" customHeight="1" spans="1:8">
      <c r="A2" s="2" t="s">
        <v>339</v>
      </c>
    </row>
    <row r="3" ht="16.5" spans="1:8">
      <c r="A3" s="25" t="s">
        <v>317</v>
      </c>
      <c r="B3" s="26">
        <v>46023</v>
      </c>
      <c r="C3" s="25" t="s">
        <v>318</v>
      </c>
      <c r="D3" s="26">
        <v>46387</v>
      </c>
      <c r="E3" s="27" t="str">
        <f>IF(OR($B$3="",$D$3=""),"",IF($D$3&lt;$B$3,"※截止日期早于起始日期","共 "&amp;($D$3-$B$3+1)&amp;" 天，"&amp;COUNTIFS(流水日期,"&gt;="&amp;$B$3,流水日期,"&lt;="&amp;$D$3)&amp;" 笔"))</f>
        <v>共 365 天，18 笔</v>
      </c>
      <c r="F3" s="15"/>
    </row>
    <row r="5" ht="16.5" spans="1:8">
      <c r="A5" s="28" t="s">
        <v>340</v>
      </c>
      <c r="B5" s="7">
        <f>IF($B$3="","",ROUND(SUMIFS(流水本位,流水日期,"&gt;="&amp;$B$3,流水日期,"&lt;="&amp;$D$3,流水属性,"&lt;&gt;内部转账",流水本位,"&gt;0"),2))</f>
        <v>892660</v>
      </c>
      <c r="C5" s="28" t="s">
        <v>341</v>
      </c>
      <c r="D5" s="7">
        <f>IF($B$3="","",-ROUND(SUMIFS(流水本位,流水日期,"&gt;="&amp;$B$3,流水日期,"&lt;="&amp;$D$3,流水属性,"&lt;&gt;内部转账",流水本位,"&lt;0"),2))</f>
        <v>163720</v>
      </c>
      <c r="E5" s="28" t="s">
        <v>312</v>
      </c>
      <c r="F5" s="7">
        <f>ROUND($B$5-$D$5,2)</f>
        <v>728940</v>
      </c>
      <c r="G5" s="28" t="s">
        <v>311</v>
      </c>
      <c r="H5" s="7">
        <f>IF($B$3="","",ROUND(SUMIFS(流水本位,流水日期,"&gt;="&amp;$B$3,流水日期,"&lt;="&amp;$D$3,流水属性,"内部转账"),2))</f>
        <v>0</v>
      </c>
    </row>
    <row r="7" ht="22" customHeight="1" spans="1:8">
      <c r="A7" s="29" t="s">
        <v>342</v>
      </c>
      <c r="B7" s="14"/>
      <c r="C7" s="14"/>
      <c r="D7" s="15"/>
    </row>
    <row r="8" ht="30" customHeight="1" spans="1:8">
      <c r="A8" s="18" t="s">
        <v>130</v>
      </c>
      <c r="B8" s="18" t="s">
        <v>295</v>
      </c>
      <c r="C8" s="18" t="s">
        <v>343</v>
      </c>
      <c r="D8" s="18" t="s">
        <v>308</v>
      </c>
    </row>
    <row r="9" ht="16.5" spans="1:8">
      <c r="A9" s="6" t="str">
        <f>IF(参数设置!$O$11="","",参数设置!$O$11)</f>
        <v>销售回款</v>
      </c>
      <c r="B9" s="12" t="str">
        <f>IF($A9="","",参数设置!$P$11)</f>
        <v>收入</v>
      </c>
      <c r="C9" s="23">
        <f>IF($A9="","",ROUND(IF($B9="支出",-1,1)*SUMIFS(流水本位,流水类别,$A9,流水日期,"&gt;="&amp;$B$3,流水日期,"&lt;="&amp;$D$3),2))</f>
        <v>711500</v>
      </c>
      <c r="D9" s="30">
        <f t="shared" ref="D9:D38" si="0">IF(OR($A9="",$B9="内部转账"),"",IFERROR($C9/IF($B9="收入",$B$5,$D$5),""))</f>
        <v>0.797055989962584</v>
      </c>
    </row>
    <row r="10" ht="16.5" spans="1:8">
      <c r="A10" s="6" t="str">
        <f>IF(参数设置!$O$12="","",参数设置!$O$12)</f>
        <v>其他业务收入</v>
      </c>
      <c r="B10" s="12" t="str">
        <f>IF($A10="","",参数设置!$P$12)</f>
        <v>收入</v>
      </c>
      <c r="C10" s="23">
        <f>IF($A10="","",ROUND(IF($B10="支出",-1,1)*SUMIFS(流水本位,流水类别,$A10,流水日期,"&gt;="&amp;$B$3,流水日期,"&lt;="&amp;$D$3),2))</f>
        <v>35000</v>
      </c>
      <c r="D10" s="30">
        <f t="shared" si="0"/>
        <v>0.0392086572715256</v>
      </c>
    </row>
    <row r="11" ht="16.5" spans="1:8">
      <c r="A11" s="6" t="str">
        <f>IF(参数设置!$O$13="","",参数设置!$O$13)</f>
        <v>投资款</v>
      </c>
      <c r="B11" s="12" t="str">
        <f>IF($A11="","",参数设置!$P$13)</f>
        <v>收入</v>
      </c>
      <c r="C11" s="23">
        <f>IF($A11="","",ROUND(IF($B11="支出",-1,1)*SUMIFS(流水本位,流水类别,$A11,流水日期,"&gt;="&amp;$B$3,流水日期,"&lt;="&amp;$D$3),2))</f>
        <v>86160</v>
      </c>
      <c r="D11" s="30">
        <f t="shared" si="0"/>
        <v>0.0965205117289898</v>
      </c>
    </row>
    <row r="12" ht="16.5" spans="1:8">
      <c r="A12" s="6" t="str">
        <f>IF(参数设置!$O$14="","",参数设置!$O$14)</f>
        <v>借款</v>
      </c>
      <c r="B12" s="12" t="str">
        <f>IF($A12="","",参数设置!$P$14)</f>
        <v>收入</v>
      </c>
      <c r="C12" s="23">
        <f>IF($A12="","",ROUND(IF($B12="支出",-1,1)*SUMIFS(流水本位,流水类别,$A12,流水日期,"&gt;="&amp;$B$3,流水日期,"&lt;="&amp;$D$3),2))</f>
        <v>60000</v>
      </c>
      <c r="D12" s="30">
        <f t="shared" si="0"/>
        <v>0.067214841036901</v>
      </c>
    </row>
    <row r="13" ht="16.5" spans="1:8">
      <c r="A13" s="6" t="str">
        <f>IF(参数设置!$O$15="","",参数设置!$O$15)</f>
        <v>利息收入</v>
      </c>
      <c r="B13" s="12" t="str">
        <f>IF($A13="","",参数设置!$P$15)</f>
        <v>收入</v>
      </c>
      <c r="C13" s="23">
        <f>IF($A13="","",ROUND(IF($B13="支出",-1,1)*SUMIFS(流水本位,流水类别,$A13,流水日期,"&gt;="&amp;$B$3,流水日期,"&lt;="&amp;$D$3),2))</f>
        <v>0</v>
      </c>
      <c r="D13" s="30">
        <f t="shared" si="0"/>
        <v>0</v>
      </c>
    </row>
    <row r="14" ht="16.5" spans="1:8">
      <c r="A14" s="6" t="str">
        <f>IF(参数设置!$O$16="","",参数设置!$O$16)</f>
        <v>退款收回</v>
      </c>
      <c r="B14" s="12" t="str">
        <f>IF($A14="","",参数设置!$P$16)</f>
        <v>收入</v>
      </c>
      <c r="C14" s="23">
        <f>IF($A14="","",ROUND(IF($B14="支出",-1,1)*SUMIFS(流水本位,流水类别,$A14,流水日期,"&gt;="&amp;$B$3,流水日期,"&lt;="&amp;$D$3),2))</f>
        <v>0</v>
      </c>
      <c r="D14" s="30">
        <f t="shared" si="0"/>
        <v>0</v>
      </c>
    </row>
    <row r="15" ht="16.5" spans="1:8">
      <c r="A15" s="6" t="str">
        <f>IF(参数设置!$O$17="","",参数设置!$O$17)</f>
        <v>采购付款</v>
      </c>
      <c r="B15" s="12" t="str">
        <f>IF($A15="","",参数设置!$P$17)</f>
        <v>支出</v>
      </c>
      <c r="C15" s="23">
        <f>IF($A15="","",ROUND(IF($B15="支出",-1,1)*SUMIFS(流水本位,流水类别,$A15,流水日期,"&gt;="&amp;$B$3,流水日期,"&lt;="&amp;$D$3),2))</f>
        <v>61420</v>
      </c>
      <c r="D15" s="30">
        <f t="shared" si="0"/>
        <v>0.375152699731248</v>
      </c>
    </row>
    <row r="16" ht="16.5" spans="1:8">
      <c r="A16" s="6" t="str">
        <f>IF(参数设置!$O$18="","",参数设置!$O$18)</f>
        <v>工资</v>
      </c>
      <c r="B16" s="12" t="str">
        <f>IF($A16="","",参数设置!$P$18)</f>
        <v>支出</v>
      </c>
      <c r="C16" s="23">
        <f>IF($A16="","",ROUND(IF($B16="支出",-1,1)*SUMIFS(流水本位,流水类别,$A16,流水日期,"&gt;="&amp;$B$3,流水日期,"&lt;="&amp;$D$3),2))</f>
        <v>30000</v>
      </c>
      <c r="D16" s="30">
        <f t="shared" si="0"/>
        <v>0.183239677498168</v>
      </c>
    </row>
    <row r="17" ht="16.5" spans="1:4">
      <c r="A17" s="6" t="str">
        <f>IF(参数设置!$O$19="","",参数设置!$O$19)</f>
        <v>运营费用</v>
      </c>
      <c r="B17" s="12" t="str">
        <f>IF($A17="","",参数设置!$P$19)</f>
        <v>支出</v>
      </c>
      <c r="C17" s="23">
        <f>IF($A17="","",ROUND(IF($B17="支出",-1,1)*SUMIFS(流水本位,流水类别,$A17,流水日期,"&gt;="&amp;$B$3,流水日期,"&lt;="&amp;$D$3),2))</f>
        <v>54300</v>
      </c>
      <c r="D17" s="30">
        <f t="shared" si="0"/>
        <v>0.331663816271683</v>
      </c>
    </row>
    <row r="18" ht="16.5" spans="1:4">
      <c r="A18" s="6" t="str">
        <f>IF(参数设置!$O$20="","",参数设置!$O$20)</f>
        <v>税费</v>
      </c>
      <c r="B18" s="12" t="str">
        <f>IF($A18="","",参数设置!$P$20)</f>
        <v>支出</v>
      </c>
      <c r="C18" s="23">
        <f>IF($A18="","",ROUND(IF($B18="支出",-1,1)*SUMIFS(流水本位,流水类别,$A18,流水日期,"&gt;="&amp;$B$3,流水日期,"&lt;="&amp;$D$3),2))</f>
        <v>18000</v>
      </c>
      <c r="D18" s="30">
        <f t="shared" si="0"/>
        <v>0.109943806498901</v>
      </c>
    </row>
    <row r="19" ht="16.5" spans="1:4">
      <c r="A19" s="6" t="str">
        <f>IF(参数设置!$O$21="","",参数设置!$O$21)</f>
        <v>手续费</v>
      </c>
      <c r="B19" s="12" t="str">
        <f>IF($A19="","",参数设置!$P$21)</f>
        <v>支出</v>
      </c>
      <c r="C19" s="23">
        <f>IF($A19="","",ROUND(IF($B19="支出",-1,1)*SUMIFS(流水本位,流水类别,$A19,流水日期,"&gt;="&amp;$B$3,流水日期,"&lt;="&amp;$D$3),2))</f>
        <v>0</v>
      </c>
      <c r="D19" s="30">
        <f t="shared" si="0"/>
        <v>0</v>
      </c>
    </row>
    <row r="20" ht="16.5" spans="1:4">
      <c r="A20" s="6" t="str">
        <f>IF(参数设置!$O$22="","",参数设置!$O$22)</f>
        <v>利息支出</v>
      </c>
      <c r="B20" s="12" t="str">
        <f>IF($A20="","",参数设置!$P$22)</f>
        <v>支出</v>
      </c>
      <c r="C20" s="23">
        <f>IF($A20="","",ROUND(IF($B20="支出",-1,1)*SUMIFS(流水本位,流水类别,$A20,流水日期,"&gt;="&amp;$B$3,流水日期,"&lt;="&amp;$D$3),2))</f>
        <v>0</v>
      </c>
      <c r="D20" s="30">
        <f t="shared" si="0"/>
        <v>0</v>
      </c>
    </row>
    <row r="21" ht="16.5" spans="1:4">
      <c r="A21" s="6" t="str">
        <f>IF(参数设置!$O$23="","",参数设置!$O$23)</f>
        <v>还款</v>
      </c>
      <c r="B21" s="12" t="str">
        <f>IF($A21="","",参数设置!$P$23)</f>
        <v>支出</v>
      </c>
      <c r="C21" s="23">
        <f>IF($A21="","",ROUND(IF($B21="支出",-1,1)*SUMIFS(流水本位,流水类别,$A21,流水日期,"&gt;="&amp;$B$3,流水日期,"&lt;="&amp;$D$3),2))</f>
        <v>0</v>
      </c>
      <c r="D21" s="30">
        <f t="shared" si="0"/>
        <v>0</v>
      </c>
    </row>
    <row r="22" ht="16.5" spans="1:4">
      <c r="A22" s="6" t="str">
        <f>IF(参数设置!$O$24="","",参数设置!$O$24)</f>
        <v>资产购买</v>
      </c>
      <c r="B22" s="12" t="str">
        <f>IF($A22="","",参数设置!$P$24)</f>
        <v>支出</v>
      </c>
      <c r="C22" s="23">
        <f>IF($A22="","",ROUND(IF($B22="支出",-1,1)*SUMIFS(流水本位,流水类别,$A22,流水日期,"&gt;="&amp;$B$3,流水日期,"&lt;="&amp;$D$3),2))</f>
        <v>0</v>
      </c>
      <c r="D22" s="30">
        <f t="shared" si="0"/>
        <v>0</v>
      </c>
    </row>
    <row r="23" ht="16.5" spans="1:4">
      <c r="A23" s="6" t="str">
        <f>IF(参数设置!$O$25="","",参数设置!$O$25)</f>
        <v>股利分配</v>
      </c>
      <c r="B23" s="12" t="str">
        <f>IF($A23="","",参数设置!$P$25)</f>
        <v>支出</v>
      </c>
      <c r="C23" s="23">
        <f>IF($A23="","",ROUND(IF($B23="支出",-1,1)*SUMIFS(流水本位,流水类别,$A23,流水日期,"&gt;="&amp;$B$3,流水日期,"&lt;="&amp;$D$3),2))</f>
        <v>0</v>
      </c>
      <c r="D23" s="30">
        <f t="shared" si="0"/>
        <v>0</v>
      </c>
    </row>
    <row r="24" ht="16.5" spans="1:4">
      <c r="A24" s="6" t="str">
        <f>IF(参数设置!$O$26="","",参数设置!$O$26)</f>
        <v>内部转账</v>
      </c>
      <c r="B24" s="12" t="str">
        <f>IF($A24="","",参数设置!$P$26)</f>
        <v>内部转账</v>
      </c>
      <c r="C24" s="23">
        <f>IF($A24="","",ROUND(IF($B24="支出",-1,1)*SUMIFS(流水本位,流水类别,$A24,流水日期,"&gt;="&amp;$B$3,流水日期,"&lt;="&amp;$D$3),2))</f>
        <v>0</v>
      </c>
      <c r="D24" s="30" t="str">
        <f t="shared" si="0"/>
        <v/>
      </c>
    </row>
    <row r="25" ht="16.5" spans="1:4">
      <c r="A25" s="6" t="str">
        <f>IF(参数设置!$O$27="","",参数设置!$O$27)</f>
        <v>购汇/结汇</v>
      </c>
      <c r="B25" s="12" t="str">
        <f>IF($A25="","",参数设置!$P$27)</f>
        <v>内部转账</v>
      </c>
      <c r="C25" s="23">
        <f>IF($A25="","",ROUND(IF($B25="支出",-1,1)*SUMIFS(流水本位,流水类别,$A25,流水日期,"&gt;="&amp;$B$3,流水日期,"&lt;="&amp;$D$3),2))</f>
        <v>0</v>
      </c>
      <c r="D25" s="30" t="str">
        <f t="shared" si="0"/>
        <v/>
      </c>
    </row>
    <row r="26" ht="16.5" spans="1:4">
      <c r="A26" s="6" t="str">
        <f>IF(参数设置!$O$28="","",参数设置!$O$28)</f>
        <v/>
      </c>
      <c r="B26" s="12" t="str">
        <f>IF($A26="","",参数设置!$P$28)</f>
        <v/>
      </c>
      <c r="C26" s="23" t="str">
        <f>IF($A26="","",ROUND(IF($B26="支出",-1,1)*SUMIFS(流水本位,流水类别,$A26,流水日期,"&gt;="&amp;$B$3,流水日期,"&lt;="&amp;$D$3),2))</f>
        <v/>
      </c>
      <c r="D26" s="30" t="str">
        <f t="shared" si="0"/>
        <v/>
      </c>
    </row>
    <row r="27" ht="16.5" spans="1:4">
      <c r="A27" s="6" t="str">
        <f>IF(参数设置!$O$29="","",参数设置!$O$29)</f>
        <v/>
      </c>
      <c r="B27" s="12" t="str">
        <f>IF($A27="","",参数设置!$P$29)</f>
        <v/>
      </c>
      <c r="C27" s="23" t="str">
        <f>IF($A27="","",ROUND(IF($B27="支出",-1,1)*SUMIFS(流水本位,流水类别,$A27,流水日期,"&gt;="&amp;$B$3,流水日期,"&lt;="&amp;$D$3),2))</f>
        <v/>
      </c>
      <c r="D27" s="30" t="str">
        <f t="shared" si="0"/>
        <v/>
      </c>
    </row>
    <row r="28" ht="16.5" spans="1:4">
      <c r="A28" s="6" t="str">
        <f>IF(参数设置!$O$30="","",参数设置!$O$30)</f>
        <v/>
      </c>
      <c r="B28" s="12" t="str">
        <f>IF($A28="","",参数设置!$P$30)</f>
        <v/>
      </c>
      <c r="C28" s="23" t="str">
        <f>IF($A28="","",ROUND(IF($B28="支出",-1,1)*SUMIFS(流水本位,流水类别,$A28,流水日期,"&gt;="&amp;$B$3,流水日期,"&lt;="&amp;$D$3),2))</f>
        <v/>
      </c>
      <c r="D28" s="30" t="str">
        <f t="shared" si="0"/>
        <v/>
      </c>
    </row>
    <row r="29" ht="16.5" spans="1:4">
      <c r="A29" s="6" t="str">
        <f>IF(参数设置!$O$31="","",参数设置!$O$31)</f>
        <v/>
      </c>
      <c r="B29" s="12" t="str">
        <f>IF($A29="","",参数设置!$P$31)</f>
        <v/>
      </c>
      <c r="C29" s="23" t="str">
        <f>IF($A29="","",ROUND(IF($B29="支出",-1,1)*SUMIFS(流水本位,流水类别,$A29,流水日期,"&gt;="&amp;$B$3,流水日期,"&lt;="&amp;$D$3),2))</f>
        <v/>
      </c>
      <c r="D29" s="30" t="str">
        <f t="shared" si="0"/>
        <v/>
      </c>
    </row>
    <row r="30" ht="16.5" spans="1:4">
      <c r="A30" s="6" t="str">
        <f>IF(参数设置!$O$32="","",参数设置!$O$32)</f>
        <v/>
      </c>
      <c r="B30" s="12" t="str">
        <f>IF($A30="","",参数设置!$P$32)</f>
        <v/>
      </c>
      <c r="C30" s="23" t="str">
        <f>IF($A30="","",ROUND(IF($B30="支出",-1,1)*SUMIFS(流水本位,流水类别,$A30,流水日期,"&gt;="&amp;$B$3,流水日期,"&lt;="&amp;$D$3),2))</f>
        <v/>
      </c>
      <c r="D30" s="30" t="str">
        <f t="shared" si="0"/>
        <v/>
      </c>
    </row>
    <row r="31" ht="16.5" spans="1:4">
      <c r="A31" s="6" t="str">
        <f>IF(参数设置!$O$33="","",参数设置!$O$33)</f>
        <v/>
      </c>
      <c r="B31" s="12" t="str">
        <f>IF($A31="","",参数设置!$P$33)</f>
        <v/>
      </c>
      <c r="C31" s="23" t="str">
        <f>IF($A31="","",ROUND(IF($B31="支出",-1,1)*SUMIFS(流水本位,流水类别,$A31,流水日期,"&gt;="&amp;$B$3,流水日期,"&lt;="&amp;$D$3),2))</f>
        <v/>
      </c>
      <c r="D31" s="30" t="str">
        <f t="shared" si="0"/>
        <v/>
      </c>
    </row>
    <row r="32" ht="16.5" spans="1:4">
      <c r="A32" s="6" t="str">
        <f>IF(参数设置!$O$34="","",参数设置!$O$34)</f>
        <v/>
      </c>
      <c r="B32" s="12" t="str">
        <f>IF($A32="","",参数设置!$P$34)</f>
        <v/>
      </c>
      <c r="C32" s="23" t="str">
        <f>IF($A32="","",ROUND(IF($B32="支出",-1,1)*SUMIFS(流水本位,流水类别,$A32,流水日期,"&gt;="&amp;$B$3,流水日期,"&lt;="&amp;$D$3),2))</f>
        <v/>
      </c>
      <c r="D32" s="30" t="str">
        <f t="shared" si="0"/>
        <v/>
      </c>
    </row>
    <row r="33" ht="16.5" spans="1:5">
      <c r="A33" s="6" t="str">
        <f>IF(参数设置!$O$35="","",参数设置!$O$35)</f>
        <v/>
      </c>
      <c r="B33" s="12" t="str">
        <f>IF($A33="","",参数设置!$P$35)</f>
        <v/>
      </c>
      <c r="C33" s="23" t="str">
        <f>IF($A33="","",ROUND(IF($B33="支出",-1,1)*SUMIFS(流水本位,流水类别,$A33,流水日期,"&gt;="&amp;$B$3,流水日期,"&lt;="&amp;$D$3),2))</f>
        <v/>
      </c>
      <c r="D33" s="30" t="str">
        <f t="shared" si="0"/>
        <v/>
      </c>
    </row>
    <row r="34" ht="16.5" spans="1:5">
      <c r="A34" s="6" t="str">
        <f>IF(参数设置!$O$36="","",参数设置!$O$36)</f>
        <v/>
      </c>
      <c r="B34" s="12" t="str">
        <f>IF($A34="","",参数设置!$P$36)</f>
        <v/>
      </c>
      <c r="C34" s="23" t="str">
        <f>IF($A34="","",ROUND(IF($B34="支出",-1,1)*SUMIFS(流水本位,流水类别,$A34,流水日期,"&gt;="&amp;$B$3,流水日期,"&lt;="&amp;$D$3),2))</f>
        <v/>
      </c>
      <c r="D34" s="30" t="str">
        <f t="shared" si="0"/>
        <v/>
      </c>
    </row>
    <row r="35" ht="16.5" spans="1:5">
      <c r="A35" s="6" t="str">
        <f>IF(参数设置!$O$37="","",参数设置!$O$37)</f>
        <v/>
      </c>
      <c r="B35" s="12" t="str">
        <f>IF($A35="","",参数设置!$P$37)</f>
        <v/>
      </c>
      <c r="C35" s="23" t="str">
        <f>IF($A35="","",ROUND(IF($B35="支出",-1,1)*SUMIFS(流水本位,流水类别,$A35,流水日期,"&gt;="&amp;$B$3,流水日期,"&lt;="&amp;$D$3),2))</f>
        <v/>
      </c>
      <c r="D35" s="30" t="str">
        <f t="shared" si="0"/>
        <v/>
      </c>
    </row>
    <row r="36" ht="16.5" spans="1:5">
      <c r="A36" s="6" t="str">
        <f>IF(参数设置!$O$38="","",参数设置!$O$38)</f>
        <v/>
      </c>
      <c r="B36" s="12" t="str">
        <f>IF($A36="","",参数设置!$P$38)</f>
        <v/>
      </c>
      <c r="C36" s="23" t="str">
        <f>IF($A36="","",ROUND(IF($B36="支出",-1,1)*SUMIFS(流水本位,流水类别,$A36,流水日期,"&gt;="&amp;$B$3,流水日期,"&lt;="&amp;$D$3),2))</f>
        <v/>
      </c>
      <c r="D36" s="30" t="str">
        <f t="shared" si="0"/>
        <v/>
      </c>
    </row>
    <row r="37" ht="16.5" spans="1:5">
      <c r="A37" s="6" t="str">
        <f>IF(参数设置!$O$39="","",参数设置!$O$39)</f>
        <v/>
      </c>
      <c r="B37" s="12" t="str">
        <f>IF($A37="","",参数设置!$P$39)</f>
        <v/>
      </c>
      <c r="C37" s="23" t="str">
        <f>IF($A37="","",ROUND(IF($B37="支出",-1,1)*SUMIFS(流水本位,流水类别,$A37,流水日期,"&gt;="&amp;$B$3,流水日期,"&lt;="&amp;$D$3),2))</f>
        <v/>
      </c>
      <c r="D37" s="30" t="str">
        <f t="shared" si="0"/>
        <v/>
      </c>
    </row>
    <row r="38" ht="16.5" spans="1:5">
      <c r="A38" s="6" t="str">
        <f>IF(参数设置!$O$40="","",参数设置!$O$40)</f>
        <v/>
      </c>
      <c r="B38" s="12" t="str">
        <f>IF($A38="","",参数设置!$P$40)</f>
        <v/>
      </c>
      <c r="C38" s="23" t="str">
        <f>IF($A38="","",ROUND(IF($B38="支出",-1,1)*SUMIFS(流水本位,流水类别,$A38,流水日期,"&gt;="&amp;$B$3,流水日期,"&lt;="&amp;$D$3),2))</f>
        <v/>
      </c>
      <c r="D38" s="30" t="str">
        <f t="shared" si="0"/>
        <v/>
      </c>
    </row>
    <row r="39" ht="28.5" spans="1:5">
      <c r="A39" s="18" t="s">
        <v>344</v>
      </c>
      <c r="B39" s="31" t="s">
        <v>345</v>
      </c>
      <c r="C39" s="7">
        <f>ROUND(SUM(C9:C38),2)</f>
        <v>1056380</v>
      </c>
      <c r="D39" s="32" t="s">
        <v>265</v>
      </c>
    </row>
    <row r="41" ht="22" customHeight="1" spans="1:5">
      <c r="A41" s="29" t="s">
        <v>346</v>
      </c>
      <c r="B41" s="14"/>
      <c r="C41" s="14"/>
      <c r="D41" s="14"/>
      <c r="E41" s="15"/>
    </row>
    <row r="42" ht="30" customHeight="1" spans="1:5">
      <c r="A42" s="18" t="s">
        <v>238</v>
      </c>
      <c r="B42" s="18" t="s">
        <v>275</v>
      </c>
      <c r="C42" s="18" t="s">
        <v>276</v>
      </c>
      <c r="D42" s="18" t="s">
        <v>347</v>
      </c>
      <c r="E42" s="18" t="s">
        <v>348</v>
      </c>
    </row>
    <row r="43" ht="16.5" spans="1:5">
      <c r="A43" s="6" t="str">
        <f>IF(参数设置!$R$11="","",参数设置!$R$11)</f>
        <v>项目A</v>
      </c>
      <c r="B43" s="23">
        <f>IF($A43="","",ROUND(SUMIFS(流水本位,流水项目,$A43,流水日期,"&gt;="&amp;$B$3,流水日期,"&lt;="&amp;$D$3,流水本位,"&gt;0"),2))</f>
        <v>120000</v>
      </c>
      <c r="C43" s="23">
        <f>IF($A43="","",-ROUND(SUMIFS(流水本位,流水项目,$A43,流水日期,"&gt;="&amp;$B$3,流水日期,"&lt;="&amp;$D$3,流水本位,"&lt;0"),2))</f>
        <v>0</v>
      </c>
      <c r="D43" s="23">
        <f t="shared" ref="D43:D82" si="1">IF($A43="","",ROUND($B43-$C43,2))</f>
        <v>120000</v>
      </c>
      <c r="E43" s="30">
        <f t="shared" ref="E43:E82" si="2">IF($A43="","",IFERROR($B43/$B$5,""))</f>
        <v>0.134429682073802</v>
      </c>
    </row>
    <row r="44" ht="16.5" spans="1:5">
      <c r="A44" s="6" t="str">
        <f>IF(参数设置!$R$12="","",参数设置!$R$12)</f>
        <v>出口业务</v>
      </c>
      <c r="B44" s="23">
        <f>IF($A44="","",ROUND(SUMIFS(流水本位,流水项目,$A44,流水日期,"&gt;="&amp;$B$3,流水日期,"&lt;="&amp;$D$3,流水本位,"&gt;0"),2))</f>
        <v>287200</v>
      </c>
      <c r="C44" s="23">
        <f>IF($A44="","",-ROUND(SUMIFS(流水本位,流水项目,$A44,流水日期,"&gt;="&amp;$B$3,流水日期,"&lt;="&amp;$D$3,流水本位,"&lt;0"),2))</f>
        <v>0</v>
      </c>
      <c r="D44" s="23">
        <f t="shared" si="1"/>
        <v>287200</v>
      </c>
      <c r="E44" s="30">
        <f t="shared" si="2"/>
        <v>0.321735039096633</v>
      </c>
    </row>
    <row r="45" ht="16.5" spans="1:5">
      <c r="A45" s="6" t="str">
        <f>IF(参数设置!$R$13="","",参数设置!$R$13)</f>
        <v>进口业务</v>
      </c>
      <c r="B45" s="23">
        <f>IF($A45="","",ROUND(SUMIFS(流水本位,流水项目,$A45,流水日期,"&gt;="&amp;$B$3,流水日期,"&lt;="&amp;$D$3,流水本位,"&gt;0"),2))</f>
        <v>0</v>
      </c>
      <c r="C45" s="23">
        <f>IF($A45="","",-ROUND(SUMIFS(流水本位,流水项目,$A45,流水日期,"&gt;="&amp;$B$3,流水日期,"&lt;="&amp;$D$3,流水本位,"&lt;0"),2))</f>
        <v>61420</v>
      </c>
      <c r="D45" s="23">
        <f t="shared" si="1"/>
        <v>-61420</v>
      </c>
      <c r="E45" s="30">
        <f t="shared" si="2"/>
        <v>0</v>
      </c>
    </row>
    <row r="46" ht="16.5" spans="1:5">
      <c r="A46" s="6" t="str">
        <f>IF(参数设置!$R$14="","",参数设置!$R$14)</f>
        <v>香港业务</v>
      </c>
      <c r="B46" s="23">
        <f>IF($A46="","",ROUND(SUMIFS(流水本位,流水项目,$A46,流水日期,"&gt;="&amp;$B$3,流水日期,"&lt;="&amp;$D$3,流水本位,"&gt;0"),2))</f>
        <v>73600</v>
      </c>
      <c r="C46" s="23">
        <f>IF($A46="","",-ROUND(SUMIFS(流水本位,流水项目,$A46,流水日期,"&gt;="&amp;$B$3,流水日期,"&lt;="&amp;$D$3,流水本位,"&lt;0"),2))</f>
        <v>0</v>
      </c>
      <c r="D46" s="23">
        <f t="shared" si="1"/>
        <v>73600</v>
      </c>
      <c r="E46" s="30">
        <f t="shared" si="2"/>
        <v>0.0824502050052652</v>
      </c>
    </row>
    <row r="47" ht="16.5" spans="1:5">
      <c r="A47" s="6" t="str">
        <f>IF(参数设置!$R$15="","",参数设置!$R$15)</f>
        <v>欧洲业务</v>
      </c>
      <c r="B47" s="23">
        <f>IF($A47="","",ROUND(SUMIFS(流水本位,流水项目,$A47,流水日期,"&gt;="&amp;$B$3,流水日期,"&lt;="&amp;$D$3,流水本位,"&gt;0"),2))</f>
        <v>230700</v>
      </c>
      <c r="C47" s="23">
        <f>IF($A47="","",-ROUND(SUMIFS(流水本位,流水项目,$A47,流水日期,"&gt;="&amp;$B$3,流水日期,"&lt;="&amp;$D$3,流水本位,"&lt;0"),2))</f>
        <v>0</v>
      </c>
      <c r="D47" s="23">
        <f t="shared" si="1"/>
        <v>230700</v>
      </c>
      <c r="E47" s="30">
        <f t="shared" si="2"/>
        <v>0.258441063786884</v>
      </c>
    </row>
    <row r="48" ht="16.5" spans="1:5">
      <c r="A48" s="6" t="str">
        <f>IF(参数设置!$R$16="","",参数设置!$R$16)</f>
        <v>融资</v>
      </c>
      <c r="B48" s="23">
        <f>IF($A48="","",ROUND(SUMIFS(流水本位,流水项目,$A48,流水日期,"&gt;="&amp;$B$3,流水日期,"&lt;="&amp;$D$3,流水本位,"&gt;0"),2))</f>
        <v>146160</v>
      </c>
      <c r="C48" s="23">
        <f>IF($A48="","",-ROUND(SUMIFS(流水本位,流水项目,$A48,流水日期,"&gt;="&amp;$B$3,流水日期,"&lt;="&amp;$D$3,流水本位,"&lt;0"),2))</f>
        <v>0</v>
      </c>
      <c r="D48" s="23">
        <f t="shared" si="1"/>
        <v>146160</v>
      </c>
      <c r="E48" s="30">
        <f t="shared" si="2"/>
        <v>0.163735352765891</v>
      </c>
    </row>
    <row r="49" ht="16.5" spans="1:5">
      <c r="A49" s="6" t="str">
        <f>IF(参数设置!$R$17="","",参数设置!$R$17)</f>
        <v>行政</v>
      </c>
      <c r="B49" s="23">
        <f>IF($A49="","",ROUND(SUMIFS(流水本位,流水项目,$A49,流水日期,"&gt;="&amp;$B$3,流水日期,"&lt;="&amp;$D$3,流水本位,"&gt;0"),2))</f>
        <v>0</v>
      </c>
      <c r="C49" s="23">
        <f>IF($A49="","",-ROUND(SUMIFS(流水本位,流水项目,$A49,流水日期,"&gt;="&amp;$B$3,流水日期,"&lt;="&amp;$D$3,流水本位,"&lt;0"),2))</f>
        <v>48400</v>
      </c>
      <c r="D49" s="23">
        <f t="shared" si="1"/>
        <v>-48400</v>
      </c>
      <c r="E49" s="30">
        <f t="shared" si="2"/>
        <v>0</v>
      </c>
    </row>
    <row r="50" ht="16.5" spans="1:5">
      <c r="A50" s="6" t="str">
        <f>IF(参数设置!$R$18="","",参数设置!$R$18)</f>
        <v>税务</v>
      </c>
      <c r="B50" s="23">
        <f>IF($A50="","",ROUND(SUMIFS(流水本位,流水项目,$A50,流水日期,"&gt;="&amp;$B$3,流水日期,"&lt;="&amp;$D$3,流水本位,"&gt;0"),2))</f>
        <v>0</v>
      </c>
      <c r="C50" s="23">
        <f>IF($A50="","",-ROUND(SUMIFS(流水本位,流水项目,$A50,流水日期,"&gt;="&amp;$B$3,流水日期,"&lt;="&amp;$D$3,流水本位,"&lt;0"),2))</f>
        <v>18000</v>
      </c>
      <c r="D50" s="23">
        <f t="shared" si="1"/>
        <v>-18000</v>
      </c>
      <c r="E50" s="30">
        <f t="shared" si="2"/>
        <v>0</v>
      </c>
    </row>
    <row r="51" ht="16.5" spans="1:5">
      <c r="A51" s="6" t="str">
        <f>IF(参数设置!$R$19="","",参数设置!$R$19)</f>
        <v>海外服务</v>
      </c>
      <c r="B51" s="23">
        <f>IF($A51="","",ROUND(SUMIFS(流水本位,流水项目,$A51,流水日期,"&gt;="&amp;$B$3,流水日期,"&lt;="&amp;$D$3,流水本位,"&gt;0"),2))</f>
        <v>0</v>
      </c>
      <c r="C51" s="23">
        <f>IF($A51="","",-ROUND(SUMIFS(流水本位,流水项目,$A51,流水日期,"&gt;="&amp;$B$3,流水日期,"&lt;="&amp;$D$3,流水本位,"&lt;0"),2))</f>
        <v>35900</v>
      </c>
      <c r="D51" s="23">
        <f t="shared" si="1"/>
        <v>-35900</v>
      </c>
      <c r="E51" s="30">
        <f t="shared" si="2"/>
        <v>0</v>
      </c>
    </row>
    <row r="52" ht="16.5" spans="1:5">
      <c r="A52" s="6" t="str">
        <f>IF(参数设置!$R$20="","",参数设置!$R$20)</f>
        <v>内部调拨</v>
      </c>
      <c r="B52" s="23">
        <f>IF($A52="","",ROUND(SUMIFS(流水本位,流水项目,$A52,流水日期,"&gt;="&amp;$B$3,流水日期,"&lt;="&amp;$D$3,流水本位,"&gt;0"),2))</f>
        <v>193400</v>
      </c>
      <c r="C52" s="23">
        <f>IF($A52="","",-ROUND(SUMIFS(流水本位,流水项目,$A52,流水日期,"&gt;="&amp;$B$3,流水日期,"&lt;="&amp;$D$3,流水本位,"&lt;0"),2))</f>
        <v>193400</v>
      </c>
      <c r="D52" s="23">
        <f t="shared" si="1"/>
        <v>0</v>
      </c>
      <c r="E52" s="30">
        <f t="shared" si="2"/>
        <v>0.216655837608944</v>
      </c>
    </row>
    <row r="53" ht="16.5" spans="1:5">
      <c r="A53" s="6" t="str">
        <f>IF(参数设置!$R$21="","",参数设置!$R$21)</f>
        <v>其他业务</v>
      </c>
      <c r="B53" s="23">
        <f>IF($A53="","",ROUND(SUMIFS(流水本位,流水项目,$A53,流水日期,"&gt;="&amp;$B$3,流水日期,"&lt;="&amp;$D$3,流水本位,"&gt;0"),2))</f>
        <v>35000</v>
      </c>
      <c r="C53" s="23">
        <f>IF($A53="","",-ROUND(SUMIFS(流水本位,流水项目,$A53,流水日期,"&gt;="&amp;$B$3,流水日期,"&lt;="&amp;$D$3,流水本位,"&lt;0"),2))</f>
        <v>0</v>
      </c>
      <c r="D53" s="23">
        <f t="shared" si="1"/>
        <v>35000</v>
      </c>
      <c r="E53" s="30">
        <f t="shared" si="2"/>
        <v>0.0392086572715256</v>
      </c>
    </row>
    <row r="54" ht="16.5" spans="1:5">
      <c r="A54" s="6" t="str">
        <f>IF(参数设置!$R$22="","",参数设置!$R$22)</f>
        <v/>
      </c>
      <c r="B54" s="23" t="str">
        <f>IF($A54="","",ROUND(SUMIFS(流水本位,流水项目,$A54,流水日期,"&gt;="&amp;$B$3,流水日期,"&lt;="&amp;$D$3,流水本位,"&gt;0"),2))</f>
        <v/>
      </c>
      <c r="C54" s="23" t="str">
        <f>IF($A54="","",-ROUND(SUMIFS(流水本位,流水项目,$A54,流水日期,"&gt;="&amp;$B$3,流水日期,"&lt;="&amp;$D$3,流水本位,"&lt;0"),2))</f>
        <v/>
      </c>
      <c r="D54" s="23" t="str">
        <f t="shared" si="1"/>
        <v/>
      </c>
      <c r="E54" s="30" t="str">
        <f t="shared" si="2"/>
        <v/>
      </c>
    </row>
    <row r="55" ht="16.5" spans="1:5">
      <c r="A55" s="6" t="str">
        <f>IF(参数设置!$R$23="","",参数设置!$R$23)</f>
        <v/>
      </c>
      <c r="B55" s="23" t="str">
        <f>IF($A55="","",ROUND(SUMIFS(流水本位,流水项目,$A55,流水日期,"&gt;="&amp;$B$3,流水日期,"&lt;="&amp;$D$3,流水本位,"&gt;0"),2))</f>
        <v/>
      </c>
      <c r="C55" s="23" t="str">
        <f>IF($A55="","",-ROUND(SUMIFS(流水本位,流水项目,$A55,流水日期,"&gt;="&amp;$B$3,流水日期,"&lt;="&amp;$D$3,流水本位,"&lt;0"),2))</f>
        <v/>
      </c>
      <c r="D55" s="23" t="str">
        <f t="shared" si="1"/>
        <v/>
      </c>
      <c r="E55" s="30" t="str">
        <f t="shared" si="2"/>
        <v/>
      </c>
    </row>
    <row r="56" ht="16.5" spans="1:5">
      <c r="A56" s="6" t="str">
        <f>IF(参数设置!$R$24="","",参数设置!$R$24)</f>
        <v/>
      </c>
      <c r="B56" s="23" t="str">
        <f>IF($A56="","",ROUND(SUMIFS(流水本位,流水项目,$A56,流水日期,"&gt;="&amp;$B$3,流水日期,"&lt;="&amp;$D$3,流水本位,"&gt;0"),2))</f>
        <v/>
      </c>
      <c r="C56" s="23" t="str">
        <f>IF($A56="","",-ROUND(SUMIFS(流水本位,流水项目,$A56,流水日期,"&gt;="&amp;$B$3,流水日期,"&lt;="&amp;$D$3,流水本位,"&lt;0"),2))</f>
        <v/>
      </c>
      <c r="D56" s="23" t="str">
        <f t="shared" si="1"/>
        <v/>
      </c>
      <c r="E56" s="30" t="str">
        <f t="shared" si="2"/>
        <v/>
      </c>
    </row>
    <row r="57" ht="16.5" spans="1:5">
      <c r="A57" s="6" t="str">
        <f>IF(参数设置!$R$25="","",参数设置!$R$25)</f>
        <v/>
      </c>
      <c r="B57" s="23" t="str">
        <f>IF($A57="","",ROUND(SUMIFS(流水本位,流水项目,$A57,流水日期,"&gt;="&amp;$B$3,流水日期,"&lt;="&amp;$D$3,流水本位,"&gt;0"),2))</f>
        <v/>
      </c>
      <c r="C57" s="23" t="str">
        <f>IF($A57="","",-ROUND(SUMIFS(流水本位,流水项目,$A57,流水日期,"&gt;="&amp;$B$3,流水日期,"&lt;="&amp;$D$3,流水本位,"&lt;0"),2))</f>
        <v/>
      </c>
      <c r="D57" s="23" t="str">
        <f t="shared" si="1"/>
        <v/>
      </c>
      <c r="E57" s="30" t="str">
        <f t="shared" si="2"/>
        <v/>
      </c>
    </row>
    <row r="58" ht="16.5" spans="1:5">
      <c r="A58" s="6" t="str">
        <f>IF(参数设置!$R$26="","",参数设置!$R$26)</f>
        <v/>
      </c>
      <c r="B58" s="23" t="str">
        <f>IF($A58="","",ROUND(SUMIFS(流水本位,流水项目,$A58,流水日期,"&gt;="&amp;$B$3,流水日期,"&lt;="&amp;$D$3,流水本位,"&gt;0"),2))</f>
        <v/>
      </c>
      <c r="C58" s="23" t="str">
        <f>IF($A58="","",-ROUND(SUMIFS(流水本位,流水项目,$A58,流水日期,"&gt;="&amp;$B$3,流水日期,"&lt;="&amp;$D$3,流水本位,"&lt;0"),2))</f>
        <v/>
      </c>
      <c r="D58" s="23" t="str">
        <f t="shared" si="1"/>
        <v/>
      </c>
      <c r="E58" s="30" t="str">
        <f t="shared" si="2"/>
        <v/>
      </c>
    </row>
    <row r="59" ht="16.5" spans="1:5">
      <c r="A59" s="6" t="str">
        <f>IF(参数设置!$R$27="","",参数设置!$R$27)</f>
        <v/>
      </c>
      <c r="B59" s="23" t="str">
        <f>IF($A59="","",ROUND(SUMIFS(流水本位,流水项目,$A59,流水日期,"&gt;="&amp;$B$3,流水日期,"&lt;="&amp;$D$3,流水本位,"&gt;0"),2))</f>
        <v/>
      </c>
      <c r="C59" s="23" t="str">
        <f>IF($A59="","",-ROUND(SUMIFS(流水本位,流水项目,$A59,流水日期,"&gt;="&amp;$B$3,流水日期,"&lt;="&amp;$D$3,流水本位,"&lt;0"),2))</f>
        <v/>
      </c>
      <c r="D59" s="23" t="str">
        <f t="shared" si="1"/>
        <v/>
      </c>
      <c r="E59" s="30" t="str">
        <f t="shared" si="2"/>
        <v/>
      </c>
    </row>
    <row r="60" ht="16.5" spans="1:5">
      <c r="A60" s="6" t="str">
        <f>IF(参数设置!$R$28="","",参数设置!$R$28)</f>
        <v/>
      </c>
      <c r="B60" s="23" t="str">
        <f>IF($A60="","",ROUND(SUMIFS(流水本位,流水项目,$A60,流水日期,"&gt;="&amp;$B$3,流水日期,"&lt;="&amp;$D$3,流水本位,"&gt;0"),2))</f>
        <v/>
      </c>
      <c r="C60" s="23" t="str">
        <f>IF($A60="","",-ROUND(SUMIFS(流水本位,流水项目,$A60,流水日期,"&gt;="&amp;$B$3,流水日期,"&lt;="&amp;$D$3,流水本位,"&lt;0"),2))</f>
        <v/>
      </c>
      <c r="D60" s="23" t="str">
        <f t="shared" si="1"/>
        <v/>
      </c>
      <c r="E60" s="30" t="str">
        <f t="shared" si="2"/>
        <v/>
      </c>
    </row>
    <row r="61" ht="16.5" spans="1:5">
      <c r="A61" s="6" t="str">
        <f>IF(参数设置!$R$29="","",参数设置!$R$29)</f>
        <v/>
      </c>
      <c r="B61" s="23" t="str">
        <f>IF($A61="","",ROUND(SUMIFS(流水本位,流水项目,$A61,流水日期,"&gt;="&amp;$B$3,流水日期,"&lt;="&amp;$D$3,流水本位,"&gt;0"),2))</f>
        <v/>
      </c>
      <c r="C61" s="23" t="str">
        <f>IF($A61="","",-ROUND(SUMIFS(流水本位,流水项目,$A61,流水日期,"&gt;="&amp;$B$3,流水日期,"&lt;="&amp;$D$3,流水本位,"&lt;0"),2))</f>
        <v/>
      </c>
      <c r="D61" s="23" t="str">
        <f t="shared" si="1"/>
        <v/>
      </c>
      <c r="E61" s="30" t="str">
        <f t="shared" si="2"/>
        <v/>
      </c>
    </row>
    <row r="62" ht="16.5" spans="1:5">
      <c r="A62" s="6" t="str">
        <f>IF(参数设置!$R$30="","",参数设置!$R$30)</f>
        <v/>
      </c>
      <c r="B62" s="23" t="str">
        <f>IF($A62="","",ROUND(SUMIFS(流水本位,流水项目,$A62,流水日期,"&gt;="&amp;$B$3,流水日期,"&lt;="&amp;$D$3,流水本位,"&gt;0"),2))</f>
        <v/>
      </c>
      <c r="C62" s="23" t="str">
        <f>IF($A62="","",-ROUND(SUMIFS(流水本位,流水项目,$A62,流水日期,"&gt;="&amp;$B$3,流水日期,"&lt;="&amp;$D$3,流水本位,"&lt;0"),2))</f>
        <v/>
      </c>
      <c r="D62" s="23" t="str">
        <f t="shared" si="1"/>
        <v/>
      </c>
      <c r="E62" s="30" t="str">
        <f t="shared" si="2"/>
        <v/>
      </c>
    </row>
    <row r="63" ht="16.5" spans="1:5">
      <c r="A63" s="6" t="str">
        <f>IF(参数设置!$R$31="","",参数设置!$R$31)</f>
        <v/>
      </c>
      <c r="B63" s="23" t="str">
        <f>IF($A63="","",ROUND(SUMIFS(流水本位,流水项目,$A63,流水日期,"&gt;="&amp;$B$3,流水日期,"&lt;="&amp;$D$3,流水本位,"&gt;0"),2))</f>
        <v/>
      </c>
      <c r="C63" s="23" t="str">
        <f>IF($A63="","",-ROUND(SUMIFS(流水本位,流水项目,$A63,流水日期,"&gt;="&amp;$B$3,流水日期,"&lt;="&amp;$D$3,流水本位,"&lt;0"),2))</f>
        <v/>
      </c>
      <c r="D63" s="23" t="str">
        <f t="shared" si="1"/>
        <v/>
      </c>
      <c r="E63" s="30" t="str">
        <f t="shared" si="2"/>
        <v/>
      </c>
    </row>
    <row r="64" ht="16.5" spans="1:5">
      <c r="A64" s="6" t="str">
        <f>IF(参数设置!$R$32="","",参数设置!$R$32)</f>
        <v/>
      </c>
      <c r="B64" s="23" t="str">
        <f>IF($A64="","",ROUND(SUMIFS(流水本位,流水项目,$A64,流水日期,"&gt;="&amp;$B$3,流水日期,"&lt;="&amp;$D$3,流水本位,"&gt;0"),2))</f>
        <v/>
      </c>
      <c r="C64" s="23" t="str">
        <f>IF($A64="","",-ROUND(SUMIFS(流水本位,流水项目,$A64,流水日期,"&gt;="&amp;$B$3,流水日期,"&lt;="&amp;$D$3,流水本位,"&lt;0"),2))</f>
        <v/>
      </c>
      <c r="D64" s="23" t="str">
        <f t="shared" si="1"/>
        <v/>
      </c>
      <c r="E64" s="30" t="str">
        <f t="shared" si="2"/>
        <v/>
      </c>
    </row>
    <row r="65" ht="16.5" spans="1:5">
      <c r="A65" s="6" t="str">
        <f>IF(参数设置!$R$33="","",参数设置!$R$33)</f>
        <v/>
      </c>
      <c r="B65" s="23" t="str">
        <f>IF($A65="","",ROUND(SUMIFS(流水本位,流水项目,$A65,流水日期,"&gt;="&amp;$B$3,流水日期,"&lt;="&amp;$D$3,流水本位,"&gt;0"),2))</f>
        <v/>
      </c>
      <c r="C65" s="23" t="str">
        <f>IF($A65="","",-ROUND(SUMIFS(流水本位,流水项目,$A65,流水日期,"&gt;="&amp;$B$3,流水日期,"&lt;="&amp;$D$3,流水本位,"&lt;0"),2))</f>
        <v/>
      </c>
      <c r="D65" s="23" t="str">
        <f t="shared" si="1"/>
        <v/>
      </c>
      <c r="E65" s="30" t="str">
        <f t="shared" si="2"/>
        <v/>
      </c>
    </row>
    <row r="66" ht="16.5" spans="1:5">
      <c r="A66" s="6" t="str">
        <f>IF(参数设置!$R$34="","",参数设置!$R$34)</f>
        <v/>
      </c>
      <c r="B66" s="23" t="str">
        <f>IF($A66="","",ROUND(SUMIFS(流水本位,流水项目,$A66,流水日期,"&gt;="&amp;$B$3,流水日期,"&lt;="&amp;$D$3,流水本位,"&gt;0"),2))</f>
        <v/>
      </c>
      <c r="C66" s="23" t="str">
        <f>IF($A66="","",-ROUND(SUMIFS(流水本位,流水项目,$A66,流水日期,"&gt;="&amp;$B$3,流水日期,"&lt;="&amp;$D$3,流水本位,"&lt;0"),2))</f>
        <v/>
      </c>
      <c r="D66" s="23" t="str">
        <f t="shared" si="1"/>
        <v/>
      </c>
      <c r="E66" s="30" t="str">
        <f t="shared" si="2"/>
        <v/>
      </c>
    </row>
    <row r="67" ht="16.5" spans="1:5">
      <c r="A67" s="6" t="str">
        <f>IF(参数设置!$R$35="","",参数设置!$R$35)</f>
        <v/>
      </c>
      <c r="B67" s="23" t="str">
        <f>IF($A67="","",ROUND(SUMIFS(流水本位,流水项目,$A67,流水日期,"&gt;="&amp;$B$3,流水日期,"&lt;="&amp;$D$3,流水本位,"&gt;0"),2))</f>
        <v/>
      </c>
      <c r="C67" s="23" t="str">
        <f>IF($A67="","",-ROUND(SUMIFS(流水本位,流水项目,$A67,流水日期,"&gt;="&amp;$B$3,流水日期,"&lt;="&amp;$D$3,流水本位,"&lt;0"),2))</f>
        <v/>
      </c>
      <c r="D67" s="23" t="str">
        <f t="shared" si="1"/>
        <v/>
      </c>
      <c r="E67" s="30" t="str">
        <f t="shared" si="2"/>
        <v/>
      </c>
    </row>
    <row r="68" ht="16.5" spans="1:5">
      <c r="A68" s="6" t="str">
        <f>IF(参数设置!$R$36="","",参数设置!$R$36)</f>
        <v/>
      </c>
      <c r="B68" s="23" t="str">
        <f>IF($A68="","",ROUND(SUMIFS(流水本位,流水项目,$A68,流水日期,"&gt;="&amp;$B$3,流水日期,"&lt;="&amp;$D$3,流水本位,"&gt;0"),2))</f>
        <v/>
      </c>
      <c r="C68" s="23" t="str">
        <f>IF($A68="","",-ROUND(SUMIFS(流水本位,流水项目,$A68,流水日期,"&gt;="&amp;$B$3,流水日期,"&lt;="&amp;$D$3,流水本位,"&lt;0"),2))</f>
        <v/>
      </c>
      <c r="D68" s="23" t="str">
        <f t="shared" si="1"/>
        <v/>
      </c>
      <c r="E68" s="30" t="str">
        <f t="shared" si="2"/>
        <v/>
      </c>
    </row>
    <row r="69" ht="16.5" spans="1:5">
      <c r="A69" s="6" t="str">
        <f>IF(参数设置!$R$37="","",参数设置!$R$37)</f>
        <v/>
      </c>
      <c r="B69" s="23" t="str">
        <f>IF($A69="","",ROUND(SUMIFS(流水本位,流水项目,$A69,流水日期,"&gt;="&amp;$B$3,流水日期,"&lt;="&amp;$D$3,流水本位,"&gt;0"),2))</f>
        <v/>
      </c>
      <c r="C69" s="23" t="str">
        <f>IF($A69="","",-ROUND(SUMIFS(流水本位,流水项目,$A69,流水日期,"&gt;="&amp;$B$3,流水日期,"&lt;="&amp;$D$3,流水本位,"&lt;0"),2))</f>
        <v/>
      </c>
      <c r="D69" s="23" t="str">
        <f t="shared" si="1"/>
        <v/>
      </c>
      <c r="E69" s="30" t="str">
        <f t="shared" si="2"/>
        <v/>
      </c>
    </row>
    <row r="70" ht="16.5" spans="1:5">
      <c r="A70" s="6" t="str">
        <f>IF(参数设置!$R$38="","",参数设置!$R$38)</f>
        <v/>
      </c>
      <c r="B70" s="23" t="str">
        <f>IF($A70="","",ROUND(SUMIFS(流水本位,流水项目,$A70,流水日期,"&gt;="&amp;$B$3,流水日期,"&lt;="&amp;$D$3,流水本位,"&gt;0"),2))</f>
        <v/>
      </c>
      <c r="C70" s="23" t="str">
        <f>IF($A70="","",-ROUND(SUMIFS(流水本位,流水项目,$A70,流水日期,"&gt;="&amp;$B$3,流水日期,"&lt;="&amp;$D$3,流水本位,"&lt;0"),2))</f>
        <v/>
      </c>
      <c r="D70" s="23" t="str">
        <f t="shared" si="1"/>
        <v/>
      </c>
      <c r="E70" s="30" t="str">
        <f t="shared" si="2"/>
        <v/>
      </c>
    </row>
    <row r="71" ht="16.5" spans="1:5">
      <c r="A71" s="6" t="str">
        <f>IF(参数设置!$R$39="","",参数设置!$R$39)</f>
        <v/>
      </c>
      <c r="B71" s="23" t="str">
        <f>IF($A71="","",ROUND(SUMIFS(流水本位,流水项目,$A71,流水日期,"&gt;="&amp;$B$3,流水日期,"&lt;="&amp;$D$3,流水本位,"&gt;0"),2))</f>
        <v/>
      </c>
      <c r="C71" s="23" t="str">
        <f>IF($A71="","",-ROUND(SUMIFS(流水本位,流水项目,$A71,流水日期,"&gt;="&amp;$B$3,流水日期,"&lt;="&amp;$D$3,流水本位,"&lt;0"),2))</f>
        <v/>
      </c>
      <c r="D71" s="23" t="str">
        <f t="shared" si="1"/>
        <v/>
      </c>
      <c r="E71" s="30" t="str">
        <f t="shared" si="2"/>
        <v/>
      </c>
    </row>
    <row r="72" ht="16.5" spans="1:5">
      <c r="A72" s="6" t="str">
        <f>IF(参数设置!$R$40="","",参数设置!$R$40)</f>
        <v/>
      </c>
      <c r="B72" s="23" t="str">
        <f>IF($A72="","",ROUND(SUMIFS(流水本位,流水项目,$A72,流水日期,"&gt;="&amp;$B$3,流水日期,"&lt;="&amp;$D$3,流水本位,"&gt;0"),2))</f>
        <v/>
      </c>
      <c r="C72" s="23" t="str">
        <f>IF($A72="","",-ROUND(SUMIFS(流水本位,流水项目,$A72,流水日期,"&gt;="&amp;$B$3,流水日期,"&lt;="&amp;$D$3,流水本位,"&lt;0"),2))</f>
        <v/>
      </c>
      <c r="D72" s="23" t="str">
        <f t="shared" si="1"/>
        <v/>
      </c>
      <c r="E72" s="30" t="str">
        <f t="shared" si="2"/>
        <v/>
      </c>
    </row>
    <row r="73" ht="16.5" spans="1:5">
      <c r="A73" s="6" t="str">
        <f>IF(参数设置!$R$41="","",参数设置!$R$41)</f>
        <v/>
      </c>
      <c r="B73" s="23" t="str">
        <f>IF($A73="","",ROUND(SUMIFS(流水本位,流水项目,$A73,流水日期,"&gt;="&amp;$B$3,流水日期,"&lt;="&amp;$D$3,流水本位,"&gt;0"),2))</f>
        <v/>
      </c>
      <c r="C73" s="23" t="str">
        <f>IF($A73="","",-ROUND(SUMIFS(流水本位,流水项目,$A73,流水日期,"&gt;="&amp;$B$3,流水日期,"&lt;="&amp;$D$3,流水本位,"&lt;0"),2))</f>
        <v/>
      </c>
      <c r="D73" s="23" t="str">
        <f t="shared" si="1"/>
        <v/>
      </c>
      <c r="E73" s="30" t="str">
        <f t="shared" si="2"/>
        <v/>
      </c>
    </row>
    <row r="74" ht="16.5" spans="1:5">
      <c r="A74" s="6" t="str">
        <f>IF(参数设置!$R$42="","",参数设置!$R$42)</f>
        <v/>
      </c>
      <c r="B74" s="23" t="str">
        <f>IF($A74="","",ROUND(SUMIFS(流水本位,流水项目,$A74,流水日期,"&gt;="&amp;$B$3,流水日期,"&lt;="&amp;$D$3,流水本位,"&gt;0"),2))</f>
        <v/>
      </c>
      <c r="C74" s="23" t="str">
        <f>IF($A74="","",-ROUND(SUMIFS(流水本位,流水项目,$A74,流水日期,"&gt;="&amp;$B$3,流水日期,"&lt;="&amp;$D$3,流水本位,"&lt;0"),2))</f>
        <v/>
      </c>
      <c r="D74" s="23" t="str">
        <f t="shared" si="1"/>
        <v/>
      </c>
      <c r="E74" s="30" t="str">
        <f t="shared" si="2"/>
        <v/>
      </c>
    </row>
    <row r="75" ht="16.5" spans="1:5">
      <c r="A75" s="6" t="str">
        <f>IF(参数设置!$R$43="","",参数设置!$R$43)</f>
        <v/>
      </c>
      <c r="B75" s="23" t="str">
        <f>IF($A75="","",ROUND(SUMIFS(流水本位,流水项目,$A75,流水日期,"&gt;="&amp;$B$3,流水日期,"&lt;="&amp;$D$3,流水本位,"&gt;0"),2))</f>
        <v/>
      </c>
      <c r="C75" s="23" t="str">
        <f>IF($A75="","",-ROUND(SUMIFS(流水本位,流水项目,$A75,流水日期,"&gt;="&amp;$B$3,流水日期,"&lt;="&amp;$D$3,流水本位,"&lt;0"),2))</f>
        <v/>
      </c>
      <c r="D75" s="23" t="str">
        <f t="shared" si="1"/>
        <v/>
      </c>
      <c r="E75" s="30" t="str">
        <f t="shared" si="2"/>
        <v/>
      </c>
    </row>
    <row r="76" ht="16.5" spans="1:5">
      <c r="A76" s="6" t="str">
        <f>IF(参数设置!$R$44="","",参数设置!$R$44)</f>
        <v/>
      </c>
      <c r="B76" s="23" t="str">
        <f>IF($A76="","",ROUND(SUMIFS(流水本位,流水项目,$A76,流水日期,"&gt;="&amp;$B$3,流水日期,"&lt;="&amp;$D$3,流水本位,"&gt;0"),2))</f>
        <v/>
      </c>
      <c r="C76" s="23" t="str">
        <f>IF($A76="","",-ROUND(SUMIFS(流水本位,流水项目,$A76,流水日期,"&gt;="&amp;$B$3,流水日期,"&lt;="&amp;$D$3,流水本位,"&lt;0"),2))</f>
        <v/>
      </c>
      <c r="D76" s="23" t="str">
        <f t="shared" si="1"/>
        <v/>
      </c>
      <c r="E76" s="30" t="str">
        <f t="shared" si="2"/>
        <v/>
      </c>
    </row>
    <row r="77" ht="16.5" spans="1:5">
      <c r="A77" s="6" t="str">
        <f>IF(参数设置!$R$45="","",参数设置!$R$45)</f>
        <v/>
      </c>
      <c r="B77" s="23" t="str">
        <f>IF($A77="","",ROUND(SUMIFS(流水本位,流水项目,$A77,流水日期,"&gt;="&amp;$B$3,流水日期,"&lt;="&amp;$D$3,流水本位,"&gt;0"),2))</f>
        <v/>
      </c>
      <c r="C77" s="23" t="str">
        <f>IF($A77="","",-ROUND(SUMIFS(流水本位,流水项目,$A77,流水日期,"&gt;="&amp;$B$3,流水日期,"&lt;="&amp;$D$3,流水本位,"&lt;0"),2))</f>
        <v/>
      </c>
      <c r="D77" s="23" t="str">
        <f t="shared" si="1"/>
        <v/>
      </c>
      <c r="E77" s="30" t="str">
        <f t="shared" si="2"/>
        <v/>
      </c>
    </row>
    <row r="78" ht="16.5" spans="1:5">
      <c r="A78" s="6" t="str">
        <f>IF(参数设置!$R$46="","",参数设置!$R$46)</f>
        <v/>
      </c>
      <c r="B78" s="23" t="str">
        <f>IF($A78="","",ROUND(SUMIFS(流水本位,流水项目,$A78,流水日期,"&gt;="&amp;$B$3,流水日期,"&lt;="&amp;$D$3,流水本位,"&gt;0"),2))</f>
        <v/>
      </c>
      <c r="C78" s="23" t="str">
        <f>IF($A78="","",-ROUND(SUMIFS(流水本位,流水项目,$A78,流水日期,"&gt;="&amp;$B$3,流水日期,"&lt;="&amp;$D$3,流水本位,"&lt;0"),2))</f>
        <v/>
      </c>
      <c r="D78" s="23" t="str">
        <f t="shared" si="1"/>
        <v/>
      </c>
      <c r="E78" s="30" t="str">
        <f t="shared" si="2"/>
        <v/>
      </c>
    </row>
    <row r="79" ht="16.5" spans="1:5">
      <c r="A79" s="6" t="str">
        <f>IF(参数设置!$R$47="","",参数设置!$R$47)</f>
        <v/>
      </c>
      <c r="B79" s="23" t="str">
        <f>IF($A79="","",ROUND(SUMIFS(流水本位,流水项目,$A79,流水日期,"&gt;="&amp;$B$3,流水日期,"&lt;="&amp;$D$3,流水本位,"&gt;0"),2))</f>
        <v/>
      </c>
      <c r="C79" s="23" t="str">
        <f>IF($A79="","",-ROUND(SUMIFS(流水本位,流水项目,$A79,流水日期,"&gt;="&amp;$B$3,流水日期,"&lt;="&amp;$D$3,流水本位,"&lt;0"),2))</f>
        <v/>
      </c>
      <c r="D79" s="23" t="str">
        <f t="shared" si="1"/>
        <v/>
      </c>
      <c r="E79" s="30" t="str">
        <f t="shared" si="2"/>
        <v/>
      </c>
    </row>
    <row r="80" ht="16.5" spans="1:5">
      <c r="A80" s="6" t="str">
        <f>IF(参数设置!$R$48="","",参数设置!$R$48)</f>
        <v/>
      </c>
      <c r="B80" s="23" t="str">
        <f>IF($A80="","",ROUND(SUMIFS(流水本位,流水项目,$A80,流水日期,"&gt;="&amp;$B$3,流水日期,"&lt;="&amp;$D$3,流水本位,"&gt;0"),2))</f>
        <v/>
      </c>
      <c r="C80" s="23" t="str">
        <f>IF($A80="","",-ROUND(SUMIFS(流水本位,流水项目,$A80,流水日期,"&gt;="&amp;$B$3,流水日期,"&lt;="&amp;$D$3,流水本位,"&lt;0"),2))</f>
        <v/>
      </c>
      <c r="D80" s="23" t="str">
        <f t="shared" si="1"/>
        <v/>
      </c>
      <c r="E80" s="30" t="str">
        <f t="shared" si="2"/>
        <v/>
      </c>
    </row>
    <row r="81" ht="16.5" spans="1:5">
      <c r="A81" s="6" t="str">
        <f>IF(参数设置!$R$49="","",参数设置!$R$49)</f>
        <v/>
      </c>
      <c r="B81" s="23" t="str">
        <f>IF($A81="","",ROUND(SUMIFS(流水本位,流水项目,$A81,流水日期,"&gt;="&amp;$B$3,流水日期,"&lt;="&amp;$D$3,流水本位,"&gt;0"),2))</f>
        <v/>
      </c>
      <c r="C81" s="23" t="str">
        <f>IF($A81="","",-ROUND(SUMIFS(流水本位,流水项目,$A81,流水日期,"&gt;="&amp;$B$3,流水日期,"&lt;="&amp;$D$3,流水本位,"&lt;0"),2))</f>
        <v/>
      </c>
      <c r="D81" s="23" t="str">
        <f t="shared" si="1"/>
        <v/>
      </c>
      <c r="E81" s="30" t="str">
        <f t="shared" si="2"/>
        <v/>
      </c>
    </row>
    <row r="82" ht="16.5" spans="1:5">
      <c r="A82" s="6" t="str">
        <f>IF(参数设置!$R$50="","",参数设置!$R$50)</f>
        <v/>
      </c>
      <c r="B82" s="23" t="str">
        <f>IF($A82="","",ROUND(SUMIFS(流水本位,流水项目,$A82,流水日期,"&gt;="&amp;$B$3,流水日期,"&lt;="&amp;$D$3,流水本位,"&gt;0"),2))</f>
        <v/>
      </c>
      <c r="C82" s="23" t="str">
        <f>IF($A82="","",-ROUND(SUMIFS(流水本位,流水项目,$A82,流水日期,"&gt;="&amp;$B$3,流水日期,"&lt;="&amp;$D$3,流水本位,"&lt;0"),2))</f>
        <v/>
      </c>
      <c r="D82" s="23" t="str">
        <f t="shared" si="1"/>
        <v/>
      </c>
      <c r="E82" s="30" t="str">
        <f t="shared" si="2"/>
        <v/>
      </c>
    </row>
    <row r="83" ht="16.5" spans="1:5">
      <c r="A83" s="18" t="s">
        <v>344</v>
      </c>
      <c r="B83" s="7">
        <f>ROUND(SUM(B43:B82),2)</f>
        <v>1086060</v>
      </c>
      <c r="C83" s="7">
        <f>ROUND(SUM(C43:C82),2)</f>
        <v>357120</v>
      </c>
      <c r="D83" s="7">
        <f>ROUND(SUM(D43:D82),2)</f>
        <v>728940</v>
      </c>
      <c r="E83" s="32" t="s">
        <v>265</v>
      </c>
    </row>
    <row r="85" ht="22" customHeight="1" spans="1:5">
      <c r="A85" s="29" t="s">
        <v>349</v>
      </c>
      <c r="B85" s="14"/>
      <c r="C85" s="14"/>
      <c r="D85" s="14"/>
      <c r="E85" s="15"/>
    </row>
    <row r="86" ht="30" customHeight="1" spans="1:5">
      <c r="A86" s="18" t="s">
        <v>226</v>
      </c>
      <c r="B86" s="18" t="s">
        <v>275</v>
      </c>
      <c r="C86" s="18" t="s">
        <v>276</v>
      </c>
      <c r="D86" s="18" t="s">
        <v>347</v>
      </c>
      <c r="E86" s="18" t="s">
        <v>350</v>
      </c>
    </row>
    <row r="87" ht="16.5" spans="1:5">
      <c r="A87" s="6" t="str">
        <f>IF(参数设置!$L$11="","",参数设置!$L$11)</f>
        <v>CNY</v>
      </c>
      <c r="B87" s="23">
        <f>IF($A87="","",ROUND(SUMIFS(流水本位,流水币种,$A87,流水日期,"&gt;="&amp;$B$3,流水日期,"&lt;="&amp;$D$3,流水本位,"&gt;0"),2))</f>
        <v>408400</v>
      </c>
      <c r="C87" s="23">
        <f>IF($A87="","",-ROUND(SUMIFS(流水本位,流水币种,$A87,流水日期,"&gt;="&amp;$B$3,流水日期,"&lt;="&amp;$D$3,流水本位,"&lt;0"),2))</f>
        <v>98000</v>
      </c>
      <c r="D87" s="23">
        <f t="shared" ref="D87:D94" si="3">IF($A87="","",ROUND($B87-$C87,2))</f>
        <v>310400</v>
      </c>
      <c r="E87" s="4">
        <f>IF($A87="","",COUNTIFS(流水币种,$A87,流水日期,"&gt;="&amp;$B$3,流水日期,"&lt;="&amp;$D$3))</f>
        <v>8</v>
      </c>
    </row>
    <row r="88" ht="16.5" spans="1:5">
      <c r="A88" s="6" t="str">
        <f>IF(参数设置!$L$12="","",参数设置!$L$12)</f>
        <v>USD</v>
      </c>
      <c r="B88" s="23">
        <f>IF($A88="","",ROUND(SUMIFS(流水本位,流水币种,$A88,流水日期,"&gt;="&amp;$B$3,流水日期,"&lt;="&amp;$D$3,流水本位,"&gt;0"),2))</f>
        <v>373360</v>
      </c>
      <c r="C88" s="23">
        <f>IF($A88="","",-ROUND(SUMIFS(流水本位,流水币种,$A88,流水日期,"&gt;="&amp;$B$3,流水日期,"&lt;="&amp;$D$3,流水本位,"&lt;0"),2))</f>
        <v>236580</v>
      </c>
      <c r="D88" s="23">
        <f t="shared" si="3"/>
        <v>136780</v>
      </c>
      <c r="E88" s="4">
        <f>IF($A88="","",COUNTIFS(流水币种,$A88,流水日期,"&gt;="&amp;$B$3,流水日期,"&lt;="&amp;$D$3))</f>
        <v>6</v>
      </c>
    </row>
    <row r="89" ht="16.5" spans="1:5">
      <c r="A89" s="6" t="str">
        <f>IF(参数设置!$L$13="","",参数设置!$L$13)</f>
        <v>HKD</v>
      </c>
      <c r="B89" s="23">
        <f>IF($A89="","",ROUND(SUMIFS(流水本位,流水币种,$A89,流水日期,"&gt;="&amp;$B$3,流水日期,"&lt;="&amp;$D$3,流水本位,"&gt;0"),2))</f>
        <v>73600</v>
      </c>
      <c r="C89" s="23">
        <f>IF($A89="","",-ROUND(SUMIFS(流水本位,流水币种,$A89,流水日期,"&gt;="&amp;$B$3,流水日期,"&lt;="&amp;$D$3,流水本位,"&lt;0"),2))</f>
        <v>22540</v>
      </c>
      <c r="D89" s="23">
        <f t="shared" si="3"/>
        <v>51060</v>
      </c>
      <c r="E89" s="4">
        <f>IF($A89="","",COUNTIFS(流水币种,$A89,流水日期,"&gt;="&amp;$B$3,流水日期,"&lt;="&amp;$D$3))</f>
        <v>3</v>
      </c>
    </row>
    <row r="90" ht="16.5" spans="1:5">
      <c r="A90" s="6" t="str">
        <f>IF(参数设置!$L$14="","",参数设置!$L$14)</f>
        <v>EUR</v>
      </c>
      <c r="B90" s="23">
        <f>IF($A90="","",ROUND(SUMIFS(流水本位,流水币种,$A90,流水日期,"&gt;="&amp;$B$3,流水日期,"&lt;="&amp;$D$3,流水本位,"&gt;0"),2))</f>
        <v>230700</v>
      </c>
      <c r="C90" s="23">
        <f>IF($A90="","",-ROUND(SUMIFS(流水本位,流水币种,$A90,流水日期,"&gt;="&amp;$B$3,流水日期,"&lt;="&amp;$D$3,流水本位,"&lt;0"),2))</f>
        <v>0</v>
      </c>
      <c r="D90" s="23">
        <f t="shared" si="3"/>
        <v>230700</v>
      </c>
      <c r="E90" s="4">
        <f>IF($A90="","",COUNTIFS(流水币种,$A90,流水日期,"&gt;="&amp;$B$3,流水日期,"&lt;="&amp;$D$3))</f>
        <v>1</v>
      </c>
    </row>
    <row r="91" ht="16.5" spans="1:5">
      <c r="A91" s="6" t="str">
        <f>IF(参数设置!$L$15="","",参数设置!$L$15)</f>
        <v>JPY</v>
      </c>
      <c r="B91" s="23">
        <f>IF($A91="","",ROUND(SUMIFS(流水本位,流水币种,$A91,流水日期,"&gt;="&amp;$B$3,流水日期,"&lt;="&amp;$D$3,流水本位,"&gt;0"),2))</f>
        <v>0</v>
      </c>
      <c r="C91" s="23">
        <f>IF($A91="","",-ROUND(SUMIFS(流水本位,流水币种,$A91,流水日期,"&gt;="&amp;$B$3,流水日期,"&lt;="&amp;$D$3,流水本位,"&lt;0"),2))</f>
        <v>0</v>
      </c>
      <c r="D91" s="23">
        <f t="shared" si="3"/>
        <v>0</v>
      </c>
      <c r="E91" s="4">
        <f>IF($A91="","",COUNTIFS(流水币种,$A91,流水日期,"&gt;="&amp;$B$3,流水日期,"&lt;="&amp;$D$3))</f>
        <v>0</v>
      </c>
    </row>
    <row r="92" ht="16.5" spans="1:5">
      <c r="A92" s="6" t="str">
        <f>IF(参数设置!$L$16="","",参数设置!$L$16)</f>
        <v>GBP</v>
      </c>
      <c r="B92" s="23">
        <f>IF($A92="","",ROUND(SUMIFS(流水本位,流水币种,$A92,流水日期,"&gt;="&amp;$B$3,流水日期,"&lt;="&amp;$D$3,流水本位,"&gt;0"),2))</f>
        <v>0</v>
      </c>
      <c r="C92" s="23">
        <f>IF($A92="","",-ROUND(SUMIFS(流水本位,流水币种,$A92,流水日期,"&gt;="&amp;$B$3,流水日期,"&lt;="&amp;$D$3,流水本位,"&lt;0"),2))</f>
        <v>0</v>
      </c>
      <c r="D92" s="23">
        <f t="shared" si="3"/>
        <v>0</v>
      </c>
      <c r="E92" s="4">
        <f>IF($A92="","",COUNTIFS(流水币种,$A92,流水日期,"&gt;="&amp;$B$3,流水日期,"&lt;="&amp;$D$3))</f>
        <v>0</v>
      </c>
    </row>
    <row r="93" ht="16.5" spans="1:5">
      <c r="A93" s="6" t="str">
        <f>IF(参数设置!$L$17="","",参数设置!$L$17)</f>
        <v>SGD</v>
      </c>
      <c r="B93" s="23">
        <f>IF($A93="","",ROUND(SUMIFS(流水本位,流水币种,$A93,流水日期,"&gt;="&amp;$B$3,流水日期,"&lt;="&amp;$D$3,流水本位,"&gt;0"),2))</f>
        <v>0</v>
      </c>
      <c r="C93" s="23">
        <f>IF($A93="","",-ROUND(SUMIFS(流水本位,流水币种,$A93,流水日期,"&gt;="&amp;$B$3,流水日期,"&lt;="&amp;$D$3,流水本位,"&lt;0"),2))</f>
        <v>0</v>
      </c>
      <c r="D93" s="23">
        <f t="shared" si="3"/>
        <v>0</v>
      </c>
      <c r="E93" s="4">
        <f>IF($A93="","",COUNTIFS(流水币种,$A93,流水日期,"&gt;="&amp;$B$3,流水日期,"&lt;="&amp;$D$3))</f>
        <v>0</v>
      </c>
    </row>
    <row r="94" ht="16.5" spans="1:5">
      <c r="A94" s="6" t="str">
        <f>IF(参数设置!$L$18="","",参数设置!$L$18)</f>
        <v>AUD</v>
      </c>
      <c r="B94" s="23">
        <f>IF($A94="","",ROUND(SUMIFS(流水本位,流水币种,$A94,流水日期,"&gt;="&amp;$B$3,流水日期,"&lt;="&amp;$D$3,流水本位,"&gt;0"),2))</f>
        <v>0</v>
      </c>
      <c r="C94" s="23">
        <f>IF($A94="","",-ROUND(SUMIFS(流水本位,流水币种,$A94,流水日期,"&gt;="&amp;$B$3,流水日期,"&lt;="&amp;$D$3,流水本位,"&lt;0"),2))</f>
        <v>0</v>
      </c>
      <c r="D94" s="23">
        <f t="shared" si="3"/>
        <v>0</v>
      </c>
      <c r="E94" s="4">
        <f>IF($A94="","",COUNTIFS(流水币种,$A94,流水日期,"&gt;="&amp;$B$3,流水日期,"&lt;="&amp;$D$3))</f>
        <v>0</v>
      </c>
    </row>
    <row r="95" ht="16.5" spans="1:5">
      <c r="A95" s="18" t="s">
        <v>344</v>
      </c>
      <c r="B95" s="7">
        <f>ROUND(SUM(B87:B94),2)</f>
        <v>1086060</v>
      </c>
      <c r="C95" s="7">
        <f>ROUND(SUM(C87:C94),2)</f>
        <v>357120</v>
      </c>
      <c r="D95" s="7">
        <f>ROUND(SUM(D87:D94),2)</f>
        <v>728940</v>
      </c>
      <c r="E95" s="9">
        <f>SUM(E87:E94)</f>
        <v>18</v>
      </c>
    </row>
    <row r="97" ht="22" customHeight="1" spans="1:5">
      <c r="A97" s="29" t="s">
        <v>351</v>
      </c>
      <c r="B97" s="14"/>
      <c r="C97" s="14"/>
      <c r="D97" s="14"/>
      <c r="E97" s="15"/>
    </row>
    <row r="98" ht="30" customHeight="1" spans="1:5">
      <c r="A98" s="18" t="s">
        <v>133</v>
      </c>
      <c r="B98" s="18" t="s">
        <v>275</v>
      </c>
      <c r="C98" s="18" t="s">
        <v>276</v>
      </c>
      <c r="D98" s="18" t="s">
        <v>347</v>
      </c>
      <c r="E98" s="18" t="s">
        <v>350</v>
      </c>
    </row>
    <row r="99" ht="16.5" spans="1:5">
      <c r="A99" s="6" t="str">
        <f>IF(参数设置!$T$11="","",参数设置!$T$11)</f>
        <v>华东客户A</v>
      </c>
      <c r="B99" s="23">
        <f>IF($A99="","",ROUND(SUMIFS(流水本位,流水单位,$A99,流水日期,"&gt;="&amp;$B$3,流水日期,"&lt;="&amp;$D$3,流水本位,"&gt;0"),2))</f>
        <v>120000</v>
      </c>
      <c r="C99" s="23">
        <f>IF($A99="","",-ROUND(SUMIFS(流水本位,流水单位,$A99,流水日期,"&gt;="&amp;$B$3,流水日期,"&lt;="&amp;$D$3,流水本位,"&lt;0"),2))</f>
        <v>0</v>
      </c>
      <c r="D99" s="23">
        <f t="shared" ref="D99:D162" si="4">IF($A99="","",ROUND($B99-$C99,2))</f>
        <v>120000</v>
      </c>
      <c r="E99" s="4">
        <f>IF($A99="","",COUNTIFS(流水单位,$A99,流水日期,"&gt;="&amp;$B$3,流水日期,"&lt;="&amp;$D$3))</f>
        <v>1</v>
      </c>
    </row>
    <row r="100" ht="16.5" spans="1:5">
      <c r="A100" s="6" t="str">
        <f>IF(参数设置!$T$12="","",参数设置!$T$12)</f>
        <v>Overseas Client A</v>
      </c>
      <c r="B100" s="23">
        <f>IF($A100="","",ROUND(SUMIFS(流水本位,流水单位,$A100,流水日期,"&gt;="&amp;$B$3,流水日期,"&lt;="&amp;$D$3,流水本位,"&gt;0"),2))</f>
        <v>179500</v>
      </c>
      <c r="C100" s="23">
        <f>IF($A100="","",-ROUND(SUMIFS(流水本位,流水单位,$A100,流水日期,"&gt;="&amp;$B$3,流水日期,"&lt;="&amp;$D$3,流水本位,"&lt;0"),2))</f>
        <v>0</v>
      </c>
      <c r="D100" s="23">
        <f t="shared" si="4"/>
        <v>179500</v>
      </c>
      <c r="E100" s="4">
        <f>IF($A100="","",COUNTIFS(流水单位,$A100,流水日期,"&gt;="&amp;$B$3,流水日期,"&lt;="&amp;$D$3))</f>
        <v>1</v>
      </c>
    </row>
    <row r="101" ht="16.5" spans="1:5">
      <c r="A101" s="6" t="str">
        <f>IF(参数设置!$T$13="","",参数设置!$T$13)</f>
        <v>Overseas Client C</v>
      </c>
      <c r="B101" s="23">
        <f>IF($A101="","",ROUND(SUMIFS(流水本位,流水单位,$A101,流水日期,"&gt;="&amp;$B$3,流水日期,"&lt;="&amp;$D$3,流水本位,"&gt;0"),2))</f>
        <v>107700</v>
      </c>
      <c r="C101" s="23">
        <f>IF($A101="","",-ROUND(SUMIFS(流水本位,流水单位,$A101,流水日期,"&gt;="&amp;$B$3,流水日期,"&lt;="&amp;$D$3,流水本位,"&lt;0"),2))</f>
        <v>0</v>
      </c>
      <c r="D101" s="23">
        <f t="shared" si="4"/>
        <v>107700</v>
      </c>
      <c r="E101" s="4">
        <f>IF($A101="","",COUNTIFS(流水单位,$A101,流水日期,"&gt;="&amp;$B$3,流水日期,"&lt;="&amp;$D$3))</f>
        <v>1</v>
      </c>
    </row>
    <row r="102" ht="16.5" spans="1:5">
      <c r="A102" s="6" t="str">
        <f>IF(参数设置!$T$14="","",参数设置!$T$14)</f>
        <v>香港客户B</v>
      </c>
      <c r="B102" s="23">
        <f>IF($A102="","",ROUND(SUMIFS(流水本位,流水单位,$A102,流水日期,"&gt;="&amp;$B$3,流水日期,"&lt;="&amp;$D$3,流水本位,"&gt;0"),2))</f>
        <v>73600</v>
      </c>
      <c r="C102" s="23">
        <f>IF($A102="","",-ROUND(SUMIFS(流水本位,流水单位,$A102,流水日期,"&gt;="&amp;$B$3,流水日期,"&lt;="&amp;$D$3,流水本位,"&lt;0"),2))</f>
        <v>0</v>
      </c>
      <c r="D102" s="23">
        <f t="shared" si="4"/>
        <v>73600</v>
      </c>
      <c r="E102" s="4">
        <f>IF($A102="","",COUNTIFS(流水单位,$A102,流水日期,"&gt;="&amp;$B$3,流水日期,"&lt;="&amp;$D$3))</f>
        <v>1</v>
      </c>
    </row>
    <row r="103" ht="16.5" spans="1:5">
      <c r="A103" s="6" t="str">
        <f>IF(参数设置!$T$15="","",参数设置!$T$15)</f>
        <v>欧洲客户D</v>
      </c>
      <c r="B103" s="23">
        <f>IF($A103="","",ROUND(SUMIFS(流水本位,流水单位,$A103,流水日期,"&gt;="&amp;$B$3,流水日期,"&lt;="&amp;$D$3,流水本位,"&gt;0"),2))</f>
        <v>230700</v>
      </c>
      <c r="C103" s="23">
        <f>IF($A103="","",-ROUND(SUMIFS(流水本位,流水单位,$A103,流水日期,"&gt;="&amp;$B$3,流水日期,"&lt;="&amp;$D$3,流水本位,"&lt;0"),2))</f>
        <v>0</v>
      </c>
      <c r="D103" s="23">
        <f t="shared" si="4"/>
        <v>230700</v>
      </c>
      <c r="E103" s="4">
        <f>IF($A103="","",COUNTIFS(流水单位,$A103,流水日期,"&gt;="&amp;$B$3,流水日期,"&lt;="&amp;$D$3))</f>
        <v>1</v>
      </c>
    </row>
    <row r="104" ht="16.5" spans="1:5">
      <c r="A104" s="6" t="str">
        <f>IF(参数设置!$T$16="","",参数设置!$T$16)</f>
        <v>香港供应商A</v>
      </c>
      <c r="B104" s="23">
        <f>IF($A104="","",ROUND(SUMIFS(流水本位,流水单位,$A104,流水日期,"&gt;="&amp;$B$3,流水日期,"&lt;="&amp;$D$3,流水本位,"&gt;0"),2))</f>
        <v>0</v>
      </c>
      <c r="C104" s="23">
        <f>IF($A104="","",-ROUND(SUMIFS(流水本位,流水单位,$A104,流水日期,"&gt;="&amp;$B$3,流水日期,"&lt;="&amp;$D$3,流水本位,"&lt;0"),2))</f>
        <v>4140</v>
      </c>
      <c r="D104" s="23">
        <f t="shared" si="4"/>
        <v>-4140</v>
      </c>
      <c r="E104" s="4">
        <f>IF($A104="","",COUNTIFS(流水单位,$A104,流水日期,"&gt;="&amp;$B$3,流水日期,"&lt;="&amp;$D$3))</f>
        <v>1</v>
      </c>
    </row>
    <row r="105" ht="16.5" spans="1:5">
      <c r="A105" s="6" t="str">
        <f>IF(参数设置!$T$17="","",参数设置!$T$17)</f>
        <v>Overseas Supplier B</v>
      </c>
      <c r="B105" s="23">
        <f>IF($A105="","",ROUND(SUMIFS(流水本位,流水单位,$A105,流水日期,"&gt;="&amp;$B$3,流水日期,"&lt;="&amp;$D$3,流水本位,"&gt;0"),2))</f>
        <v>0</v>
      </c>
      <c r="C105" s="23">
        <f>IF($A105="","",-ROUND(SUMIFS(流水本位,流水单位,$A105,流水日期,"&gt;="&amp;$B$3,流水日期,"&lt;="&amp;$D$3,流水本位,"&lt;0"),2))</f>
        <v>57280</v>
      </c>
      <c r="D105" s="23">
        <f t="shared" si="4"/>
        <v>-57280</v>
      </c>
      <c r="E105" s="4">
        <f>IF($A105="","",COUNTIFS(流水单位,$A105,流水日期,"&gt;="&amp;$B$3,流水日期,"&lt;="&amp;$D$3))</f>
        <v>1</v>
      </c>
    </row>
    <row r="106" ht="16.5" spans="1:5">
      <c r="A106" s="6" t="str">
        <f>IF(参数设置!$T$18="","",参数设置!$T$18)</f>
        <v>欧洲供应商E</v>
      </c>
      <c r="B106" s="23">
        <f>IF($A106="","",ROUND(SUMIFS(流水本位,流水单位,$A106,流水日期,"&gt;="&amp;$B$3,流水日期,"&lt;="&amp;$D$3,流水本位,"&gt;0"),2))</f>
        <v>0</v>
      </c>
      <c r="C106" s="23">
        <f>IF($A106="","",-ROUND(SUMIFS(流水本位,流水单位,$A106,流水日期,"&gt;="&amp;$B$3,流水日期,"&lt;="&amp;$D$3,流水本位,"&lt;0"),2))</f>
        <v>0</v>
      </c>
      <c r="D106" s="23">
        <f t="shared" si="4"/>
        <v>0</v>
      </c>
      <c r="E106" s="4">
        <f>IF($A106="","",COUNTIFS(流水单位,$A106,流水日期,"&gt;="&amp;$B$3,流水日期,"&lt;="&amp;$D$3))</f>
        <v>0</v>
      </c>
    </row>
    <row r="107" ht="16.5" spans="1:5">
      <c r="A107" s="6" t="str">
        <f>IF(参数设置!$T$19="","",参数设置!$T$19)</f>
        <v>员工薪酬</v>
      </c>
      <c r="B107" s="23">
        <f>IF($A107="","",ROUND(SUMIFS(流水本位,流水单位,$A107,流水日期,"&gt;="&amp;$B$3,流水日期,"&lt;="&amp;$D$3,流水本位,"&gt;0"),2))</f>
        <v>0</v>
      </c>
      <c r="C107" s="23">
        <f>IF($A107="","",-ROUND(SUMIFS(流水本位,流水单位,$A107,流水日期,"&gt;="&amp;$B$3,流水日期,"&lt;="&amp;$D$3,流水本位,"&lt;0"),2))</f>
        <v>30000</v>
      </c>
      <c r="D107" s="23">
        <f t="shared" si="4"/>
        <v>-30000</v>
      </c>
      <c r="E107" s="4">
        <f>IF($A107="","",COUNTIFS(流水单位,$A107,流水日期,"&gt;="&amp;$B$3,流水日期,"&lt;="&amp;$D$3))</f>
        <v>1</v>
      </c>
    </row>
    <row r="108" ht="16.5" spans="1:5">
      <c r="A108" s="6" t="str">
        <f>IF(参数设置!$T$20="","",参数设置!$T$20)</f>
        <v>税务机关</v>
      </c>
      <c r="B108" s="23">
        <f>IF($A108="","",ROUND(SUMIFS(流水本位,流水单位,$A108,流水日期,"&gt;="&amp;$B$3,流水日期,"&lt;="&amp;$D$3,流水本位,"&gt;0"),2))</f>
        <v>0</v>
      </c>
      <c r="C108" s="23">
        <f>IF($A108="","",-ROUND(SUMIFS(流水本位,流水单位,$A108,流水日期,"&gt;="&amp;$B$3,流水日期,"&lt;="&amp;$D$3,流水本位,"&lt;0"),2))</f>
        <v>18000</v>
      </c>
      <c r="D108" s="23">
        <f t="shared" si="4"/>
        <v>-18000</v>
      </c>
      <c r="E108" s="4">
        <f>IF($A108="","",COUNTIFS(流水单位,$A108,流水日期,"&gt;="&amp;$B$3,流水日期,"&lt;="&amp;$D$3))</f>
        <v>1</v>
      </c>
    </row>
    <row r="109" ht="16.5" spans="1:5">
      <c r="A109" s="6" t="str">
        <f>IF(参数设置!$T$21="","",参数设置!$T$21)</f>
        <v>银行借款</v>
      </c>
      <c r="B109" s="23">
        <f>IF($A109="","",ROUND(SUMIFS(流水本位,流水单位,$A109,流水日期,"&gt;="&amp;$B$3,流水日期,"&lt;="&amp;$D$3,流水本位,"&gt;0"),2))</f>
        <v>60000</v>
      </c>
      <c r="C109" s="23">
        <f>IF($A109="","",-ROUND(SUMIFS(流水本位,流水单位,$A109,流水日期,"&gt;="&amp;$B$3,流水日期,"&lt;="&amp;$D$3,流水本位,"&lt;0"),2))</f>
        <v>0</v>
      </c>
      <c r="D109" s="23">
        <f t="shared" si="4"/>
        <v>60000</v>
      </c>
      <c r="E109" s="4">
        <f>IF($A109="","",COUNTIFS(流水单位,$A109,流水日期,"&gt;="&amp;$B$3,流水日期,"&lt;="&amp;$D$3))</f>
        <v>1</v>
      </c>
    </row>
    <row r="110" ht="16.5" spans="1:5">
      <c r="A110" s="6" t="str">
        <f>IF(参数设置!$T$22="","",参数设置!$T$22)</f>
        <v>股东A</v>
      </c>
      <c r="B110" s="23">
        <f>IF($A110="","",ROUND(SUMIFS(流水本位,流水单位,$A110,流水日期,"&gt;="&amp;$B$3,流水日期,"&lt;="&amp;$D$3,流水本位,"&gt;0"),2))</f>
        <v>86160</v>
      </c>
      <c r="C110" s="23">
        <f>IF($A110="","",-ROUND(SUMIFS(流水本位,流水单位,$A110,流水日期,"&gt;="&amp;$B$3,流水日期,"&lt;="&amp;$D$3,流水本位,"&lt;0"),2))</f>
        <v>0</v>
      </c>
      <c r="D110" s="23">
        <f t="shared" si="4"/>
        <v>86160</v>
      </c>
      <c r="E110" s="4">
        <f>IF($A110="","",COUNTIFS(流水单位,$A110,流水日期,"&gt;="&amp;$B$3,流水日期,"&lt;="&amp;$D$3))</f>
        <v>1</v>
      </c>
    </row>
    <row r="111" ht="16.5" spans="1:5">
      <c r="A111" s="6" t="str">
        <f>IF(参数设置!$T$23="","",参数设置!$T$23)</f>
        <v>Service Provider</v>
      </c>
      <c r="B111" s="23">
        <f>IF($A111="","",ROUND(SUMIFS(流水本位,流水单位,$A111,流水日期,"&gt;="&amp;$B$3,流水日期,"&lt;="&amp;$D$3,流水本位,"&gt;0"),2))</f>
        <v>0</v>
      </c>
      <c r="C111" s="23">
        <f>IF($A111="","",-ROUND(SUMIFS(流水本位,流水单位,$A111,流水日期,"&gt;="&amp;$B$3,流水日期,"&lt;="&amp;$D$3,流水本位,"&lt;0"),2))</f>
        <v>35900</v>
      </c>
      <c r="D111" s="23">
        <f t="shared" si="4"/>
        <v>-35900</v>
      </c>
      <c r="E111" s="4">
        <f>IF($A111="","",COUNTIFS(流水单位,$A111,流水日期,"&gt;="&amp;$B$3,流水日期,"&lt;="&amp;$D$3))</f>
        <v>1</v>
      </c>
    </row>
    <row r="112" ht="16.5" spans="1:5">
      <c r="A112" s="6" t="str">
        <f>IF(参数设置!$T$24="","",参数设置!$T$24)</f>
        <v>香港办公室</v>
      </c>
      <c r="B112" s="23">
        <f>IF($A112="","",ROUND(SUMIFS(流水本位,流水单位,$A112,流水日期,"&gt;="&amp;$B$3,流水日期,"&lt;="&amp;$D$3,流水本位,"&gt;0"),2))</f>
        <v>0</v>
      </c>
      <c r="C112" s="23">
        <f>IF($A112="","",-ROUND(SUMIFS(流水本位,流水单位,$A112,流水日期,"&gt;="&amp;$B$3,流水日期,"&lt;="&amp;$D$3,流水本位,"&lt;0"),2))</f>
        <v>18400</v>
      </c>
      <c r="D112" s="23">
        <f t="shared" si="4"/>
        <v>-18400</v>
      </c>
      <c r="E112" s="4">
        <f>IF($A112="","",COUNTIFS(流水单位,$A112,流水日期,"&gt;="&amp;$B$3,流水日期,"&lt;="&amp;$D$3))</f>
        <v>1</v>
      </c>
    </row>
    <row r="113" ht="16.5" spans="1:5">
      <c r="A113" s="6" t="str">
        <f>IF(参数设置!$T$25="","",参数设置!$T$25)</f>
        <v>其他客户</v>
      </c>
      <c r="B113" s="23">
        <f>IF($A113="","",ROUND(SUMIFS(流水本位,流水单位,$A113,流水日期,"&gt;="&amp;$B$3,流水日期,"&lt;="&amp;$D$3,流水本位,"&gt;0"),2))</f>
        <v>35000</v>
      </c>
      <c r="C113" s="23">
        <f>IF($A113="","",-ROUND(SUMIFS(流水本位,流水单位,$A113,流水日期,"&gt;="&amp;$B$3,流水日期,"&lt;="&amp;$D$3,流水本位,"&lt;0"),2))</f>
        <v>0</v>
      </c>
      <c r="D113" s="23">
        <f t="shared" si="4"/>
        <v>35000</v>
      </c>
      <c r="E113" s="4">
        <f>IF($A113="","",COUNTIFS(流水单位,$A113,流水日期,"&gt;="&amp;$B$3,流水日期,"&lt;="&amp;$D$3))</f>
        <v>1</v>
      </c>
    </row>
    <row r="114" ht="16.5" spans="1:5">
      <c r="A114" s="6" t="str">
        <f>IF(参数设置!$T$26="","",参数设置!$T$26)</f>
        <v/>
      </c>
      <c r="B114" s="23" t="str">
        <f>IF($A114="","",ROUND(SUMIFS(流水本位,流水单位,$A114,流水日期,"&gt;="&amp;$B$3,流水日期,"&lt;="&amp;$D$3,流水本位,"&gt;0"),2))</f>
        <v/>
      </c>
      <c r="C114" s="23" t="str">
        <f>IF($A114="","",-ROUND(SUMIFS(流水本位,流水单位,$A114,流水日期,"&gt;="&amp;$B$3,流水日期,"&lt;="&amp;$D$3,流水本位,"&lt;0"),2))</f>
        <v/>
      </c>
      <c r="D114" s="23" t="str">
        <f t="shared" si="4"/>
        <v/>
      </c>
      <c r="E114" s="4" t="str">
        <f>IF($A114="","",COUNTIFS(流水单位,$A114,流水日期,"&gt;="&amp;$B$3,流水日期,"&lt;="&amp;$D$3))</f>
        <v/>
      </c>
    </row>
    <row r="115" ht="16.5" spans="1:5">
      <c r="A115" s="6" t="str">
        <f>IF(参数设置!$T$27="","",参数设置!$T$27)</f>
        <v/>
      </c>
      <c r="B115" s="23" t="str">
        <f>IF($A115="","",ROUND(SUMIFS(流水本位,流水单位,$A115,流水日期,"&gt;="&amp;$B$3,流水日期,"&lt;="&amp;$D$3,流水本位,"&gt;0"),2))</f>
        <v/>
      </c>
      <c r="C115" s="23" t="str">
        <f>IF($A115="","",-ROUND(SUMIFS(流水本位,流水单位,$A115,流水日期,"&gt;="&amp;$B$3,流水日期,"&lt;="&amp;$D$3,流水本位,"&lt;0"),2))</f>
        <v/>
      </c>
      <c r="D115" s="23" t="str">
        <f t="shared" si="4"/>
        <v/>
      </c>
      <c r="E115" s="4" t="str">
        <f>IF($A115="","",COUNTIFS(流水单位,$A115,流水日期,"&gt;="&amp;$B$3,流水日期,"&lt;="&amp;$D$3))</f>
        <v/>
      </c>
    </row>
    <row r="116" ht="16.5" spans="1:5">
      <c r="A116" s="6" t="str">
        <f>IF(参数设置!$T$28="","",参数设置!$T$28)</f>
        <v/>
      </c>
      <c r="B116" s="23" t="str">
        <f>IF($A116="","",ROUND(SUMIFS(流水本位,流水单位,$A116,流水日期,"&gt;="&amp;$B$3,流水日期,"&lt;="&amp;$D$3,流水本位,"&gt;0"),2))</f>
        <v/>
      </c>
      <c r="C116" s="23" t="str">
        <f>IF($A116="","",-ROUND(SUMIFS(流水本位,流水单位,$A116,流水日期,"&gt;="&amp;$B$3,流水日期,"&lt;="&amp;$D$3,流水本位,"&lt;0"),2))</f>
        <v/>
      </c>
      <c r="D116" s="23" t="str">
        <f t="shared" si="4"/>
        <v/>
      </c>
      <c r="E116" s="4" t="str">
        <f>IF($A116="","",COUNTIFS(流水单位,$A116,流水日期,"&gt;="&amp;$B$3,流水日期,"&lt;="&amp;$D$3))</f>
        <v/>
      </c>
    </row>
    <row r="117" ht="16.5" spans="1:5">
      <c r="A117" s="6" t="str">
        <f>IF(参数设置!$T$29="","",参数设置!$T$29)</f>
        <v/>
      </c>
      <c r="B117" s="23" t="str">
        <f>IF($A117="","",ROUND(SUMIFS(流水本位,流水单位,$A117,流水日期,"&gt;="&amp;$B$3,流水日期,"&lt;="&amp;$D$3,流水本位,"&gt;0"),2))</f>
        <v/>
      </c>
      <c r="C117" s="23" t="str">
        <f>IF($A117="","",-ROUND(SUMIFS(流水本位,流水单位,$A117,流水日期,"&gt;="&amp;$B$3,流水日期,"&lt;="&amp;$D$3,流水本位,"&lt;0"),2))</f>
        <v/>
      </c>
      <c r="D117" s="23" t="str">
        <f t="shared" si="4"/>
        <v/>
      </c>
      <c r="E117" s="4" t="str">
        <f>IF($A117="","",COUNTIFS(流水单位,$A117,流水日期,"&gt;="&amp;$B$3,流水日期,"&lt;="&amp;$D$3))</f>
        <v/>
      </c>
    </row>
    <row r="118" ht="16.5" spans="1:5">
      <c r="A118" s="6" t="str">
        <f>IF(参数设置!$T$30="","",参数设置!$T$30)</f>
        <v/>
      </c>
      <c r="B118" s="23" t="str">
        <f>IF($A118="","",ROUND(SUMIFS(流水本位,流水单位,$A118,流水日期,"&gt;="&amp;$B$3,流水日期,"&lt;="&amp;$D$3,流水本位,"&gt;0"),2))</f>
        <v/>
      </c>
      <c r="C118" s="23" t="str">
        <f>IF($A118="","",-ROUND(SUMIFS(流水本位,流水单位,$A118,流水日期,"&gt;="&amp;$B$3,流水日期,"&lt;="&amp;$D$3,流水本位,"&lt;0"),2))</f>
        <v/>
      </c>
      <c r="D118" s="23" t="str">
        <f t="shared" si="4"/>
        <v/>
      </c>
      <c r="E118" s="4" t="str">
        <f>IF($A118="","",COUNTIFS(流水单位,$A118,流水日期,"&gt;="&amp;$B$3,流水日期,"&lt;="&amp;$D$3))</f>
        <v/>
      </c>
    </row>
    <row r="119" ht="16.5" spans="1:5">
      <c r="A119" s="6" t="str">
        <f>IF(参数设置!$T$31="","",参数设置!$T$31)</f>
        <v/>
      </c>
      <c r="B119" s="23" t="str">
        <f>IF($A119="","",ROUND(SUMIFS(流水本位,流水单位,$A119,流水日期,"&gt;="&amp;$B$3,流水日期,"&lt;="&amp;$D$3,流水本位,"&gt;0"),2))</f>
        <v/>
      </c>
      <c r="C119" s="23" t="str">
        <f>IF($A119="","",-ROUND(SUMIFS(流水本位,流水单位,$A119,流水日期,"&gt;="&amp;$B$3,流水日期,"&lt;="&amp;$D$3,流水本位,"&lt;0"),2))</f>
        <v/>
      </c>
      <c r="D119" s="23" t="str">
        <f t="shared" si="4"/>
        <v/>
      </c>
      <c r="E119" s="4" t="str">
        <f>IF($A119="","",COUNTIFS(流水单位,$A119,流水日期,"&gt;="&amp;$B$3,流水日期,"&lt;="&amp;$D$3))</f>
        <v/>
      </c>
    </row>
    <row r="120" ht="16.5" spans="1:5">
      <c r="A120" s="6" t="str">
        <f>IF(参数设置!$T$32="","",参数设置!$T$32)</f>
        <v/>
      </c>
      <c r="B120" s="23" t="str">
        <f>IF($A120="","",ROUND(SUMIFS(流水本位,流水单位,$A120,流水日期,"&gt;="&amp;$B$3,流水日期,"&lt;="&amp;$D$3,流水本位,"&gt;0"),2))</f>
        <v/>
      </c>
      <c r="C120" s="23" t="str">
        <f>IF($A120="","",-ROUND(SUMIFS(流水本位,流水单位,$A120,流水日期,"&gt;="&amp;$B$3,流水日期,"&lt;="&amp;$D$3,流水本位,"&lt;0"),2))</f>
        <v/>
      </c>
      <c r="D120" s="23" t="str">
        <f t="shared" si="4"/>
        <v/>
      </c>
      <c r="E120" s="4" t="str">
        <f>IF($A120="","",COUNTIFS(流水单位,$A120,流水日期,"&gt;="&amp;$B$3,流水日期,"&lt;="&amp;$D$3))</f>
        <v/>
      </c>
    </row>
    <row r="121" ht="16.5" spans="1:5">
      <c r="A121" s="6" t="str">
        <f>IF(参数设置!$T$33="","",参数设置!$T$33)</f>
        <v/>
      </c>
      <c r="B121" s="23" t="str">
        <f>IF($A121="","",ROUND(SUMIFS(流水本位,流水单位,$A121,流水日期,"&gt;="&amp;$B$3,流水日期,"&lt;="&amp;$D$3,流水本位,"&gt;0"),2))</f>
        <v/>
      </c>
      <c r="C121" s="23" t="str">
        <f>IF($A121="","",-ROUND(SUMIFS(流水本位,流水单位,$A121,流水日期,"&gt;="&amp;$B$3,流水日期,"&lt;="&amp;$D$3,流水本位,"&lt;0"),2))</f>
        <v/>
      </c>
      <c r="D121" s="23" t="str">
        <f t="shared" si="4"/>
        <v/>
      </c>
      <c r="E121" s="4" t="str">
        <f>IF($A121="","",COUNTIFS(流水单位,$A121,流水日期,"&gt;="&amp;$B$3,流水日期,"&lt;="&amp;$D$3))</f>
        <v/>
      </c>
    </row>
    <row r="122" ht="16.5" spans="1:5">
      <c r="A122" s="6" t="str">
        <f>IF(参数设置!$T$34="","",参数设置!$T$34)</f>
        <v/>
      </c>
      <c r="B122" s="23" t="str">
        <f>IF($A122="","",ROUND(SUMIFS(流水本位,流水单位,$A122,流水日期,"&gt;="&amp;$B$3,流水日期,"&lt;="&amp;$D$3,流水本位,"&gt;0"),2))</f>
        <v/>
      </c>
      <c r="C122" s="23" t="str">
        <f>IF($A122="","",-ROUND(SUMIFS(流水本位,流水单位,$A122,流水日期,"&gt;="&amp;$B$3,流水日期,"&lt;="&amp;$D$3,流水本位,"&lt;0"),2))</f>
        <v/>
      </c>
      <c r="D122" s="23" t="str">
        <f t="shared" si="4"/>
        <v/>
      </c>
      <c r="E122" s="4" t="str">
        <f>IF($A122="","",COUNTIFS(流水单位,$A122,流水日期,"&gt;="&amp;$B$3,流水日期,"&lt;="&amp;$D$3))</f>
        <v/>
      </c>
    </row>
    <row r="123" ht="16.5" spans="1:5">
      <c r="A123" s="6" t="str">
        <f>IF(参数设置!$T$35="","",参数设置!$T$35)</f>
        <v/>
      </c>
      <c r="B123" s="23" t="str">
        <f>IF($A123="","",ROUND(SUMIFS(流水本位,流水单位,$A123,流水日期,"&gt;="&amp;$B$3,流水日期,"&lt;="&amp;$D$3,流水本位,"&gt;0"),2))</f>
        <v/>
      </c>
      <c r="C123" s="23" t="str">
        <f>IF($A123="","",-ROUND(SUMIFS(流水本位,流水单位,$A123,流水日期,"&gt;="&amp;$B$3,流水日期,"&lt;="&amp;$D$3,流水本位,"&lt;0"),2))</f>
        <v/>
      </c>
      <c r="D123" s="23" t="str">
        <f t="shared" si="4"/>
        <v/>
      </c>
      <c r="E123" s="4" t="str">
        <f>IF($A123="","",COUNTIFS(流水单位,$A123,流水日期,"&gt;="&amp;$B$3,流水日期,"&lt;="&amp;$D$3))</f>
        <v/>
      </c>
    </row>
    <row r="124" ht="16.5" spans="1:5">
      <c r="A124" s="6" t="str">
        <f>IF(参数设置!$T$36="","",参数设置!$T$36)</f>
        <v/>
      </c>
      <c r="B124" s="23" t="str">
        <f>IF($A124="","",ROUND(SUMIFS(流水本位,流水单位,$A124,流水日期,"&gt;="&amp;$B$3,流水日期,"&lt;="&amp;$D$3,流水本位,"&gt;0"),2))</f>
        <v/>
      </c>
      <c r="C124" s="23" t="str">
        <f>IF($A124="","",-ROUND(SUMIFS(流水本位,流水单位,$A124,流水日期,"&gt;="&amp;$B$3,流水日期,"&lt;="&amp;$D$3,流水本位,"&lt;0"),2))</f>
        <v/>
      </c>
      <c r="D124" s="23" t="str">
        <f t="shared" si="4"/>
        <v/>
      </c>
      <c r="E124" s="4" t="str">
        <f>IF($A124="","",COUNTIFS(流水单位,$A124,流水日期,"&gt;="&amp;$B$3,流水日期,"&lt;="&amp;$D$3))</f>
        <v/>
      </c>
    </row>
    <row r="125" ht="16.5" spans="1:5">
      <c r="A125" s="6" t="str">
        <f>IF(参数设置!$T$37="","",参数设置!$T$37)</f>
        <v/>
      </c>
      <c r="B125" s="23" t="str">
        <f>IF($A125="","",ROUND(SUMIFS(流水本位,流水单位,$A125,流水日期,"&gt;="&amp;$B$3,流水日期,"&lt;="&amp;$D$3,流水本位,"&gt;0"),2))</f>
        <v/>
      </c>
      <c r="C125" s="23" t="str">
        <f>IF($A125="","",-ROUND(SUMIFS(流水本位,流水单位,$A125,流水日期,"&gt;="&amp;$B$3,流水日期,"&lt;="&amp;$D$3,流水本位,"&lt;0"),2))</f>
        <v/>
      </c>
      <c r="D125" s="23" t="str">
        <f t="shared" si="4"/>
        <v/>
      </c>
      <c r="E125" s="4" t="str">
        <f>IF($A125="","",COUNTIFS(流水单位,$A125,流水日期,"&gt;="&amp;$B$3,流水日期,"&lt;="&amp;$D$3))</f>
        <v/>
      </c>
    </row>
    <row r="126" ht="16.5" spans="1:5">
      <c r="A126" s="6" t="str">
        <f>IF(参数设置!$T$38="","",参数设置!$T$38)</f>
        <v/>
      </c>
      <c r="B126" s="23" t="str">
        <f>IF($A126="","",ROUND(SUMIFS(流水本位,流水单位,$A126,流水日期,"&gt;="&amp;$B$3,流水日期,"&lt;="&amp;$D$3,流水本位,"&gt;0"),2))</f>
        <v/>
      </c>
      <c r="C126" s="23" t="str">
        <f>IF($A126="","",-ROUND(SUMIFS(流水本位,流水单位,$A126,流水日期,"&gt;="&amp;$B$3,流水日期,"&lt;="&amp;$D$3,流水本位,"&lt;0"),2))</f>
        <v/>
      </c>
      <c r="D126" s="23" t="str">
        <f t="shared" si="4"/>
        <v/>
      </c>
      <c r="E126" s="4" t="str">
        <f>IF($A126="","",COUNTIFS(流水单位,$A126,流水日期,"&gt;="&amp;$B$3,流水日期,"&lt;="&amp;$D$3))</f>
        <v/>
      </c>
    </row>
    <row r="127" ht="16.5" spans="1:5">
      <c r="A127" s="6" t="str">
        <f>IF(参数设置!$T$39="","",参数设置!$T$39)</f>
        <v/>
      </c>
      <c r="B127" s="23" t="str">
        <f>IF($A127="","",ROUND(SUMIFS(流水本位,流水单位,$A127,流水日期,"&gt;="&amp;$B$3,流水日期,"&lt;="&amp;$D$3,流水本位,"&gt;0"),2))</f>
        <v/>
      </c>
      <c r="C127" s="23" t="str">
        <f>IF($A127="","",-ROUND(SUMIFS(流水本位,流水单位,$A127,流水日期,"&gt;="&amp;$B$3,流水日期,"&lt;="&amp;$D$3,流水本位,"&lt;0"),2))</f>
        <v/>
      </c>
      <c r="D127" s="23" t="str">
        <f t="shared" si="4"/>
        <v/>
      </c>
      <c r="E127" s="4" t="str">
        <f>IF($A127="","",COUNTIFS(流水单位,$A127,流水日期,"&gt;="&amp;$B$3,流水日期,"&lt;="&amp;$D$3))</f>
        <v/>
      </c>
    </row>
    <row r="128" ht="16.5" spans="1:5">
      <c r="A128" s="6" t="str">
        <f>IF(参数设置!$T$40="","",参数设置!$T$40)</f>
        <v/>
      </c>
      <c r="B128" s="23" t="str">
        <f>IF($A128="","",ROUND(SUMIFS(流水本位,流水单位,$A128,流水日期,"&gt;="&amp;$B$3,流水日期,"&lt;="&amp;$D$3,流水本位,"&gt;0"),2))</f>
        <v/>
      </c>
      <c r="C128" s="23" t="str">
        <f>IF($A128="","",-ROUND(SUMIFS(流水本位,流水单位,$A128,流水日期,"&gt;="&amp;$B$3,流水日期,"&lt;="&amp;$D$3,流水本位,"&lt;0"),2))</f>
        <v/>
      </c>
      <c r="D128" s="23" t="str">
        <f t="shared" si="4"/>
        <v/>
      </c>
      <c r="E128" s="4" t="str">
        <f>IF($A128="","",COUNTIFS(流水单位,$A128,流水日期,"&gt;="&amp;$B$3,流水日期,"&lt;="&amp;$D$3))</f>
        <v/>
      </c>
    </row>
    <row r="129" ht="16.5" spans="1:5">
      <c r="A129" s="6" t="str">
        <f>IF(参数设置!$T$41="","",参数设置!$T$41)</f>
        <v/>
      </c>
      <c r="B129" s="23" t="str">
        <f>IF($A129="","",ROUND(SUMIFS(流水本位,流水单位,$A129,流水日期,"&gt;="&amp;$B$3,流水日期,"&lt;="&amp;$D$3,流水本位,"&gt;0"),2))</f>
        <v/>
      </c>
      <c r="C129" s="23" t="str">
        <f>IF($A129="","",-ROUND(SUMIFS(流水本位,流水单位,$A129,流水日期,"&gt;="&amp;$B$3,流水日期,"&lt;="&amp;$D$3,流水本位,"&lt;0"),2))</f>
        <v/>
      </c>
      <c r="D129" s="23" t="str">
        <f t="shared" si="4"/>
        <v/>
      </c>
      <c r="E129" s="4" t="str">
        <f>IF($A129="","",COUNTIFS(流水单位,$A129,流水日期,"&gt;="&amp;$B$3,流水日期,"&lt;="&amp;$D$3))</f>
        <v/>
      </c>
    </row>
    <row r="130" ht="16.5" spans="1:5">
      <c r="A130" s="6" t="str">
        <f>IF(参数设置!$T$42="","",参数设置!$T$42)</f>
        <v/>
      </c>
      <c r="B130" s="23" t="str">
        <f>IF($A130="","",ROUND(SUMIFS(流水本位,流水单位,$A130,流水日期,"&gt;="&amp;$B$3,流水日期,"&lt;="&amp;$D$3,流水本位,"&gt;0"),2))</f>
        <v/>
      </c>
      <c r="C130" s="23" t="str">
        <f>IF($A130="","",-ROUND(SUMIFS(流水本位,流水单位,$A130,流水日期,"&gt;="&amp;$B$3,流水日期,"&lt;="&amp;$D$3,流水本位,"&lt;0"),2))</f>
        <v/>
      </c>
      <c r="D130" s="23" t="str">
        <f t="shared" si="4"/>
        <v/>
      </c>
      <c r="E130" s="4" t="str">
        <f>IF($A130="","",COUNTIFS(流水单位,$A130,流水日期,"&gt;="&amp;$B$3,流水日期,"&lt;="&amp;$D$3))</f>
        <v/>
      </c>
    </row>
    <row r="131" ht="16.5" spans="1:5">
      <c r="A131" s="6" t="str">
        <f>IF(参数设置!$T$43="","",参数设置!$T$43)</f>
        <v/>
      </c>
      <c r="B131" s="23" t="str">
        <f>IF($A131="","",ROUND(SUMIFS(流水本位,流水单位,$A131,流水日期,"&gt;="&amp;$B$3,流水日期,"&lt;="&amp;$D$3,流水本位,"&gt;0"),2))</f>
        <v/>
      </c>
      <c r="C131" s="23" t="str">
        <f>IF($A131="","",-ROUND(SUMIFS(流水本位,流水单位,$A131,流水日期,"&gt;="&amp;$B$3,流水日期,"&lt;="&amp;$D$3,流水本位,"&lt;0"),2))</f>
        <v/>
      </c>
      <c r="D131" s="23" t="str">
        <f t="shared" si="4"/>
        <v/>
      </c>
      <c r="E131" s="4" t="str">
        <f>IF($A131="","",COUNTIFS(流水单位,$A131,流水日期,"&gt;="&amp;$B$3,流水日期,"&lt;="&amp;$D$3))</f>
        <v/>
      </c>
    </row>
    <row r="132" ht="16.5" spans="1:5">
      <c r="A132" s="6" t="str">
        <f>IF(参数设置!$T$44="","",参数设置!$T$44)</f>
        <v/>
      </c>
      <c r="B132" s="23" t="str">
        <f>IF($A132="","",ROUND(SUMIFS(流水本位,流水单位,$A132,流水日期,"&gt;="&amp;$B$3,流水日期,"&lt;="&amp;$D$3,流水本位,"&gt;0"),2))</f>
        <v/>
      </c>
      <c r="C132" s="23" t="str">
        <f>IF($A132="","",-ROUND(SUMIFS(流水本位,流水单位,$A132,流水日期,"&gt;="&amp;$B$3,流水日期,"&lt;="&amp;$D$3,流水本位,"&lt;0"),2))</f>
        <v/>
      </c>
      <c r="D132" s="23" t="str">
        <f t="shared" si="4"/>
        <v/>
      </c>
      <c r="E132" s="4" t="str">
        <f>IF($A132="","",COUNTIFS(流水单位,$A132,流水日期,"&gt;="&amp;$B$3,流水日期,"&lt;="&amp;$D$3))</f>
        <v/>
      </c>
    </row>
    <row r="133" ht="16.5" spans="1:5">
      <c r="A133" s="6" t="str">
        <f>IF(参数设置!$T$45="","",参数设置!$T$45)</f>
        <v/>
      </c>
      <c r="B133" s="23" t="str">
        <f>IF($A133="","",ROUND(SUMIFS(流水本位,流水单位,$A133,流水日期,"&gt;="&amp;$B$3,流水日期,"&lt;="&amp;$D$3,流水本位,"&gt;0"),2))</f>
        <v/>
      </c>
      <c r="C133" s="23" t="str">
        <f>IF($A133="","",-ROUND(SUMIFS(流水本位,流水单位,$A133,流水日期,"&gt;="&amp;$B$3,流水日期,"&lt;="&amp;$D$3,流水本位,"&lt;0"),2))</f>
        <v/>
      </c>
      <c r="D133" s="23" t="str">
        <f t="shared" si="4"/>
        <v/>
      </c>
      <c r="E133" s="4" t="str">
        <f>IF($A133="","",COUNTIFS(流水单位,$A133,流水日期,"&gt;="&amp;$B$3,流水日期,"&lt;="&amp;$D$3))</f>
        <v/>
      </c>
    </row>
    <row r="134" ht="16.5" spans="1:5">
      <c r="A134" s="6" t="str">
        <f>IF(参数设置!$T$46="","",参数设置!$T$46)</f>
        <v/>
      </c>
      <c r="B134" s="23" t="str">
        <f>IF($A134="","",ROUND(SUMIFS(流水本位,流水单位,$A134,流水日期,"&gt;="&amp;$B$3,流水日期,"&lt;="&amp;$D$3,流水本位,"&gt;0"),2))</f>
        <v/>
      </c>
      <c r="C134" s="23" t="str">
        <f>IF($A134="","",-ROUND(SUMIFS(流水本位,流水单位,$A134,流水日期,"&gt;="&amp;$B$3,流水日期,"&lt;="&amp;$D$3,流水本位,"&lt;0"),2))</f>
        <v/>
      </c>
      <c r="D134" s="23" t="str">
        <f t="shared" si="4"/>
        <v/>
      </c>
      <c r="E134" s="4" t="str">
        <f>IF($A134="","",COUNTIFS(流水单位,$A134,流水日期,"&gt;="&amp;$B$3,流水日期,"&lt;="&amp;$D$3))</f>
        <v/>
      </c>
    </row>
    <row r="135" ht="16.5" spans="1:5">
      <c r="A135" s="6" t="str">
        <f>IF(参数设置!$T$47="","",参数设置!$T$47)</f>
        <v/>
      </c>
      <c r="B135" s="23" t="str">
        <f>IF($A135="","",ROUND(SUMIFS(流水本位,流水单位,$A135,流水日期,"&gt;="&amp;$B$3,流水日期,"&lt;="&amp;$D$3,流水本位,"&gt;0"),2))</f>
        <v/>
      </c>
      <c r="C135" s="23" t="str">
        <f>IF($A135="","",-ROUND(SUMIFS(流水本位,流水单位,$A135,流水日期,"&gt;="&amp;$B$3,流水日期,"&lt;="&amp;$D$3,流水本位,"&lt;0"),2))</f>
        <v/>
      </c>
      <c r="D135" s="23" t="str">
        <f t="shared" si="4"/>
        <v/>
      </c>
      <c r="E135" s="4" t="str">
        <f>IF($A135="","",COUNTIFS(流水单位,$A135,流水日期,"&gt;="&amp;$B$3,流水日期,"&lt;="&amp;$D$3))</f>
        <v/>
      </c>
    </row>
    <row r="136" ht="16.5" spans="1:5">
      <c r="A136" s="6" t="str">
        <f>IF(参数设置!$T$48="","",参数设置!$T$48)</f>
        <v/>
      </c>
      <c r="B136" s="23" t="str">
        <f>IF($A136="","",ROUND(SUMIFS(流水本位,流水单位,$A136,流水日期,"&gt;="&amp;$B$3,流水日期,"&lt;="&amp;$D$3,流水本位,"&gt;0"),2))</f>
        <v/>
      </c>
      <c r="C136" s="23" t="str">
        <f>IF($A136="","",-ROUND(SUMIFS(流水本位,流水单位,$A136,流水日期,"&gt;="&amp;$B$3,流水日期,"&lt;="&amp;$D$3,流水本位,"&lt;0"),2))</f>
        <v/>
      </c>
      <c r="D136" s="23" t="str">
        <f t="shared" si="4"/>
        <v/>
      </c>
      <c r="E136" s="4" t="str">
        <f>IF($A136="","",COUNTIFS(流水单位,$A136,流水日期,"&gt;="&amp;$B$3,流水日期,"&lt;="&amp;$D$3))</f>
        <v/>
      </c>
    </row>
    <row r="137" ht="16.5" spans="1:5">
      <c r="A137" s="6" t="str">
        <f>IF(参数设置!$T$49="","",参数设置!$T$49)</f>
        <v/>
      </c>
      <c r="B137" s="23" t="str">
        <f>IF($A137="","",ROUND(SUMIFS(流水本位,流水单位,$A137,流水日期,"&gt;="&amp;$B$3,流水日期,"&lt;="&amp;$D$3,流水本位,"&gt;0"),2))</f>
        <v/>
      </c>
      <c r="C137" s="23" t="str">
        <f>IF($A137="","",-ROUND(SUMIFS(流水本位,流水单位,$A137,流水日期,"&gt;="&amp;$B$3,流水日期,"&lt;="&amp;$D$3,流水本位,"&lt;0"),2))</f>
        <v/>
      </c>
      <c r="D137" s="23" t="str">
        <f t="shared" si="4"/>
        <v/>
      </c>
      <c r="E137" s="4" t="str">
        <f>IF($A137="","",COUNTIFS(流水单位,$A137,流水日期,"&gt;="&amp;$B$3,流水日期,"&lt;="&amp;$D$3))</f>
        <v/>
      </c>
    </row>
    <row r="138" ht="16.5" spans="1:5">
      <c r="A138" s="6" t="str">
        <f>IF(参数设置!$T$50="","",参数设置!$T$50)</f>
        <v/>
      </c>
      <c r="B138" s="23" t="str">
        <f>IF($A138="","",ROUND(SUMIFS(流水本位,流水单位,$A138,流水日期,"&gt;="&amp;$B$3,流水日期,"&lt;="&amp;$D$3,流水本位,"&gt;0"),2))</f>
        <v/>
      </c>
      <c r="C138" s="23" t="str">
        <f>IF($A138="","",-ROUND(SUMIFS(流水本位,流水单位,$A138,流水日期,"&gt;="&amp;$B$3,流水日期,"&lt;="&amp;$D$3,流水本位,"&lt;0"),2))</f>
        <v/>
      </c>
      <c r="D138" s="23" t="str">
        <f t="shared" si="4"/>
        <v/>
      </c>
      <c r="E138" s="4" t="str">
        <f>IF($A138="","",COUNTIFS(流水单位,$A138,流水日期,"&gt;="&amp;$B$3,流水日期,"&lt;="&amp;$D$3))</f>
        <v/>
      </c>
    </row>
    <row r="139" ht="16.5" spans="1:5">
      <c r="A139" s="6" t="str">
        <f>IF(参数设置!$T$51="","",参数设置!$T$51)</f>
        <v/>
      </c>
      <c r="B139" s="23" t="str">
        <f>IF($A139="","",ROUND(SUMIFS(流水本位,流水单位,$A139,流水日期,"&gt;="&amp;$B$3,流水日期,"&lt;="&amp;$D$3,流水本位,"&gt;0"),2))</f>
        <v/>
      </c>
      <c r="C139" s="23" t="str">
        <f>IF($A139="","",-ROUND(SUMIFS(流水本位,流水单位,$A139,流水日期,"&gt;="&amp;$B$3,流水日期,"&lt;="&amp;$D$3,流水本位,"&lt;0"),2))</f>
        <v/>
      </c>
      <c r="D139" s="23" t="str">
        <f t="shared" si="4"/>
        <v/>
      </c>
      <c r="E139" s="4" t="str">
        <f>IF($A139="","",COUNTIFS(流水单位,$A139,流水日期,"&gt;="&amp;$B$3,流水日期,"&lt;="&amp;$D$3))</f>
        <v/>
      </c>
    </row>
    <row r="140" ht="16.5" spans="1:5">
      <c r="A140" s="6" t="str">
        <f>IF(参数设置!$T$52="","",参数设置!$T$52)</f>
        <v/>
      </c>
      <c r="B140" s="23" t="str">
        <f>IF($A140="","",ROUND(SUMIFS(流水本位,流水单位,$A140,流水日期,"&gt;="&amp;$B$3,流水日期,"&lt;="&amp;$D$3,流水本位,"&gt;0"),2))</f>
        <v/>
      </c>
      <c r="C140" s="23" t="str">
        <f>IF($A140="","",-ROUND(SUMIFS(流水本位,流水单位,$A140,流水日期,"&gt;="&amp;$B$3,流水日期,"&lt;="&amp;$D$3,流水本位,"&lt;0"),2))</f>
        <v/>
      </c>
      <c r="D140" s="23" t="str">
        <f t="shared" si="4"/>
        <v/>
      </c>
      <c r="E140" s="4" t="str">
        <f>IF($A140="","",COUNTIFS(流水单位,$A140,流水日期,"&gt;="&amp;$B$3,流水日期,"&lt;="&amp;$D$3))</f>
        <v/>
      </c>
    </row>
    <row r="141" ht="16.5" spans="1:5">
      <c r="A141" s="6" t="str">
        <f>IF(参数设置!$T$53="","",参数设置!$T$53)</f>
        <v/>
      </c>
      <c r="B141" s="23" t="str">
        <f>IF($A141="","",ROUND(SUMIFS(流水本位,流水单位,$A141,流水日期,"&gt;="&amp;$B$3,流水日期,"&lt;="&amp;$D$3,流水本位,"&gt;0"),2))</f>
        <v/>
      </c>
      <c r="C141" s="23" t="str">
        <f>IF($A141="","",-ROUND(SUMIFS(流水本位,流水单位,$A141,流水日期,"&gt;="&amp;$B$3,流水日期,"&lt;="&amp;$D$3,流水本位,"&lt;0"),2))</f>
        <v/>
      </c>
      <c r="D141" s="23" t="str">
        <f t="shared" si="4"/>
        <v/>
      </c>
      <c r="E141" s="4" t="str">
        <f>IF($A141="","",COUNTIFS(流水单位,$A141,流水日期,"&gt;="&amp;$B$3,流水日期,"&lt;="&amp;$D$3))</f>
        <v/>
      </c>
    </row>
    <row r="142" ht="16.5" spans="1:5">
      <c r="A142" s="6" t="str">
        <f>IF(参数设置!$T$54="","",参数设置!$T$54)</f>
        <v/>
      </c>
      <c r="B142" s="23" t="str">
        <f>IF($A142="","",ROUND(SUMIFS(流水本位,流水单位,$A142,流水日期,"&gt;="&amp;$B$3,流水日期,"&lt;="&amp;$D$3,流水本位,"&gt;0"),2))</f>
        <v/>
      </c>
      <c r="C142" s="23" t="str">
        <f>IF($A142="","",-ROUND(SUMIFS(流水本位,流水单位,$A142,流水日期,"&gt;="&amp;$B$3,流水日期,"&lt;="&amp;$D$3,流水本位,"&lt;0"),2))</f>
        <v/>
      </c>
      <c r="D142" s="23" t="str">
        <f t="shared" si="4"/>
        <v/>
      </c>
      <c r="E142" s="4" t="str">
        <f>IF($A142="","",COUNTIFS(流水单位,$A142,流水日期,"&gt;="&amp;$B$3,流水日期,"&lt;="&amp;$D$3))</f>
        <v/>
      </c>
    </row>
    <row r="143" ht="16.5" spans="1:5">
      <c r="A143" s="6" t="str">
        <f>IF(参数设置!$T$55="","",参数设置!$T$55)</f>
        <v/>
      </c>
      <c r="B143" s="23" t="str">
        <f>IF($A143="","",ROUND(SUMIFS(流水本位,流水单位,$A143,流水日期,"&gt;="&amp;$B$3,流水日期,"&lt;="&amp;$D$3,流水本位,"&gt;0"),2))</f>
        <v/>
      </c>
      <c r="C143" s="23" t="str">
        <f>IF($A143="","",-ROUND(SUMIFS(流水本位,流水单位,$A143,流水日期,"&gt;="&amp;$B$3,流水日期,"&lt;="&amp;$D$3,流水本位,"&lt;0"),2))</f>
        <v/>
      </c>
      <c r="D143" s="23" t="str">
        <f t="shared" si="4"/>
        <v/>
      </c>
      <c r="E143" s="4" t="str">
        <f>IF($A143="","",COUNTIFS(流水单位,$A143,流水日期,"&gt;="&amp;$B$3,流水日期,"&lt;="&amp;$D$3))</f>
        <v/>
      </c>
    </row>
    <row r="144" ht="16.5" spans="1:5">
      <c r="A144" s="6" t="str">
        <f>IF(参数设置!$T$56="","",参数设置!$T$56)</f>
        <v/>
      </c>
      <c r="B144" s="23" t="str">
        <f>IF($A144="","",ROUND(SUMIFS(流水本位,流水单位,$A144,流水日期,"&gt;="&amp;$B$3,流水日期,"&lt;="&amp;$D$3,流水本位,"&gt;0"),2))</f>
        <v/>
      </c>
      <c r="C144" s="23" t="str">
        <f>IF($A144="","",-ROUND(SUMIFS(流水本位,流水单位,$A144,流水日期,"&gt;="&amp;$B$3,流水日期,"&lt;="&amp;$D$3,流水本位,"&lt;0"),2))</f>
        <v/>
      </c>
      <c r="D144" s="23" t="str">
        <f t="shared" si="4"/>
        <v/>
      </c>
      <c r="E144" s="4" t="str">
        <f>IF($A144="","",COUNTIFS(流水单位,$A144,流水日期,"&gt;="&amp;$B$3,流水日期,"&lt;="&amp;$D$3))</f>
        <v/>
      </c>
    </row>
    <row r="145" ht="16.5" spans="1:5">
      <c r="A145" s="6" t="str">
        <f>IF(参数设置!$T$57="","",参数设置!$T$57)</f>
        <v/>
      </c>
      <c r="B145" s="23" t="str">
        <f>IF($A145="","",ROUND(SUMIFS(流水本位,流水单位,$A145,流水日期,"&gt;="&amp;$B$3,流水日期,"&lt;="&amp;$D$3,流水本位,"&gt;0"),2))</f>
        <v/>
      </c>
      <c r="C145" s="23" t="str">
        <f>IF($A145="","",-ROUND(SUMIFS(流水本位,流水单位,$A145,流水日期,"&gt;="&amp;$B$3,流水日期,"&lt;="&amp;$D$3,流水本位,"&lt;0"),2))</f>
        <v/>
      </c>
      <c r="D145" s="23" t="str">
        <f t="shared" si="4"/>
        <v/>
      </c>
      <c r="E145" s="4" t="str">
        <f>IF($A145="","",COUNTIFS(流水单位,$A145,流水日期,"&gt;="&amp;$B$3,流水日期,"&lt;="&amp;$D$3))</f>
        <v/>
      </c>
    </row>
    <row r="146" ht="16.5" spans="1:5">
      <c r="A146" s="6" t="str">
        <f>IF(参数设置!$T$58="","",参数设置!$T$58)</f>
        <v/>
      </c>
      <c r="B146" s="23" t="str">
        <f>IF($A146="","",ROUND(SUMIFS(流水本位,流水单位,$A146,流水日期,"&gt;="&amp;$B$3,流水日期,"&lt;="&amp;$D$3,流水本位,"&gt;0"),2))</f>
        <v/>
      </c>
      <c r="C146" s="23" t="str">
        <f>IF($A146="","",-ROUND(SUMIFS(流水本位,流水单位,$A146,流水日期,"&gt;="&amp;$B$3,流水日期,"&lt;="&amp;$D$3,流水本位,"&lt;0"),2))</f>
        <v/>
      </c>
      <c r="D146" s="23" t="str">
        <f t="shared" si="4"/>
        <v/>
      </c>
      <c r="E146" s="4" t="str">
        <f>IF($A146="","",COUNTIFS(流水单位,$A146,流水日期,"&gt;="&amp;$B$3,流水日期,"&lt;="&amp;$D$3))</f>
        <v/>
      </c>
    </row>
    <row r="147" ht="16.5" spans="1:5">
      <c r="A147" s="6" t="str">
        <f>IF(参数设置!$T$59="","",参数设置!$T$59)</f>
        <v/>
      </c>
      <c r="B147" s="23" t="str">
        <f>IF($A147="","",ROUND(SUMIFS(流水本位,流水单位,$A147,流水日期,"&gt;="&amp;$B$3,流水日期,"&lt;="&amp;$D$3,流水本位,"&gt;0"),2))</f>
        <v/>
      </c>
      <c r="C147" s="23" t="str">
        <f>IF($A147="","",-ROUND(SUMIFS(流水本位,流水单位,$A147,流水日期,"&gt;="&amp;$B$3,流水日期,"&lt;="&amp;$D$3,流水本位,"&lt;0"),2))</f>
        <v/>
      </c>
      <c r="D147" s="23" t="str">
        <f t="shared" si="4"/>
        <v/>
      </c>
      <c r="E147" s="4" t="str">
        <f>IF($A147="","",COUNTIFS(流水单位,$A147,流水日期,"&gt;="&amp;$B$3,流水日期,"&lt;="&amp;$D$3))</f>
        <v/>
      </c>
    </row>
    <row r="148" ht="16.5" spans="1:5">
      <c r="A148" s="6" t="str">
        <f>IF(参数设置!$T$60="","",参数设置!$T$60)</f>
        <v/>
      </c>
      <c r="B148" s="23" t="str">
        <f>IF($A148="","",ROUND(SUMIFS(流水本位,流水单位,$A148,流水日期,"&gt;="&amp;$B$3,流水日期,"&lt;="&amp;$D$3,流水本位,"&gt;0"),2))</f>
        <v/>
      </c>
      <c r="C148" s="23" t="str">
        <f>IF($A148="","",-ROUND(SUMIFS(流水本位,流水单位,$A148,流水日期,"&gt;="&amp;$B$3,流水日期,"&lt;="&amp;$D$3,流水本位,"&lt;0"),2))</f>
        <v/>
      </c>
      <c r="D148" s="23" t="str">
        <f t="shared" si="4"/>
        <v/>
      </c>
      <c r="E148" s="4" t="str">
        <f>IF($A148="","",COUNTIFS(流水单位,$A148,流水日期,"&gt;="&amp;$B$3,流水日期,"&lt;="&amp;$D$3))</f>
        <v/>
      </c>
    </row>
    <row r="149" ht="16.5" spans="1:5">
      <c r="A149" s="6" t="str">
        <f>IF(参数设置!$T$61="","",参数设置!$T$61)</f>
        <v/>
      </c>
      <c r="B149" s="23" t="str">
        <f>IF($A149="","",ROUND(SUMIFS(流水本位,流水单位,$A149,流水日期,"&gt;="&amp;$B$3,流水日期,"&lt;="&amp;$D$3,流水本位,"&gt;0"),2))</f>
        <v/>
      </c>
      <c r="C149" s="23" t="str">
        <f>IF($A149="","",-ROUND(SUMIFS(流水本位,流水单位,$A149,流水日期,"&gt;="&amp;$B$3,流水日期,"&lt;="&amp;$D$3,流水本位,"&lt;0"),2))</f>
        <v/>
      </c>
      <c r="D149" s="23" t="str">
        <f t="shared" si="4"/>
        <v/>
      </c>
      <c r="E149" s="4" t="str">
        <f>IF($A149="","",COUNTIFS(流水单位,$A149,流水日期,"&gt;="&amp;$B$3,流水日期,"&lt;="&amp;$D$3))</f>
        <v/>
      </c>
    </row>
    <row r="150" ht="16.5" spans="1:5">
      <c r="A150" s="6" t="str">
        <f>IF(参数设置!$T$62="","",参数设置!$T$62)</f>
        <v/>
      </c>
      <c r="B150" s="23" t="str">
        <f>IF($A150="","",ROUND(SUMIFS(流水本位,流水单位,$A150,流水日期,"&gt;="&amp;$B$3,流水日期,"&lt;="&amp;$D$3,流水本位,"&gt;0"),2))</f>
        <v/>
      </c>
      <c r="C150" s="23" t="str">
        <f>IF($A150="","",-ROUND(SUMIFS(流水本位,流水单位,$A150,流水日期,"&gt;="&amp;$B$3,流水日期,"&lt;="&amp;$D$3,流水本位,"&lt;0"),2))</f>
        <v/>
      </c>
      <c r="D150" s="23" t="str">
        <f t="shared" si="4"/>
        <v/>
      </c>
      <c r="E150" s="4" t="str">
        <f>IF($A150="","",COUNTIFS(流水单位,$A150,流水日期,"&gt;="&amp;$B$3,流水日期,"&lt;="&amp;$D$3))</f>
        <v/>
      </c>
    </row>
    <row r="151" ht="16.5" spans="1:5">
      <c r="A151" s="6" t="str">
        <f>IF(参数设置!$T$63="","",参数设置!$T$63)</f>
        <v/>
      </c>
      <c r="B151" s="23" t="str">
        <f>IF($A151="","",ROUND(SUMIFS(流水本位,流水单位,$A151,流水日期,"&gt;="&amp;$B$3,流水日期,"&lt;="&amp;$D$3,流水本位,"&gt;0"),2))</f>
        <v/>
      </c>
      <c r="C151" s="23" t="str">
        <f>IF($A151="","",-ROUND(SUMIFS(流水本位,流水单位,$A151,流水日期,"&gt;="&amp;$B$3,流水日期,"&lt;="&amp;$D$3,流水本位,"&lt;0"),2))</f>
        <v/>
      </c>
      <c r="D151" s="23" t="str">
        <f t="shared" si="4"/>
        <v/>
      </c>
      <c r="E151" s="4" t="str">
        <f>IF($A151="","",COUNTIFS(流水单位,$A151,流水日期,"&gt;="&amp;$B$3,流水日期,"&lt;="&amp;$D$3))</f>
        <v/>
      </c>
    </row>
    <row r="152" ht="16.5" spans="1:5">
      <c r="A152" s="6" t="str">
        <f>IF(参数设置!$T$64="","",参数设置!$T$64)</f>
        <v/>
      </c>
      <c r="B152" s="23" t="str">
        <f>IF($A152="","",ROUND(SUMIFS(流水本位,流水单位,$A152,流水日期,"&gt;="&amp;$B$3,流水日期,"&lt;="&amp;$D$3,流水本位,"&gt;0"),2))</f>
        <v/>
      </c>
      <c r="C152" s="23" t="str">
        <f>IF($A152="","",-ROUND(SUMIFS(流水本位,流水单位,$A152,流水日期,"&gt;="&amp;$B$3,流水日期,"&lt;="&amp;$D$3,流水本位,"&lt;0"),2))</f>
        <v/>
      </c>
      <c r="D152" s="23" t="str">
        <f t="shared" si="4"/>
        <v/>
      </c>
      <c r="E152" s="4" t="str">
        <f>IF($A152="","",COUNTIFS(流水单位,$A152,流水日期,"&gt;="&amp;$B$3,流水日期,"&lt;="&amp;$D$3))</f>
        <v/>
      </c>
    </row>
    <row r="153" ht="16.5" spans="1:5">
      <c r="A153" s="6" t="str">
        <f>IF(参数设置!$T$65="","",参数设置!$T$65)</f>
        <v/>
      </c>
      <c r="B153" s="23" t="str">
        <f>IF($A153="","",ROUND(SUMIFS(流水本位,流水单位,$A153,流水日期,"&gt;="&amp;$B$3,流水日期,"&lt;="&amp;$D$3,流水本位,"&gt;0"),2))</f>
        <v/>
      </c>
      <c r="C153" s="23" t="str">
        <f>IF($A153="","",-ROUND(SUMIFS(流水本位,流水单位,$A153,流水日期,"&gt;="&amp;$B$3,流水日期,"&lt;="&amp;$D$3,流水本位,"&lt;0"),2))</f>
        <v/>
      </c>
      <c r="D153" s="23" t="str">
        <f t="shared" si="4"/>
        <v/>
      </c>
      <c r="E153" s="4" t="str">
        <f>IF($A153="","",COUNTIFS(流水单位,$A153,流水日期,"&gt;="&amp;$B$3,流水日期,"&lt;="&amp;$D$3))</f>
        <v/>
      </c>
    </row>
    <row r="154" ht="16.5" spans="1:5">
      <c r="A154" s="6" t="str">
        <f>IF(参数设置!$T$66="","",参数设置!$T$66)</f>
        <v/>
      </c>
      <c r="B154" s="23" t="str">
        <f>IF($A154="","",ROUND(SUMIFS(流水本位,流水单位,$A154,流水日期,"&gt;="&amp;$B$3,流水日期,"&lt;="&amp;$D$3,流水本位,"&gt;0"),2))</f>
        <v/>
      </c>
      <c r="C154" s="23" t="str">
        <f>IF($A154="","",-ROUND(SUMIFS(流水本位,流水单位,$A154,流水日期,"&gt;="&amp;$B$3,流水日期,"&lt;="&amp;$D$3,流水本位,"&lt;0"),2))</f>
        <v/>
      </c>
      <c r="D154" s="23" t="str">
        <f t="shared" si="4"/>
        <v/>
      </c>
      <c r="E154" s="4" t="str">
        <f>IF($A154="","",COUNTIFS(流水单位,$A154,流水日期,"&gt;="&amp;$B$3,流水日期,"&lt;="&amp;$D$3))</f>
        <v/>
      </c>
    </row>
    <row r="155" ht="16.5" spans="1:5">
      <c r="A155" s="6" t="str">
        <f>IF(参数设置!$T$67="","",参数设置!$T$67)</f>
        <v/>
      </c>
      <c r="B155" s="23" t="str">
        <f>IF($A155="","",ROUND(SUMIFS(流水本位,流水单位,$A155,流水日期,"&gt;="&amp;$B$3,流水日期,"&lt;="&amp;$D$3,流水本位,"&gt;0"),2))</f>
        <v/>
      </c>
      <c r="C155" s="23" t="str">
        <f>IF($A155="","",-ROUND(SUMIFS(流水本位,流水单位,$A155,流水日期,"&gt;="&amp;$B$3,流水日期,"&lt;="&amp;$D$3,流水本位,"&lt;0"),2))</f>
        <v/>
      </c>
      <c r="D155" s="23" t="str">
        <f t="shared" si="4"/>
        <v/>
      </c>
      <c r="E155" s="4" t="str">
        <f>IF($A155="","",COUNTIFS(流水单位,$A155,流水日期,"&gt;="&amp;$B$3,流水日期,"&lt;="&amp;$D$3))</f>
        <v/>
      </c>
    </row>
    <row r="156" ht="16.5" spans="1:5">
      <c r="A156" s="6" t="str">
        <f>IF(参数设置!$T$68="","",参数设置!$T$68)</f>
        <v/>
      </c>
      <c r="B156" s="23" t="str">
        <f>IF($A156="","",ROUND(SUMIFS(流水本位,流水单位,$A156,流水日期,"&gt;="&amp;$B$3,流水日期,"&lt;="&amp;$D$3,流水本位,"&gt;0"),2))</f>
        <v/>
      </c>
      <c r="C156" s="23" t="str">
        <f>IF($A156="","",-ROUND(SUMIFS(流水本位,流水单位,$A156,流水日期,"&gt;="&amp;$B$3,流水日期,"&lt;="&amp;$D$3,流水本位,"&lt;0"),2))</f>
        <v/>
      </c>
      <c r="D156" s="23" t="str">
        <f t="shared" si="4"/>
        <v/>
      </c>
      <c r="E156" s="4" t="str">
        <f>IF($A156="","",COUNTIFS(流水单位,$A156,流水日期,"&gt;="&amp;$B$3,流水日期,"&lt;="&amp;$D$3))</f>
        <v/>
      </c>
    </row>
    <row r="157" ht="16.5" spans="1:5">
      <c r="A157" s="6" t="str">
        <f>IF(参数设置!$T$69="","",参数设置!$T$69)</f>
        <v/>
      </c>
      <c r="B157" s="23" t="str">
        <f>IF($A157="","",ROUND(SUMIFS(流水本位,流水单位,$A157,流水日期,"&gt;="&amp;$B$3,流水日期,"&lt;="&amp;$D$3,流水本位,"&gt;0"),2))</f>
        <v/>
      </c>
      <c r="C157" s="23" t="str">
        <f>IF($A157="","",-ROUND(SUMIFS(流水本位,流水单位,$A157,流水日期,"&gt;="&amp;$B$3,流水日期,"&lt;="&amp;$D$3,流水本位,"&lt;0"),2))</f>
        <v/>
      </c>
      <c r="D157" s="23" t="str">
        <f t="shared" si="4"/>
        <v/>
      </c>
      <c r="E157" s="4" t="str">
        <f>IF($A157="","",COUNTIFS(流水单位,$A157,流水日期,"&gt;="&amp;$B$3,流水日期,"&lt;="&amp;$D$3))</f>
        <v/>
      </c>
    </row>
    <row r="158" ht="16.5" spans="1:5">
      <c r="A158" s="6" t="str">
        <f>IF(参数设置!$T$70="","",参数设置!$T$70)</f>
        <v/>
      </c>
      <c r="B158" s="23" t="str">
        <f>IF($A158="","",ROUND(SUMIFS(流水本位,流水单位,$A158,流水日期,"&gt;="&amp;$B$3,流水日期,"&lt;="&amp;$D$3,流水本位,"&gt;0"),2))</f>
        <v/>
      </c>
      <c r="C158" s="23" t="str">
        <f>IF($A158="","",-ROUND(SUMIFS(流水本位,流水单位,$A158,流水日期,"&gt;="&amp;$B$3,流水日期,"&lt;="&amp;$D$3,流水本位,"&lt;0"),2))</f>
        <v/>
      </c>
      <c r="D158" s="23" t="str">
        <f t="shared" si="4"/>
        <v/>
      </c>
      <c r="E158" s="4" t="str">
        <f>IF($A158="","",COUNTIFS(流水单位,$A158,流水日期,"&gt;="&amp;$B$3,流水日期,"&lt;="&amp;$D$3))</f>
        <v/>
      </c>
    </row>
    <row r="159" ht="16.5" spans="1:5">
      <c r="A159" s="6" t="str">
        <f>IF(参数设置!$T$71="","",参数设置!$T$71)</f>
        <v/>
      </c>
      <c r="B159" s="23" t="str">
        <f>IF($A159="","",ROUND(SUMIFS(流水本位,流水单位,$A159,流水日期,"&gt;="&amp;$B$3,流水日期,"&lt;="&amp;$D$3,流水本位,"&gt;0"),2))</f>
        <v/>
      </c>
      <c r="C159" s="23" t="str">
        <f>IF($A159="","",-ROUND(SUMIFS(流水本位,流水单位,$A159,流水日期,"&gt;="&amp;$B$3,流水日期,"&lt;="&amp;$D$3,流水本位,"&lt;0"),2))</f>
        <v/>
      </c>
      <c r="D159" s="23" t="str">
        <f t="shared" si="4"/>
        <v/>
      </c>
      <c r="E159" s="4" t="str">
        <f>IF($A159="","",COUNTIFS(流水单位,$A159,流水日期,"&gt;="&amp;$B$3,流水日期,"&lt;="&amp;$D$3))</f>
        <v/>
      </c>
    </row>
    <row r="160" ht="16.5" spans="1:5">
      <c r="A160" s="6" t="str">
        <f>IF(参数设置!$T$72="","",参数设置!$T$72)</f>
        <v/>
      </c>
      <c r="B160" s="23" t="str">
        <f>IF($A160="","",ROUND(SUMIFS(流水本位,流水单位,$A160,流水日期,"&gt;="&amp;$B$3,流水日期,"&lt;="&amp;$D$3,流水本位,"&gt;0"),2))</f>
        <v/>
      </c>
      <c r="C160" s="23" t="str">
        <f>IF($A160="","",-ROUND(SUMIFS(流水本位,流水单位,$A160,流水日期,"&gt;="&amp;$B$3,流水日期,"&lt;="&amp;$D$3,流水本位,"&lt;0"),2))</f>
        <v/>
      </c>
      <c r="D160" s="23" t="str">
        <f t="shared" si="4"/>
        <v/>
      </c>
      <c r="E160" s="4" t="str">
        <f>IF($A160="","",COUNTIFS(流水单位,$A160,流水日期,"&gt;="&amp;$B$3,流水日期,"&lt;="&amp;$D$3))</f>
        <v/>
      </c>
    </row>
    <row r="161" ht="16.5" spans="1:5">
      <c r="A161" s="6" t="str">
        <f>IF(参数设置!$T$73="","",参数设置!$T$73)</f>
        <v/>
      </c>
      <c r="B161" s="23" t="str">
        <f>IF($A161="","",ROUND(SUMIFS(流水本位,流水单位,$A161,流水日期,"&gt;="&amp;$B$3,流水日期,"&lt;="&amp;$D$3,流水本位,"&gt;0"),2))</f>
        <v/>
      </c>
      <c r="C161" s="23" t="str">
        <f>IF($A161="","",-ROUND(SUMIFS(流水本位,流水单位,$A161,流水日期,"&gt;="&amp;$B$3,流水日期,"&lt;="&amp;$D$3,流水本位,"&lt;0"),2))</f>
        <v/>
      </c>
      <c r="D161" s="23" t="str">
        <f t="shared" si="4"/>
        <v/>
      </c>
      <c r="E161" s="4" t="str">
        <f>IF($A161="","",COUNTIFS(流水单位,$A161,流水日期,"&gt;="&amp;$B$3,流水日期,"&lt;="&amp;$D$3))</f>
        <v/>
      </c>
    </row>
    <row r="162" ht="16.5" spans="1:5">
      <c r="A162" s="6" t="str">
        <f>IF(参数设置!$T$74="","",参数设置!$T$74)</f>
        <v/>
      </c>
      <c r="B162" s="23" t="str">
        <f>IF($A162="","",ROUND(SUMIFS(流水本位,流水单位,$A162,流水日期,"&gt;="&amp;$B$3,流水日期,"&lt;="&amp;$D$3,流水本位,"&gt;0"),2))</f>
        <v/>
      </c>
      <c r="C162" s="23" t="str">
        <f>IF($A162="","",-ROUND(SUMIFS(流水本位,流水单位,$A162,流水日期,"&gt;="&amp;$B$3,流水日期,"&lt;="&amp;$D$3,流水本位,"&lt;0"),2))</f>
        <v/>
      </c>
      <c r="D162" s="23" t="str">
        <f t="shared" si="4"/>
        <v/>
      </c>
      <c r="E162" s="4" t="str">
        <f>IF($A162="","",COUNTIFS(流水单位,$A162,流水日期,"&gt;="&amp;$B$3,流水日期,"&lt;="&amp;$D$3))</f>
        <v/>
      </c>
    </row>
    <row r="163" ht="16.5" spans="1:5">
      <c r="A163" s="6" t="str">
        <f>IF(参数设置!$T$75="","",参数设置!$T$75)</f>
        <v/>
      </c>
      <c r="B163" s="23" t="str">
        <f>IF($A163="","",ROUND(SUMIFS(流水本位,流水单位,$A163,流水日期,"&gt;="&amp;$B$3,流水日期,"&lt;="&amp;$D$3,流水本位,"&gt;0"),2))</f>
        <v/>
      </c>
      <c r="C163" s="23" t="str">
        <f>IF($A163="","",-ROUND(SUMIFS(流水本位,流水单位,$A163,流水日期,"&gt;="&amp;$B$3,流水日期,"&lt;="&amp;$D$3,流水本位,"&lt;0"),2))</f>
        <v/>
      </c>
      <c r="D163" s="23" t="str">
        <f t="shared" ref="D163:D226" si="5">IF($A163="","",ROUND($B163-$C163,2))</f>
        <v/>
      </c>
      <c r="E163" s="4" t="str">
        <f>IF($A163="","",COUNTIFS(流水单位,$A163,流水日期,"&gt;="&amp;$B$3,流水日期,"&lt;="&amp;$D$3))</f>
        <v/>
      </c>
    </row>
    <row r="164" ht="16.5" spans="1:5">
      <c r="A164" s="6" t="str">
        <f>IF(参数设置!$T$76="","",参数设置!$T$76)</f>
        <v/>
      </c>
      <c r="B164" s="23" t="str">
        <f>IF($A164="","",ROUND(SUMIFS(流水本位,流水单位,$A164,流水日期,"&gt;="&amp;$B$3,流水日期,"&lt;="&amp;$D$3,流水本位,"&gt;0"),2))</f>
        <v/>
      </c>
      <c r="C164" s="23" t="str">
        <f>IF($A164="","",-ROUND(SUMIFS(流水本位,流水单位,$A164,流水日期,"&gt;="&amp;$B$3,流水日期,"&lt;="&amp;$D$3,流水本位,"&lt;0"),2))</f>
        <v/>
      </c>
      <c r="D164" s="23" t="str">
        <f t="shared" si="5"/>
        <v/>
      </c>
      <c r="E164" s="4" t="str">
        <f>IF($A164="","",COUNTIFS(流水单位,$A164,流水日期,"&gt;="&amp;$B$3,流水日期,"&lt;="&amp;$D$3))</f>
        <v/>
      </c>
    </row>
    <row r="165" ht="16.5" spans="1:5">
      <c r="A165" s="6" t="str">
        <f>IF(参数设置!$T$77="","",参数设置!$T$77)</f>
        <v/>
      </c>
      <c r="B165" s="23" t="str">
        <f>IF($A165="","",ROUND(SUMIFS(流水本位,流水单位,$A165,流水日期,"&gt;="&amp;$B$3,流水日期,"&lt;="&amp;$D$3,流水本位,"&gt;0"),2))</f>
        <v/>
      </c>
      <c r="C165" s="23" t="str">
        <f>IF($A165="","",-ROUND(SUMIFS(流水本位,流水单位,$A165,流水日期,"&gt;="&amp;$B$3,流水日期,"&lt;="&amp;$D$3,流水本位,"&lt;0"),2))</f>
        <v/>
      </c>
      <c r="D165" s="23" t="str">
        <f t="shared" si="5"/>
        <v/>
      </c>
      <c r="E165" s="4" t="str">
        <f>IF($A165="","",COUNTIFS(流水单位,$A165,流水日期,"&gt;="&amp;$B$3,流水日期,"&lt;="&amp;$D$3))</f>
        <v/>
      </c>
    </row>
    <row r="166" ht="16.5" spans="1:5">
      <c r="A166" s="6" t="str">
        <f>IF(参数设置!$T$78="","",参数设置!$T$78)</f>
        <v/>
      </c>
      <c r="B166" s="23" t="str">
        <f>IF($A166="","",ROUND(SUMIFS(流水本位,流水单位,$A166,流水日期,"&gt;="&amp;$B$3,流水日期,"&lt;="&amp;$D$3,流水本位,"&gt;0"),2))</f>
        <v/>
      </c>
      <c r="C166" s="23" t="str">
        <f>IF($A166="","",-ROUND(SUMIFS(流水本位,流水单位,$A166,流水日期,"&gt;="&amp;$B$3,流水日期,"&lt;="&amp;$D$3,流水本位,"&lt;0"),2))</f>
        <v/>
      </c>
      <c r="D166" s="23" t="str">
        <f t="shared" si="5"/>
        <v/>
      </c>
      <c r="E166" s="4" t="str">
        <f>IF($A166="","",COUNTIFS(流水单位,$A166,流水日期,"&gt;="&amp;$B$3,流水日期,"&lt;="&amp;$D$3))</f>
        <v/>
      </c>
    </row>
    <row r="167" ht="16.5" spans="1:5">
      <c r="A167" s="6" t="str">
        <f>IF(参数设置!$T$79="","",参数设置!$T$79)</f>
        <v/>
      </c>
      <c r="B167" s="23" t="str">
        <f>IF($A167="","",ROUND(SUMIFS(流水本位,流水单位,$A167,流水日期,"&gt;="&amp;$B$3,流水日期,"&lt;="&amp;$D$3,流水本位,"&gt;0"),2))</f>
        <v/>
      </c>
      <c r="C167" s="23" t="str">
        <f>IF($A167="","",-ROUND(SUMIFS(流水本位,流水单位,$A167,流水日期,"&gt;="&amp;$B$3,流水日期,"&lt;="&amp;$D$3,流水本位,"&lt;0"),2))</f>
        <v/>
      </c>
      <c r="D167" s="23" t="str">
        <f t="shared" si="5"/>
        <v/>
      </c>
      <c r="E167" s="4" t="str">
        <f>IF($A167="","",COUNTIFS(流水单位,$A167,流水日期,"&gt;="&amp;$B$3,流水日期,"&lt;="&amp;$D$3))</f>
        <v/>
      </c>
    </row>
    <row r="168" ht="16.5" spans="1:5">
      <c r="A168" s="6" t="str">
        <f>IF(参数设置!$T$80="","",参数设置!$T$80)</f>
        <v/>
      </c>
      <c r="B168" s="23" t="str">
        <f>IF($A168="","",ROUND(SUMIFS(流水本位,流水单位,$A168,流水日期,"&gt;="&amp;$B$3,流水日期,"&lt;="&amp;$D$3,流水本位,"&gt;0"),2))</f>
        <v/>
      </c>
      <c r="C168" s="23" t="str">
        <f>IF($A168="","",-ROUND(SUMIFS(流水本位,流水单位,$A168,流水日期,"&gt;="&amp;$B$3,流水日期,"&lt;="&amp;$D$3,流水本位,"&lt;0"),2))</f>
        <v/>
      </c>
      <c r="D168" s="23" t="str">
        <f t="shared" si="5"/>
        <v/>
      </c>
      <c r="E168" s="4" t="str">
        <f>IF($A168="","",COUNTIFS(流水单位,$A168,流水日期,"&gt;="&amp;$B$3,流水日期,"&lt;="&amp;$D$3))</f>
        <v/>
      </c>
    </row>
    <row r="169" ht="16.5" spans="1:5">
      <c r="A169" s="6" t="str">
        <f>IF(参数设置!$T$81="","",参数设置!$T$81)</f>
        <v/>
      </c>
      <c r="B169" s="23" t="str">
        <f>IF($A169="","",ROUND(SUMIFS(流水本位,流水单位,$A169,流水日期,"&gt;="&amp;$B$3,流水日期,"&lt;="&amp;$D$3,流水本位,"&gt;0"),2))</f>
        <v/>
      </c>
      <c r="C169" s="23" t="str">
        <f>IF($A169="","",-ROUND(SUMIFS(流水本位,流水单位,$A169,流水日期,"&gt;="&amp;$B$3,流水日期,"&lt;="&amp;$D$3,流水本位,"&lt;0"),2))</f>
        <v/>
      </c>
      <c r="D169" s="23" t="str">
        <f t="shared" si="5"/>
        <v/>
      </c>
      <c r="E169" s="4" t="str">
        <f>IF($A169="","",COUNTIFS(流水单位,$A169,流水日期,"&gt;="&amp;$B$3,流水日期,"&lt;="&amp;$D$3))</f>
        <v/>
      </c>
    </row>
    <row r="170" ht="16.5" spans="1:5">
      <c r="A170" s="6" t="str">
        <f>IF(参数设置!$T$82="","",参数设置!$T$82)</f>
        <v/>
      </c>
      <c r="B170" s="23" t="str">
        <f>IF($A170="","",ROUND(SUMIFS(流水本位,流水单位,$A170,流水日期,"&gt;="&amp;$B$3,流水日期,"&lt;="&amp;$D$3,流水本位,"&gt;0"),2))</f>
        <v/>
      </c>
      <c r="C170" s="23" t="str">
        <f>IF($A170="","",-ROUND(SUMIFS(流水本位,流水单位,$A170,流水日期,"&gt;="&amp;$B$3,流水日期,"&lt;="&amp;$D$3,流水本位,"&lt;0"),2))</f>
        <v/>
      </c>
      <c r="D170" s="23" t="str">
        <f t="shared" si="5"/>
        <v/>
      </c>
      <c r="E170" s="4" t="str">
        <f>IF($A170="","",COUNTIFS(流水单位,$A170,流水日期,"&gt;="&amp;$B$3,流水日期,"&lt;="&amp;$D$3))</f>
        <v/>
      </c>
    </row>
    <row r="171" ht="16.5" spans="1:5">
      <c r="A171" s="6" t="str">
        <f>IF(参数设置!$T$83="","",参数设置!$T$83)</f>
        <v/>
      </c>
      <c r="B171" s="23" t="str">
        <f>IF($A171="","",ROUND(SUMIFS(流水本位,流水单位,$A171,流水日期,"&gt;="&amp;$B$3,流水日期,"&lt;="&amp;$D$3,流水本位,"&gt;0"),2))</f>
        <v/>
      </c>
      <c r="C171" s="23" t="str">
        <f>IF($A171="","",-ROUND(SUMIFS(流水本位,流水单位,$A171,流水日期,"&gt;="&amp;$B$3,流水日期,"&lt;="&amp;$D$3,流水本位,"&lt;0"),2))</f>
        <v/>
      </c>
      <c r="D171" s="23" t="str">
        <f t="shared" si="5"/>
        <v/>
      </c>
      <c r="E171" s="4" t="str">
        <f>IF($A171="","",COUNTIFS(流水单位,$A171,流水日期,"&gt;="&amp;$B$3,流水日期,"&lt;="&amp;$D$3))</f>
        <v/>
      </c>
    </row>
    <row r="172" ht="16.5" spans="1:5">
      <c r="A172" s="6" t="str">
        <f>IF(参数设置!$T$84="","",参数设置!$T$84)</f>
        <v/>
      </c>
      <c r="B172" s="23" t="str">
        <f>IF($A172="","",ROUND(SUMIFS(流水本位,流水单位,$A172,流水日期,"&gt;="&amp;$B$3,流水日期,"&lt;="&amp;$D$3,流水本位,"&gt;0"),2))</f>
        <v/>
      </c>
      <c r="C172" s="23" t="str">
        <f>IF($A172="","",-ROUND(SUMIFS(流水本位,流水单位,$A172,流水日期,"&gt;="&amp;$B$3,流水日期,"&lt;="&amp;$D$3,流水本位,"&lt;0"),2))</f>
        <v/>
      </c>
      <c r="D172" s="23" t="str">
        <f t="shared" si="5"/>
        <v/>
      </c>
      <c r="E172" s="4" t="str">
        <f>IF($A172="","",COUNTIFS(流水单位,$A172,流水日期,"&gt;="&amp;$B$3,流水日期,"&lt;="&amp;$D$3))</f>
        <v/>
      </c>
    </row>
    <row r="173" ht="16.5" spans="1:5">
      <c r="A173" s="6" t="str">
        <f>IF(参数设置!$T$85="","",参数设置!$T$85)</f>
        <v/>
      </c>
      <c r="B173" s="23" t="str">
        <f>IF($A173="","",ROUND(SUMIFS(流水本位,流水单位,$A173,流水日期,"&gt;="&amp;$B$3,流水日期,"&lt;="&amp;$D$3,流水本位,"&gt;0"),2))</f>
        <v/>
      </c>
      <c r="C173" s="23" t="str">
        <f>IF($A173="","",-ROUND(SUMIFS(流水本位,流水单位,$A173,流水日期,"&gt;="&amp;$B$3,流水日期,"&lt;="&amp;$D$3,流水本位,"&lt;0"),2))</f>
        <v/>
      </c>
      <c r="D173" s="23" t="str">
        <f t="shared" si="5"/>
        <v/>
      </c>
      <c r="E173" s="4" t="str">
        <f>IF($A173="","",COUNTIFS(流水单位,$A173,流水日期,"&gt;="&amp;$B$3,流水日期,"&lt;="&amp;$D$3))</f>
        <v/>
      </c>
    </row>
    <row r="174" ht="16.5" spans="1:5">
      <c r="A174" s="6" t="str">
        <f>IF(参数设置!$T$86="","",参数设置!$T$86)</f>
        <v/>
      </c>
      <c r="B174" s="23" t="str">
        <f>IF($A174="","",ROUND(SUMIFS(流水本位,流水单位,$A174,流水日期,"&gt;="&amp;$B$3,流水日期,"&lt;="&amp;$D$3,流水本位,"&gt;0"),2))</f>
        <v/>
      </c>
      <c r="C174" s="23" t="str">
        <f>IF($A174="","",-ROUND(SUMIFS(流水本位,流水单位,$A174,流水日期,"&gt;="&amp;$B$3,流水日期,"&lt;="&amp;$D$3,流水本位,"&lt;0"),2))</f>
        <v/>
      </c>
      <c r="D174" s="23" t="str">
        <f t="shared" si="5"/>
        <v/>
      </c>
      <c r="E174" s="4" t="str">
        <f>IF($A174="","",COUNTIFS(流水单位,$A174,流水日期,"&gt;="&amp;$B$3,流水日期,"&lt;="&amp;$D$3))</f>
        <v/>
      </c>
    </row>
    <row r="175" ht="16.5" spans="1:5">
      <c r="A175" s="6" t="str">
        <f>IF(参数设置!$T$87="","",参数设置!$T$87)</f>
        <v/>
      </c>
      <c r="B175" s="23" t="str">
        <f>IF($A175="","",ROUND(SUMIFS(流水本位,流水单位,$A175,流水日期,"&gt;="&amp;$B$3,流水日期,"&lt;="&amp;$D$3,流水本位,"&gt;0"),2))</f>
        <v/>
      </c>
      <c r="C175" s="23" t="str">
        <f>IF($A175="","",-ROUND(SUMIFS(流水本位,流水单位,$A175,流水日期,"&gt;="&amp;$B$3,流水日期,"&lt;="&amp;$D$3,流水本位,"&lt;0"),2))</f>
        <v/>
      </c>
      <c r="D175" s="23" t="str">
        <f t="shared" si="5"/>
        <v/>
      </c>
      <c r="E175" s="4" t="str">
        <f>IF($A175="","",COUNTIFS(流水单位,$A175,流水日期,"&gt;="&amp;$B$3,流水日期,"&lt;="&amp;$D$3))</f>
        <v/>
      </c>
    </row>
    <row r="176" ht="16.5" spans="1:5">
      <c r="A176" s="6" t="str">
        <f>IF(参数设置!$T$88="","",参数设置!$T$88)</f>
        <v/>
      </c>
      <c r="B176" s="23" t="str">
        <f>IF($A176="","",ROUND(SUMIFS(流水本位,流水单位,$A176,流水日期,"&gt;="&amp;$B$3,流水日期,"&lt;="&amp;$D$3,流水本位,"&gt;0"),2))</f>
        <v/>
      </c>
      <c r="C176" s="23" t="str">
        <f>IF($A176="","",-ROUND(SUMIFS(流水本位,流水单位,$A176,流水日期,"&gt;="&amp;$B$3,流水日期,"&lt;="&amp;$D$3,流水本位,"&lt;0"),2))</f>
        <v/>
      </c>
      <c r="D176" s="23" t="str">
        <f t="shared" si="5"/>
        <v/>
      </c>
      <c r="E176" s="4" t="str">
        <f>IF($A176="","",COUNTIFS(流水单位,$A176,流水日期,"&gt;="&amp;$B$3,流水日期,"&lt;="&amp;$D$3))</f>
        <v/>
      </c>
    </row>
    <row r="177" ht="16.5" spans="1:5">
      <c r="A177" s="6" t="str">
        <f>IF(参数设置!$T$89="","",参数设置!$T$89)</f>
        <v/>
      </c>
      <c r="B177" s="23" t="str">
        <f>IF($A177="","",ROUND(SUMIFS(流水本位,流水单位,$A177,流水日期,"&gt;="&amp;$B$3,流水日期,"&lt;="&amp;$D$3,流水本位,"&gt;0"),2))</f>
        <v/>
      </c>
      <c r="C177" s="23" t="str">
        <f>IF($A177="","",-ROUND(SUMIFS(流水本位,流水单位,$A177,流水日期,"&gt;="&amp;$B$3,流水日期,"&lt;="&amp;$D$3,流水本位,"&lt;0"),2))</f>
        <v/>
      </c>
      <c r="D177" s="23" t="str">
        <f t="shared" si="5"/>
        <v/>
      </c>
      <c r="E177" s="4" t="str">
        <f>IF($A177="","",COUNTIFS(流水单位,$A177,流水日期,"&gt;="&amp;$B$3,流水日期,"&lt;="&amp;$D$3))</f>
        <v/>
      </c>
    </row>
    <row r="178" ht="16.5" spans="1:5">
      <c r="A178" s="6" t="str">
        <f>IF(参数设置!$T$90="","",参数设置!$T$90)</f>
        <v/>
      </c>
      <c r="B178" s="23" t="str">
        <f>IF($A178="","",ROUND(SUMIFS(流水本位,流水单位,$A178,流水日期,"&gt;="&amp;$B$3,流水日期,"&lt;="&amp;$D$3,流水本位,"&gt;0"),2))</f>
        <v/>
      </c>
      <c r="C178" s="23" t="str">
        <f>IF($A178="","",-ROUND(SUMIFS(流水本位,流水单位,$A178,流水日期,"&gt;="&amp;$B$3,流水日期,"&lt;="&amp;$D$3,流水本位,"&lt;0"),2))</f>
        <v/>
      </c>
      <c r="D178" s="23" t="str">
        <f t="shared" si="5"/>
        <v/>
      </c>
      <c r="E178" s="4" t="str">
        <f>IF($A178="","",COUNTIFS(流水单位,$A178,流水日期,"&gt;="&amp;$B$3,流水日期,"&lt;="&amp;$D$3))</f>
        <v/>
      </c>
    </row>
    <row r="179" ht="16.5" spans="1:5">
      <c r="A179" s="6" t="str">
        <f>IF(参数设置!$T$91="","",参数设置!$T$91)</f>
        <v/>
      </c>
      <c r="B179" s="23" t="str">
        <f>IF($A179="","",ROUND(SUMIFS(流水本位,流水单位,$A179,流水日期,"&gt;="&amp;$B$3,流水日期,"&lt;="&amp;$D$3,流水本位,"&gt;0"),2))</f>
        <v/>
      </c>
      <c r="C179" s="23" t="str">
        <f>IF($A179="","",-ROUND(SUMIFS(流水本位,流水单位,$A179,流水日期,"&gt;="&amp;$B$3,流水日期,"&lt;="&amp;$D$3,流水本位,"&lt;0"),2))</f>
        <v/>
      </c>
      <c r="D179" s="23" t="str">
        <f t="shared" si="5"/>
        <v/>
      </c>
      <c r="E179" s="4" t="str">
        <f>IF($A179="","",COUNTIFS(流水单位,$A179,流水日期,"&gt;="&amp;$B$3,流水日期,"&lt;="&amp;$D$3))</f>
        <v/>
      </c>
    </row>
    <row r="180" ht="16.5" spans="1:5">
      <c r="A180" s="6" t="str">
        <f>IF(参数设置!$T$92="","",参数设置!$T$92)</f>
        <v/>
      </c>
      <c r="B180" s="23" t="str">
        <f>IF($A180="","",ROUND(SUMIFS(流水本位,流水单位,$A180,流水日期,"&gt;="&amp;$B$3,流水日期,"&lt;="&amp;$D$3,流水本位,"&gt;0"),2))</f>
        <v/>
      </c>
      <c r="C180" s="23" t="str">
        <f>IF($A180="","",-ROUND(SUMIFS(流水本位,流水单位,$A180,流水日期,"&gt;="&amp;$B$3,流水日期,"&lt;="&amp;$D$3,流水本位,"&lt;0"),2))</f>
        <v/>
      </c>
      <c r="D180" s="23" t="str">
        <f t="shared" si="5"/>
        <v/>
      </c>
      <c r="E180" s="4" t="str">
        <f>IF($A180="","",COUNTIFS(流水单位,$A180,流水日期,"&gt;="&amp;$B$3,流水日期,"&lt;="&amp;$D$3))</f>
        <v/>
      </c>
    </row>
    <row r="181" ht="16.5" spans="1:5">
      <c r="A181" s="6" t="str">
        <f>IF(参数设置!$T$93="","",参数设置!$T$93)</f>
        <v/>
      </c>
      <c r="B181" s="23" t="str">
        <f>IF($A181="","",ROUND(SUMIFS(流水本位,流水单位,$A181,流水日期,"&gt;="&amp;$B$3,流水日期,"&lt;="&amp;$D$3,流水本位,"&gt;0"),2))</f>
        <v/>
      </c>
      <c r="C181" s="23" t="str">
        <f>IF($A181="","",-ROUND(SUMIFS(流水本位,流水单位,$A181,流水日期,"&gt;="&amp;$B$3,流水日期,"&lt;="&amp;$D$3,流水本位,"&lt;0"),2))</f>
        <v/>
      </c>
      <c r="D181" s="23" t="str">
        <f t="shared" si="5"/>
        <v/>
      </c>
      <c r="E181" s="4" t="str">
        <f>IF($A181="","",COUNTIFS(流水单位,$A181,流水日期,"&gt;="&amp;$B$3,流水日期,"&lt;="&amp;$D$3))</f>
        <v/>
      </c>
    </row>
    <row r="182" ht="16.5" spans="1:5">
      <c r="A182" s="6" t="str">
        <f>IF(参数设置!$T$94="","",参数设置!$T$94)</f>
        <v/>
      </c>
      <c r="B182" s="23" t="str">
        <f>IF($A182="","",ROUND(SUMIFS(流水本位,流水单位,$A182,流水日期,"&gt;="&amp;$B$3,流水日期,"&lt;="&amp;$D$3,流水本位,"&gt;0"),2))</f>
        <v/>
      </c>
      <c r="C182" s="23" t="str">
        <f>IF($A182="","",-ROUND(SUMIFS(流水本位,流水单位,$A182,流水日期,"&gt;="&amp;$B$3,流水日期,"&lt;="&amp;$D$3,流水本位,"&lt;0"),2))</f>
        <v/>
      </c>
      <c r="D182" s="23" t="str">
        <f t="shared" si="5"/>
        <v/>
      </c>
      <c r="E182" s="4" t="str">
        <f>IF($A182="","",COUNTIFS(流水单位,$A182,流水日期,"&gt;="&amp;$B$3,流水日期,"&lt;="&amp;$D$3))</f>
        <v/>
      </c>
    </row>
    <row r="183" ht="16.5" spans="1:5">
      <c r="A183" s="6" t="str">
        <f>IF(参数设置!$T$95="","",参数设置!$T$95)</f>
        <v/>
      </c>
      <c r="B183" s="23" t="str">
        <f>IF($A183="","",ROUND(SUMIFS(流水本位,流水单位,$A183,流水日期,"&gt;="&amp;$B$3,流水日期,"&lt;="&amp;$D$3,流水本位,"&gt;0"),2))</f>
        <v/>
      </c>
      <c r="C183" s="23" t="str">
        <f>IF($A183="","",-ROUND(SUMIFS(流水本位,流水单位,$A183,流水日期,"&gt;="&amp;$B$3,流水日期,"&lt;="&amp;$D$3,流水本位,"&lt;0"),2))</f>
        <v/>
      </c>
      <c r="D183" s="23" t="str">
        <f t="shared" si="5"/>
        <v/>
      </c>
      <c r="E183" s="4" t="str">
        <f>IF($A183="","",COUNTIFS(流水单位,$A183,流水日期,"&gt;="&amp;$B$3,流水日期,"&lt;="&amp;$D$3))</f>
        <v/>
      </c>
    </row>
    <row r="184" ht="16.5" spans="1:5">
      <c r="A184" s="6" t="str">
        <f>IF(参数设置!$T$96="","",参数设置!$T$96)</f>
        <v/>
      </c>
      <c r="B184" s="23" t="str">
        <f>IF($A184="","",ROUND(SUMIFS(流水本位,流水单位,$A184,流水日期,"&gt;="&amp;$B$3,流水日期,"&lt;="&amp;$D$3,流水本位,"&gt;0"),2))</f>
        <v/>
      </c>
      <c r="C184" s="23" t="str">
        <f>IF($A184="","",-ROUND(SUMIFS(流水本位,流水单位,$A184,流水日期,"&gt;="&amp;$B$3,流水日期,"&lt;="&amp;$D$3,流水本位,"&lt;0"),2))</f>
        <v/>
      </c>
      <c r="D184" s="23" t="str">
        <f t="shared" si="5"/>
        <v/>
      </c>
      <c r="E184" s="4" t="str">
        <f>IF($A184="","",COUNTIFS(流水单位,$A184,流水日期,"&gt;="&amp;$B$3,流水日期,"&lt;="&amp;$D$3))</f>
        <v/>
      </c>
    </row>
    <row r="185" ht="16.5" spans="1:5">
      <c r="A185" s="6" t="str">
        <f>IF(参数设置!$T$97="","",参数设置!$T$97)</f>
        <v/>
      </c>
      <c r="B185" s="23" t="str">
        <f>IF($A185="","",ROUND(SUMIFS(流水本位,流水单位,$A185,流水日期,"&gt;="&amp;$B$3,流水日期,"&lt;="&amp;$D$3,流水本位,"&gt;0"),2))</f>
        <v/>
      </c>
      <c r="C185" s="23" t="str">
        <f>IF($A185="","",-ROUND(SUMIFS(流水本位,流水单位,$A185,流水日期,"&gt;="&amp;$B$3,流水日期,"&lt;="&amp;$D$3,流水本位,"&lt;0"),2))</f>
        <v/>
      </c>
      <c r="D185" s="23" t="str">
        <f t="shared" si="5"/>
        <v/>
      </c>
      <c r="E185" s="4" t="str">
        <f>IF($A185="","",COUNTIFS(流水单位,$A185,流水日期,"&gt;="&amp;$B$3,流水日期,"&lt;="&amp;$D$3))</f>
        <v/>
      </c>
    </row>
    <row r="186" ht="16.5" spans="1:5">
      <c r="A186" s="6" t="str">
        <f>IF(参数设置!$T$98="","",参数设置!$T$98)</f>
        <v/>
      </c>
      <c r="B186" s="23" t="str">
        <f>IF($A186="","",ROUND(SUMIFS(流水本位,流水单位,$A186,流水日期,"&gt;="&amp;$B$3,流水日期,"&lt;="&amp;$D$3,流水本位,"&gt;0"),2))</f>
        <v/>
      </c>
      <c r="C186" s="23" t="str">
        <f>IF($A186="","",-ROUND(SUMIFS(流水本位,流水单位,$A186,流水日期,"&gt;="&amp;$B$3,流水日期,"&lt;="&amp;$D$3,流水本位,"&lt;0"),2))</f>
        <v/>
      </c>
      <c r="D186" s="23" t="str">
        <f t="shared" si="5"/>
        <v/>
      </c>
      <c r="E186" s="4" t="str">
        <f>IF($A186="","",COUNTIFS(流水单位,$A186,流水日期,"&gt;="&amp;$B$3,流水日期,"&lt;="&amp;$D$3))</f>
        <v/>
      </c>
    </row>
    <row r="187" ht="16.5" spans="1:5">
      <c r="A187" s="6" t="str">
        <f>IF(参数设置!$T$99="","",参数设置!$T$99)</f>
        <v/>
      </c>
      <c r="B187" s="23" t="str">
        <f>IF($A187="","",ROUND(SUMIFS(流水本位,流水单位,$A187,流水日期,"&gt;="&amp;$B$3,流水日期,"&lt;="&amp;$D$3,流水本位,"&gt;0"),2))</f>
        <v/>
      </c>
      <c r="C187" s="23" t="str">
        <f>IF($A187="","",-ROUND(SUMIFS(流水本位,流水单位,$A187,流水日期,"&gt;="&amp;$B$3,流水日期,"&lt;="&amp;$D$3,流水本位,"&lt;0"),2))</f>
        <v/>
      </c>
      <c r="D187" s="23" t="str">
        <f t="shared" si="5"/>
        <v/>
      </c>
      <c r="E187" s="4" t="str">
        <f>IF($A187="","",COUNTIFS(流水单位,$A187,流水日期,"&gt;="&amp;$B$3,流水日期,"&lt;="&amp;$D$3))</f>
        <v/>
      </c>
    </row>
    <row r="188" ht="16.5" spans="1:5">
      <c r="A188" s="6" t="str">
        <f>IF(参数设置!$T$100="","",参数设置!$T$100)</f>
        <v/>
      </c>
      <c r="B188" s="23" t="str">
        <f>IF($A188="","",ROUND(SUMIFS(流水本位,流水单位,$A188,流水日期,"&gt;="&amp;$B$3,流水日期,"&lt;="&amp;$D$3,流水本位,"&gt;0"),2))</f>
        <v/>
      </c>
      <c r="C188" s="23" t="str">
        <f>IF($A188="","",-ROUND(SUMIFS(流水本位,流水单位,$A188,流水日期,"&gt;="&amp;$B$3,流水日期,"&lt;="&amp;$D$3,流水本位,"&lt;0"),2))</f>
        <v/>
      </c>
      <c r="D188" s="23" t="str">
        <f t="shared" si="5"/>
        <v/>
      </c>
      <c r="E188" s="4" t="str">
        <f>IF($A188="","",COUNTIFS(流水单位,$A188,流水日期,"&gt;="&amp;$B$3,流水日期,"&lt;="&amp;$D$3))</f>
        <v/>
      </c>
    </row>
    <row r="189" ht="16.5" spans="1:5">
      <c r="A189" s="6" t="str">
        <f>IF(参数设置!$T$101="","",参数设置!$T$101)</f>
        <v/>
      </c>
      <c r="B189" s="23" t="str">
        <f>IF($A189="","",ROUND(SUMIFS(流水本位,流水单位,$A189,流水日期,"&gt;="&amp;$B$3,流水日期,"&lt;="&amp;$D$3,流水本位,"&gt;0"),2))</f>
        <v/>
      </c>
      <c r="C189" s="23" t="str">
        <f>IF($A189="","",-ROUND(SUMIFS(流水本位,流水单位,$A189,流水日期,"&gt;="&amp;$B$3,流水日期,"&lt;="&amp;$D$3,流水本位,"&lt;0"),2))</f>
        <v/>
      </c>
      <c r="D189" s="23" t="str">
        <f t="shared" si="5"/>
        <v/>
      </c>
      <c r="E189" s="4" t="str">
        <f>IF($A189="","",COUNTIFS(流水单位,$A189,流水日期,"&gt;="&amp;$B$3,流水日期,"&lt;="&amp;$D$3))</f>
        <v/>
      </c>
    </row>
    <row r="190" ht="16.5" spans="1:5">
      <c r="A190" s="6" t="str">
        <f>IF(参数设置!$T$102="","",参数设置!$T$102)</f>
        <v/>
      </c>
      <c r="B190" s="23" t="str">
        <f>IF($A190="","",ROUND(SUMIFS(流水本位,流水单位,$A190,流水日期,"&gt;="&amp;$B$3,流水日期,"&lt;="&amp;$D$3,流水本位,"&gt;0"),2))</f>
        <v/>
      </c>
      <c r="C190" s="23" t="str">
        <f>IF($A190="","",-ROUND(SUMIFS(流水本位,流水单位,$A190,流水日期,"&gt;="&amp;$B$3,流水日期,"&lt;="&amp;$D$3,流水本位,"&lt;0"),2))</f>
        <v/>
      </c>
      <c r="D190" s="23" t="str">
        <f t="shared" si="5"/>
        <v/>
      </c>
      <c r="E190" s="4" t="str">
        <f>IF($A190="","",COUNTIFS(流水单位,$A190,流水日期,"&gt;="&amp;$B$3,流水日期,"&lt;="&amp;$D$3))</f>
        <v/>
      </c>
    </row>
    <row r="191" ht="16.5" spans="1:5">
      <c r="A191" s="6" t="str">
        <f>IF(参数设置!$T$103="","",参数设置!$T$103)</f>
        <v/>
      </c>
      <c r="B191" s="23" t="str">
        <f>IF($A191="","",ROUND(SUMIFS(流水本位,流水单位,$A191,流水日期,"&gt;="&amp;$B$3,流水日期,"&lt;="&amp;$D$3,流水本位,"&gt;0"),2))</f>
        <v/>
      </c>
      <c r="C191" s="23" t="str">
        <f>IF($A191="","",-ROUND(SUMIFS(流水本位,流水单位,$A191,流水日期,"&gt;="&amp;$B$3,流水日期,"&lt;="&amp;$D$3,流水本位,"&lt;0"),2))</f>
        <v/>
      </c>
      <c r="D191" s="23" t="str">
        <f t="shared" si="5"/>
        <v/>
      </c>
      <c r="E191" s="4" t="str">
        <f>IF($A191="","",COUNTIFS(流水单位,$A191,流水日期,"&gt;="&amp;$B$3,流水日期,"&lt;="&amp;$D$3))</f>
        <v/>
      </c>
    </row>
    <row r="192" ht="16.5" spans="1:5">
      <c r="A192" s="6" t="str">
        <f>IF(参数设置!$T$104="","",参数设置!$T$104)</f>
        <v/>
      </c>
      <c r="B192" s="23" t="str">
        <f>IF($A192="","",ROUND(SUMIFS(流水本位,流水单位,$A192,流水日期,"&gt;="&amp;$B$3,流水日期,"&lt;="&amp;$D$3,流水本位,"&gt;0"),2))</f>
        <v/>
      </c>
      <c r="C192" s="23" t="str">
        <f>IF($A192="","",-ROUND(SUMIFS(流水本位,流水单位,$A192,流水日期,"&gt;="&amp;$B$3,流水日期,"&lt;="&amp;$D$3,流水本位,"&lt;0"),2))</f>
        <v/>
      </c>
      <c r="D192" s="23" t="str">
        <f t="shared" si="5"/>
        <v/>
      </c>
      <c r="E192" s="4" t="str">
        <f>IF($A192="","",COUNTIFS(流水单位,$A192,流水日期,"&gt;="&amp;$B$3,流水日期,"&lt;="&amp;$D$3))</f>
        <v/>
      </c>
    </row>
    <row r="193" ht="16.5" spans="1:5">
      <c r="A193" s="6" t="str">
        <f>IF(参数设置!$T$105="","",参数设置!$T$105)</f>
        <v/>
      </c>
      <c r="B193" s="23" t="str">
        <f>IF($A193="","",ROUND(SUMIFS(流水本位,流水单位,$A193,流水日期,"&gt;="&amp;$B$3,流水日期,"&lt;="&amp;$D$3,流水本位,"&gt;0"),2))</f>
        <v/>
      </c>
      <c r="C193" s="23" t="str">
        <f>IF($A193="","",-ROUND(SUMIFS(流水本位,流水单位,$A193,流水日期,"&gt;="&amp;$B$3,流水日期,"&lt;="&amp;$D$3,流水本位,"&lt;0"),2))</f>
        <v/>
      </c>
      <c r="D193" s="23" t="str">
        <f t="shared" si="5"/>
        <v/>
      </c>
      <c r="E193" s="4" t="str">
        <f>IF($A193="","",COUNTIFS(流水单位,$A193,流水日期,"&gt;="&amp;$B$3,流水日期,"&lt;="&amp;$D$3))</f>
        <v/>
      </c>
    </row>
    <row r="194" ht="16.5" spans="1:5">
      <c r="A194" s="6" t="str">
        <f>IF(参数设置!$T$106="","",参数设置!$T$106)</f>
        <v/>
      </c>
      <c r="B194" s="23" t="str">
        <f>IF($A194="","",ROUND(SUMIFS(流水本位,流水单位,$A194,流水日期,"&gt;="&amp;$B$3,流水日期,"&lt;="&amp;$D$3,流水本位,"&gt;0"),2))</f>
        <v/>
      </c>
      <c r="C194" s="23" t="str">
        <f>IF($A194="","",-ROUND(SUMIFS(流水本位,流水单位,$A194,流水日期,"&gt;="&amp;$B$3,流水日期,"&lt;="&amp;$D$3,流水本位,"&lt;0"),2))</f>
        <v/>
      </c>
      <c r="D194" s="23" t="str">
        <f t="shared" si="5"/>
        <v/>
      </c>
      <c r="E194" s="4" t="str">
        <f>IF($A194="","",COUNTIFS(流水单位,$A194,流水日期,"&gt;="&amp;$B$3,流水日期,"&lt;="&amp;$D$3))</f>
        <v/>
      </c>
    </row>
    <row r="195" ht="16.5" spans="1:5">
      <c r="A195" s="6" t="str">
        <f>IF(参数设置!$T$107="","",参数设置!$T$107)</f>
        <v/>
      </c>
      <c r="B195" s="23" t="str">
        <f>IF($A195="","",ROUND(SUMIFS(流水本位,流水单位,$A195,流水日期,"&gt;="&amp;$B$3,流水日期,"&lt;="&amp;$D$3,流水本位,"&gt;0"),2))</f>
        <v/>
      </c>
      <c r="C195" s="23" t="str">
        <f>IF($A195="","",-ROUND(SUMIFS(流水本位,流水单位,$A195,流水日期,"&gt;="&amp;$B$3,流水日期,"&lt;="&amp;$D$3,流水本位,"&lt;0"),2))</f>
        <v/>
      </c>
      <c r="D195" s="23" t="str">
        <f t="shared" si="5"/>
        <v/>
      </c>
      <c r="E195" s="4" t="str">
        <f>IF($A195="","",COUNTIFS(流水单位,$A195,流水日期,"&gt;="&amp;$B$3,流水日期,"&lt;="&amp;$D$3))</f>
        <v/>
      </c>
    </row>
    <row r="196" ht="16.5" spans="1:5">
      <c r="A196" s="6" t="str">
        <f>IF(参数设置!$T$108="","",参数设置!$T$108)</f>
        <v/>
      </c>
      <c r="B196" s="23" t="str">
        <f>IF($A196="","",ROUND(SUMIFS(流水本位,流水单位,$A196,流水日期,"&gt;="&amp;$B$3,流水日期,"&lt;="&amp;$D$3,流水本位,"&gt;0"),2))</f>
        <v/>
      </c>
      <c r="C196" s="23" t="str">
        <f>IF($A196="","",-ROUND(SUMIFS(流水本位,流水单位,$A196,流水日期,"&gt;="&amp;$B$3,流水日期,"&lt;="&amp;$D$3,流水本位,"&lt;0"),2))</f>
        <v/>
      </c>
      <c r="D196" s="23" t="str">
        <f t="shared" si="5"/>
        <v/>
      </c>
      <c r="E196" s="4" t="str">
        <f>IF($A196="","",COUNTIFS(流水单位,$A196,流水日期,"&gt;="&amp;$B$3,流水日期,"&lt;="&amp;$D$3))</f>
        <v/>
      </c>
    </row>
    <row r="197" ht="16.5" spans="1:5">
      <c r="A197" s="6" t="str">
        <f>IF(参数设置!$T$109="","",参数设置!$T$109)</f>
        <v/>
      </c>
      <c r="B197" s="23" t="str">
        <f>IF($A197="","",ROUND(SUMIFS(流水本位,流水单位,$A197,流水日期,"&gt;="&amp;$B$3,流水日期,"&lt;="&amp;$D$3,流水本位,"&gt;0"),2))</f>
        <v/>
      </c>
      <c r="C197" s="23" t="str">
        <f>IF($A197="","",-ROUND(SUMIFS(流水本位,流水单位,$A197,流水日期,"&gt;="&amp;$B$3,流水日期,"&lt;="&amp;$D$3,流水本位,"&lt;0"),2))</f>
        <v/>
      </c>
      <c r="D197" s="23" t="str">
        <f t="shared" si="5"/>
        <v/>
      </c>
      <c r="E197" s="4" t="str">
        <f>IF($A197="","",COUNTIFS(流水单位,$A197,流水日期,"&gt;="&amp;$B$3,流水日期,"&lt;="&amp;$D$3))</f>
        <v/>
      </c>
    </row>
    <row r="198" ht="16.5" spans="1:5">
      <c r="A198" s="6" t="str">
        <f>IF(参数设置!$T$110="","",参数设置!$T$110)</f>
        <v/>
      </c>
      <c r="B198" s="23" t="str">
        <f>IF($A198="","",ROUND(SUMIFS(流水本位,流水单位,$A198,流水日期,"&gt;="&amp;$B$3,流水日期,"&lt;="&amp;$D$3,流水本位,"&gt;0"),2))</f>
        <v/>
      </c>
      <c r="C198" s="23" t="str">
        <f>IF($A198="","",-ROUND(SUMIFS(流水本位,流水单位,$A198,流水日期,"&gt;="&amp;$B$3,流水日期,"&lt;="&amp;$D$3,流水本位,"&lt;0"),2))</f>
        <v/>
      </c>
      <c r="D198" s="23" t="str">
        <f t="shared" si="5"/>
        <v/>
      </c>
      <c r="E198" s="4" t="str">
        <f>IF($A198="","",COUNTIFS(流水单位,$A198,流水日期,"&gt;="&amp;$B$3,流水日期,"&lt;="&amp;$D$3))</f>
        <v/>
      </c>
    </row>
    <row r="199" ht="16.5" spans="1:5">
      <c r="A199" s="6" t="str">
        <f>IF(参数设置!$T$111="","",参数设置!$T$111)</f>
        <v/>
      </c>
      <c r="B199" s="23" t="str">
        <f>IF($A199="","",ROUND(SUMIFS(流水本位,流水单位,$A199,流水日期,"&gt;="&amp;$B$3,流水日期,"&lt;="&amp;$D$3,流水本位,"&gt;0"),2))</f>
        <v/>
      </c>
      <c r="C199" s="23" t="str">
        <f>IF($A199="","",-ROUND(SUMIFS(流水本位,流水单位,$A199,流水日期,"&gt;="&amp;$B$3,流水日期,"&lt;="&amp;$D$3,流水本位,"&lt;0"),2))</f>
        <v/>
      </c>
      <c r="D199" s="23" t="str">
        <f t="shared" si="5"/>
        <v/>
      </c>
      <c r="E199" s="4" t="str">
        <f>IF($A199="","",COUNTIFS(流水单位,$A199,流水日期,"&gt;="&amp;$B$3,流水日期,"&lt;="&amp;$D$3))</f>
        <v/>
      </c>
    </row>
    <row r="200" ht="16.5" spans="1:5">
      <c r="A200" s="6" t="str">
        <f>IF(参数设置!$T$112="","",参数设置!$T$112)</f>
        <v/>
      </c>
      <c r="B200" s="23" t="str">
        <f>IF($A200="","",ROUND(SUMIFS(流水本位,流水单位,$A200,流水日期,"&gt;="&amp;$B$3,流水日期,"&lt;="&amp;$D$3,流水本位,"&gt;0"),2))</f>
        <v/>
      </c>
      <c r="C200" s="23" t="str">
        <f>IF($A200="","",-ROUND(SUMIFS(流水本位,流水单位,$A200,流水日期,"&gt;="&amp;$B$3,流水日期,"&lt;="&amp;$D$3,流水本位,"&lt;0"),2))</f>
        <v/>
      </c>
      <c r="D200" s="23" t="str">
        <f t="shared" si="5"/>
        <v/>
      </c>
      <c r="E200" s="4" t="str">
        <f>IF($A200="","",COUNTIFS(流水单位,$A200,流水日期,"&gt;="&amp;$B$3,流水日期,"&lt;="&amp;$D$3))</f>
        <v/>
      </c>
    </row>
    <row r="201" ht="16.5" spans="1:5">
      <c r="A201" s="6" t="str">
        <f>IF(参数设置!$T$113="","",参数设置!$T$113)</f>
        <v/>
      </c>
      <c r="B201" s="23" t="str">
        <f>IF($A201="","",ROUND(SUMIFS(流水本位,流水单位,$A201,流水日期,"&gt;="&amp;$B$3,流水日期,"&lt;="&amp;$D$3,流水本位,"&gt;0"),2))</f>
        <v/>
      </c>
      <c r="C201" s="23" t="str">
        <f>IF($A201="","",-ROUND(SUMIFS(流水本位,流水单位,$A201,流水日期,"&gt;="&amp;$B$3,流水日期,"&lt;="&amp;$D$3,流水本位,"&lt;0"),2))</f>
        <v/>
      </c>
      <c r="D201" s="23" t="str">
        <f t="shared" si="5"/>
        <v/>
      </c>
      <c r="E201" s="4" t="str">
        <f>IF($A201="","",COUNTIFS(流水单位,$A201,流水日期,"&gt;="&amp;$B$3,流水日期,"&lt;="&amp;$D$3))</f>
        <v/>
      </c>
    </row>
    <row r="202" ht="16.5" spans="1:5">
      <c r="A202" s="6" t="str">
        <f>IF(参数设置!$T$114="","",参数设置!$T$114)</f>
        <v/>
      </c>
      <c r="B202" s="23" t="str">
        <f>IF($A202="","",ROUND(SUMIFS(流水本位,流水单位,$A202,流水日期,"&gt;="&amp;$B$3,流水日期,"&lt;="&amp;$D$3,流水本位,"&gt;0"),2))</f>
        <v/>
      </c>
      <c r="C202" s="23" t="str">
        <f>IF($A202="","",-ROUND(SUMIFS(流水本位,流水单位,$A202,流水日期,"&gt;="&amp;$B$3,流水日期,"&lt;="&amp;$D$3,流水本位,"&lt;0"),2))</f>
        <v/>
      </c>
      <c r="D202" s="23" t="str">
        <f t="shared" si="5"/>
        <v/>
      </c>
      <c r="E202" s="4" t="str">
        <f>IF($A202="","",COUNTIFS(流水单位,$A202,流水日期,"&gt;="&amp;$B$3,流水日期,"&lt;="&amp;$D$3))</f>
        <v/>
      </c>
    </row>
    <row r="203" ht="16.5" spans="1:5">
      <c r="A203" s="6" t="str">
        <f>IF(参数设置!$T$115="","",参数设置!$T$115)</f>
        <v/>
      </c>
      <c r="B203" s="23" t="str">
        <f>IF($A203="","",ROUND(SUMIFS(流水本位,流水单位,$A203,流水日期,"&gt;="&amp;$B$3,流水日期,"&lt;="&amp;$D$3,流水本位,"&gt;0"),2))</f>
        <v/>
      </c>
      <c r="C203" s="23" t="str">
        <f>IF($A203="","",-ROUND(SUMIFS(流水本位,流水单位,$A203,流水日期,"&gt;="&amp;$B$3,流水日期,"&lt;="&amp;$D$3,流水本位,"&lt;0"),2))</f>
        <v/>
      </c>
      <c r="D203" s="23" t="str">
        <f t="shared" si="5"/>
        <v/>
      </c>
      <c r="E203" s="4" t="str">
        <f>IF($A203="","",COUNTIFS(流水单位,$A203,流水日期,"&gt;="&amp;$B$3,流水日期,"&lt;="&amp;$D$3))</f>
        <v/>
      </c>
    </row>
    <row r="204" ht="16.5" spans="1:5">
      <c r="A204" s="6" t="str">
        <f>IF(参数设置!$T$116="","",参数设置!$T$116)</f>
        <v/>
      </c>
      <c r="B204" s="23" t="str">
        <f>IF($A204="","",ROUND(SUMIFS(流水本位,流水单位,$A204,流水日期,"&gt;="&amp;$B$3,流水日期,"&lt;="&amp;$D$3,流水本位,"&gt;0"),2))</f>
        <v/>
      </c>
      <c r="C204" s="23" t="str">
        <f>IF($A204="","",-ROUND(SUMIFS(流水本位,流水单位,$A204,流水日期,"&gt;="&amp;$B$3,流水日期,"&lt;="&amp;$D$3,流水本位,"&lt;0"),2))</f>
        <v/>
      </c>
      <c r="D204" s="23" t="str">
        <f t="shared" si="5"/>
        <v/>
      </c>
      <c r="E204" s="4" t="str">
        <f>IF($A204="","",COUNTIFS(流水单位,$A204,流水日期,"&gt;="&amp;$B$3,流水日期,"&lt;="&amp;$D$3))</f>
        <v/>
      </c>
    </row>
    <row r="205" ht="16.5" spans="1:5">
      <c r="A205" s="6" t="str">
        <f>IF(参数设置!$T$117="","",参数设置!$T$117)</f>
        <v/>
      </c>
      <c r="B205" s="23" t="str">
        <f>IF($A205="","",ROUND(SUMIFS(流水本位,流水单位,$A205,流水日期,"&gt;="&amp;$B$3,流水日期,"&lt;="&amp;$D$3,流水本位,"&gt;0"),2))</f>
        <v/>
      </c>
      <c r="C205" s="23" t="str">
        <f>IF($A205="","",-ROUND(SUMIFS(流水本位,流水单位,$A205,流水日期,"&gt;="&amp;$B$3,流水日期,"&lt;="&amp;$D$3,流水本位,"&lt;0"),2))</f>
        <v/>
      </c>
      <c r="D205" s="23" t="str">
        <f t="shared" si="5"/>
        <v/>
      </c>
      <c r="E205" s="4" t="str">
        <f>IF($A205="","",COUNTIFS(流水单位,$A205,流水日期,"&gt;="&amp;$B$3,流水日期,"&lt;="&amp;$D$3))</f>
        <v/>
      </c>
    </row>
    <row r="206" ht="16.5" spans="1:5">
      <c r="A206" s="6" t="str">
        <f>IF(参数设置!$T$118="","",参数设置!$T$118)</f>
        <v/>
      </c>
      <c r="B206" s="23" t="str">
        <f>IF($A206="","",ROUND(SUMIFS(流水本位,流水单位,$A206,流水日期,"&gt;="&amp;$B$3,流水日期,"&lt;="&amp;$D$3,流水本位,"&gt;0"),2))</f>
        <v/>
      </c>
      <c r="C206" s="23" t="str">
        <f>IF($A206="","",-ROUND(SUMIFS(流水本位,流水单位,$A206,流水日期,"&gt;="&amp;$B$3,流水日期,"&lt;="&amp;$D$3,流水本位,"&lt;0"),2))</f>
        <v/>
      </c>
      <c r="D206" s="23" t="str">
        <f t="shared" si="5"/>
        <v/>
      </c>
      <c r="E206" s="4" t="str">
        <f>IF($A206="","",COUNTIFS(流水单位,$A206,流水日期,"&gt;="&amp;$B$3,流水日期,"&lt;="&amp;$D$3))</f>
        <v/>
      </c>
    </row>
    <row r="207" ht="16.5" spans="1:5">
      <c r="A207" s="6" t="str">
        <f>IF(参数设置!$T$119="","",参数设置!$T$119)</f>
        <v/>
      </c>
      <c r="B207" s="23" t="str">
        <f>IF($A207="","",ROUND(SUMIFS(流水本位,流水单位,$A207,流水日期,"&gt;="&amp;$B$3,流水日期,"&lt;="&amp;$D$3,流水本位,"&gt;0"),2))</f>
        <v/>
      </c>
      <c r="C207" s="23" t="str">
        <f>IF($A207="","",-ROUND(SUMIFS(流水本位,流水单位,$A207,流水日期,"&gt;="&amp;$B$3,流水日期,"&lt;="&amp;$D$3,流水本位,"&lt;0"),2))</f>
        <v/>
      </c>
      <c r="D207" s="23" t="str">
        <f t="shared" si="5"/>
        <v/>
      </c>
      <c r="E207" s="4" t="str">
        <f>IF($A207="","",COUNTIFS(流水单位,$A207,流水日期,"&gt;="&amp;$B$3,流水日期,"&lt;="&amp;$D$3))</f>
        <v/>
      </c>
    </row>
    <row r="208" ht="16.5" spans="1:5">
      <c r="A208" s="6" t="str">
        <f>IF(参数设置!$T$120="","",参数设置!$T$120)</f>
        <v/>
      </c>
      <c r="B208" s="23" t="str">
        <f>IF($A208="","",ROUND(SUMIFS(流水本位,流水单位,$A208,流水日期,"&gt;="&amp;$B$3,流水日期,"&lt;="&amp;$D$3,流水本位,"&gt;0"),2))</f>
        <v/>
      </c>
      <c r="C208" s="23" t="str">
        <f>IF($A208="","",-ROUND(SUMIFS(流水本位,流水单位,$A208,流水日期,"&gt;="&amp;$B$3,流水日期,"&lt;="&amp;$D$3,流水本位,"&lt;0"),2))</f>
        <v/>
      </c>
      <c r="D208" s="23" t="str">
        <f t="shared" si="5"/>
        <v/>
      </c>
      <c r="E208" s="4" t="str">
        <f>IF($A208="","",COUNTIFS(流水单位,$A208,流水日期,"&gt;="&amp;$B$3,流水日期,"&lt;="&amp;$D$3))</f>
        <v/>
      </c>
    </row>
    <row r="209" ht="16.5" spans="1:5">
      <c r="A209" s="6" t="str">
        <f>IF(参数设置!$T$121="","",参数设置!$T$121)</f>
        <v/>
      </c>
      <c r="B209" s="23" t="str">
        <f>IF($A209="","",ROUND(SUMIFS(流水本位,流水单位,$A209,流水日期,"&gt;="&amp;$B$3,流水日期,"&lt;="&amp;$D$3,流水本位,"&gt;0"),2))</f>
        <v/>
      </c>
      <c r="C209" s="23" t="str">
        <f>IF($A209="","",-ROUND(SUMIFS(流水本位,流水单位,$A209,流水日期,"&gt;="&amp;$B$3,流水日期,"&lt;="&amp;$D$3,流水本位,"&lt;0"),2))</f>
        <v/>
      </c>
      <c r="D209" s="23" t="str">
        <f t="shared" si="5"/>
        <v/>
      </c>
      <c r="E209" s="4" t="str">
        <f>IF($A209="","",COUNTIFS(流水单位,$A209,流水日期,"&gt;="&amp;$B$3,流水日期,"&lt;="&amp;$D$3))</f>
        <v/>
      </c>
    </row>
    <row r="210" ht="16.5" spans="1:5">
      <c r="A210" s="6" t="str">
        <f>IF(参数设置!$T$122="","",参数设置!$T$122)</f>
        <v/>
      </c>
      <c r="B210" s="23" t="str">
        <f>IF($A210="","",ROUND(SUMIFS(流水本位,流水单位,$A210,流水日期,"&gt;="&amp;$B$3,流水日期,"&lt;="&amp;$D$3,流水本位,"&gt;0"),2))</f>
        <v/>
      </c>
      <c r="C210" s="23" t="str">
        <f>IF($A210="","",-ROUND(SUMIFS(流水本位,流水单位,$A210,流水日期,"&gt;="&amp;$B$3,流水日期,"&lt;="&amp;$D$3,流水本位,"&lt;0"),2))</f>
        <v/>
      </c>
      <c r="D210" s="23" t="str">
        <f t="shared" si="5"/>
        <v/>
      </c>
      <c r="E210" s="4" t="str">
        <f>IF($A210="","",COUNTIFS(流水单位,$A210,流水日期,"&gt;="&amp;$B$3,流水日期,"&lt;="&amp;$D$3))</f>
        <v/>
      </c>
    </row>
    <row r="211" ht="16.5" spans="1:5">
      <c r="A211" s="6" t="str">
        <f>IF(参数设置!$T$123="","",参数设置!$T$123)</f>
        <v/>
      </c>
      <c r="B211" s="23" t="str">
        <f>IF($A211="","",ROUND(SUMIFS(流水本位,流水单位,$A211,流水日期,"&gt;="&amp;$B$3,流水日期,"&lt;="&amp;$D$3,流水本位,"&gt;0"),2))</f>
        <v/>
      </c>
      <c r="C211" s="23" t="str">
        <f>IF($A211="","",-ROUND(SUMIFS(流水本位,流水单位,$A211,流水日期,"&gt;="&amp;$B$3,流水日期,"&lt;="&amp;$D$3,流水本位,"&lt;0"),2))</f>
        <v/>
      </c>
      <c r="D211" s="23" t="str">
        <f t="shared" si="5"/>
        <v/>
      </c>
      <c r="E211" s="4" t="str">
        <f>IF($A211="","",COUNTIFS(流水单位,$A211,流水日期,"&gt;="&amp;$B$3,流水日期,"&lt;="&amp;$D$3))</f>
        <v/>
      </c>
    </row>
    <row r="212" ht="16.5" spans="1:5">
      <c r="A212" s="6" t="str">
        <f>IF(参数设置!$T$124="","",参数设置!$T$124)</f>
        <v/>
      </c>
      <c r="B212" s="23" t="str">
        <f>IF($A212="","",ROUND(SUMIFS(流水本位,流水单位,$A212,流水日期,"&gt;="&amp;$B$3,流水日期,"&lt;="&amp;$D$3,流水本位,"&gt;0"),2))</f>
        <v/>
      </c>
      <c r="C212" s="23" t="str">
        <f>IF($A212="","",-ROUND(SUMIFS(流水本位,流水单位,$A212,流水日期,"&gt;="&amp;$B$3,流水日期,"&lt;="&amp;$D$3,流水本位,"&lt;0"),2))</f>
        <v/>
      </c>
      <c r="D212" s="23" t="str">
        <f t="shared" si="5"/>
        <v/>
      </c>
      <c r="E212" s="4" t="str">
        <f>IF($A212="","",COUNTIFS(流水单位,$A212,流水日期,"&gt;="&amp;$B$3,流水日期,"&lt;="&amp;$D$3))</f>
        <v/>
      </c>
    </row>
    <row r="213" ht="16.5" spans="1:5">
      <c r="A213" s="6" t="str">
        <f>IF(参数设置!$T$125="","",参数设置!$T$125)</f>
        <v/>
      </c>
      <c r="B213" s="23" t="str">
        <f>IF($A213="","",ROUND(SUMIFS(流水本位,流水单位,$A213,流水日期,"&gt;="&amp;$B$3,流水日期,"&lt;="&amp;$D$3,流水本位,"&gt;0"),2))</f>
        <v/>
      </c>
      <c r="C213" s="23" t="str">
        <f>IF($A213="","",-ROUND(SUMIFS(流水本位,流水单位,$A213,流水日期,"&gt;="&amp;$B$3,流水日期,"&lt;="&amp;$D$3,流水本位,"&lt;0"),2))</f>
        <v/>
      </c>
      <c r="D213" s="23" t="str">
        <f t="shared" si="5"/>
        <v/>
      </c>
      <c r="E213" s="4" t="str">
        <f>IF($A213="","",COUNTIFS(流水单位,$A213,流水日期,"&gt;="&amp;$B$3,流水日期,"&lt;="&amp;$D$3))</f>
        <v/>
      </c>
    </row>
    <row r="214" ht="16.5" spans="1:5">
      <c r="A214" s="6" t="str">
        <f>IF(参数设置!$T$126="","",参数设置!$T$126)</f>
        <v/>
      </c>
      <c r="B214" s="23" t="str">
        <f>IF($A214="","",ROUND(SUMIFS(流水本位,流水单位,$A214,流水日期,"&gt;="&amp;$B$3,流水日期,"&lt;="&amp;$D$3,流水本位,"&gt;0"),2))</f>
        <v/>
      </c>
      <c r="C214" s="23" t="str">
        <f>IF($A214="","",-ROUND(SUMIFS(流水本位,流水单位,$A214,流水日期,"&gt;="&amp;$B$3,流水日期,"&lt;="&amp;$D$3,流水本位,"&lt;0"),2))</f>
        <v/>
      </c>
      <c r="D214" s="23" t="str">
        <f t="shared" si="5"/>
        <v/>
      </c>
      <c r="E214" s="4" t="str">
        <f>IF($A214="","",COUNTIFS(流水单位,$A214,流水日期,"&gt;="&amp;$B$3,流水日期,"&lt;="&amp;$D$3))</f>
        <v/>
      </c>
    </row>
    <row r="215" ht="16.5" spans="1:5">
      <c r="A215" s="6" t="str">
        <f>IF(参数设置!$T$127="","",参数设置!$T$127)</f>
        <v/>
      </c>
      <c r="B215" s="23" t="str">
        <f>IF($A215="","",ROUND(SUMIFS(流水本位,流水单位,$A215,流水日期,"&gt;="&amp;$B$3,流水日期,"&lt;="&amp;$D$3,流水本位,"&gt;0"),2))</f>
        <v/>
      </c>
      <c r="C215" s="23" t="str">
        <f>IF($A215="","",-ROUND(SUMIFS(流水本位,流水单位,$A215,流水日期,"&gt;="&amp;$B$3,流水日期,"&lt;="&amp;$D$3,流水本位,"&lt;0"),2))</f>
        <v/>
      </c>
      <c r="D215" s="23" t="str">
        <f t="shared" si="5"/>
        <v/>
      </c>
      <c r="E215" s="4" t="str">
        <f>IF($A215="","",COUNTIFS(流水单位,$A215,流水日期,"&gt;="&amp;$B$3,流水日期,"&lt;="&amp;$D$3))</f>
        <v/>
      </c>
    </row>
    <row r="216" ht="16.5" spans="1:5">
      <c r="A216" s="6" t="str">
        <f>IF(参数设置!$T$128="","",参数设置!$T$128)</f>
        <v/>
      </c>
      <c r="B216" s="23" t="str">
        <f>IF($A216="","",ROUND(SUMIFS(流水本位,流水单位,$A216,流水日期,"&gt;="&amp;$B$3,流水日期,"&lt;="&amp;$D$3,流水本位,"&gt;0"),2))</f>
        <v/>
      </c>
      <c r="C216" s="23" t="str">
        <f>IF($A216="","",-ROUND(SUMIFS(流水本位,流水单位,$A216,流水日期,"&gt;="&amp;$B$3,流水日期,"&lt;="&amp;$D$3,流水本位,"&lt;0"),2))</f>
        <v/>
      </c>
      <c r="D216" s="23" t="str">
        <f t="shared" si="5"/>
        <v/>
      </c>
      <c r="E216" s="4" t="str">
        <f>IF($A216="","",COUNTIFS(流水单位,$A216,流水日期,"&gt;="&amp;$B$3,流水日期,"&lt;="&amp;$D$3))</f>
        <v/>
      </c>
    </row>
    <row r="217" ht="16.5" spans="1:5">
      <c r="A217" s="6" t="str">
        <f>IF(参数设置!$T$129="","",参数设置!$T$129)</f>
        <v/>
      </c>
      <c r="B217" s="23" t="str">
        <f>IF($A217="","",ROUND(SUMIFS(流水本位,流水单位,$A217,流水日期,"&gt;="&amp;$B$3,流水日期,"&lt;="&amp;$D$3,流水本位,"&gt;0"),2))</f>
        <v/>
      </c>
      <c r="C217" s="23" t="str">
        <f>IF($A217="","",-ROUND(SUMIFS(流水本位,流水单位,$A217,流水日期,"&gt;="&amp;$B$3,流水日期,"&lt;="&amp;$D$3,流水本位,"&lt;0"),2))</f>
        <v/>
      </c>
      <c r="D217" s="23" t="str">
        <f t="shared" si="5"/>
        <v/>
      </c>
      <c r="E217" s="4" t="str">
        <f>IF($A217="","",COUNTIFS(流水单位,$A217,流水日期,"&gt;="&amp;$B$3,流水日期,"&lt;="&amp;$D$3))</f>
        <v/>
      </c>
    </row>
    <row r="218" ht="16.5" spans="1:5">
      <c r="A218" s="6" t="str">
        <f>IF(参数设置!$T$130="","",参数设置!$T$130)</f>
        <v/>
      </c>
      <c r="B218" s="23" t="str">
        <f>IF($A218="","",ROUND(SUMIFS(流水本位,流水单位,$A218,流水日期,"&gt;="&amp;$B$3,流水日期,"&lt;="&amp;$D$3,流水本位,"&gt;0"),2))</f>
        <v/>
      </c>
      <c r="C218" s="23" t="str">
        <f>IF($A218="","",-ROUND(SUMIFS(流水本位,流水单位,$A218,流水日期,"&gt;="&amp;$B$3,流水日期,"&lt;="&amp;$D$3,流水本位,"&lt;0"),2))</f>
        <v/>
      </c>
      <c r="D218" s="23" t="str">
        <f t="shared" si="5"/>
        <v/>
      </c>
      <c r="E218" s="4" t="str">
        <f>IF($A218="","",COUNTIFS(流水单位,$A218,流水日期,"&gt;="&amp;$B$3,流水日期,"&lt;="&amp;$D$3))</f>
        <v/>
      </c>
    </row>
    <row r="219" ht="16.5" spans="1:5">
      <c r="A219" s="6" t="str">
        <f>IF(参数设置!$T$131="","",参数设置!$T$131)</f>
        <v/>
      </c>
      <c r="B219" s="23" t="str">
        <f>IF($A219="","",ROUND(SUMIFS(流水本位,流水单位,$A219,流水日期,"&gt;="&amp;$B$3,流水日期,"&lt;="&amp;$D$3,流水本位,"&gt;0"),2))</f>
        <v/>
      </c>
      <c r="C219" s="23" t="str">
        <f>IF($A219="","",-ROUND(SUMIFS(流水本位,流水单位,$A219,流水日期,"&gt;="&amp;$B$3,流水日期,"&lt;="&amp;$D$3,流水本位,"&lt;0"),2))</f>
        <v/>
      </c>
      <c r="D219" s="23" t="str">
        <f t="shared" si="5"/>
        <v/>
      </c>
      <c r="E219" s="4" t="str">
        <f>IF($A219="","",COUNTIFS(流水单位,$A219,流水日期,"&gt;="&amp;$B$3,流水日期,"&lt;="&amp;$D$3))</f>
        <v/>
      </c>
    </row>
    <row r="220" ht="16.5" spans="1:5">
      <c r="A220" s="6" t="str">
        <f>IF(参数设置!$T$132="","",参数设置!$T$132)</f>
        <v/>
      </c>
      <c r="B220" s="23" t="str">
        <f>IF($A220="","",ROUND(SUMIFS(流水本位,流水单位,$A220,流水日期,"&gt;="&amp;$B$3,流水日期,"&lt;="&amp;$D$3,流水本位,"&gt;0"),2))</f>
        <v/>
      </c>
      <c r="C220" s="23" t="str">
        <f>IF($A220="","",-ROUND(SUMIFS(流水本位,流水单位,$A220,流水日期,"&gt;="&amp;$B$3,流水日期,"&lt;="&amp;$D$3,流水本位,"&lt;0"),2))</f>
        <v/>
      </c>
      <c r="D220" s="23" t="str">
        <f t="shared" si="5"/>
        <v/>
      </c>
      <c r="E220" s="4" t="str">
        <f>IF($A220="","",COUNTIFS(流水单位,$A220,流水日期,"&gt;="&amp;$B$3,流水日期,"&lt;="&amp;$D$3))</f>
        <v/>
      </c>
    </row>
    <row r="221" ht="16.5" spans="1:5">
      <c r="A221" s="6" t="str">
        <f>IF(参数设置!$T$133="","",参数设置!$T$133)</f>
        <v/>
      </c>
      <c r="B221" s="23" t="str">
        <f>IF($A221="","",ROUND(SUMIFS(流水本位,流水单位,$A221,流水日期,"&gt;="&amp;$B$3,流水日期,"&lt;="&amp;$D$3,流水本位,"&gt;0"),2))</f>
        <v/>
      </c>
      <c r="C221" s="23" t="str">
        <f>IF($A221="","",-ROUND(SUMIFS(流水本位,流水单位,$A221,流水日期,"&gt;="&amp;$B$3,流水日期,"&lt;="&amp;$D$3,流水本位,"&lt;0"),2))</f>
        <v/>
      </c>
      <c r="D221" s="23" t="str">
        <f t="shared" si="5"/>
        <v/>
      </c>
      <c r="E221" s="4" t="str">
        <f>IF($A221="","",COUNTIFS(流水单位,$A221,流水日期,"&gt;="&amp;$B$3,流水日期,"&lt;="&amp;$D$3))</f>
        <v/>
      </c>
    </row>
    <row r="222" ht="16.5" spans="1:5">
      <c r="A222" s="6" t="str">
        <f>IF(参数设置!$T$134="","",参数设置!$T$134)</f>
        <v/>
      </c>
      <c r="B222" s="23" t="str">
        <f>IF($A222="","",ROUND(SUMIFS(流水本位,流水单位,$A222,流水日期,"&gt;="&amp;$B$3,流水日期,"&lt;="&amp;$D$3,流水本位,"&gt;0"),2))</f>
        <v/>
      </c>
      <c r="C222" s="23" t="str">
        <f>IF($A222="","",-ROUND(SUMIFS(流水本位,流水单位,$A222,流水日期,"&gt;="&amp;$B$3,流水日期,"&lt;="&amp;$D$3,流水本位,"&lt;0"),2))</f>
        <v/>
      </c>
      <c r="D222" s="23" t="str">
        <f t="shared" si="5"/>
        <v/>
      </c>
      <c r="E222" s="4" t="str">
        <f>IF($A222="","",COUNTIFS(流水单位,$A222,流水日期,"&gt;="&amp;$B$3,流水日期,"&lt;="&amp;$D$3))</f>
        <v/>
      </c>
    </row>
    <row r="223" ht="16.5" spans="1:5">
      <c r="A223" s="6" t="str">
        <f>IF(参数设置!$T$135="","",参数设置!$T$135)</f>
        <v/>
      </c>
      <c r="B223" s="23" t="str">
        <f>IF($A223="","",ROUND(SUMIFS(流水本位,流水单位,$A223,流水日期,"&gt;="&amp;$B$3,流水日期,"&lt;="&amp;$D$3,流水本位,"&gt;0"),2))</f>
        <v/>
      </c>
      <c r="C223" s="23" t="str">
        <f>IF($A223="","",-ROUND(SUMIFS(流水本位,流水单位,$A223,流水日期,"&gt;="&amp;$B$3,流水日期,"&lt;="&amp;$D$3,流水本位,"&lt;0"),2))</f>
        <v/>
      </c>
      <c r="D223" s="23" t="str">
        <f t="shared" si="5"/>
        <v/>
      </c>
      <c r="E223" s="4" t="str">
        <f>IF($A223="","",COUNTIFS(流水单位,$A223,流水日期,"&gt;="&amp;$B$3,流水日期,"&lt;="&amp;$D$3))</f>
        <v/>
      </c>
    </row>
    <row r="224" ht="16.5" spans="1:5">
      <c r="A224" s="6" t="str">
        <f>IF(参数设置!$T$136="","",参数设置!$T$136)</f>
        <v/>
      </c>
      <c r="B224" s="23" t="str">
        <f>IF($A224="","",ROUND(SUMIFS(流水本位,流水单位,$A224,流水日期,"&gt;="&amp;$B$3,流水日期,"&lt;="&amp;$D$3,流水本位,"&gt;0"),2))</f>
        <v/>
      </c>
      <c r="C224" s="23" t="str">
        <f>IF($A224="","",-ROUND(SUMIFS(流水本位,流水单位,$A224,流水日期,"&gt;="&amp;$B$3,流水日期,"&lt;="&amp;$D$3,流水本位,"&lt;0"),2))</f>
        <v/>
      </c>
      <c r="D224" s="23" t="str">
        <f t="shared" si="5"/>
        <v/>
      </c>
      <c r="E224" s="4" t="str">
        <f>IF($A224="","",COUNTIFS(流水单位,$A224,流水日期,"&gt;="&amp;$B$3,流水日期,"&lt;="&amp;$D$3))</f>
        <v/>
      </c>
    </row>
    <row r="225" ht="16.5" spans="1:5">
      <c r="A225" s="6" t="str">
        <f>IF(参数设置!$T$137="","",参数设置!$T$137)</f>
        <v/>
      </c>
      <c r="B225" s="23" t="str">
        <f>IF($A225="","",ROUND(SUMIFS(流水本位,流水单位,$A225,流水日期,"&gt;="&amp;$B$3,流水日期,"&lt;="&amp;$D$3,流水本位,"&gt;0"),2))</f>
        <v/>
      </c>
      <c r="C225" s="23" t="str">
        <f>IF($A225="","",-ROUND(SUMIFS(流水本位,流水单位,$A225,流水日期,"&gt;="&amp;$B$3,流水日期,"&lt;="&amp;$D$3,流水本位,"&lt;0"),2))</f>
        <v/>
      </c>
      <c r="D225" s="23" t="str">
        <f t="shared" si="5"/>
        <v/>
      </c>
      <c r="E225" s="4" t="str">
        <f>IF($A225="","",COUNTIFS(流水单位,$A225,流水日期,"&gt;="&amp;$B$3,流水日期,"&lt;="&amp;$D$3))</f>
        <v/>
      </c>
    </row>
    <row r="226" ht="16.5" spans="1:5">
      <c r="A226" s="6" t="str">
        <f>IF(参数设置!$T$138="","",参数设置!$T$138)</f>
        <v/>
      </c>
      <c r="B226" s="23" t="str">
        <f>IF($A226="","",ROUND(SUMIFS(流水本位,流水单位,$A226,流水日期,"&gt;="&amp;$B$3,流水日期,"&lt;="&amp;$D$3,流水本位,"&gt;0"),2))</f>
        <v/>
      </c>
      <c r="C226" s="23" t="str">
        <f>IF($A226="","",-ROUND(SUMIFS(流水本位,流水单位,$A226,流水日期,"&gt;="&amp;$B$3,流水日期,"&lt;="&amp;$D$3,流水本位,"&lt;0"),2))</f>
        <v/>
      </c>
      <c r="D226" s="23" t="str">
        <f t="shared" si="5"/>
        <v/>
      </c>
      <c r="E226" s="4" t="str">
        <f>IF($A226="","",COUNTIFS(流水单位,$A226,流水日期,"&gt;="&amp;$B$3,流水日期,"&lt;="&amp;$D$3))</f>
        <v/>
      </c>
    </row>
    <row r="227" ht="16.5" spans="1:5">
      <c r="A227" s="6" t="str">
        <f>IF(参数设置!$T$139="","",参数设置!$T$139)</f>
        <v/>
      </c>
      <c r="B227" s="23" t="str">
        <f>IF($A227="","",ROUND(SUMIFS(流水本位,流水单位,$A227,流水日期,"&gt;="&amp;$B$3,流水日期,"&lt;="&amp;$D$3,流水本位,"&gt;0"),2))</f>
        <v/>
      </c>
      <c r="C227" s="23" t="str">
        <f>IF($A227="","",-ROUND(SUMIFS(流水本位,流水单位,$A227,流水日期,"&gt;="&amp;$B$3,流水日期,"&lt;="&amp;$D$3,流水本位,"&lt;0"),2))</f>
        <v/>
      </c>
      <c r="D227" s="23" t="str">
        <f t="shared" ref="D227:D290" si="6">IF($A227="","",ROUND($B227-$C227,2))</f>
        <v/>
      </c>
      <c r="E227" s="4" t="str">
        <f>IF($A227="","",COUNTIFS(流水单位,$A227,流水日期,"&gt;="&amp;$B$3,流水日期,"&lt;="&amp;$D$3))</f>
        <v/>
      </c>
    </row>
    <row r="228" ht="16.5" spans="1:5">
      <c r="A228" s="6" t="str">
        <f>IF(参数设置!$T$140="","",参数设置!$T$140)</f>
        <v/>
      </c>
      <c r="B228" s="23" t="str">
        <f>IF($A228="","",ROUND(SUMIFS(流水本位,流水单位,$A228,流水日期,"&gt;="&amp;$B$3,流水日期,"&lt;="&amp;$D$3,流水本位,"&gt;0"),2))</f>
        <v/>
      </c>
      <c r="C228" s="23" t="str">
        <f>IF($A228="","",-ROUND(SUMIFS(流水本位,流水单位,$A228,流水日期,"&gt;="&amp;$B$3,流水日期,"&lt;="&amp;$D$3,流水本位,"&lt;0"),2))</f>
        <v/>
      </c>
      <c r="D228" s="23" t="str">
        <f t="shared" si="6"/>
        <v/>
      </c>
      <c r="E228" s="4" t="str">
        <f>IF($A228="","",COUNTIFS(流水单位,$A228,流水日期,"&gt;="&amp;$B$3,流水日期,"&lt;="&amp;$D$3))</f>
        <v/>
      </c>
    </row>
    <row r="229" ht="16.5" spans="1:5">
      <c r="A229" s="6" t="str">
        <f>IF(参数设置!$T$141="","",参数设置!$T$141)</f>
        <v/>
      </c>
      <c r="B229" s="23" t="str">
        <f>IF($A229="","",ROUND(SUMIFS(流水本位,流水单位,$A229,流水日期,"&gt;="&amp;$B$3,流水日期,"&lt;="&amp;$D$3,流水本位,"&gt;0"),2))</f>
        <v/>
      </c>
      <c r="C229" s="23" t="str">
        <f>IF($A229="","",-ROUND(SUMIFS(流水本位,流水单位,$A229,流水日期,"&gt;="&amp;$B$3,流水日期,"&lt;="&amp;$D$3,流水本位,"&lt;0"),2))</f>
        <v/>
      </c>
      <c r="D229" s="23" t="str">
        <f t="shared" si="6"/>
        <v/>
      </c>
      <c r="E229" s="4" t="str">
        <f>IF($A229="","",COUNTIFS(流水单位,$A229,流水日期,"&gt;="&amp;$B$3,流水日期,"&lt;="&amp;$D$3))</f>
        <v/>
      </c>
    </row>
    <row r="230" ht="16.5" spans="1:5">
      <c r="A230" s="6" t="str">
        <f>IF(参数设置!$T$142="","",参数设置!$T$142)</f>
        <v/>
      </c>
      <c r="B230" s="23" t="str">
        <f>IF($A230="","",ROUND(SUMIFS(流水本位,流水单位,$A230,流水日期,"&gt;="&amp;$B$3,流水日期,"&lt;="&amp;$D$3,流水本位,"&gt;0"),2))</f>
        <v/>
      </c>
      <c r="C230" s="23" t="str">
        <f>IF($A230="","",-ROUND(SUMIFS(流水本位,流水单位,$A230,流水日期,"&gt;="&amp;$B$3,流水日期,"&lt;="&amp;$D$3,流水本位,"&lt;0"),2))</f>
        <v/>
      </c>
      <c r="D230" s="23" t="str">
        <f t="shared" si="6"/>
        <v/>
      </c>
      <c r="E230" s="4" t="str">
        <f>IF($A230="","",COUNTIFS(流水单位,$A230,流水日期,"&gt;="&amp;$B$3,流水日期,"&lt;="&amp;$D$3))</f>
        <v/>
      </c>
    </row>
    <row r="231" ht="16.5" spans="1:5">
      <c r="A231" s="6" t="str">
        <f>IF(参数设置!$T$143="","",参数设置!$T$143)</f>
        <v/>
      </c>
      <c r="B231" s="23" t="str">
        <f>IF($A231="","",ROUND(SUMIFS(流水本位,流水单位,$A231,流水日期,"&gt;="&amp;$B$3,流水日期,"&lt;="&amp;$D$3,流水本位,"&gt;0"),2))</f>
        <v/>
      </c>
      <c r="C231" s="23" t="str">
        <f>IF($A231="","",-ROUND(SUMIFS(流水本位,流水单位,$A231,流水日期,"&gt;="&amp;$B$3,流水日期,"&lt;="&amp;$D$3,流水本位,"&lt;0"),2))</f>
        <v/>
      </c>
      <c r="D231" s="23" t="str">
        <f t="shared" si="6"/>
        <v/>
      </c>
      <c r="E231" s="4" t="str">
        <f>IF($A231="","",COUNTIFS(流水单位,$A231,流水日期,"&gt;="&amp;$B$3,流水日期,"&lt;="&amp;$D$3))</f>
        <v/>
      </c>
    </row>
    <row r="232" ht="16.5" spans="1:5">
      <c r="A232" s="6" t="str">
        <f>IF(参数设置!$T$144="","",参数设置!$T$144)</f>
        <v/>
      </c>
      <c r="B232" s="23" t="str">
        <f>IF($A232="","",ROUND(SUMIFS(流水本位,流水单位,$A232,流水日期,"&gt;="&amp;$B$3,流水日期,"&lt;="&amp;$D$3,流水本位,"&gt;0"),2))</f>
        <v/>
      </c>
      <c r="C232" s="23" t="str">
        <f>IF($A232="","",-ROUND(SUMIFS(流水本位,流水单位,$A232,流水日期,"&gt;="&amp;$B$3,流水日期,"&lt;="&amp;$D$3,流水本位,"&lt;0"),2))</f>
        <v/>
      </c>
      <c r="D232" s="23" t="str">
        <f t="shared" si="6"/>
        <v/>
      </c>
      <c r="E232" s="4" t="str">
        <f>IF($A232="","",COUNTIFS(流水单位,$A232,流水日期,"&gt;="&amp;$B$3,流水日期,"&lt;="&amp;$D$3))</f>
        <v/>
      </c>
    </row>
    <row r="233" ht="16.5" spans="1:5">
      <c r="A233" s="6" t="str">
        <f>IF(参数设置!$T$145="","",参数设置!$T$145)</f>
        <v/>
      </c>
      <c r="B233" s="23" t="str">
        <f>IF($A233="","",ROUND(SUMIFS(流水本位,流水单位,$A233,流水日期,"&gt;="&amp;$B$3,流水日期,"&lt;="&amp;$D$3,流水本位,"&gt;0"),2))</f>
        <v/>
      </c>
      <c r="C233" s="23" t="str">
        <f>IF($A233="","",-ROUND(SUMIFS(流水本位,流水单位,$A233,流水日期,"&gt;="&amp;$B$3,流水日期,"&lt;="&amp;$D$3,流水本位,"&lt;0"),2))</f>
        <v/>
      </c>
      <c r="D233" s="23" t="str">
        <f t="shared" si="6"/>
        <v/>
      </c>
      <c r="E233" s="4" t="str">
        <f>IF($A233="","",COUNTIFS(流水单位,$A233,流水日期,"&gt;="&amp;$B$3,流水日期,"&lt;="&amp;$D$3))</f>
        <v/>
      </c>
    </row>
    <row r="234" ht="16.5" spans="1:5">
      <c r="A234" s="6" t="str">
        <f>IF(参数设置!$T$146="","",参数设置!$T$146)</f>
        <v/>
      </c>
      <c r="B234" s="23" t="str">
        <f>IF($A234="","",ROUND(SUMIFS(流水本位,流水单位,$A234,流水日期,"&gt;="&amp;$B$3,流水日期,"&lt;="&amp;$D$3,流水本位,"&gt;0"),2))</f>
        <v/>
      </c>
      <c r="C234" s="23" t="str">
        <f>IF($A234="","",-ROUND(SUMIFS(流水本位,流水单位,$A234,流水日期,"&gt;="&amp;$B$3,流水日期,"&lt;="&amp;$D$3,流水本位,"&lt;0"),2))</f>
        <v/>
      </c>
      <c r="D234" s="23" t="str">
        <f t="shared" si="6"/>
        <v/>
      </c>
      <c r="E234" s="4" t="str">
        <f>IF($A234="","",COUNTIFS(流水单位,$A234,流水日期,"&gt;="&amp;$B$3,流水日期,"&lt;="&amp;$D$3))</f>
        <v/>
      </c>
    </row>
    <row r="235" ht="16.5" spans="1:5">
      <c r="A235" s="6" t="str">
        <f>IF(参数设置!$T$147="","",参数设置!$T$147)</f>
        <v/>
      </c>
      <c r="B235" s="23" t="str">
        <f>IF($A235="","",ROUND(SUMIFS(流水本位,流水单位,$A235,流水日期,"&gt;="&amp;$B$3,流水日期,"&lt;="&amp;$D$3,流水本位,"&gt;0"),2))</f>
        <v/>
      </c>
      <c r="C235" s="23" t="str">
        <f>IF($A235="","",-ROUND(SUMIFS(流水本位,流水单位,$A235,流水日期,"&gt;="&amp;$B$3,流水日期,"&lt;="&amp;$D$3,流水本位,"&lt;0"),2))</f>
        <v/>
      </c>
      <c r="D235" s="23" t="str">
        <f t="shared" si="6"/>
        <v/>
      </c>
      <c r="E235" s="4" t="str">
        <f>IF($A235="","",COUNTIFS(流水单位,$A235,流水日期,"&gt;="&amp;$B$3,流水日期,"&lt;="&amp;$D$3))</f>
        <v/>
      </c>
    </row>
    <row r="236" ht="16.5" spans="1:5">
      <c r="A236" s="6" t="str">
        <f>IF(参数设置!$T$148="","",参数设置!$T$148)</f>
        <v/>
      </c>
      <c r="B236" s="23" t="str">
        <f>IF($A236="","",ROUND(SUMIFS(流水本位,流水单位,$A236,流水日期,"&gt;="&amp;$B$3,流水日期,"&lt;="&amp;$D$3,流水本位,"&gt;0"),2))</f>
        <v/>
      </c>
      <c r="C236" s="23" t="str">
        <f>IF($A236="","",-ROUND(SUMIFS(流水本位,流水单位,$A236,流水日期,"&gt;="&amp;$B$3,流水日期,"&lt;="&amp;$D$3,流水本位,"&lt;0"),2))</f>
        <v/>
      </c>
      <c r="D236" s="23" t="str">
        <f t="shared" si="6"/>
        <v/>
      </c>
      <c r="E236" s="4" t="str">
        <f>IF($A236="","",COUNTIFS(流水单位,$A236,流水日期,"&gt;="&amp;$B$3,流水日期,"&lt;="&amp;$D$3))</f>
        <v/>
      </c>
    </row>
    <row r="237" ht="16.5" spans="1:5">
      <c r="A237" s="6" t="str">
        <f>IF(参数设置!$T$149="","",参数设置!$T$149)</f>
        <v/>
      </c>
      <c r="B237" s="23" t="str">
        <f>IF($A237="","",ROUND(SUMIFS(流水本位,流水单位,$A237,流水日期,"&gt;="&amp;$B$3,流水日期,"&lt;="&amp;$D$3,流水本位,"&gt;0"),2))</f>
        <v/>
      </c>
      <c r="C237" s="23" t="str">
        <f>IF($A237="","",-ROUND(SUMIFS(流水本位,流水单位,$A237,流水日期,"&gt;="&amp;$B$3,流水日期,"&lt;="&amp;$D$3,流水本位,"&lt;0"),2))</f>
        <v/>
      </c>
      <c r="D237" s="23" t="str">
        <f t="shared" si="6"/>
        <v/>
      </c>
      <c r="E237" s="4" t="str">
        <f>IF($A237="","",COUNTIFS(流水单位,$A237,流水日期,"&gt;="&amp;$B$3,流水日期,"&lt;="&amp;$D$3))</f>
        <v/>
      </c>
    </row>
    <row r="238" ht="16.5" spans="1:5">
      <c r="A238" s="6" t="str">
        <f>IF(参数设置!$T$150="","",参数设置!$T$150)</f>
        <v/>
      </c>
      <c r="B238" s="23" t="str">
        <f>IF($A238="","",ROUND(SUMIFS(流水本位,流水单位,$A238,流水日期,"&gt;="&amp;$B$3,流水日期,"&lt;="&amp;$D$3,流水本位,"&gt;0"),2))</f>
        <v/>
      </c>
      <c r="C238" s="23" t="str">
        <f>IF($A238="","",-ROUND(SUMIFS(流水本位,流水单位,$A238,流水日期,"&gt;="&amp;$B$3,流水日期,"&lt;="&amp;$D$3,流水本位,"&lt;0"),2))</f>
        <v/>
      </c>
      <c r="D238" s="23" t="str">
        <f t="shared" si="6"/>
        <v/>
      </c>
      <c r="E238" s="4" t="str">
        <f>IF($A238="","",COUNTIFS(流水单位,$A238,流水日期,"&gt;="&amp;$B$3,流水日期,"&lt;="&amp;$D$3))</f>
        <v/>
      </c>
    </row>
    <row r="239" ht="16.5" spans="1:5">
      <c r="A239" s="6" t="str">
        <f>IF(参数设置!$T$151="","",参数设置!$T$151)</f>
        <v/>
      </c>
      <c r="B239" s="23" t="str">
        <f>IF($A239="","",ROUND(SUMIFS(流水本位,流水单位,$A239,流水日期,"&gt;="&amp;$B$3,流水日期,"&lt;="&amp;$D$3,流水本位,"&gt;0"),2))</f>
        <v/>
      </c>
      <c r="C239" s="23" t="str">
        <f>IF($A239="","",-ROUND(SUMIFS(流水本位,流水单位,$A239,流水日期,"&gt;="&amp;$B$3,流水日期,"&lt;="&amp;$D$3,流水本位,"&lt;0"),2))</f>
        <v/>
      </c>
      <c r="D239" s="23" t="str">
        <f t="shared" si="6"/>
        <v/>
      </c>
      <c r="E239" s="4" t="str">
        <f>IF($A239="","",COUNTIFS(流水单位,$A239,流水日期,"&gt;="&amp;$B$3,流水日期,"&lt;="&amp;$D$3))</f>
        <v/>
      </c>
    </row>
    <row r="240" ht="16.5" spans="1:5">
      <c r="A240" s="6" t="str">
        <f>IF(参数设置!$T$152="","",参数设置!$T$152)</f>
        <v/>
      </c>
      <c r="B240" s="23" t="str">
        <f>IF($A240="","",ROUND(SUMIFS(流水本位,流水单位,$A240,流水日期,"&gt;="&amp;$B$3,流水日期,"&lt;="&amp;$D$3,流水本位,"&gt;0"),2))</f>
        <v/>
      </c>
      <c r="C240" s="23" t="str">
        <f>IF($A240="","",-ROUND(SUMIFS(流水本位,流水单位,$A240,流水日期,"&gt;="&amp;$B$3,流水日期,"&lt;="&amp;$D$3,流水本位,"&lt;0"),2))</f>
        <v/>
      </c>
      <c r="D240" s="23" t="str">
        <f t="shared" si="6"/>
        <v/>
      </c>
      <c r="E240" s="4" t="str">
        <f>IF($A240="","",COUNTIFS(流水单位,$A240,流水日期,"&gt;="&amp;$B$3,流水日期,"&lt;="&amp;$D$3))</f>
        <v/>
      </c>
    </row>
    <row r="241" ht="16.5" spans="1:5">
      <c r="A241" s="6" t="str">
        <f>IF(参数设置!$T$153="","",参数设置!$T$153)</f>
        <v/>
      </c>
      <c r="B241" s="23" t="str">
        <f>IF($A241="","",ROUND(SUMIFS(流水本位,流水单位,$A241,流水日期,"&gt;="&amp;$B$3,流水日期,"&lt;="&amp;$D$3,流水本位,"&gt;0"),2))</f>
        <v/>
      </c>
      <c r="C241" s="23" t="str">
        <f>IF($A241="","",-ROUND(SUMIFS(流水本位,流水单位,$A241,流水日期,"&gt;="&amp;$B$3,流水日期,"&lt;="&amp;$D$3,流水本位,"&lt;0"),2))</f>
        <v/>
      </c>
      <c r="D241" s="23" t="str">
        <f t="shared" si="6"/>
        <v/>
      </c>
      <c r="E241" s="4" t="str">
        <f>IF($A241="","",COUNTIFS(流水单位,$A241,流水日期,"&gt;="&amp;$B$3,流水日期,"&lt;="&amp;$D$3))</f>
        <v/>
      </c>
    </row>
    <row r="242" ht="16.5" spans="1:5">
      <c r="A242" s="6" t="str">
        <f>IF(参数设置!$T$154="","",参数设置!$T$154)</f>
        <v/>
      </c>
      <c r="B242" s="23" t="str">
        <f>IF($A242="","",ROUND(SUMIFS(流水本位,流水单位,$A242,流水日期,"&gt;="&amp;$B$3,流水日期,"&lt;="&amp;$D$3,流水本位,"&gt;0"),2))</f>
        <v/>
      </c>
      <c r="C242" s="23" t="str">
        <f>IF($A242="","",-ROUND(SUMIFS(流水本位,流水单位,$A242,流水日期,"&gt;="&amp;$B$3,流水日期,"&lt;="&amp;$D$3,流水本位,"&lt;0"),2))</f>
        <v/>
      </c>
      <c r="D242" s="23" t="str">
        <f t="shared" si="6"/>
        <v/>
      </c>
      <c r="E242" s="4" t="str">
        <f>IF($A242="","",COUNTIFS(流水单位,$A242,流水日期,"&gt;="&amp;$B$3,流水日期,"&lt;="&amp;$D$3))</f>
        <v/>
      </c>
    </row>
    <row r="243" ht="16.5" spans="1:5">
      <c r="A243" s="6" t="str">
        <f>IF(参数设置!$T$155="","",参数设置!$T$155)</f>
        <v/>
      </c>
      <c r="B243" s="23" t="str">
        <f>IF($A243="","",ROUND(SUMIFS(流水本位,流水单位,$A243,流水日期,"&gt;="&amp;$B$3,流水日期,"&lt;="&amp;$D$3,流水本位,"&gt;0"),2))</f>
        <v/>
      </c>
      <c r="C243" s="23" t="str">
        <f>IF($A243="","",-ROUND(SUMIFS(流水本位,流水单位,$A243,流水日期,"&gt;="&amp;$B$3,流水日期,"&lt;="&amp;$D$3,流水本位,"&lt;0"),2))</f>
        <v/>
      </c>
      <c r="D243" s="23" t="str">
        <f t="shared" si="6"/>
        <v/>
      </c>
      <c r="E243" s="4" t="str">
        <f>IF($A243="","",COUNTIFS(流水单位,$A243,流水日期,"&gt;="&amp;$B$3,流水日期,"&lt;="&amp;$D$3))</f>
        <v/>
      </c>
    </row>
    <row r="244" ht="16.5" spans="1:5">
      <c r="A244" s="6" t="str">
        <f>IF(参数设置!$T$156="","",参数设置!$T$156)</f>
        <v/>
      </c>
      <c r="B244" s="23" t="str">
        <f>IF($A244="","",ROUND(SUMIFS(流水本位,流水单位,$A244,流水日期,"&gt;="&amp;$B$3,流水日期,"&lt;="&amp;$D$3,流水本位,"&gt;0"),2))</f>
        <v/>
      </c>
      <c r="C244" s="23" t="str">
        <f>IF($A244="","",-ROUND(SUMIFS(流水本位,流水单位,$A244,流水日期,"&gt;="&amp;$B$3,流水日期,"&lt;="&amp;$D$3,流水本位,"&lt;0"),2))</f>
        <v/>
      </c>
      <c r="D244" s="23" t="str">
        <f t="shared" si="6"/>
        <v/>
      </c>
      <c r="E244" s="4" t="str">
        <f>IF($A244="","",COUNTIFS(流水单位,$A244,流水日期,"&gt;="&amp;$B$3,流水日期,"&lt;="&amp;$D$3))</f>
        <v/>
      </c>
    </row>
    <row r="245" ht="16.5" spans="1:5">
      <c r="A245" s="6" t="str">
        <f>IF(参数设置!$T$157="","",参数设置!$T$157)</f>
        <v/>
      </c>
      <c r="B245" s="23" t="str">
        <f>IF($A245="","",ROUND(SUMIFS(流水本位,流水单位,$A245,流水日期,"&gt;="&amp;$B$3,流水日期,"&lt;="&amp;$D$3,流水本位,"&gt;0"),2))</f>
        <v/>
      </c>
      <c r="C245" s="23" t="str">
        <f>IF($A245="","",-ROUND(SUMIFS(流水本位,流水单位,$A245,流水日期,"&gt;="&amp;$B$3,流水日期,"&lt;="&amp;$D$3,流水本位,"&lt;0"),2))</f>
        <v/>
      </c>
      <c r="D245" s="23" t="str">
        <f t="shared" si="6"/>
        <v/>
      </c>
      <c r="E245" s="4" t="str">
        <f>IF($A245="","",COUNTIFS(流水单位,$A245,流水日期,"&gt;="&amp;$B$3,流水日期,"&lt;="&amp;$D$3))</f>
        <v/>
      </c>
    </row>
    <row r="246" ht="16.5" spans="1:5">
      <c r="A246" s="6" t="str">
        <f>IF(参数设置!$T$158="","",参数设置!$T$158)</f>
        <v/>
      </c>
      <c r="B246" s="23" t="str">
        <f>IF($A246="","",ROUND(SUMIFS(流水本位,流水单位,$A246,流水日期,"&gt;="&amp;$B$3,流水日期,"&lt;="&amp;$D$3,流水本位,"&gt;0"),2))</f>
        <v/>
      </c>
      <c r="C246" s="23" t="str">
        <f>IF($A246="","",-ROUND(SUMIFS(流水本位,流水单位,$A246,流水日期,"&gt;="&amp;$B$3,流水日期,"&lt;="&amp;$D$3,流水本位,"&lt;0"),2))</f>
        <v/>
      </c>
      <c r="D246" s="23" t="str">
        <f t="shared" si="6"/>
        <v/>
      </c>
      <c r="E246" s="4" t="str">
        <f>IF($A246="","",COUNTIFS(流水单位,$A246,流水日期,"&gt;="&amp;$B$3,流水日期,"&lt;="&amp;$D$3))</f>
        <v/>
      </c>
    </row>
    <row r="247" ht="16.5" spans="1:5">
      <c r="A247" s="6" t="str">
        <f>IF(参数设置!$T$159="","",参数设置!$T$159)</f>
        <v/>
      </c>
      <c r="B247" s="23" t="str">
        <f>IF($A247="","",ROUND(SUMIFS(流水本位,流水单位,$A247,流水日期,"&gt;="&amp;$B$3,流水日期,"&lt;="&amp;$D$3,流水本位,"&gt;0"),2))</f>
        <v/>
      </c>
      <c r="C247" s="23" t="str">
        <f>IF($A247="","",-ROUND(SUMIFS(流水本位,流水单位,$A247,流水日期,"&gt;="&amp;$B$3,流水日期,"&lt;="&amp;$D$3,流水本位,"&lt;0"),2))</f>
        <v/>
      </c>
      <c r="D247" s="23" t="str">
        <f t="shared" si="6"/>
        <v/>
      </c>
      <c r="E247" s="4" t="str">
        <f>IF($A247="","",COUNTIFS(流水单位,$A247,流水日期,"&gt;="&amp;$B$3,流水日期,"&lt;="&amp;$D$3))</f>
        <v/>
      </c>
    </row>
    <row r="248" ht="16.5" spans="1:5">
      <c r="A248" s="6" t="str">
        <f>IF(参数设置!$T$160="","",参数设置!$T$160)</f>
        <v/>
      </c>
      <c r="B248" s="23" t="str">
        <f>IF($A248="","",ROUND(SUMIFS(流水本位,流水单位,$A248,流水日期,"&gt;="&amp;$B$3,流水日期,"&lt;="&amp;$D$3,流水本位,"&gt;0"),2))</f>
        <v/>
      </c>
      <c r="C248" s="23" t="str">
        <f>IF($A248="","",-ROUND(SUMIFS(流水本位,流水单位,$A248,流水日期,"&gt;="&amp;$B$3,流水日期,"&lt;="&amp;$D$3,流水本位,"&lt;0"),2))</f>
        <v/>
      </c>
      <c r="D248" s="23" t="str">
        <f t="shared" si="6"/>
        <v/>
      </c>
      <c r="E248" s="4" t="str">
        <f>IF($A248="","",COUNTIFS(流水单位,$A248,流水日期,"&gt;="&amp;$B$3,流水日期,"&lt;="&amp;$D$3))</f>
        <v/>
      </c>
    </row>
    <row r="249" ht="16.5" spans="1:5">
      <c r="A249" s="6" t="str">
        <f>IF(参数设置!$T$161="","",参数设置!$T$161)</f>
        <v/>
      </c>
      <c r="B249" s="23" t="str">
        <f>IF($A249="","",ROUND(SUMIFS(流水本位,流水单位,$A249,流水日期,"&gt;="&amp;$B$3,流水日期,"&lt;="&amp;$D$3,流水本位,"&gt;0"),2))</f>
        <v/>
      </c>
      <c r="C249" s="23" t="str">
        <f>IF($A249="","",-ROUND(SUMIFS(流水本位,流水单位,$A249,流水日期,"&gt;="&amp;$B$3,流水日期,"&lt;="&amp;$D$3,流水本位,"&lt;0"),2))</f>
        <v/>
      </c>
      <c r="D249" s="23" t="str">
        <f t="shared" si="6"/>
        <v/>
      </c>
      <c r="E249" s="4" t="str">
        <f>IF($A249="","",COUNTIFS(流水单位,$A249,流水日期,"&gt;="&amp;$B$3,流水日期,"&lt;="&amp;$D$3))</f>
        <v/>
      </c>
    </row>
    <row r="250" ht="16.5" spans="1:5">
      <c r="A250" s="6" t="str">
        <f>IF(参数设置!$T$162="","",参数设置!$T$162)</f>
        <v/>
      </c>
      <c r="B250" s="23" t="str">
        <f>IF($A250="","",ROUND(SUMIFS(流水本位,流水单位,$A250,流水日期,"&gt;="&amp;$B$3,流水日期,"&lt;="&amp;$D$3,流水本位,"&gt;0"),2))</f>
        <v/>
      </c>
      <c r="C250" s="23" t="str">
        <f>IF($A250="","",-ROUND(SUMIFS(流水本位,流水单位,$A250,流水日期,"&gt;="&amp;$B$3,流水日期,"&lt;="&amp;$D$3,流水本位,"&lt;0"),2))</f>
        <v/>
      </c>
      <c r="D250" s="23" t="str">
        <f t="shared" si="6"/>
        <v/>
      </c>
      <c r="E250" s="4" t="str">
        <f>IF($A250="","",COUNTIFS(流水单位,$A250,流水日期,"&gt;="&amp;$B$3,流水日期,"&lt;="&amp;$D$3))</f>
        <v/>
      </c>
    </row>
    <row r="251" ht="16.5" spans="1:5">
      <c r="A251" s="6" t="str">
        <f>IF(参数设置!$T$163="","",参数设置!$T$163)</f>
        <v/>
      </c>
      <c r="B251" s="23" t="str">
        <f>IF($A251="","",ROUND(SUMIFS(流水本位,流水单位,$A251,流水日期,"&gt;="&amp;$B$3,流水日期,"&lt;="&amp;$D$3,流水本位,"&gt;0"),2))</f>
        <v/>
      </c>
      <c r="C251" s="23" t="str">
        <f>IF($A251="","",-ROUND(SUMIFS(流水本位,流水单位,$A251,流水日期,"&gt;="&amp;$B$3,流水日期,"&lt;="&amp;$D$3,流水本位,"&lt;0"),2))</f>
        <v/>
      </c>
      <c r="D251" s="23" t="str">
        <f t="shared" si="6"/>
        <v/>
      </c>
      <c r="E251" s="4" t="str">
        <f>IF($A251="","",COUNTIFS(流水单位,$A251,流水日期,"&gt;="&amp;$B$3,流水日期,"&lt;="&amp;$D$3))</f>
        <v/>
      </c>
    </row>
    <row r="252" ht="16.5" spans="1:5">
      <c r="A252" s="6" t="str">
        <f>IF(参数设置!$T$164="","",参数设置!$T$164)</f>
        <v/>
      </c>
      <c r="B252" s="23" t="str">
        <f>IF($A252="","",ROUND(SUMIFS(流水本位,流水单位,$A252,流水日期,"&gt;="&amp;$B$3,流水日期,"&lt;="&amp;$D$3,流水本位,"&gt;0"),2))</f>
        <v/>
      </c>
      <c r="C252" s="23" t="str">
        <f>IF($A252="","",-ROUND(SUMIFS(流水本位,流水单位,$A252,流水日期,"&gt;="&amp;$B$3,流水日期,"&lt;="&amp;$D$3,流水本位,"&lt;0"),2))</f>
        <v/>
      </c>
      <c r="D252" s="23" t="str">
        <f t="shared" si="6"/>
        <v/>
      </c>
      <c r="E252" s="4" t="str">
        <f>IF($A252="","",COUNTIFS(流水单位,$A252,流水日期,"&gt;="&amp;$B$3,流水日期,"&lt;="&amp;$D$3))</f>
        <v/>
      </c>
    </row>
    <row r="253" ht="16.5" spans="1:5">
      <c r="A253" s="6" t="str">
        <f>IF(参数设置!$T$165="","",参数设置!$T$165)</f>
        <v/>
      </c>
      <c r="B253" s="23" t="str">
        <f>IF($A253="","",ROUND(SUMIFS(流水本位,流水单位,$A253,流水日期,"&gt;="&amp;$B$3,流水日期,"&lt;="&amp;$D$3,流水本位,"&gt;0"),2))</f>
        <v/>
      </c>
      <c r="C253" s="23" t="str">
        <f>IF($A253="","",-ROUND(SUMIFS(流水本位,流水单位,$A253,流水日期,"&gt;="&amp;$B$3,流水日期,"&lt;="&amp;$D$3,流水本位,"&lt;0"),2))</f>
        <v/>
      </c>
      <c r="D253" s="23" t="str">
        <f t="shared" si="6"/>
        <v/>
      </c>
      <c r="E253" s="4" t="str">
        <f>IF($A253="","",COUNTIFS(流水单位,$A253,流水日期,"&gt;="&amp;$B$3,流水日期,"&lt;="&amp;$D$3))</f>
        <v/>
      </c>
    </row>
    <row r="254" ht="16.5" spans="1:5">
      <c r="A254" s="6" t="str">
        <f>IF(参数设置!$T$166="","",参数设置!$T$166)</f>
        <v/>
      </c>
      <c r="B254" s="23" t="str">
        <f>IF($A254="","",ROUND(SUMIFS(流水本位,流水单位,$A254,流水日期,"&gt;="&amp;$B$3,流水日期,"&lt;="&amp;$D$3,流水本位,"&gt;0"),2))</f>
        <v/>
      </c>
      <c r="C254" s="23" t="str">
        <f>IF($A254="","",-ROUND(SUMIFS(流水本位,流水单位,$A254,流水日期,"&gt;="&amp;$B$3,流水日期,"&lt;="&amp;$D$3,流水本位,"&lt;0"),2))</f>
        <v/>
      </c>
      <c r="D254" s="23" t="str">
        <f t="shared" si="6"/>
        <v/>
      </c>
      <c r="E254" s="4" t="str">
        <f>IF($A254="","",COUNTIFS(流水单位,$A254,流水日期,"&gt;="&amp;$B$3,流水日期,"&lt;="&amp;$D$3))</f>
        <v/>
      </c>
    </row>
    <row r="255" ht="16.5" spans="1:5">
      <c r="A255" s="6" t="str">
        <f>IF(参数设置!$T$167="","",参数设置!$T$167)</f>
        <v/>
      </c>
      <c r="B255" s="23" t="str">
        <f>IF($A255="","",ROUND(SUMIFS(流水本位,流水单位,$A255,流水日期,"&gt;="&amp;$B$3,流水日期,"&lt;="&amp;$D$3,流水本位,"&gt;0"),2))</f>
        <v/>
      </c>
      <c r="C255" s="23" t="str">
        <f>IF($A255="","",-ROUND(SUMIFS(流水本位,流水单位,$A255,流水日期,"&gt;="&amp;$B$3,流水日期,"&lt;="&amp;$D$3,流水本位,"&lt;0"),2))</f>
        <v/>
      </c>
      <c r="D255" s="23" t="str">
        <f t="shared" si="6"/>
        <v/>
      </c>
      <c r="E255" s="4" t="str">
        <f>IF($A255="","",COUNTIFS(流水单位,$A255,流水日期,"&gt;="&amp;$B$3,流水日期,"&lt;="&amp;$D$3))</f>
        <v/>
      </c>
    </row>
    <row r="256" ht="16.5" spans="1:5">
      <c r="A256" s="6" t="str">
        <f>IF(参数设置!$T$168="","",参数设置!$T$168)</f>
        <v/>
      </c>
      <c r="B256" s="23" t="str">
        <f>IF($A256="","",ROUND(SUMIFS(流水本位,流水单位,$A256,流水日期,"&gt;="&amp;$B$3,流水日期,"&lt;="&amp;$D$3,流水本位,"&gt;0"),2))</f>
        <v/>
      </c>
      <c r="C256" s="23" t="str">
        <f>IF($A256="","",-ROUND(SUMIFS(流水本位,流水单位,$A256,流水日期,"&gt;="&amp;$B$3,流水日期,"&lt;="&amp;$D$3,流水本位,"&lt;0"),2))</f>
        <v/>
      </c>
      <c r="D256" s="23" t="str">
        <f t="shared" si="6"/>
        <v/>
      </c>
      <c r="E256" s="4" t="str">
        <f>IF($A256="","",COUNTIFS(流水单位,$A256,流水日期,"&gt;="&amp;$B$3,流水日期,"&lt;="&amp;$D$3))</f>
        <v/>
      </c>
    </row>
    <row r="257" ht="16.5" spans="1:5">
      <c r="A257" s="6" t="str">
        <f>IF(参数设置!$T$169="","",参数设置!$T$169)</f>
        <v/>
      </c>
      <c r="B257" s="23" t="str">
        <f>IF($A257="","",ROUND(SUMIFS(流水本位,流水单位,$A257,流水日期,"&gt;="&amp;$B$3,流水日期,"&lt;="&amp;$D$3,流水本位,"&gt;0"),2))</f>
        <v/>
      </c>
      <c r="C257" s="23" t="str">
        <f>IF($A257="","",-ROUND(SUMIFS(流水本位,流水单位,$A257,流水日期,"&gt;="&amp;$B$3,流水日期,"&lt;="&amp;$D$3,流水本位,"&lt;0"),2))</f>
        <v/>
      </c>
      <c r="D257" s="23" t="str">
        <f t="shared" si="6"/>
        <v/>
      </c>
      <c r="E257" s="4" t="str">
        <f>IF($A257="","",COUNTIFS(流水单位,$A257,流水日期,"&gt;="&amp;$B$3,流水日期,"&lt;="&amp;$D$3))</f>
        <v/>
      </c>
    </row>
    <row r="258" ht="16.5" spans="1:5">
      <c r="A258" s="6" t="str">
        <f>IF(参数设置!$T$170="","",参数设置!$T$170)</f>
        <v/>
      </c>
      <c r="B258" s="23" t="str">
        <f>IF($A258="","",ROUND(SUMIFS(流水本位,流水单位,$A258,流水日期,"&gt;="&amp;$B$3,流水日期,"&lt;="&amp;$D$3,流水本位,"&gt;0"),2))</f>
        <v/>
      </c>
      <c r="C258" s="23" t="str">
        <f>IF($A258="","",-ROUND(SUMIFS(流水本位,流水单位,$A258,流水日期,"&gt;="&amp;$B$3,流水日期,"&lt;="&amp;$D$3,流水本位,"&lt;0"),2))</f>
        <v/>
      </c>
      <c r="D258" s="23" t="str">
        <f t="shared" si="6"/>
        <v/>
      </c>
      <c r="E258" s="4" t="str">
        <f>IF($A258="","",COUNTIFS(流水单位,$A258,流水日期,"&gt;="&amp;$B$3,流水日期,"&lt;="&amp;$D$3))</f>
        <v/>
      </c>
    </row>
    <row r="259" ht="16.5" spans="1:5">
      <c r="A259" s="6" t="str">
        <f>IF(参数设置!$T$171="","",参数设置!$T$171)</f>
        <v/>
      </c>
      <c r="B259" s="23" t="str">
        <f>IF($A259="","",ROUND(SUMIFS(流水本位,流水单位,$A259,流水日期,"&gt;="&amp;$B$3,流水日期,"&lt;="&amp;$D$3,流水本位,"&gt;0"),2))</f>
        <v/>
      </c>
      <c r="C259" s="23" t="str">
        <f>IF($A259="","",-ROUND(SUMIFS(流水本位,流水单位,$A259,流水日期,"&gt;="&amp;$B$3,流水日期,"&lt;="&amp;$D$3,流水本位,"&lt;0"),2))</f>
        <v/>
      </c>
      <c r="D259" s="23" t="str">
        <f t="shared" si="6"/>
        <v/>
      </c>
      <c r="E259" s="4" t="str">
        <f>IF($A259="","",COUNTIFS(流水单位,$A259,流水日期,"&gt;="&amp;$B$3,流水日期,"&lt;="&amp;$D$3))</f>
        <v/>
      </c>
    </row>
    <row r="260" ht="16.5" spans="1:5">
      <c r="A260" s="6" t="str">
        <f>IF(参数设置!$T$172="","",参数设置!$T$172)</f>
        <v/>
      </c>
      <c r="B260" s="23" t="str">
        <f>IF($A260="","",ROUND(SUMIFS(流水本位,流水单位,$A260,流水日期,"&gt;="&amp;$B$3,流水日期,"&lt;="&amp;$D$3,流水本位,"&gt;0"),2))</f>
        <v/>
      </c>
      <c r="C260" s="23" t="str">
        <f>IF($A260="","",-ROUND(SUMIFS(流水本位,流水单位,$A260,流水日期,"&gt;="&amp;$B$3,流水日期,"&lt;="&amp;$D$3,流水本位,"&lt;0"),2))</f>
        <v/>
      </c>
      <c r="D260" s="23" t="str">
        <f t="shared" si="6"/>
        <v/>
      </c>
      <c r="E260" s="4" t="str">
        <f>IF($A260="","",COUNTIFS(流水单位,$A260,流水日期,"&gt;="&amp;$B$3,流水日期,"&lt;="&amp;$D$3))</f>
        <v/>
      </c>
    </row>
    <row r="261" ht="16.5" spans="1:5">
      <c r="A261" s="6" t="str">
        <f>IF(参数设置!$T$173="","",参数设置!$T$173)</f>
        <v/>
      </c>
      <c r="B261" s="23" t="str">
        <f>IF($A261="","",ROUND(SUMIFS(流水本位,流水单位,$A261,流水日期,"&gt;="&amp;$B$3,流水日期,"&lt;="&amp;$D$3,流水本位,"&gt;0"),2))</f>
        <v/>
      </c>
      <c r="C261" s="23" t="str">
        <f>IF($A261="","",-ROUND(SUMIFS(流水本位,流水单位,$A261,流水日期,"&gt;="&amp;$B$3,流水日期,"&lt;="&amp;$D$3,流水本位,"&lt;0"),2))</f>
        <v/>
      </c>
      <c r="D261" s="23" t="str">
        <f t="shared" si="6"/>
        <v/>
      </c>
      <c r="E261" s="4" t="str">
        <f>IF($A261="","",COUNTIFS(流水单位,$A261,流水日期,"&gt;="&amp;$B$3,流水日期,"&lt;="&amp;$D$3))</f>
        <v/>
      </c>
    </row>
    <row r="262" ht="16.5" spans="1:5">
      <c r="A262" s="6" t="str">
        <f>IF(参数设置!$T$174="","",参数设置!$T$174)</f>
        <v/>
      </c>
      <c r="B262" s="23" t="str">
        <f>IF($A262="","",ROUND(SUMIFS(流水本位,流水单位,$A262,流水日期,"&gt;="&amp;$B$3,流水日期,"&lt;="&amp;$D$3,流水本位,"&gt;0"),2))</f>
        <v/>
      </c>
      <c r="C262" s="23" t="str">
        <f>IF($A262="","",-ROUND(SUMIFS(流水本位,流水单位,$A262,流水日期,"&gt;="&amp;$B$3,流水日期,"&lt;="&amp;$D$3,流水本位,"&lt;0"),2))</f>
        <v/>
      </c>
      <c r="D262" s="23" t="str">
        <f t="shared" si="6"/>
        <v/>
      </c>
      <c r="E262" s="4" t="str">
        <f>IF($A262="","",COUNTIFS(流水单位,$A262,流水日期,"&gt;="&amp;$B$3,流水日期,"&lt;="&amp;$D$3))</f>
        <v/>
      </c>
    </row>
    <row r="263" ht="16.5" spans="1:5">
      <c r="A263" s="6" t="str">
        <f>IF(参数设置!$T$175="","",参数设置!$T$175)</f>
        <v/>
      </c>
      <c r="B263" s="23" t="str">
        <f>IF($A263="","",ROUND(SUMIFS(流水本位,流水单位,$A263,流水日期,"&gt;="&amp;$B$3,流水日期,"&lt;="&amp;$D$3,流水本位,"&gt;0"),2))</f>
        <v/>
      </c>
      <c r="C263" s="23" t="str">
        <f>IF($A263="","",-ROUND(SUMIFS(流水本位,流水单位,$A263,流水日期,"&gt;="&amp;$B$3,流水日期,"&lt;="&amp;$D$3,流水本位,"&lt;0"),2))</f>
        <v/>
      </c>
      <c r="D263" s="23" t="str">
        <f t="shared" si="6"/>
        <v/>
      </c>
      <c r="E263" s="4" t="str">
        <f>IF($A263="","",COUNTIFS(流水单位,$A263,流水日期,"&gt;="&amp;$B$3,流水日期,"&lt;="&amp;$D$3))</f>
        <v/>
      </c>
    </row>
    <row r="264" ht="16.5" spans="1:5">
      <c r="A264" s="6" t="str">
        <f>IF(参数设置!$T$176="","",参数设置!$T$176)</f>
        <v/>
      </c>
      <c r="B264" s="23" t="str">
        <f>IF($A264="","",ROUND(SUMIFS(流水本位,流水单位,$A264,流水日期,"&gt;="&amp;$B$3,流水日期,"&lt;="&amp;$D$3,流水本位,"&gt;0"),2))</f>
        <v/>
      </c>
      <c r="C264" s="23" t="str">
        <f>IF($A264="","",-ROUND(SUMIFS(流水本位,流水单位,$A264,流水日期,"&gt;="&amp;$B$3,流水日期,"&lt;="&amp;$D$3,流水本位,"&lt;0"),2))</f>
        <v/>
      </c>
      <c r="D264" s="23" t="str">
        <f t="shared" si="6"/>
        <v/>
      </c>
      <c r="E264" s="4" t="str">
        <f>IF($A264="","",COUNTIFS(流水单位,$A264,流水日期,"&gt;="&amp;$B$3,流水日期,"&lt;="&amp;$D$3))</f>
        <v/>
      </c>
    </row>
    <row r="265" ht="16.5" spans="1:5">
      <c r="A265" s="6" t="str">
        <f>IF(参数设置!$T$177="","",参数设置!$T$177)</f>
        <v/>
      </c>
      <c r="B265" s="23" t="str">
        <f>IF($A265="","",ROUND(SUMIFS(流水本位,流水单位,$A265,流水日期,"&gt;="&amp;$B$3,流水日期,"&lt;="&amp;$D$3,流水本位,"&gt;0"),2))</f>
        <v/>
      </c>
      <c r="C265" s="23" t="str">
        <f>IF($A265="","",-ROUND(SUMIFS(流水本位,流水单位,$A265,流水日期,"&gt;="&amp;$B$3,流水日期,"&lt;="&amp;$D$3,流水本位,"&lt;0"),2))</f>
        <v/>
      </c>
      <c r="D265" s="23" t="str">
        <f t="shared" si="6"/>
        <v/>
      </c>
      <c r="E265" s="4" t="str">
        <f>IF($A265="","",COUNTIFS(流水单位,$A265,流水日期,"&gt;="&amp;$B$3,流水日期,"&lt;="&amp;$D$3))</f>
        <v/>
      </c>
    </row>
    <row r="266" ht="16.5" spans="1:5">
      <c r="A266" s="6" t="str">
        <f>IF(参数设置!$T$178="","",参数设置!$T$178)</f>
        <v/>
      </c>
      <c r="B266" s="23" t="str">
        <f>IF($A266="","",ROUND(SUMIFS(流水本位,流水单位,$A266,流水日期,"&gt;="&amp;$B$3,流水日期,"&lt;="&amp;$D$3,流水本位,"&gt;0"),2))</f>
        <v/>
      </c>
      <c r="C266" s="23" t="str">
        <f>IF($A266="","",-ROUND(SUMIFS(流水本位,流水单位,$A266,流水日期,"&gt;="&amp;$B$3,流水日期,"&lt;="&amp;$D$3,流水本位,"&lt;0"),2))</f>
        <v/>
      </c>
      <c r="D266" s="23" t="str">
        <f t="shared" si="6"/>
        <v/>
      </c>
      <c r="E266" s="4" t="str">
        <f>IF($A266="","",COUNTIFS(流水单位,$A266,流水日期,"&gt;="&amp;$B$3,流水日期,"&lt;="&amp;$D$3))</f>
        <v/>
      </c>
    </row>
    <row r="267" ht="16.5" spans="1:5">
      <c r="A267" s="6" t="str">
        <f>IF(参数设置!$T$179="","",参数设置!$T$179)</f>
        <v/>
      </c>
      <c r="B267" s="23" t="str">
        <f>IF($A267="","",ROUND(SUMIFS(流水本位,流水单位,$A267,流水日期,"&gt;="&amp;$B$3,流水日期,"&lt;="&amp;$D$3,流水本位,"&gt;0"),2))</f>
        <v/>
      </c>
      <c r="C267" s="23" t="str">
        <f>IF($A267="","",-ROUND(SUMIFS(流水本位,流水单位,$A267,流水日期,"&gt;="&amp;$B$3,流水日期,"&lt;="&amp;$D$3,流水本位,"&lt;0"),2))</f>
        <v/>
      </c>
      <c r="D267" s="23" t="str">
        <f t="shared" si="6"/>
        <v/>
      </c>
      <c r="E267" s="4" t="str">
        <f>IF($A267="","",COUNTIFS(流水单位,$A267,流水日期,"&gt;="&amp;$B$3,流水日期,"&lt;="&amp;$D$3))</f>
        <v/>
      </c>
    </row>
    <row r="268" ht="16.5" spans="1:5">
      <c r="A268" s="6" t="str">
        <f>IF(参数设置!$T$180="","",参数设置!$T$180)</f>
        <v/>
      </c>
      <c r="B268" s="23" t="str">
        <f>IF($A268="","",ROUND(SUMIFS(流水本位,流水单位,$A268,流水日期,"&gt;="&amp;$B$3,流水日期,"&lt;="&amp;$D$3,流水本位,"&gt;0"),2))</f>
        <v/>
      </c>
      <c r="C268" s="23" t="str">
        <f>IF($A268="","",-ROUND(SUMIFS(流水本位,流水单位,$A268,流水日期,"&gt;="&amp;$B$3,流水日期,"&lt;="&amp;$D$3,流水本位,"&lt;0"),2))</f>
        <v/>
      </c>
      <c r="D268" s="23" t="str">
        <f t="shared" si="6"/>
        <v/>
      </c>
      <c r="E268" s="4" t="str">
        <f>IF($A268="","",COUNTIFS(流水单位,$A268,流水日期,"&gt;="&amp;$B$3,流水日期,"&lt;="&amp;$D$3))</f>
        <v/>
      </c>
    </row>
    <row r="269" ht="16.5" spans="1:5">
      <c r="A269" s="6" t="str">
        <f>IF(参数设置!$T$181="","",参数设置!$T$181)</f>
        <v/>
      </c>
      <c r="B269" s="23" t="str">
        <f>IF($A269="","",ROUND(SUMIFS(流水本位,流水单位,$A269,流水日期,"&gt;="&amp;$B$3,流水日期,"&lt;="&amp;$D$3,流水本位,"&gt;0"),2))</f>
        <v/>
      </c>
      <c r="C269" s="23" t="str">
        <f>IF($A269="","",-ROUND(SUMIFS(流水本位,流水单位,$A269,流水日期,"&gt;="&amp;$B$3,流水日期,"&lt;="&amp;$D$3,流水本位,"&lt;0"),2))</f>
        <v/>
      </c>
      <c r="D269" s="23" t="str">
        <f t="shared" si="6"/>
        <v/>
      </c>
      <c r="E269" s="4" t="str">
        <f>IF($A269="","",COUNTIFS(流水单位,$A269,流水日期,"&gt;="&amp;$B$3,流水日期,"&lt;="&amp;$D$3))</f>
        <v/>
      </c>
    </row>
    <row r="270" ht="16.5" spans="1:5">
      <c r="A270" s="6" t="str">
        <f>IF(参数设置!$T$182="","",参数设置!$T$182)</f>
        <v/>
      </c>
      <c r="B270" s="23" t="str">
        <f>IF($A270="","",ROUND(SUMIFS(流水本位,流水单位,$A270,流水日期,"&gt;="&amp;$B$3,流水日期,"&lt;="&amp;$D$3,流水本位,"&gt;0"),2))</f>
        <v/>
      </c>
      <c r="C270" s="23" t="str">
        <f>IF($A270="","",-ROUND(SUMIFS(流水本位,流水单位,$A270,流水日期,"&gt;="&amp;$B$3,流水日期,"&lt;="&amp;$D$3,流水本位,"&lt;0"),2))</f>
        <v/>
      </c>
      <c r="D270" s="23" t="str">
        <f t="shared" si="6"/>
        <v/>
      </c>
      <c r="E270" s="4" t="str">
        <f>IF($A270="","",COUNTIFS(流水单位,$A270,流水日期,"&gt;="&amp;$B$3,流水日期,"&lt;="&amp;$D$3))</f>
        <v/>
      </c>
    </row>
    <row r="271" ht="16.5" spans="1:5">
      <c r="A271" s="6" t="str">
        <f>IF(参数设置!$T$183="","",参数设置!$T$183)</f>
        <v/>
      </c>
      <c r="B271" s="23" t="str">
        <f>IF($A271="","",ROUND(SUMIFS(流水本位,流水单位,$A271,流水日期,"&gt;="&amp;$B$3,流水日期,"&lt;="&amp;$D$3,流水本位,"&gt;0"),2))</f>
        <v/>
      </c>
      <c r="C271" s="23" t="str">
        <f>IF($A271="","",-ROUND(SUMIFS(流水本位,流水单位,$A271,流水日期,"&gt;="&amp;$B$3,流水日期,"&lt;="&amp;$D$3,流水本位,"&lt;0"),2))</f>
        <v/>
      </c>
      <c r="D271" s="23" t="str">
        <f t="shared" si="6"/>
        <v/>
      </c>
      <c r="E271" s="4" t="str">
        <f>IF($A271="","",COUNTIFS(流水单位,$A271,流水日期,"&gt;="&amp;$B$3,流水日期,"&lt;="&amp;$D$3))</f>
        <v/>
      </c>
    </row>
    <row r="272" ht="16.5" spans="1:5">
      <c r="A272" s="6" t="str">
        <f>IF(参数设置!$T$184="","",参数设置!$T$184)</f>
        <v/>
      </c>
      <c r="B272" s="23" t="str">
        <f>IF($A272="","",ROUND(SUMIFS(流水本位,流水单位,$A272,流水日期,"&gt;="&amp;$B$3,流水日期,"&lt;="&amp;$D$3,流水本位,"&gt;0"),2))</f>
        <v/>
      </c>
      <c r="C272" s="23" t="str">
        <f>IF($A272="","",-ROUND(SUMIFS(流水本位,流水单位,$A272,流水日期,"&gt;="&amp;$B$3,流水日期,"&lt;="&amp;$D$3,流水本位,"&lt;0"),2))</f>
        <v/>
      </c>
      <c r="D272" s="23" t="str">
        <f t="shared" si="6"/>
        <v/>
      </c>
      <c r="E272" s="4" t="str">
        <f>IF($A272="","",COUNTIFS(流水单位,$A272,流水日期,"&gt;="&amp;$B$3,流水日期,"&lt;="&amp;$D$3))</f>
        <v/>
      </c>
    </row>
    <row r="273" ht="16.5" spans="1:5">
      <c r="A273" s="6" t="str">
        <f>IF(参数设置!$T$185="","",参数设置!$T$185)</f>
        <v/>
      </c>
      <c r="B273" s="23" t="str">
        <f>IF($A273="","",ROUND(SUMIFS(流水本位,流水单位,$A273,流水日期,"&gt;="&amp;$B$3,流水日期,"&lt;="&amp;$D$3,流水本位,"&gt;0"),2))</f>
        <v/>
      </c>
      <c r="C273" s="23" t="str">
        <f>IF($A273="","",-ROUND(SUMIFS(流水本位,流水单位,$A273,流水日期,"&gt;="&amp;$B$3,流水日期,"&lt;="&amp;$D$3,流水本位,"&lt;0"),2))</f>
        <v/>
      </c>
      <c r="D273" s="23" t="str">
        <f t="shared" si="6"/>
        <v/>
      </c>
      <c r="E273" s="4" t="str">
        <f>IF($A273="","",COUNTIFS(流水单位,$A273,流水日期,"&gt;="&amp;$B$3,流水日期,"&lt;="&amp;$D$3))</f>
        <v/>
      </c>
    </row>
    <row r="274" ht="16.5" spans="1:5">
      <c r="A274" s="6" t="str">
        <f>IF(参数设置!$T$186="","",参数设置!$T$186)</f>
        <v/>
      </c>
      <c r="B274" s="23" t="str">
        <f>IF($A274="","",ROUND(SUMIFS(流水本位,流水单位,$A274,流水日期,"&gt;="&amp;$B$3,流水日期,"&lt;="&amp;$D$3,流水本位,"&gt;0"),2))</f>
        <v/>
      </c>
      <c r="C274" s="23" t="str">
        <f>IF($A274="","",-ROUND(SUMIFS(流水本位,流水单位,$A274,流水日期,"&gt;="&amp;$B$3,流水日期,"&lt;="&amp;$D$3,流水本位,"&lt;0"),2))</f>
        <v/>
      </c>
      <c r="D274" s="23" t="str">
        <f t="shared" si="6"/>
        <v/>
      </c>
      <c r="E274" s="4" t="str">
        <f>IF($A274="","",COUNTIFS(流水单位,$A274,流水日期,"&gt;="&amp;$B$3,流水日期,"&lt;="&amp;$D$3))</f>
        <v/>
      </c>
    </row>
    <row r="275" ht="16.5" spans="1:5">
      <c r="A275" s="6" t="str">
        <f>IF(参数设置!$T$187="","",参数设置!$T$187)</f>
        <v/>
      </c>
      <c r="B275" s="23" t="str">
        <f>IF($A275="","",ROUND(SUMIFS(流水本位,流水单位,$A275,流水日期,"&gt;="&amp;$B$3,流水日期,"&lt;="&amp;$D$3,流水本位,"&gt;0"),2))</f>
        <v/>
      </c>
      <c r="C275" s="23" t="str">
        <f>IF($A275="","",-ROUND(SUMIFS(流水本位,流水单位,$A275,流水日期,"&gt;="&amp;$B$3,流水日期,"&lt;="&amp;$D$3,流水本位,"&lt;0"),2))</f>
        <v/>
      </c>
      <c r="D275" s="23" t="str">
        <f t="shared" si="6"/>
        <v/>
      </c>
      <c r="E275" s="4" t="str">
        <f>IF($A275="","",COUNTIFS(流水单位,$A275,流水日期,"&gt;="&amp;$B$3,流水日期,"&lt;="&amp;$D$3))</f>
        <v/>
      </c>
    </row>
    <row r="276" ht="16.5" spans="1:5">
      <c r="A276" s="6" t="str">
        <f>IF(参数设置!$T$188="","",参数设置!$T$188)</f>
        <v/>
      </c>
      <c r="B276" s="23" t="str">
        <f>IF($A276="","",ROUND(SUMIFS(流水本位,流水单位,$A276,流水日期,"&gt;="&amp;$B$3,流水日期,"&lt;="&amp;$D$3,流水本位,"&gt;0"),2))</f>
        <v/>
      </c>
      <c r="C276" s="23" t="str">
        <f>IF($A276="","",-ROUND(SUMIFS(流水本位,流水单位,$A276,流水日期,"&gt;="&amp;$B$3,流水日期,"&lt;="&amp;$D$3,流水本位,"&lt;0"),2))</f>
        <v/>
      </c>
      <c r="D276" s="23" t="str">
        <f t="shared" si="6"/>
        <v/>
      </c>
      <c r="E276" s="4" t="str">
        <f>IF($A276="","",COUNTIFS(流水单位,$A276,流水日期,"&gt;="&amp;$B$3,流水日期,"&lt;="&amp;$D$3))</f>
        <v/>
      </c>
    </row>
    <row r="277" ht="16.5" spans="1:5">
      <c r="A277" s="6" t="str">
        <f>IF(参数设置!$T$189="","",参数设置!$T$189)</f>
        <v/>
      </c>
      <c r="B277" s="23" t="str">
        <f>IF($A277="","",ROUND(SUMIFS(流水本位,流水单位,$A277,流水日期,"&gt;="&amp;$B$3,流水日期,"&lt;="&amp;$D$3,流水本位,"&gt;0"),2))</f>
        <v/>
      </c>
      <c r="C277" s="23" t="str">
        <f>IF($A277="","",-ROUND(SUMIFS(流水本位,流水单位,$A277,流水日期,"&gt;="&amp;$B$3,流水日期,"&lt;="&amp;$D$3,流水本位,"&lt;0"),2))</f>
        <v/>
      </c>
      <c r="D277" s="23" t="str">
        <f t="shared" si="6"/>
        <v/>
      </c>
      <c r="E277" s="4" t="str">
        <f>IF($A277="","",COUNTIFS(流水单位,$A277,流水日期,"&gt;="&amp;$B$3,流水日期,"&lt;="&amp;$D$3))</f>
        <v/>
      </c>
    </row>
    <row r="278" ht="16.5" spans="1:5">
      <c r="A278" s="6" t="str">
        <f>IF(参数设置!$T$190="","",参数设置!$T$190)</f>
        <v/>
      </c>
      <c r="B278" s="23" t="str">
        <f>IF($A278="","",ROUND(SUMIFS(流水本位,流水单位,$A278,流水日期,"&gt;="&amp;$B$3,流水日期,"&lt;="&amp;$D$3,流水本位,"&gt;0"),2))</f>
        <v/>
      </c>
      <c r="C278" s="23" t="str">
        <f>IF($A278="","",-ROUND(SUMIFS(流水本位,流水单位,$A278,流水日期,"&gt;="&amp;$B$3,流水日期,"&lt;="&amp;$D$3,流水本位,"&lt;0"),2))</f>
        <v/>
      </c>
      <c r="D278" s="23" t="str">
        <f t="shared" si="6"/>
        <v/>
      </c>
      <c r="E278" s="4" t="str">
        <f>IF($A278="","",COUNTIFS(流水单位,$A278,流水日期,"&gt;="&amp;$B$3,流水日期,"&lt;="&amp;$D$3))</f>
        <v/>
      </c>
    </row>
    <row r="279" ht="16.5" spans="1:5">
      <c r="A279" s="6" t="str">
        <f>IF(参数设置!$T$191="","",参数设置!$T$191)</f>
        <v/>
      </c>
      <c r="B279" s="23" t="str">
        <f>IF($A279="","",ROUND(SUMIFS(流水本位,流水单位,$A279,流水日期,"&gt;="&amp;$B$3,流水日期,"&lt;="&amp;$D$3,流水本位,"&gt;0"),2))</f>
        <v/>
      </c>
      <c r="C279" s="23" t="str">
        <f>IF($A279="","",-ROUND(SUMIFS(流水本位,流水单位,$A279,流水日期,"&gt;="&amp;$B$3,流水日期,"&lt;="&amp;$D$3,流水本位,"&lt;0"),2))</f>
        <v/>
      </c>
      <c r="D279" s="23" t="str">
        <f t="shared" si="6"/>
        <v/>
      </c>
      <c r="E279" s="4" t="str">
        <f>IF($A279="","",COUNTIFS(流水单位,$A279,流水日期,"&gt;="&amp;$B$3,流水日期,"&lt;="&amp;$D$3))</f>
        <v/>
      </c>
    </row>
    <row r="280" ht="16.5" spans="1:5">
      <c r="A280" s="6" t="str">
        <f>IF(参数设置!$T$192="","",参数设置!$T$192)</f>
        <v/>
      </c>
      <c r="B280" s="23" t="str">
        <f>IF($A280="","",ROUND(SUMIFS(流水本位,流水单位,$A280,流水日期,"&gt;="&amp;$B$3,流水日期,"&lt;="&amp;$D$3,流水本位,"&gt;0"),2))</f>
        <v/>
      </c>
      <c r="C280" s="23" t="str">
        <f>IF($A280="","",-ROUND(SUMIFS(流水本位,流水单位,$A280,流水日期,"&gt;="&amp;$B$3,流水日期,"&lt;="&amp;$D$3,流水本位,"&lt;0"),2))</f>
        <v/>
      </c>
      <c r="D280" s="23" t="str">
        <f t="shared" si="6"/>
        <v/>
      </c>
      <c r="E280" s="4" t="str">
        <f>IF($A280="","",COUNTIFS(流水单位,$A280,流水日期,"&gt;="&amp;$B$3,流水日期,"&lt;="&amp;$D$3))</f>
        <v/>
      </c>
    </row>
    <row r="281" ht="16.5" spans="1:5">
      <c r="A281" s="6" t="str">
        <f>IF(参数设置!$T$193="","",参数设置!$T$193)</f>
        <v/>
      </c>
      <c r="B281" s="23" t="str">
        <f>IF($A281="","",ROUND(SUMIFS(流水本位,流水单位,$A281,流水日期,"&gt;="&amp;$B$3,流水日期,"&lt;="&amp;$D$3,流水本位,"&gt;0"),2))</f>
        <v/>
      </c>
      <c r="C281" s="23" t="str">
        <f>IF($A281="","",-ROUND(SUMIFS(流水本位,流水单位,$A281,流水日期,"&gt;="&amp;$B$3,流水日期,"&lt;="&amp;$D$3,流水本位,"&lt;0"),2))</f>
        <v/>
      </c>
      <c r="D281" s="23" t="str">
        <f t="shared" si="6"/>
        <v/>
      </c>
      <c r="E281" s="4" t="str">
        <f>IF($A281="","",COUNTIFS(流水单位,$A281,流水日期,"&gt;="&amp;$B$3,流水日期,"&lt;="&amp;$D$3))</f>
        <v/>
      </c>
    </row>
    <row r="282" ht="16.5" spans="1:5">
      <c r="A282" s="6" t="str">
        <f>IF(参数设置!$T$194="","",参数设置!$T$194)</f>
        <v/>
      </c>
      <c r="B282" s="23" t="str">
        <f>IF($A282="","",ROUND(SUMIFS(流水本位,流水单位,$A282,流水日期,"&gt;="&amp;$B$3,流水日期,"&lt;="&amp;$D$3,流水本位,"&gt;0"),2))</f>
        <v/>
      </c>
      <c r="C282" s="23" t="str">
        <f>IF($A282="","",-ROUND(SUMIFS(流水本位,流水单位,$A282,流水日期,"&gt;="&amp;$B$3,流水日期,"&lt;="&amp;$D$3,流水本位,"&lt;0"),2))</f>
        <v/>
      </c>
      <c r="D282" s="23" t="str">
        <f t="shared" si="6"/>
        <v/>
      </c>
      <c r="E282" s="4" t="str">
        <f>IF($A282="","",COUNTIFS(流水单位,$A282,流水日期,"&gt;="&amp;$B$3,流水日期,"&lt;="&amp;$D$3))</f>
        <v/>
      </c>
    </row>
    <row r="283" ht="16.5" spans="1:5">
      <c r="A283" s="6" t="str">
        <f>IF(参数设置!$T$195="","",参数设置!$T$195)</f>
        <v/>
      </c>
      <c r="B283" s="23" t="str">
        <f>IF($A283="","",ROUND(SUMIFS(流水本位,流水单位,$A283,流水日期,"&gt;="&amp;$B$3,流水日期,"&lt;="&amp;$D$3,流水本位,"&gt;0"),2))</f>
        <v/>
      </c>
      <c r="C283" s="23" t="str">
        <f>IF($A283="","",-ROUND(SUMIFS(流水本位,流水单位,$A283,流水日期,"&gt;="&amp;$B$3,流水日期,"&lt;="&amp;$D$3,流水本位,"&lt;0"),2))</f>
        <v/>
      </c>
      <c r="D283" s="23" t="str">
        <f t="shared" si="6"/>
        <v/>
      </c>
      <c r="E283" s="4" t="str">
        <f>IF($A283="","",COUNTIFS(流水单位,$A283,流水日期,"&gt;="&amp;$B$3,流水日期,"&lt;="&amp;$D$3))</f>
        <v/>
      </c>
    </row>
    <row r="284" ht="16.5" spans="1:5">
      <c r="A284" s="6" t="str">
        <f>IF(参数设置!$T$196="","",参数设置!$T$196)</f>
        <v/>
      </c>
      <c r="B284" s="23" t="str">
        <f>IF($A284="","",ROUND(SUMIFS(流水本位,流水单位,$A284,流水日期,"&gt;="&amp;$B$3,流水日期,"&lt;="&amp;$D$3,流水本位,"&gt;0"),2))</f>
        <v/>
      </c>
      <c r="C284" s="23" t="str">
        <f>IF($A284="","",-ROUND(SUMIFS(流水本位,流水单位,$A284,流水日期,"&gt;="&amp;$B$3,流水日期,"&lt;="&amp;$D$3,流水本位,"&lt;0"),2))</f>
        <v/>
      </c>
      <c r="D284" s="23" t="str">
        <f t="shared" si="6"/>
        <v/>
      </c>
      <c r="E284" s="4" t="str">
        <f>IF($A284="","",COUNTIFS(流水单位,$A284,流水日期,"&gt;="&amp;$B$3,流水日期,"&lt;="&amp;$D$3))</f>
        <v/>
      </c>
    </row>
    <row r="285" ht="16.5" spans="1:5">
      <c r="A285" s="6" t="str">
        <f>IF(参数设置!$T$197="","",参数设置!$T$197)</f>
        <v/>
      </c>
      <c r="B285" s="23" t="str">
        <f>IF($A285="","",ROUND(SUMIFS(流水本位,流水单位,$A285,流水日期,"&gt;="&amp;$B$3,流水日期,"&lt;="&amp;$D$3,流水本位,"&gt;0"),2))</f>
        <v/>
      </c>
      <c r="C285" s="23" t="str">
        <f>IF($A285="","",-ROUND(SUMIFS(流水本位,流水单位,$A285,流水日期,"&gt;="&amp;$B$3,流水日期,"&lt;="&amp;$D$3,流水本位,"&lt;0"),2))</f>
        <v/>
      </c>
      <c r="D285" s="23" t="str">
        <f t="shared" si="6"/>
        <v/>
      </c>
      <c r="E285" s="4" t="str">
        <f>IF($A285="","",COUNTIFS(流水单位,$A285,流水日期,"&gt;="&amp;$B$3,流水日期,"&lt;="&amp;$D$3))</f>
        <v/>
      </c>
    </row>
    <row r="286" ht="16.5" spans="1:5">
      <c r="A286" s="6" t="str">
        <f>IF(参数设置!$T$198="","",参数设置!$T$198)</f>
        <v/>
      </c>
      <c r="B286" s="23" t="str">
        <f>IF($A286="","",ROUND(SUMIFS(流水本位,流水单位,$A286,流水日期,"&gt;="&amp;$B$3,流水日期,"&lt;="&amp;$D$3,流水本位,"&gt;0"),2))</f>
        <v/>
      </c>
      <c r="C286" s="23" t="str">
        <f>IF($A286="","",-ROUND(SUMIFS(流水本位,流水单位,$A286,流水日期,"&gt;="&amp;$B$3,流水日期,"&lt;="&amp;$D$3,流水本位,"&lt;0"),2))</f>
        <v/>
      </c>
      <c r="D286" s="23" t="str">
        <f t="shared" si="6"/>
        <v/>
      </c>
      <c r="E286" s="4" t="str">
        <f>IF($A286="","",COUNTIFS(流水单位,$A286,流水日期,"&gt;="&amp;$B$3,流水日期,"&lt;="&amp;$D$3))</f>
        <v/>
      </c>
    </row>
    <row r="287" ht="16.5" spans="1:5">
      <c r="A287" s="6" t="str">
        <f>IF(参数设置!$T$199="","",参数设置!$T$199)</f>
        <v/>
      </c>
      <c r="B287" s="23" t="str">
        <f>IF($A287="","",ROUND(SUMIFS(流水本位,流水单位,$A287,流水日期,"&gt;="&amp;$B$3,流水日期,"&lt;="&amp;$D$3,流水本位,"&gt;0"),2))</f>
        <v/>
      </c>
      <c r="C287" s="23" t="str">
        <f>IF($A287="","",-ROUND(SUMIFS(流水本位,流水单位,$A287,流水日期,"&gt;="&amp;$B$3,流水日期,"&lt;="&amp;$D$3,流水本位,"&lt;0"),2))</f>
        <v/>
      </c>
      <c r="D287" s="23" t="str">
        <f t="shared" si="6"/>
        <v/>
      </c>
      <c r="E287" s="4" t="str">
        <f>IF($A287="","",COUNTIFS(流水单位,$A287,流水日期,"&gt;="&amp;$B$3,流水日期,"&lt;="&amp;$D$3))</f>
        <v/>
      </c>
    </row>
    <row r="288" ht="16.5" spans="1:5">
      <c r="A288" s="6" t="str">
        <f>IF(参数设置!$T$200="","",参数设置!$T$200)</f>
        <v/>
      </c>
      <c r="B288" s="23" t="str">
        <f>IF($A288="","",ROUND(SUMIFS(流水本位,流水单位,$A288,流水日期,"&gt;="&amp;$B$3,流水日期,"&lt;="&amp;$D$3,流水本位,"&gt;0"),2))</f>
        <v/>
      </c>
      <c r="C288" s="23" t="str">
        <f>IF($A288="","",-ROUND(SUMIFS(流水本位,流水单位,$A288,流水日期,"&gt;="&amp;$B$3,流水日期,"&lt;="&amp;$D$3,流水本位,"&lt;0"),2))</f>
        <v/>
      </c>
      <c r="D288" s="23" t="str">
        <f t="shared" si="6"/>
        <v/>
      </c>
      <c r="E288" s="4" t="str">
        <f>IF($A288="","",COUNTIFS(流水单位,$A288,流水日期,"&gt;="&amp;$B$3,流水日期,"&lt;="&amp;$D$3))</f>
        <v/>
      </c>
    </row>
    <row r="289" ht="16.5" spans="1:5">
      <c r="A289" s="6" t="str">
        <f>IF(参数设置!$T$201="","",参数设置!$T$201)</f>
        <v/>
      </c>
      <c r="B289" s="23" t="str">
        <f>IF($A289="","",ROUND(SUMIFS(流水本位,流水单位,$A289,流水日期,"&gt;="&amp;$B$3,流水日期,"&lt;="&amp;$D$3,流水本位,"&gt;0"),2))</f>
        <v/>
      </c>
      <c r="C289" s="23" t="str">
        <f>IF($A289="","",-ROUND(SUMIFS(流水本位,流水单位,$A289,流水日期,"&gt;="&amp;$B$3,流水日期,"&lt;="&amp;$D$3,流水本位,"&lt;0"),2))</f>
        <v/>
      </c>
      <c r="D289" s="23" t="str">
        <f t="shared" si="6"/>
        <v/>
      </c>
      <c r="E289" s="4" t="str">
        <f>IF($A289="","",COUNTIFS(流水单位,$A289,流水日期,"&gt;="&amp;$B$3,流水日期,"&lt;="&amp;$D$3))</f>
        <v/>
      </c>
    </row>
    <row r="290" ht="16.5" spans="1:5">
      <c r="A290" s="6" t="str">
        <f>IF(参数设置!$T$202="","",参数设置!$T$202)</f>
        <v/>
      </c>
      <c r="B290" s="23" t="str">
        <f>IF($A290="","",ROUND(SUMIFS(流水本位,流水单位,$A290,流水日期,"&gt;="&amp;$B$3,流水日期,"&lt;="&amp;$D$3,流水本位,"&gt;0"),2))</f>
        <v/>
      </c>
      <c r="C290" s="23" t="str">
        <f>IF($A290="","",-ROUND(SUMIFS(流水本位,流水单位,$A290,流水日期,"&gt;="&amp;$B$3,流水日期,"&lt;="&amp;$D$3,流水本位,"&lt;0"),2))</f>
        <v/>
      </c>
      <c r="D290" s="23" t="str">
        <f t="shared" si="6"/>
        <v/>
      </c>
      <c r="E290" s="4" t="str">
        <f>IF($A290="","",COUNTIFS(流水单位,$A290,流水日期,"&gt;="&amp;$B$3,流水日期,"&lt;="&amp;$D$3))</f>
        <v/>
      </c>
    </row>
    <row r="291" ht="16.5" spans="1:5">
      <c r="A291" s="6" t="str">
        <f>IF(参数设置!$T$203="","",参数设置!$T$203)</f>
        <v/>
      </c>
      <c r="B291" s="23" t="str">
        <f>IF($A291="","",ROUND(SUMIFS(流水本位,流水单位,$A291,流水日期,"&gt;="&amp;$B$3,流水日期,"&lt;="&amp;$D$3,流水本位,"&gt;0"),2))</f>
        <v/>
      </c>
      <c r="C291" s="23" t="str">
        <f>IF($A291="","",-ROUND(SUMIFS(流水本位,流水单位,$A291,流水日期,"&gt;="&amp;$B$3,流水日期,"&lt;="&amp;$D$3,流水本位,"&lt;0"),2))</f>
        <v/>
      </c>
      <c r="D291" s="23" t="str">
        <f t="shared" ref="D291:D298" si="7">IF($A291="","",ROUND($B291-$C291,2))</f>
        <v/>
      </c>
      <c r="E291" s="4" t="str">
        <f>IF($A291="","",COUNTIFS(流水单位,$A291,流水日期,"&gt;="&amp;$B$3,流水日期,"&lt;="&amp;$D$3))</f>
        <v/>
      </c>
    </row>
    <row r="292" ht="16.5" spans="1:5">
      <c r="A292" s="6" t="str">
        <f>IF(参数设置!$T$204="","",参数设置!$T$204)</f>
        <v/>
      </c>
      <c r="B292" s="23" t="str">
        <f>IF($A292="","",ROUND(SUMIFS(流水本位,流水单位,$A292,流水日期,"&gt;="&amp;$B$3,流水日期,"&lt;="&amp;$D$3,流水本位,"&gt;0"),2))</f>
        <v/>
      </c>
      <c r="C292" s="23" t="str">
        <f>IF($A292="","",-ROUND(SUMIFS(流水本位,流水单位,$A292,流水日期,"&gt;="&amp;$B$3,流水日期,"&lt;="&amp;$D$3,流水本位,"&lt;0"),2))</f>
        <v/>
      </c>
      <c r="D292" s="23" t="str">
        <f t="shared" si="7"/>
        <v/>
      </c>
      <c r="E292" s="4" t="str">
        <f>IF($A292="","",COUNTIFS(流水单位,$A292,流水日期,"&gt;="&amp;$B$3,流水日期,"&lt;="&amp;$D$3))</f>
        <v/>
      </c>
    </row>
    <row r="293" ht="16.5" spans="1:5">
      <c r="A293" s="6" t="str">
        <f>IF(参数设置!$T$205="","",参数设置!$T$205)</f>
        <v/>
      </c>
      <c r="B293" s="23" t="str">
        <f>IF($A293="","",ROUND(SUMIFS(流水本位,流水单位,$A293,流水日期,"&gt;="&amp;$B$3,流水日期,"&lt;="&amp;$D$3,流水本位,"&gt;0"),2))</f>
        <v/>
      </c>
      <c r="C293" s="23" t="str">
        <f>IF($A293="","",-ROUND(SUMIFS(流水本位,流水单位,$A293,流水日期,"&gt;="&amp;$B$3,流水日期,"&lt;="&amp;$D$3,流水本位,"&lt;0"),2))</f>
        <v/>
      </c>
      <c r="D293" s="23" t="str">
        <f t="shared" si="7"/>
        <v/>
      </c>
      <c r="E293" s="4" t="str">
        <f>IF($A293="","",COUNTIFS(流水单位,$A293,流水日期,"&gt;="&amp;$B$3,流水日期,"&lt;="&amp;$D$3))</f>
        <v/>
      </c>
    </row>
    <row r="294" ht="16.5" spans="1:5">
      <c r="A294" s="6" t="str">
        <f>IF(参数设置!$T$206="","",参数设置!$T$206)</f>
        <v/>
      </c>
      <c r="B294" s="23" t="str">
        <f>IF($A294="","",ROUND(SUMIFS(流水本位,流水单位,$A294,流水日期,"&gt;="&amp;$B$3,流水日期,"&lt;="&amp;$D$3,流水本位,"&gt;0"),2))</f>
        <v/>
      </c>
      <c r="C294" s="23" t="str">
        <f>IF($A294="","",-ROUND(SUMIFS(流水本位,流水单位,$A294,流水日期,"&gt;="&amp;$B$3,流水日期,"&lt;="&amp;$D$3,流水本位,"&lt;0"),2))</f>
        <v/>
      </c>
      <c r="D294" s="23" t="str">
        <f t="shared" si="7"/>
        <v/>
      </c>
      <c r="E294" s="4" t="str">
        <f>IF($A294="","",COUNTIFS(流水单位,$A294,流水日期,"&gt;="&amp;$B$3,流水日期,"&lt;="&amp;$D$3))</f>
        <v/>
      </c>
    </row>
    <row r="295" ht="16.5" spans="1:5">
      <c r="A295" s="6" t="str">
        <f>IF(参数设置!$T$207="","",参数设置!$T$207)</f>
        <v/>
      </c>
      <c r="B295" s="23" t="str">
        <f>IF($A295="","",ROUND(SUMIFS(流水本位,流水单位,$A295,流水日期,"&gt;="&amp;$B$3,流水日期,"&lt;="&amp;$D$3,流水本位,"&gt;0"),2))</f>
        <v/>
      </c>
      <c r="C295" s="23" t="str">
        <f>IF($A295="","",-ROUND(SUMIFS(流水本位,流水单位,$A295,流水日期,"&gt;="&amp;$B$3,流水日期,"&lt;="&amp;$D$3,流水本位,"&lt;0"),2))</f>
        <v/>
      </c>
      <c r="D295" s="23" t="str">
        <f t="shared" si="7"/>
        <v/>
      </c>
      <c r="E295" s="4" t="str">
        <f>IF($A295="","",COUNTIFS(流水单位,$A295,流水日期,"&gt;="&amp;$B$3,流水日期,"&lt;="&amp;$D$3))</f>
        <v/>
      </c>
    </row>
    <row r="296" ht="16.5" spans="1:5">
      <c r="A296" s="6" t="str">
        <f>IF(参数设置!$T$208="","",参数设置!$T$208)</f>
        <v/>
      </c>
      <c r="B296" s="23" t="str">
        <f>IF($A296="","",ROUND(SUMIFS(流水本位,流水单位,$A296,流水日期,"&gt;="&amp;$B$3,流水日期,"&lt;="&amp;$D$3,流水本位,"&gt;0"),2))</f>
        <v/>
      </c>
      <c r="C296" s="23" t="str">
        <f>IF($A296="","",-ROUND(SUMIFS(流水本位,流水单位,$A296,流水日期,"&gt;="&amp;$B$3,流水日期,"&lt;="&amp;$D$3,流水本位,"&lt;0"),2))</f>
        <v/>
      </c>
      <c r="D296" s="23" t="str">
        <f t="shared" si="7"/>
        <v/>
      </c>
      <c r="E296" s="4" t="str">
        <f>IF($A296="","",COUNTIFS(流水单位,$A296,流水日期,"&gt;="&amp;$B$3,流水日期,"&lt;="&amp;$D$3))</f>
        <v/>
      </c>
    </row>
    <row r="297" ht="16.5" spans="1:5">
      <c r="A297" s="6" t="str">
        <f>IF(参数设置!$T$209="","",参数设置!$T$209)</f>
        <v/>
      </c>
      <c r="B297" s="23" t="str">
        <f>IF($A297="","",ROUND(SUMIFS(流水本位,流水单位,$A297,流水日期,"&gt;="&amp;$B$3,流水日期,"&lt;="&amp;$D$3,流水本位,"&gt;0"),2))</f>
        <v/>
      </c>
      <c r="C297" s="23" t="str">
        <f>IF($A297="","",-ROUND(SUMIFS(流水本位,流水单位,$A297,流水日期,"&gt;="&amp;$B$3,流水日期,"&lt;="&amp;$D$3,流水本位,"&lt;0"),2))</f>
        <v/>
      </c>
      <c r="D297" s="23" t="str">
        <f t="shared" si="7"/>
        <v/>
      </c>
      <c r="E297" s="4" t="str">
        <f>IF($A297="","",COUNTIFS(流水单位,$A297,流水日期,"&gt;="&amp;$B$3,流水日期,"&lt;="&amp;$D$3))</f>
        <v/>
      </c>
    </row>
    <row r="298" ht="16.5" spans="1:5">
      <c r="A298" s="6" t="str">
        <f>IF(参数设置!$T$210="","",参数设置!$T$210)</f>
        <v/>
      </c>
      <c r="B298" s="23" t="str">
        <f>IF($A298="","",ROUND(SUMIFS(流水本位,流水单位,$A298,流水日期,"&gt;="&amp;$B$3,流水日期,"&lt;="&amp;$D$3,流水本位,"&gt;0"),2))</f>
        <v/>
      </c>
      <c r="C298" s="23" t="str">
        <f>IF($A298="","",-ROUND(SUMIFS(流水本位,流水单位,$A298,流水日期,"&gt;="&amp;$B$3,流水日期,"&lt;="&amp;$D$3,流水本位,"&lt;0"),2))</f>
        <v/>
      </c>
      <c r="D298" s="23" t="str">
        <f t="shared" si="7"/>
        <v/>
      </c>
      <c r="E298" s="4" t="str">
        <f>IF($A298="","",COUNTIFS(流水单位,$A298,流水日期,"&gt;="&amp;$B$3,流水日期,"&lt;="&amp;$D$3))</f>
        <v/>
      </c>
    </row>
    <row r="299" ht="16.5" spans="1:5">
      <c r="A299" s="18" t="s">
        <v>344</v>
      </c>
      <c r="B299" s="7">
        <f>ROUND(SUM(B99:B298),2)</f>
        <v>892660</v>
      </c>
      <c r="C299" s="7">
        <f>ROUND(SUM(C99:C298),2)</f>
        <v>163720</v>
      </c>
      <c r="D299" s="7">
        <f>ROUND(SUM(D99:D298),2)</f>
        <v>728940</v>
      </c>
      <c r="E299" s="9">
        <f>SUM(E99:E298)</f>
        <v>14</v>
      </c>
    </row>
  </sheetData>
  <mergeCells count="7">
    <mergeCell ref="A1:F1"/>
    <mergeCell ref="A2:F2"/>
    <mergeCell ref="E3:F3"/>
    <mergeCell ref="A7:D7"/>
    <mergeCell ref="A41:E41"/>
    <mergeCell ref="A85:E85"/>
    <mergeCell ref="A97:E97"/>
  </mergeCells>
  <pageMargins left="0.75" right="0.75" top="1" bottom="1" header="0.5" footer="0.5"/>
  <pageSetup paperSize="1" fitToHeight="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topLeftCell="E1" workbookViewId="0">
      <pane ySplit="5" topLeftCell="A6" activePane="bottomLeft" state="frozen"/>
      <selection/>
      <selection pane="bottomLeft" activeCell="G21" sqref="G21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1.6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352</v>
      </c>
    </row>
    <row r="2" ht="24" customHeight="1" spans="1:19">
      <c r="A2" s="18" t="s">
        <v>259</v>
      </c>
      <c r="B2" s="19" t="s">
        <v>135</v>
      </c>
      <c r="C2" s="20" t="s">
        <v>353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226</v>
      </c>
      <c r="B3" s="11" t="str">
        <f>IF($B$2="","",IFERROR(INDEX(账户币种,MATCH($B$2,账户名,0)),""))</f>
        <v>CNY</v>
      </c>
      <c r="C3" s="21" t="s">
        <v>354</v>
      </c>
      <c r="D3" s="7">
        <f>IF($B$2="","",ROUND(SUMIF(账户名,$B$2,账户期初),2))</f>
        <v>500000</v>
      </c>
      <c r="E3" s="21" t="s">
        <v>355</v>
      </c>
      <c r="F3" s="7">
        <f>IF($B$2="","",ROUND(SUMIF(流水账户,$B$2,流水收入),2))</f>
        <v>298400</v>
      </c>
      <c r="G3" s="21" t="s">
        <v>356</v>
      </c>
      <c r="H3" s="7">
        <f>IF($B$2="","",ROUND(SUMIF(流水账户,$B$2,流水支出),2))</f>
        <v>68000</v>
      </c>
      <c r="I3" s="21" t="s">
        <v>357</v>
      </c>
      <c r="J3" s="7">
        <f>IF($B$2="","",ROUND(SUMIF(账户名,$B$2,账户期初)+SUMIF(流水账户,$B$2,流水净额),2))</f>
        <v>730400</v>
      </c>
      <c r="K3" s="21" t="s">
        <v>358</v>
      </c>
      <c r="L3" s="7">
        <f>IF($B$2="","",IFERROR(ROUND(VLOOKUP($B$2,账户余额表!$C$6:$L$35,8,0),2),""))</f>
        <v>730400</v>
      </c>
      <c r="M3" s="21" t="s">
        <v>59</v>
      </c>
      <c r="N3" s="7">
        <f>IF($B$2="","",IFERROR(ROUND(VLOOKUP($B$2,账户余额表!$C$6:$L$35,10,0),2),""))</f>
        <v>0</v>
      </c>
    </row>
    <row r="5" ht="30" customHeight="1" spans="1:19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234</v>
      </c>
      <c r="M5" s="18" t="s">
        <v>235</v>
      </c>
      <c r="N5" s="18" t="s">
        <v>236</v>
      </c>
      <c r="O5" s="18" t="s">
        <v>237</v>
      </c>
      <c r="P5" s="18" t="s">
        <v>238</v>
      </c>
      <c r="Q5" s="18" t="s">
        <v>133</v>
      </c>
      <c r="R5" s="18" t="s">
        <v>239</v>
      </c>
      <c r="S5" s="18" t="s">
        <v>127</v>
      </c>
    </row>
    <row r="6" ht="16.5" spans="1:19">
      <c r="A6" s="22" cm="1">
        <f t="array" ref="A6:S10">_xlfn._xlws.FILTER(IF(流水录入!$A$6:$S$2005="","",流水录入!$A$6:$S$2005),流水录入!$B$6:$B$2005=$B$2,"这个账户还没有流水")</f>
        <v>46237</v>
      </c>
      <c r="B6" s="12" t="str">
        <v>工商银行基本户-8888</v>
      </c>
      <c r="C6" s="12" t="str">
        <v>工商银行</v>
      </c>
      <c r="D6" s="12" t="str">
        <v>CNY</v>
      </c>
      <c r="E6" s="12" t="str">
        <v>销售回款</v>
      </c>
      <c r="F6" s="12" t="str">
        <v>收入</v>
      </c>
      <c r="G6" s="23">
        <v>120000</v>
      </c>
      <c r="H6" s="23" t="str">
        <v/>
      </c>
      <c r="I6" s="24" t="str">
        <v/>
      </c>
      <c r="J6" s="24">
        <v>1</v>
      </c>
      <c r="K6" s="23">
        <v>120000</v>
      </c>
      <c r="L6" s="23">
        <v>120000</v>
      </c>
      <c r="M6" s="23">
        <v>620000</v>
      </c>
      <c r="N6" s="23">
        <v>620000</v>
      </c>
      <c r="O6" s="12" t="str">
        <v>销售回款</v>
      </c>
      <c r="P6" s="12" t="str">
        <v>项目A</v>
      </c>
      <c r="Q6" s="12" t="str">
        <v>华东客户A</v>
      </c>
      <c r="R6" s="12" t="str">
        <v/>
      </c>
      <c r="S6" s="12" t="str">
        <v/>
      </c>
    </row>
    <row r="7" ht="16.5" spans="1:19">
      <c r="A7" s="22">
        <v>46242</v>
      </c>
      <c r="B7" s="12" t="str">
        <v>工商银行基本户-8888</v>
      </c>
      <c r="C7" s="12" t="str">
        <v>工商银行</v>
      </c>
      <c r="D7" s="12" t="str">
        <v>CNY</v>
      </c>
      <c r="E7" s="12" t="str">
        <v>税费</v>
      </c>
      <c r="F7" s="12" t="str">
        <v>支出</v>
      </c>
      <c r="G7" s="23" t="str">
        <v/>
      </c>
      <c r="H7" s="23">
        <v>18000</v>
      </c>
      <c r="I7" s="24" t="str">
        <v/>
      </c>
      <c r="J7" s="24">
        <v>1</v>
      </c>
      <c r="K7" s="23">
        <v>-18000</v>
      </c>
      <c r="L7" s="23">
        <v>-18000</v>
      </c>
      <c r="M7" s="23">
        <v>602000</v>
      </c>
      <c r="N7" s="23">
        <v>602000</v>
      </c>
      <c r="O7" s="12" t="str">
        <v>税费缴纳</v>
      </c>
      <c r="P7" s="12" t="str">
        <v>税务</v>
      </c>
      <c r="Q7" s="12" t="str">
        <v>税务机关</v>
      </c>
      <c r="R7" s="12" t="str">
        <v/>
      </c>
      <c r="S7" s="12" t="str">
        <v/>
      </c>
    </row>
    <row r="8" ht="33" spans="1:19">
      <c r="A8" s="22">
        <v>46248</v>
      </c>
      <c r="B8" s="12" t="str">
        <v>工商银行基本户-8888</v>
      </c>
      <c r="C8" s="12" t="str">
        <v>工商银行</v>
      </c>
      <c r="D8" s="12" t="str">
        <v>CNY</v>
      </c>
      <c r="E8" s="12" t="str">
        <v>内部转账</v>
      </c>
      <c r="F8" s="12" t="str">
        <v>内部转账</v>
      </c>
      <c r="G8" s="23" t="str">
        <v/>
      </c>
      <c r="H8" s="23">
        <v>50000</v>
      </c>
      <c r="I8" s="24" t="str">
        <v/>
      </c>
      <c r="J8" s="24">
        <v>1</v>
      </c>
      <c r="K8" s="23">
        <v>-50000</v>
      </c>
      <c r="L8" s="23">
        <v>-50000</v>
      </c>
      <c r="M8" s="23">
        <v>552000</v>
      </c>
      <c r="N8" s="23">
        <v>552000</v>
      </c>
      <c r="O8" s="12" t="str">
        <v>转至招商银行</v>
      </c>
      <c r="P8" s="12" t="str">
        <v>内部调拨</v>
      </c>
      <c r="Q8" s="12" t="str">
        <v>招商银行一般户-2388</v>
      </c>
      <c r="R8" s="12" t="str">
        <v/>
      </c>
      <c r="S8" s="12" t="str">
        <v/>
      </c>
    </row>
    <row r="9" ht="16.5" spans="1:19">
      <c r="A9" s="22">
        <v>46255</v>
      </c>
      <c r="B9" s="12" t="str">
        <v>工商银行基本户-8888</v>
      </c>
      <c r="C9" s="12" t="str">
        <v>工商银行</v>
      </c>
      <c r="D9" s="12" t="str">
        <v>CNY</v>
      </c>
      <c r="E9" s="12" t="str">
        <v>其他业务收入</v>
      </c>
      <c r="F9" s="12" t="str">
        <v>收入</v>
      </c>
      <c r="G9" s="23">
        <v>35000</v>
      </c>
      <c r="H9" s="23" t="str">
        <v/>
      </c>
      <c r="I9" s="24" t="str">
        <v/>
      </c>
      <c r="J9" s="24">
        <v>1</v>
      </c>
      <c r="K9" s="23">
        <v>35000</v>
      </c>
      <c r="L9" s="23">
        <v>35000</v>
      </c>
      <c r="M9" s="23">
        <v>587000</v>
      </c>
      <c r="N9" s="23">
        <v>587000</v>
      </c>
      <c r="O9" s="12" t="str">
        <v>其他经营收入</v>
      </c>
      <c r="P9" s="12" t="str">
        <v>其他业务</v>
      </c>
      <c r="Q9" s="12" t="str">
        <v>其他客户</v>
      </c>
      <c r="R9" s="12" t="str">
        <v/>
      </c>
      <c r="S9" s="12" t="str">
        <v/>
      </c>
    </row>
    <row r="10" ht="33" spans="1:19">
      <c r="A10" s="22">
        <v>46259</v>
      </c>
      <c r="B10" s="12" t="str">
        <v>工商银行基本户-8888</v>
      </c>
      <c r="C10" s="12" t="str">
        <v>工商银行</v>
      </c>
      <c r="D10" s="12" t="str">
        <v>CNY</v>
      </c>
      <c r="E10" s="12" t="str">
        <v>购汇/结汇</v>
      </c>
      <c r="F10" s="12" t="str">
        <v>内部转账</v>
      </c>
      <c r="G10" s="23">
        <v>143400</v>
      </c>
      <c r="H10" s="23" t="str">
        <v/>
      </c>
      <c r="I10" s="24" t="str">
        <v/>
      </c>
      <c r="J10" s="24">
        <v>1</v>
      </c>
      <c r="K10" s="23">
        <v>143400</v>
      </c>
      <c r="L10" s="23">
        <v>143400</v>
      </c>
      <c r="M10" s="23">
        <v>730400</v>
      </c>
      <c r="N10" s="23">
        <v>730400</v>
      </c>
      <c r="O10" s="12" t="str">
        <v>结汇：人民币到账</v>
      </c>
      <c r="P10" s="12" t="str">
        <v>内部调拨</v>
      </c>
      <c r="Q10" s="12" t="str">
        <v>中国银行美元结算户-6688</v>
      </c>
      <c r="R10" s="12" t="str">
        <v/>
      </c>
      <c r="S10" s="12" t="str">
        <v/>
      </c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H24" sqref="H24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0.6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359</v>
      </c>
    </row>
    <row r="2" ht="24" customHeight="1" spans="1:19">
      <c r="A2" s="18" t="s">
        <v>259</v>
      </c>
      <c r="B2" s="19" t="s">
        <v>144</v>
      </c>
      <c r="C2" s="20" t="s">
        <v>353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226</v>
      </c>
      <c r="B3" s="11" t="str">
        <f>IF($B$2="","",IFERROR(INDEX(账户币种,MATCH($B$2,账户名,0)),""))</f>
        <v>USD</v>
      </c>
      <c r="C3" s="21" t="s">
        <v>354</v>
      </c>
      <c r="D3" s="7">
        <f>IF($B$2="","",ROUND(SUMIF(账户名,$B$2,账户期初),2))</f>
        <v>800000</v>
      </c>
      <c r="E3" s="21" t="s">
        <v>355</v>
      </c>
      <c r="F3" s="7">
        <f>IF($B$2="","",ROUND(SUMIF(流水账户,$B$2,流水收入),2))</f>
        <v>40000</v>
      </c>
      <c r="G3" s="21" t="s">
        <v>356</v>
      </c>
      <c r="H3" s="7">
        <f>IF($B$2="","",ROUND(SUMIF(流水账户,$B$2,流水支出),2))</f>
        <v>28000</v>
      </c>
      <c r="I3" s="21" t="s">
        <v>357</v>
      </c>
      <c r="J3" s="7">
        <f>IF($B$2="","",ROUND(SUMIF(账户名,$B$2,账户期初)+SUMIF(流水账户,$B$2,流水净额),2))</f>
        <v>812000</v>
      </c>
      <c r="K3" s="21" t="s">
        <v>358</v>
      </c>
      <c r="L3" s="7">
        <f>IF($B$2="","",IFERROR(ROUND(VLOOKUP($B$2,账户余额表!$C$6:$L$35,8,0),2),""))</f>
        <v>5830160</v>
      </c>
      <c r="M3" s="21" t="s">
        <v>59</v>
      </c>
      <c r="N3" s="7">
        <f>IF($B$2="","",IFERROR(ROUND(VLOOKUP($B$2,账户余额表!$C$6:$L$35,10,0),2),""))</f>
        <v>23640</v>
      </c>
    </row>
    <row r="5" ht="30" customHeight="1" spans="1:19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234</v>
      </c>
      <c r="M5" s="18" t="s">
        <v>235</v>
      </c>
      <c r="N5" s="18" t="s">
        <v>236</v>
      </c>
      <c r="O5" s="18" t="s">
        <v>237</v>
      </c>
      <c r="P5" s="18" t="s">
        <v>238</v>
      </c>
      <c r="Q5" s="18" t="s">
        <v>133</v>
      </c>
      <c r="R5" s="18" t="s">
        <v>239</v>
      </c>
      <c r="S5" s="18" t="s">
        <v>127</v>
      </c>
    </row>
    <row r="6" ht="16.5" spans="1:19">
      <c r="A6" s="22" cm="1">
        <f t="array" ref="A6:S9">_xlfn._xlws.FILTER(IF(流水录入!$A$6:$S$2005="","",流水录入!$A$6:$S$2005),流水录入!$B$6:$B$2005=$B$2,"这个账户还没有流水")</f>
        <v>46238</v>
      </c>
      <c r="B6" s="12" t="str">
        <v>中国银行美元结算户-6688</v>
      </c>
      <c r="C6" s="12" t="str">
        <v>中国银行</v>
      </c>
      <c r="D6" s="12" t="str">
        <v>USD</v>
      </c>
      <c r="E6" s="12" t="str">
        <v>销售回款</v>
      </c>
      <c r="F6" s="12" t="str">
        <v>收入</v>
      </c>
      <c r="G6" s="23">
        <v>25000</v>
      </c>
      <c r="H6" s="23" t="str">
        <v/>
      </c>
      <c r="I6" s="24" t="str">
        <v/>
      </c>
      <c r="J6" s="24">
        <v>7.18</v>
      </c>
      <c r="K6" s="23">
        <v>25000</v>
      </c>
      <c r="L6" s="23">
        <v>179500</v>
      </c>
      <c r="M6" s="23">
        <v>825000</v>
      </c>
      <c r="N6" s="23">
        <v>5899500</v>
      </c>
      <c r="O6" s="12" t="str">
        <v>美元货款</v>
      </c>
      <c r="P6" s="12" t="str">
        <v>出口业务</v>
      </c>
      <c r="Q6" s="12" t="str">
        <v>Overseas Client A</v>
      </c>
      <c r="R6" s="12" t="str">
        <v/>
      </c>
      <c r="S6" s="12" t="str">
        <v/>
      </c>
    </row>
    <row r="7" ht="16.5" spans="1:19">
      <c r="A7" s="22">
        <v>46244</v>
      </c>
      <c r="B7" s="12" t="str">
        <v>中国银行美元结算户-6688</v>
      </c>
      <c r="C7" s="12" t="str">
        <v>中国银行</v>
      </c>
      <c r="D7" s="12" t="str">
        <v>USD</v>
      </c>
      <c r="E7" s="12" t="str">
        <v>采购付款</v>
      </c>
      <c r="F7" s="12" t="str">
        <v>支出</v>
      </c>
      <c r="G7" s="23" t="str">
        <v/>
      </c>
      <c r="H7" s="23">
        <v>8000</v>
      </c>
      <c r="I7" s="24">
        <v>7.16</v>
      </c>
      <c r="J7" s="24">
        <v>7.16</v>
      </c>
      <c r="K7" s="23">
        <v>-8000</v>
      </c>
      <c r="L7" s="23">
        <v>-57280</v>
      </c>
      <c r="M7" s="23">
        <v>817000</v>
      </c>
      <c r="N7" s="23">
        <v>5842220</v>
      </c>
      <c r="O7" s="12" t="str">
        <v>美元采购款（银行实际成交价）</v>
      </c>
      <c r="P7" s="12" t="str">
        <v>进口业务</v>
      </c>
      <c r="Q7" s="12" t="str">
        <v>Overseas Supplier B</v>
      </c>
      <c r="R7" s="12" t="str">
        <v/>
      </c>
      <c r="S7" s="12" t="str">
        <v/>
      </c>
    </row>
    <row r="8" ht="16.5" spans="1:19">
      <c r="A8" s="22">
        <v>46252</v>
      </c>
      <c r="B8" s="12" t="str">
        <v>中国银行美元结算户-6688</v>
      </c>
      <c r="C8" s="12" t="str">
        <v>中国银行</v>
      </c>
      <c r="D8" s="12" t="str">
        <v>USD</v>
      </c>
      <c r="E8" s="12" t="str">
        <v>销售回款</v>
      </c>
      <c r="F8" s="12" t="str">
        <v>收入</v>
      </c>
      <c r="G8" s="23">
        <v>15000</v>
      </c>
      <c r="H8" s="23" t="str">
        <v/>
      </c>
      <c r="I8" s="24" t="str">
        <v/>
      </c>
      <c r="J8" s="24">
        <v>7.18</v>
      </c>
      <c r="K8" s="23">
        <v>15000</v>
      </c>
      <c r="L8" s="23">
        <v>107700</v>
      </c>
      <c r="M8" s="23">
        <v>832000</v>
      </c>
      <c r="N8" s="23">
        <v>5949920</v>
      </c>
      <c r="O8" s="12" t="str">
        <v>第二笔美元回款</v>
      </c>
      <c r="P8" s="12" t="str">
        <v>出口业务</v>
      </c>
      <c r="Q8" s="12" t="str">
        <v>Overseas Client C</v>
      </c>
      <c r="R8" s="12" t="str">
        <v/>
      </c>
      <c r="S8" s="12" t="str">
        <v/>
      </c>
    </row>
    <row r="9" ht="33" spans="1:19">
      <c r="A9" s="22">
        <v>46259</v>
      </c>
      <c r="B9" s="12" t="str">
        <v>中国银行美元结算户-6688</v>
      </c>
      <c r="C9" s="12" t="str">
        <v>中国银行</v>
      </c>
      <c r="D9" s="12" t="str">
        <v>USD</v>
      </c>
      <c r="E9" s="12" t="str">
        <v>购汇/结汇</v>
      </c>
      <c r="F9" s="12" t="str">
        <v>内部转账</v>
      </c>
      <c r="G9" s="23" t="str">
        <v/>
      </c>
      <c r="H9" s="23">
        <v>20000</v>
      </c>
      <c r="I9" s="24">
        <v>7.17</v>
      </c>
      <c r="J9" s="24">
        <v>7.17</v>
      </c>
      <c r="K9" s="23">
        <v>-20000</v>
      </c>
      <c r="L9" s="23">
        <v>-143400</v>
      </c>
      <c r="M9" s="23">
        <v>812000</v>
      </c>
      <c r="N9" s="23">
        <v>5806520</v>
      </c>
      <c r="O9" s="12" t="str">
        <v>结汇：美元转出</v>
      </c>
      <c r="P9" s="12" t="str">
        <v>内部调拨</v>
      </c>
      <c r="Q9" s="12" t="str">
        <v>工商银行基本户-8888</v>
      </c>
      <c r="R9" s="12" t="str">
        <v/>
      </c>
      <c r="S9" s="12" t="str">
        <v/>
      </c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A7" sqref="A7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0.6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360</v>
      </c>
    </row>
    <row r="2" ht="24" customHeight="1" spans="1:19">
      <c r="A2" s="18" t="s">
        <v>259</v>
      </c>
      <c r="B2" s="19" t="s">
        <v>153</v>
      </c>
      <c r="C2" s="20" t="s">
        <v>353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226</v>
      </c>
      <c r="B3" s="11" t="str">
        <f>IF($B$2="","",IFERROR(INDEX(账户币种,MATCH($B$2,账户名,0)),""))</f>
        <v>HKD</v>
      </c>
      <c r="C3" s="21" t="s">
        <v>354</v>
      </c>
      <c r="D3" s="7">
        <f>IF($B$2="","",ROUND(SUMIF(账户名,$B$2,账户期初),2))</f>
        <v>300000</v>
      </c>
      <c r="E3" s="21" t="s">
        <v>355</v>
      </c>
      <c r="F3" s="7">
        <f>IF($B$2="","",ROUND(SUMIF(流水账户,$B$2,流水收入),2))</f>
        <v>80000</v>
      </c>
      <c r="G3" s="21" t="s">
        <v>356</v>
      </c>
      <c r="H3" s="7">
        <f>IF($B$2="","",ROUND(SUMIF(流水账户,$B$2,流水支出),2))</f>
        <v>24500</v>
      </c>
      <c r="I3" s="21" t="s">
        <v>357</v>
      </c>
      <c r="J3" s="7">
        <f>IF($B$2="","",ROUND(SUMIF(账户名,$B$2,账户期初)+SUMIF(流水账户,$B$2,流水净额),2))</f>
        <v>355500</v>
      </c>
      <c r="K3" s="21" t="s">
        <v>358</v>
      </c>
      <c r="L3" s="7">
        <f>IF($B$2="","",IFERROR(ROUND(VLOOKUP($B$2,账户余额表!$C$6:$L$35,8,0),2),""))</f>
        <v>327060</v>
      </c>
      <c r="M3" s="21" t="s">
        <v>59</v>
      </c>
      <c r="N3" s="7">
        <f>IF($B$2="","",IFERROR(ROUND(VLOOKUP($B$2,账户余额表!$C$6:$L$35,10,0),2),""))</f>
        <v>1500</v>
      </c>
    </row>
    <row r="5" ht="30" customHeight="1" spans="1:19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234</v>
      </c>
      <c r="M5" s="18" t="s">
        <v>235</v>
      </c>
      <c r="N5" s="18" t="s">
        <v>236</v>
      </c>
      <c r="O5" s="18" t="s">
        <v>237</v>
      </c>
      <c r="P5" s="18" t="s">
        <v>238</v>
      </c>
      <c r="Q5" s="18" t="s">
        <v>133</v>
      </c>
      <c r="R5" s="18" t="s">
        <v>239</v>
      </c>
      <c r="S5" s="18" t="s">
        <v>127</v>
      </c>
    </row>
    <row r="6" ht="16.5" spans="1:19">
      <c r="A6" s="22" cm="1">
        <f t="array" ref="A6:S8">_xlfn._xlws.FILTER(IF(流水录入!$A$6:$S$2005="","",流水录入!$A$6:$S$2005),流水录入!$B$6:$B$2005=$B$2,"这个账户还没有流水")</f>
        <v>46239</v>
      </c>
      <c r="B6" s="12" t="str">
        <v>汇丰银行港币结算户-5566</v>
      </c>
      <c r="C6" s="12" t="str">
        <v>汇丰银行</v>
      </c>
      <c r="D6" s="12" t="str">
        <v>HKD</v>
      </c>
      <c r="E6" s="12" t="str">
        <v>采购付款</v>
      </c>
      <c r="F6" s="12" t="str">
        <v>支出</v>
      </c>
      <c r="G6" s="23" t="str">
        <v/>
      </c>
      <c r="H6" s="23">
        <v>4500</v>
      </c>
      <c r="I6" s="24" t="str">
        <v/>
      </c>
      <c r="J6" s="24">
        <v>0.92</v>
      </c>
      <c r="K6" s="23">
        <v>-4500</v>
      </c>
      <c r="L6" s="23">
        <v>-4140</v>
      </c>
      <c r="M6" s="23">
        <v>295500</v>
      </c>
      <c r="N6" s="23">
        <v>270360</v>
      </c>
      <c r="O6" s="12" t="str">
        <v>港币采购付款</v>
      </c>
      <c r="P6" s="12" t="str">
        <v>进口业务</v>
      </c>
      <c r="Q6" s="12" t="str">
        <v>香港供应商A</v>
      </c>
      <c r="R6" s="12" t="str">
        <v/>
      </c>
      <c r="S6" s="12" t="str">
        <v/>
      </c>
    </row>
    <row r="7" ht="16.5" spans="1:19">
      <c r="A7" s="22">
        <v>46245</v>
      </c>
      <c r="B7" s="12" t="str">
        <v>汇丰银行港币结算户-5566</v>
      </c>
      <c r="C7" s="12" t="str">
        <v>汇丰银行</v>
      </c>
      <c r="D7" s="12" t="str">
        <v>HKD</v>
      </c>
      <c r="E7" s="12" t="str">
        <v>销售回款</v>
      </c>
      <c r="F7" s="12" t="str">
        <v>收入</v>
      </c>
      <c r="G7" s="23">
        <v>80000</v>
      </c>
      <c r="H7" s="23" t="str">
        <v/>
      </c>
      <c r="I7" s="24" t="str">
        <v/>
      </c>
      <c r="J7" s="24">
        <v>0.92</v>
      </c>
      <c r="K7" s="23">
        <v>80000</v>
      </c>
      <c r="L7" s="23">
        <v>73600</v>
      </c>
      <c r="M7" s="23">
        <v>375500</v>
      </c>
      <c r="N7" s="23">
        <v>343960</v>
      </c>
      <c r="O7" s="12" t="str">
        <v>港币销售回款</v>
      </c>
      <c r="P7" s="12" t="str">
        <v>香港业务</v>
      </c>
      <c r="Q7" s="12" t="str">
        <v>香港客户B</v>
      </c>
      <c r="R7" s="12" t="str">
        <v/>
      </c>
      <c r="S7" s="12" t="str">
        <v/>
      </c>
    </row>
    <row r="8" ht="16.5" spans="1:19">
      <c r="A8" s="22">
        <v>46253</v>
      </c>
      <c r="B8" s="12" t="str">
        <v>汇丰银行港币结算户-5566</v>
      </c>
      <c r="C8" s="12" t="str">
        <v>汇丰银行</v>
      </c>
      <c r="D8" s="12" t="str">
        <v>HKD</v>
      </c>
      <c r="E8" s="12" t="str">
        <v>运营费用</v>
      </c>
      <c r="F8" s="12" t="str">
        <v>支出</v>
      </c>
      <c r="G8" s="23" t="str">
        <v/>
      </c>
      <c r="H8" s="23">
        <v>20000</v>
      </c>
      <c r="I8" s="24" t="str">
        <v/>
      </c>
      <c r="J8" s="24">
        <v>0.92</v>
      </c>
      <c r="K8" s="23">
        <v>-20000</v>
      </c>
      <c r="L8" s="23">
        <v>-18400</v>
      </c>
      <c r="M8" s="23">
        <v>355500</v>
      </c>
      <c r="N8" s="23">
        <v>325560</v>
      </c>
      <c r="O8" s="12" t="str">
        <v>香港运营费</v>
      </c>
      <c r="P8" s="12" t="str">
        <v>行政</v>
      </c>
      <c r="Q8" s="12" t="str">
        <v>香港办公室</v>
      </c>
      <c r="R8" s="12" t="str">
        <v/>
      </c>
      <c r="S8" s="12" t="str">
        <v/>
      </c>
    </row>
    <row r="9" ht="16.5" spans="1:19">
      <c r="A9" s="22"/>
      <c r="B9" s="12"/>
      <c r="C9" s="12"/>
      <c r="D9" s="12"/>
      <c r="E9" s="12"/>
      <c r="F9" s="12"/>
      <c r="G9" s="23"/>
      <c r="H9" s="23"/>
      <c r="I9" s="24"/>
      <c r="J9" s="24"/>
      <c r="K9" s="23"/>
      <c r="L9" s="23"/>
      <c r="M9" s="23"/>
      <c r="N9" s="23"/>
      <c r="O9" s="12"/>
      <c r="P9" s="12"/>
      <c r="Q9" s="12"/>
      <c r="R9" s="12"/>
      <c r="S9" s="12"/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H20" sqref="H20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9.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361</v>
      </c>
    </row>
    <row r="2" ht="24" customHeight="1" spans="1:19">
      <c r="A2" s="18" t="s">
        <v>259</v>
      </c>
      <c r="B2" s="19" t="s">
        <v>161</v>
      </c>
      <c r="C2" s="20" t="s">
        <v>353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226</v>
      </c>
      <c r="B3" s="11" t="str">
        <f>IF($B$2="","",IFERROR(INDEX(账户币种,MATCH($B$2,账户名,0)),""))</f>
        <v>CNY</v>
      </c>
      <c r="C3" s="21" t="s">
        <v>354</v>
      </c>
      <c r="D3" s="7">
        <f>IF($B$2="","",ROUND(SUMIF(账户名,$B$2,账户期初),2))</f>
        <v>200000</v>
      </c>
      <c r="E3" s="21" t="s">
        <v>355</v>
      </c>
      <c r="F3" s="7">
        <f>IF($B$2="","",ROUND(SUMIF(流水账户,$B$2,流水收入),2))</f>
        <v>110000</v>
      </c>
      <c r="G3" s="21" t="s">
        <v>356</v>
      </c>
      <c r="H3" s="7">
        <f>IF($B$2="","",ROUND(SUMIF(流水账户,$B$2,流水支出),2))</f>
        <v>30000</v>
      </c>
      <c r="I3" s="21" t="s">
        <v>357</v>
      </c>
      <c r="J3" s="7">
        <f>IF($B$2="","",ROUND(SUMIF(账户名,$B$2,账户期初)+SUMIF(流水账户,$B$2,流水净额),2))</f>
        <v>280000</v>
      </c>
      <c r="K3" s="21" t="s">
        <v>358</v>
      </c>
      <c r="L3" s="7">
        <f>IF($B$2="","",IFERROR(ROUND(VLOOKUP($B$2,账户余额表!$C$6:$L$35,8,0),2),""))</f>
        <v>280000</v>
      </c>
      <c r="M3" s="21" t="s">
        <v>59</v>
      </c>
      <c r="N3" s="7">
        <f>IF($B$2="","",IFERROR(ROUND(VLOOKUP($B$2,账户余额表!$C$6:$L$35,10,0),2),""))</f>
        <v>0</v>
      </c>
    </row>
    <row r="5" ht="30" customHeight="1" spans="1:19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234</v>
      </c>
      <c r="M5" s="18" t="s">
        <v>235</v>
      </c>
      <c r="N5" s="18" t="s">
        <v>236</v>
      </c>
      <c r="O5" s="18" t="s">
        <v>237</v>
      </c>
      <c r="P5" s="18" t="s">
        <v>238</v>
      </c>
      <c r="Q5" s="18" t="s">
        <v>133</v>
      </c>
      <c r="R5" s="18" t="s">
        <v>239</v>
      </c>
      <c r="S5" s="18" t="s">
        <v>127</v>
      </c>
    </row>
    <row r="6" ht="16.5" spans="1:19">
      <c r="A6" s="22" cm="1">
        <f t="array" ref="A6:S8">_xlfn._xlws.FILTER(IF(流水录入!$A$6:$S$2005="","",流水录入!$A$6:$S$2005),流水录入!$B$6:$B$2005=$B$2,"这个账户还没有流水")</f>
        <v>46240</v>
      </c>
      <c r="B6" s="12" t="str">
        <v>招商银行一般户-2388</v>
      </c>
      <c r="C6" s="12" t="str">
        <v>招商银行</v>
      </c>
      <c r="D6" s="12" t="str">
        <v>CNY</v>
      </c>
      <c r="E6" s="12" t="str">
        <v>工资</v>
      </c>
      <c r="F6" s="12" t="str">
        <v>支出</v>
      </c>
      <c r="G6" s="23" t="str">
        <v/>
      </c>
      <c r="H6" s="23">
        <v>30000</v>
      </c>
      <c r="I6" s="24" t="str">
        <v/>
      </c>
      <c r="J6" s="24">
        <v>1</v>
      </c>
      <c r="K6" s="23">
        <v>-30000</v>
      </c>
      <c r="L6" s="23">
        <v>-30000</v>
      </c>
      <c r="M6" s="23">
        <v>170000</v>
      </c>
      <c r="N6" s="23">
        <v>170000</v>
      </c>
      <c r="O6" s="12" t="str">
        <v>工资发放</v>
      </c>
      <c r="P6" s="12" t="str">
        <v>行政</v>
      </c>
      <c r="Q6" s="12" t="str">
        <v>员工薪酬</v>
      </c>
      <c r="R6" s="12" t="str">
        <v/>
      </c>
      <c r="S6" s="12" t="str">
        <v/>
      </c>
    </row>
    <row r="7" ht="16.5" spans="1:19">
      <c r="A7" s="22">
        <v>46246</v>
      </c>
      <c r="B7" s="12" t="str">
        <v>招商银行一般户-2388</v>
      </c>
      <c r="C7" s="12" t="str">
        <v>招商银行</v>
      </c>
      <c r="D7" s="12" t="str">
        <v>CNY</v>
      </c>
      <c r="E7" s="12" t="str">
        <v>借款</v>
      </c>
      <c r="F7" s="12" t="str">
        <v>收入</v>
      </c>
      <c r="G7" s="23">
        <v>60000</v>
      </c>
      <c r="H7" s="23" t="str">
        <v/>
      </c>
      <c r="I7" s="24" t="str">
        <v/>
      </c>
      <c r="J7" s="24">
        <v>1</v>
      </c>
      <c r="K7" s="23">
        <v>60000</v>
      </c>
      <c r="L7" s="23">
        <v>60000</v>
      </c>
      <c r="M7" s="23">
        <v>230000</v>
      </c>
      <c r="N7" s="23">
        <v>230000</v>
      </c>
      <c r="O7" s="12" t="str">
        <v>短期借款到账</v>
      </c>
      <c r="P7" s="12" t="str">
        <v>融资</v>
      </c>
      <c r="Q7" s="12" t="str">
        <v>银行借款</v>
      </c>
      <c r="R7" s="12" t="str">
        <v/>
      </c>
      <c r="S7" s="12" t="str">
        <v/>
      </c>
    </row>
    <row r="8" ht="33" spans="1:19">
      <c r="A8" s="22">
        <v>46248</v>
      </c>
      <c r="B8" s="12" t="str">
        <v>招商银行一般户-2388</v>
      </c>
      <c r="C8" s="12" t="str">
        <v>招商银行</v>
      </c>
      <c r="D8" s="12" t="str">
        <v>CNY</v>
      </c>
      <c r="E8" s="12" t="str">
        <v>内部转账</v>
      </c>
      <c r="F8" s="12" t="str">
        <v>内部转账</v>
      </c>
      <c r="G8" s="23">
        <v>50000</v>
      </c>
      <c r="H8" s="23" t="str">
        <v/>
      </c>
      <c r="I8" s="24" t="str">
        <v/>
      </c>
      <c r="J8" s="24">
        <v>1</v>
      </c>
      <c r="K8" s="23">
        <v>50000</v>
      </c>
      <c r="L8" s="23">
        <v>50000</v>
      </c>
      <c r="M8" s="23">
        <v>280000</v>
      </c>
      <c r="N8" s="23">
        <v>280000</v>
      </c>
      <c r="O8" s="12" t="str">
        <v>收到工商银行转入</v>
      </c>
      <c r="P8" s="12" t="str">
        <v>内部调拨</v>
      </c>
      <c r="Q8" s="12" t="str">
        <v>工商银行基本户-8888</v>
      </c>
      <c r="R8" s="12" t="str">
        <v/>
      </c>
      <c r="S8" s="12" t="str">
        <v/>
      </c>
    </row>
    <row r="9" ht="16.5" spans="1:19">
      <c r="A9" s="22"/>
      <c r="B9" s="12"/>
      <c r="C9" s="12"/>
      <c r="D9" s="12"/>
      <c r="E9" s="12"/>
      <c r="F9" s="12"/>
      <c r="G9" s="23"/>
      <c r="H9" s="23"/>
      <c r="I9" s="24"/>
      <c r="J9" s="24"/>
      <c r="K9" s="23"/>
      <c r="L9" s="23"/>
      <c r="M9" s="23"/>
      <c r="N9" s="23"/>
      <c r="O9" s="12"/>
      <c r="P9" s="12"/>
      <c r="Q9" s="12"/>
      <c r="R9" s="12"/>
      <c r="S9" s="12"/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B2" sqref="B2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10.12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362</v>
      </c>
    </row>
    <row r="2" ht="24" customHeight="1" spans="1:19">
      <c r="A2" s="18" t="s">
        <v>259</v>
      </c>
      <c r="B2" s="19" t="s">
        <v>169</v>
      </c>
      <c r="C2" s="20" t="s">
        <v>353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226</v>
      </c>
      <c r="B3" s="11" t="str">
        <f>IF($B$2="","",IFERROR(INDEX(账户币种,MATCH($B$2,账户名,0)),""))</f>
        <v>USD</v>
      </c>
      <c r="C3" s="21" t="s">
        <v>354</v>
      </c>
      <c r="D3" s="7">
        <f>IF($B$2="","",ROUND(SUMIF(账户名,$B$2,账户期初),2))</f>
        <v>500000</v>
      </c>
      <c r="E3" s="21" t="s">
        <v>355</v>
      </c>
      <c r="F3" s="7">
        <f>IF($B$2="","",ROUND(SUMIF(流水账户,$B$2,流水收入),2))</f>
        <v>12000</v>
      </c>
      <c r="G3" s="21" t="s">
        <v>356</v>
      </c>
      <c r="H3" s="7">
        <f>IF($B$2="","",ROUND(SUMIF(流水账户,$B$2,流水支出),2))</f>
        <v>5000</v>
      </c>
      <c r="I3" s="21" t="s">
        <v>357</v>
      </c>
      <c r="J3" s="7">
        <f>IF($B$2="","",ROUND(SUMIF(账户名,$B$2,账户期初)+SUMIF(流水账户,$B$2,流水净额),2))</f>
        <v>507000</v>
      </c>
      <c r="K3" s="21" t="s">
        <v>358</v>
      </c>
      <c r="L3" s="7">
        <f>IF($B$2="","",IFERROR(ROUND(VLOOKUP($B$2,账户余额表!$C$6:$L$35,8,0),2),""))</f>
        <v>3640260</v>
      </c>
      <c r="M3" s="21" t="s">
        <v>59</v>
      </c>
      <c r="N3" s="7">
        <f>IF($B$2="","",IFERROR(ROUND(VLOOKUP($B$2,账户余额表!$C$6:$L$35,10,0),2),""))</f>
        <v>15000</v>
      </c>
    </row>
    <row r="5" ht="30" customHeight="1" spans="1:19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234</v>
      </c>
      <c r="M5" s="18" t="s">
        <v>235</v>
      </c>
      <c r="N5" s="18" t="s">
        <v>236</v>
      </c>
      <c r="O5" s="18" t="s">
        <v>237</v>
      </c>
      <c r="P5" s="18" t="s">
        <v>238</v>
      </c>
      <c r="Q5" s="18" t="s">
        <v>133</v>
      </c>
      <c r="R5" s="18" t="s">
        <v>239</v>
      </c>
      <c r="S5" s="18" t="s">
        <v>127</v>
      </c>
    </row>
    <row r="6" ht="16.5" spans="1:19">
      <c r="A6" s="22" cm="1">
        <f t="array" ref="A6:S7">_xlfn._xlws.FILTER(IF(流水录入!$A$6:$S$2005="","",流水录入!$A$6:$S$2005),流水录入!$B$6:$B$2005=$B$2,"这个账户还没有流水")</f>
        <v>46241</v>
      </c>
      <c r="B6" s="12" t="str">
        <v>汇丰银行美元结算户-7788</v>
      </c>
      <c r="C6" s="12" t="str">
        <v>汇丰银行</v>
      </c>
      <c r="D6" s="12" t="str">
        <v>USD</v>
      </c>
      <c r="E6" s="12" t="str">
        <v>投资款</v>
      </c>
      <c r="F6" s="12" t="str">
        <v>收入</v>
      </c>
      <c r="G6" s="23">
        <v>12000</v>
      </c>
      <c r="H6" s="23" t="str">
        <v/>
      </c>
      <c r="I6" s="24" t="str">
        <v/>
      </c>
      <c r="J6" s="24">
        <v>7.18</v>
      </c>
      <c r="K6" s="23">
        <v>12000</v>
      </c>
      <c r="L6" s="23">
        <v>86160</v>
      </c>
      <c r="M6" s="23">
        <v>512000</v>
      </c>
      <c r="N6" s="23">
        <v>3661160</v>
      </c>
      <c r="O6" s="12" t="str">
        <v>美元投资款</v>
      </c>
      <c r="P6" s="12" t="str">
        <v>融资</v>
      </c>
      <c r="Q6" s="12" t="str">
        <v>股东A</v>
      </c>
      <c r="R6" s="12" t="str">
        <v/>
      </c>
      <c r="S6" s="12" t="str">
        <v/>
      </c>
    </row>
    <row r="7" ht="16.5" spans="1:19">
      <c r="A7" s="22">
        <v>46247</v>
      </c>
      <c r="B7" s="12" t="str">
        <v>汇丰银行美元结算户-7788</v>
      </c>
      <c r="C7" s="12" t="str">
        <v>汇丰银行</v>
      </c>
      <c r="D7" s="12" t="str">
        <v>USD</v>
      </c>
      <c r="E7" s="12" t="str">
        <v>运营费用</v>
      </c>
      <c r="F7" s="12" t="str">
        <v>支出</v>
      </c>
      <c r="G7" s="23" t="str">
        <v/>
      </c>
      <c r="H7" s="23">
        <v>5000</v>
      </c>
      <c r="I7" s="24" t="str">
        <v/>
      </c>
      <c r="J7" s="24">
        <v>7.18</v>
      </c>
      <c r="K7" s="23">
        <v>-5000</v>
      </c>
      <c r="L7" s="23">
        <v>-35900</v>
      </c>
      <c r="M7" s="23">
        <v>507000</v>
      </c>
      <c r="N7" s="23">
        <v>3625260</v>
      </c>
      <c r="O7" s="12" t="str">
        <v>美元服务费</v>
      </c>
      <c r="P7" s="12" t="str">
        <v>海外服务</v>
      </c>
      <c r="Q7" s="12" t="str">
        <v>Service Provider</v>
      </c>
      <c r="R7" s="12" t="str">
        <v/>
      </c>
      <c r="S7" s="12" t="str">
        <v/>
      </c>
    </row>
    <row r="8" ht="16.5" spans="1:19">
      <c r="A8" s="22"/>
      <c r="B8" s="12"/>
      <c r="C8" s="12"/>
      <c r="D8" s="12"/>
      <c r="E8" s="12"/>
      <c r="F8" s="12"/>
      <c r="G8" s="23"/>
      <c r="H8" s="23"/>
      <c r="I8" s="24"/>
      <c r="J8" s="24"/>
      <c r="K8" s="23"/>
      <c r="L8" s="23"/>
      <c r="M8" s="23"/>
      <c r="N8" s="23"/>
      <c r="O8" s="12"/>
      <c r="P8" s="12"/>
      <c r="Q8" s="12"/>
      <c r="R8" s="12"/>
      <c r="S8" s="12"/>
    </row>
    <row r="9" ht="16.5" spans="1:19">
      <c r="A9" s="22"/>
      <c r="B9" s="12"/>
      <c r="C9" s="12"/>
      <c r="D9" s="12"/>
      <c r="E9" s="12"/>
      <c r="F9" s="12"/>
      <c r="G9" s="23"/>
      <c r="H9" s="23"/>
      <c r="I9" s="24"/>
      <c r="J9" s="24"/>
      <c r="K9" s="23"/>
      <c r="L9" s="23"/>
      <c r="M9" s="23"/>
      <c r="N9" s="23"/>
      <c r="O9" s="12"/>
      <c r="P9" s="12"/>
      <c r="Q9" s="12"/>
      <c r="R9" s="12"/>
      <c r="S9" s="12"/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000"/>
    <pageSetUpPr fitToPage="1"/>
  </sheetPr>
  <dimension ref="A1:S405"/>
  <sheetViews>
    <sheetView showGridLines="0" workbookViewId="0">
      <pane ySplit="5" topLeftCell="A6" activePane="bottomLeft" state="frozen"/>
      <selection/>
      <selection pane="bottomLeft" activeCell="N3" sqref="N3"/>
    </sheetView>
  </sheetViews>
  <sheetFormatPr defaultColWidth="9" defaultRowHeight="13.5"/>
  <cols>
    <col min="1" max="1" width="12" customWidth="1"/>
    <col min="2" max="2" width="23" customWidth="1"/>
    <col min="3" max="3" width="12" customWidth="1"/>
    <col min="4" max="4" width="9.875" customWidth="1"/>
    <col min="5" max="5" width="13" customWidth="1"/>
    <col min="6" max="6" width="10" customWidth="1"/>
    <col min="7" max="8" width="15" customWidth="1"/>
    <col min="9" max="9" width="12" customWidth="1"/>
    <col min="10" max="10" width="10" customWidth="1"/>
    <col min="11" max="11" width="14" customWidth="1"/>
    <col min="12" max="13" width="15" customWidth="1"/>
    <col min="14" max="14" width="16" customWidth="1"/>
    <col min="15" max="15" width="26" customWidth="1"/>
    <col min="16" max="16" width="13" customWidth="1"/>
    <col min="17" max="17" width="16" customWidth="1"/>
    <col min="18" max="18" width="14" customWidth="1"/>
    <col min="19" max="19" width="32" customWidth="1"/>
  </cols>
  <sheetData>
    <row r="1" ht="30" customHeight="1" spans="1:19">
      <c r="A1" s="1" t="s">
        <v>363</v>
      </c>
    </row>
    <row r="2" ht="24" customHeight="1" spans="1:19">
      <c r="A2" s="18" t="s">
        <v>259</v>
      </c>
      <c r="B2" s="19" t="s">
        <v>176</v>
      </c>
      <c r="C2" s="20" t="s">
        <v>353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</row>
    <row r="3" ht="20" customHeight="1" spans="1:19">
      <c r="A3" s="21" t="s">
        <v>226</v>
      </c>
      <c r="B3" s="11" t="str">
        <f>IF($B$2="","",IFERROR(INDEX(账户币种,MATCH($B$2,账户名,0)),""))</f>
        <v>EUR</v>
      </c>
      <c r="C3" s="21" t="s">
        <v>354</v>
      </c>
      <c r="D3" s="7">
        <f>IF($B$2="","",ROUND(SUMIF(账户名,$B$2,账户期初),2))</f>
        <v>120000</v>
      </c>
      <c r="E3" s="21" t="s">
        <v>355</v>
      </c>
      <c r="F3" s="7">
        <f>IF($B$2="","",ROUND(SUMIF(流水账户,$B$2,流水收入),2))</f>
        <v>30000</v>
      </c>
      <c r="G3" s="21" t="s">
        <v>356</v>
      </c>
      <c r="H3" s="7">
        <f>IF($B$2="","",ROUND(SUMIF(流水账户,$B$2,流水支出),2))</f>
        <v>0</v>
      </c>
      <c r="I3" s="21" t="s">
        <v>357</v>
      </c>
      <c r="J3" s="7">
        <f>IF($B$2="","",ROUND(SUMIF(账户名,$B$2,账户期初)+SUMIF(流水账户,$B$2,流水净额),2))</f>
        <v>150000</v>
      </c>
      <c r="K3" s="21" t="s">
        <v>358</v>
      </c>
      <c r="L3" s="7">
        <f>IF($B$2="","",IFERROR(ROUND(VLOOKUP($B$2,账户余额表!$C$6:$L$35,8,0),2),""))</f>
        <v>1153500</v>
      </c>
      <c r="M3" s="21" t="s">
        <v>59</v>
      </c>
      <c r="N3" s="7">
        <f>IF($B$2="","",IFERROR(ROUND(VLOOKUP($B$2,账户余额表!$C$6:$L$35,10,0),2),""))</f>
        <v>0</v>
      </c>
    </row>
    <row r="5" ht="30" customHeight="1" spans="1:19">
      <c r="A5" s="18" t="s">
        <v>223</v>
      </c>
      <c r="B5" s="18" t="s">
        <v>224</v>
      </c>
      <c r="C5" s="18" t="s">
        <v>225</v>
      </c>
      <c r="D5" s="18" t="s">
        <v>226</v>
      </c>
      <c r="E5" s="18" t="s">
        <v>227</v>
      </c>
      <c r="F5" s="18" t="s">
        <v>228</v>
      </c>
      <c r="G5" s="18" t="s">
        <v>229</v>
      </c>
      <c r="H5" s="18" t="s">
        <v>230</v>
      </c>
      <c r="I5" s="18" t="s">
        <v>231</v>
      </c>
      <c r="J5" s="18" t="s">
        <v>232</v>
      </c>
      <c r="K5" s="18" t="s">
        <v>233</v>
      </c>
      <c r="L5" s="18" t="s">
        <v>234</v>
      </c>
      <c r="M5" s="18" t="s">
        <v>235</v>
      </c>
      <c r="N5" s="18" t="s">
        <v>236</v>
      </c>
      <c r="O5" s="18" t="s">
        <v>237</v>
      </c>
      <c r="P5" s="18" t="s">
        <v>238</v>
      </c>
      <c r="Q5" s="18" t="s">
        <v>133</v>
      </c>
      <c r="R5" s="18" t="s">
        <v>239</v>
      </c>
      <c r="S5" s="18" t="s">
        <v>127</v>
      </c>
    </row>
    <row r="6" ht="33" spans="1:19">
      <c r="A6" s="22" cm="1">
        <f t="array" ref="A6:S6">_xlfn._xlws.FILTER(IF(流水录入!$A$6:$S$2005="","",流水录入!$A$6:$S$2005),流水录入!$B$6:$B$2005=$B$2,"这个账户还没有流水")</f>
        <v>46254</v>
      </c>
      <c r="B6" s="12" t="str">
        <v>中国银行欧元结算户-9900</v>
      </c>
      <c r="C6" s="12" t="str">
        <v>中国银行</v>
      </c>
      <c r="D6" s="12" t="str">
        <v>EUR</v>
      </c>
      <c r="E6" s="12" t="str">
        <v>销售回款</v>
      </c>
      <c r="F6" s="12" t="str">
        <v>收入</v>
      </c>
      <c r="G6" s="23">
        <v>30000</v>
      </c>
      <c r="H6" s="23" t="str">
        <v/>
      </c>
      <c r="I6" s="24" t="str">
        <v/>
      </c>
      <c r="J6" s="24">
        <v>7.69</v>
      </c>
      <c r="K6" s="23">
        <v>30000</v>
      </c>
      <c r="L6" s="23">
        <v>230700</v>
      </c>
      <c r="M6" s="23">
        <v>150000</v>
      </c>
      <c r="N6" s="23">
        <v>1153500</v>
      </c>
      <c r="O6" s="12" t="str">
        <v>欧元货款（欧元汇率还没填，看核对列）</v>
      </c>
      <c r="P6" s="12" t="str">
        <v>欧洲业务</v>
      </c>
      <c r="Q6" s="12" t="str">
        <v>欧洲客户D</v>
      </c>
      <c r="R6" s="12" t="str">
        <v/>
      </c>
      <c r="S6" s="12" t="str">
        <v/>
      </c>
    </row>
    <row r="7" ht="16.5" spans="1:19">
      <c r="A7" s="22"/>
      <c r="B7" s="12"/>
      <c r="C7" s="12"/>
      <c r="D7" s="12"/>
      <c r="E7" s="12"/>
      <c r="F7" s="12"/>
      <c r="G7" s="23"/>
      <c r="H7" s="23"/>
      <c r="I7" s="24"/>
      <c r="J7" s="24"/>
      <c r="K7" s="23"/>
      <c r="L7" s="23"/>
      <c r="M7" s="23"/>
      <c r="N7" s="23"/>
      <c r="O7" s="12"/>
      <c r="P7" s="12"/>
      <c r="Q7" s="12"/>
      <c r="R7" s="12"/>
      <c r="S7" s="12"/>
    </row>
    <row r="8" ht="16.5" spans="1:19">
      <c r="A8" s="22"/>
      <c r="B8" s="12"/>
      <c r="C8" s="12"/>
      <c r="D8" s="12"/>
      <c r="E8" s="12"/>
      <c r="F8" s="12"/>
      <c r="G8" s="23"/>
      <c r="H8" s="23"/>
      <c r="I8" s="24"/>
      <c r="J8" s="24"/>
      <c r="K8" s="23"/>
      <c r="L8" s="23"/>
      <c r="M8" s="23"/>
      <c r="N8" s="23"/>
      <c r="O8" s="12"/>
      <c r="P8" s="12"/>
      <c r="Q8" s="12"/>
      <c r="R8" s="12"/>
      <c r="S8" s="12"/>
    </row>
    <row r="9" ht="16.5" spans="1:19">
      <c r="A9" s="22"/>
      <c r="B9" s="12"/>
      <c r="C9" s="12"/>
      <c r="D9" s="12"/>
      <c r="E9" s="12"/>
      <c r="F9" s="12"/>
      <c r="G9" s="23"/>
      <c r="H9" s="23"/>
      <c r="I9" s="24"/>
      <c r="J9" s="24"/>
      <c r="K9" s="23"/>
      <c r="L9" s="23"/>
      <c r="M9" s="23"/>
      <c r="N9" s="23"/>
      <c r="O9" s="12"/>
      <c r="P9" s="12"/>
      <c r="Q9" s="12"/>
      <c r="R9" s="12"/>
      <c r="S9" s="12"/>
    </row>
    <row r="10" ht="16.5" spans="1:19">
      <c r="A10" s="22"/>
      <c r="B10" s="12"/>
      <c r="C10" s="12"/>
      <c r="D10" s="12"/>
      <c r="E10" s="12"/>
      <c r="F10" s="12"/>
      <c r="G10" s="23"/>
      <c r="H10" s="23"/>
      <c r="I10" s="24"/>
      <c r="J10" s="24"/>
      <c r="K10" s="23"/>
      <c r="L10" s="23"/>
      <c r="M10" s="23"/>
      <c r="N10" s="23"/>
      <c r="O10" s="12"/>
      <c r="P10" s="12"/>
      <c r="Q10" s="12"/>
      <c r="R10" s="12"/>
      <c r="S10" s="12"/>
    </row>
    <row r="11" ht="16.5" spans="1:19">
      <c r="A11" s="22"/>
      <c r="B11" s="12"/>
      <c r="C11" s="12"/>
      <c r="D11" s="12"/>
      <c r="E11" s="12"/>
      <c r="F11" s="12"/>
      <c r="G11" s="23"/>
      <c r="H11" s="23"/>
      <c r="I11" s="24"/>
      <c r="J11" s="24"/>
      <c r="K11" s="23"/>
      <c r="L11" s="23"/>
      <c r="M11" s="23"/>
      <c r="N11" s="23"/>
      <c r="O11" s="12"/>
      <c r="P11" s="12"/>
      <c r="Q11" s="12"/>
      <c r="R11" s="12"/>
      <c r="S11" s="12"/>
    </row>
    <row r="12" ht="16.5" spans="1:19">
      <c r="A12" s="22"/>
      <c r="B12" s="12"/>
      <c r="C12" s="12"/>
      <c r="D12" s="12"/>
      <c r="E12" s="12"/>
      <c r="F12" s="12"/>
      <c r="G12" s="23"/>
      <c r="H12" s="23"/>
      <c r="I12" s="24"/>
      <c r="J12" s="24"/>
      <c r="K12" s="23"/>
      <c r="L12" s="23"/>
      <c r="M12" s="23"/>
      <c r="N12" s="23"/>
      <c r="O12" s="12"/>
      <c r="P12" s="12"/>
      <c r="Q12" s="12"/>
      <c r="R12" s="12"/>
      <c r="S12" s="12"/>
    </row>
    <row r="13" ht="16.5" spans="1:19">
      <c r="A13" s="22"/>
      <c r="B13" s="12"/>
      <c r="C13" s="12"/>
      <c r="D13" s="12"/>
      <c r="E13" s="12"/>
      <c r="F13" s="12"/>
      <c r="G13" s="23"/>
      <c r="H13" s="23"/>
      <c r="I13" s="24"/>
      <c r="J13" s="24"/>
      <c r="K13" s="23"/>
      <c r="L13" s="23"/>
      <c r="M13" s="23"/>
      <c r="N13" s="23"/>
      <c r="O13" s="12"/>
      <c r="P13" s="12"/>
      <c r="Q13" s="12"/>
      <c r="R13" s="12"/>
      <c r="S13" s="12"/>
    </row>
    <row r="14" ht="16.5" spans="1:19">
      <c r="A14" s="22"/>
      <c r="B14" s="12"/>
      <c r="C14" s="12"/>
      <c r="D14" s="12"/>
      <c r="E14" s="12"/>
      <c r="F14" s="12"/>
      <c r="G14" s="23"/>
      <c r="H14" s="23"/>
      <c r="I14" s="24"/>
      <c r="J14" s="24"/>
      <c r="K14" s="23"/>
      <c r="L14" s="23"/>
      <c r="M14" s="23"/>
      <c r="N14" s="23"/>
      <c r="O14" s="12"/>
      <c r="P14" s="12"/>
      <c r="Q14" s="12"/>
      <c r="R14" s="12"/>
      <c r="S14" s="12"/>
    </row>
    <row r="15" ht="16.5" spans="1:19">
      <c r="A15" s="22"/>
      <c r="B15" s="12"/>
      <c r="C15" s="12"/>
      <c r="D15" s="12"/>
      <c r="E15" s="12"/>
      <c r="F15" s="12"/>
      <c r="G15" s="23"/>
      <c r="H15" s="23"/>
      <c r="I15" s="24"/>
      <c r="J15" s="24"/>
      <c r="K15" s="23"/>
      <c r="L15" s="23"/>
      <c r="M15" s="23"/>
      <c r="N15" s="23"/>
      <c r="O15" s="12"/>
      <c r="P15" s="12"/>
      <c r="Q15" s="12"/>
      <c r="R15" s="12"/>
      <c r="S15" s="12"/>
    </row>
    <row r="16" ht="16.5" spans="1:19">
      <c r="A16" s="22"/>
      <c r="B16" s="12"/>
      <c r="C16" s="12"/>
      <c r="D16" s="12"/>
      <c r="E16" s="12"/>
      <c r="F16" s="12"/>
      <c r="G16" s="23"/>
      <c r="H16" s="23"/>
      <c r="I16" s="24"/>
      <c r="J16" s="24"/>
      <c r="K16" s="23"/>
      <c r="L16" s="23"/>
      <c r="M16" s="23"/>
      <c r="N16" s="23"/>
      <c r="O16" s="12"/>
      <c r="P16" s="12"/>
      <c r="Q16" s="12"/>
      <c r="R16" s="12"/>
      <c r="S16" s="12"/>
    </row>
    <row r="17" ht="16.5" spans="1:19">
      <c r="A17" s="22"/>
      <c r="B17" s="12"/>
      <c r="C17" s="12"/>
      <c r="D17" s="12"/>
      <c r="E17" s="12"/>
      <c r="F17" s="12"/>
      <c r="G17" s="23"/>
      <c r="H17" s="23"/>
      <c r="I17" s="24"/>
      <c r="J17" s="24"/>
      <c r="K17" s="23"/>
      <c r="L17" s="23"/>
      <c r="M17" s="23"/>
      <c r="N17" s="23"/>
      <c r="O17" s="12"/>
      <c r="P17" s="12"/>
      <c r="Q17" s="12"/>
      <c r="R17" s="12"/>
      <c r="S17" s="12"/>
    </row>
    <row r="18" ht="16.5" spans="1:19">
      <c r="A18" s="22"/>
      <c r="B18" s="12"/>
      <c r="C18" s="12"/>
      <c r="D18" s="12"/>
      <c r="E18" s="12"/>
      <c r="F18" s="12"/>
      <c r="G18" s="23"/>
      <c r="H18" s="23"/>
      <c r="I18" s="24"/>
      <c r="J18" s="24"/>
      <c r="K18" s="23"/>
      <c r="L18" s="23"/>
      <c r="M18" s="23"/>
      <c r="N18" s="23"/>
      <c r="O18" s="12"/>
      <c r="P18" s="12"/>
      <c r="Q18" s="12"/>
      <c r="R18" s="12"/>
      <c r="S18" s="12"/>
    </row>
    <row r="19" ht="16.5" spans="1:19">
      <c r="A19" s="22"/>
      <c r="B19" s="12"/>
      <c r="C19" s="12"/>
      <c r="D19" s="12"/>
      <c r="E19" s="12"/>
      <c r="F19" s="12"/>
      <c r="G19" s="23"/>
      <c r="H19" s="23"/>
      <c r="I19" s="24"/>
      <c r="J19" s="24"/>
      <c r="K19" s="23"/>
      <c r="L19" s="23"/>
      <c r="M19" s="23"/>
      <c r="N19" s="23"/>
      <c r="O19" s="12"/>
      <c r="P19" s="12"/>
      <c r="Q19" s="12"/>
      <c r="R19" s="12"/>
      <c r="S19" s="12"/>
    </row>
    <row r="20" ht="16.5" spans="1:19">
      <c r="A20" s="22"/>
      <c r="B20" s="12"/>
      <c r="C20" s="12"/>
      <c r="D20" s="12"/>
      <c r="E20" s="12"/>
      <c r="F20" s="12"/>
      <c r="G20" s="23"/>
      <c r="H20" s="23"/>
      <c r="I20" s="24"/>
      <c r="J20" s="24"/>
      <c r="K20" s="23"/>
      <c r="L20" s="23"/>
      <c r="M20" s="23"/>
      <c r="N20" s="23"/>
      <c r="O20" s="12"/>
      <c r="P20" s="12"/>
      <c r="Q20" s="12"/>
      <c r="R20" s="12"/>
      <c r="S20" s="12"/>
    </row>
    <row r="21" ht="16.5" spans="1:19">
      <c r="A21" s="22"/>
      <c r="B21" s="12"/>
      <c r="C21" s="12"/>
      <c r="D21" s="12"/>
      <c r="E21" s="12"/>
      <c r="F21" s="12"/>
      <c r="G21" s="23"/>
      <c r="H21" s="23"/>
      <c r="I21" s="24"/>
      <c r="J21" s="24"/>
      <c r="K21" s="23"/>
      <c r="L21" s="23"/>
      <c r="M21" s="23"/>
      <c r="N21" s="23"/>
      <c r="O21" s="12"/>
      <c r="P21" s="12"/>
      <c r="Q21" s="12"/>
      <c r="R21" s="12"/>
      <c r="S21" s="12"/>
    </row>
    <row r="22" ht="16.5" spans="1:19">
      <c r="A22" s="22"/>
      <c r="B22" s="12"/>
      <c r="C22" s="12"/>
      <c r="D22" s="12"/>
      <c r="E22" s="12"/>
      <c r="F22" s="12"/>
      <c r="G22" s="23"/>
      <c r="H22" s="23"/>
      <c r="I22" s="24"/>
      <c r="J22" s="24"/>
      <c r="K22" s="23"/>
      <c r="L22" s="23"/>
      <c r="M22" s="23"/>
      <c r="N22" s="23"/>
      <c r="O22" s="12"/>
      <c r="P22" s="12"/>
      <c r="Q22" s="12"/>
      <c r="R22" s="12"/>
      <c r="S22" s="12"/>
    </row>
    <row r="23" ht="16.5" spans="1:19">
      <c r="A23" s="22"/>
      <c r="B23" s="12"/>
      <c r="C23" s="12"/>
      <c r="D23" s="12"/>
      <c r="E23" s="12"/>
      <c r="F23" s="12"/>
      <c r="G23" s="23"/>
      <c r="H23" s="23"/>
      <c r="I23" s="24"/>
      <c r="J23" s="24"/>
      <c r="K23" s="23"/>
      <c r="L23" s="23"/>
      <c r="M23" s="23"/>
      <c r="N23" s="23"/>
      <c r="O23" s="12"/>
      <c r="P23" s="12"/>
      <c r="Q23" s="12"/>
      <c r="R23" s="12"/>
      <c r="S23" s="12"/>
    </row>
    <row r="24" ht="16.5" spans="1:19">
      <c r="A24" s="22"/>
      <c r="B24" s="12"/>
      <c r="C24" s="12"/>
      <c r="D24" s="12"/>
      <c r="E24" s="12"/>
      <c r="F24" s="12"/>
      <c r="G24" s="23"/>
      <c r="H24" s="23"/>
      <c r="I24" s="24"/>
      <c r="J24" s="24"/>
      <c r="K24" s="23"/>
      <c r="L24" s="23"/>
      <c r="M24" s="23"/>
      <c r="N24" s="23"/>
      <c r="O24" s="12"/>
      <c r="P24" s="12"/>
      <c r="Q24" s="12"/>
      <c r="R24" s="12"/>
      <c r="S24" s="12"/>
    </row>
    <row r="25" ht="16.5" spans="1:19">
      <c r="A25" s="22"/>
      <c r="B25" s="12"/>
      <c r="C25" s="12"/>
      <c r="D25" s="12"/>
      <c r="E25" s="12"/>
      <c r="F25" s="12"/>
      <c r="G25" s="23"/>
      <c r="H25" s="23"/>
      <c r="I25" s="24"/>
      <c r="J25" s="24"/>
      <c r="K25" s="23"/>
      <c r="L25" s="23"/>
      <c r="M25" s="23"/>
      <c r="N25" s="23"/>
      <c r="O25" s="12"/>
      <c r="P25" s="12"/>
      <c r="Q25" s="12"/>
      <c r="R25" s="12"/>
      <c r="S25" s="12"/>
    </row>
    <row r="26" ht="16.5" spans="1:19">
      <c r="A26" s="22"/>
      <c r="B26" s="12"/>
      <c r="C26" s="12"/>
      <c r="D26" s="12"/>
      <c r="E26" s="12"/>
      <c r="F26" s="12"/>
      <c r="G26" s="23"/>
      <c r="H26" s="23"/>
      <c r="I26" s="24"/>
      <c r="J26" s="24"/>
      <c r="K26" s="23"/>
      <c r="L26" s="23"/>
      <c r="M26" s="23"/>
      <c r="N26" s="23"/>
      <c r="O26" s="12"/>
      <c r="P26" s="12"/>
      <c r="Q26" s="12"/>
      <c r="R26" s="12"/>
      <c r="S26" s="12"/>
    </row>
    <row r="27" ht="16.5" spans="1:19">
      <c r="A27" s="22"/>
      <c r="B27" s="12"/>
      <c r="C27" s="12"/>
      <c r="D27" s="12"/>
      <c r="E27" s="12"/>
      <c r="F27" s="12"/>
      <c r="G27" s="23"/>
      <c r="H27" s="23"/>
      <c r="I27" s="24"/>
      <c r="J27" s="24"/>
      <c r="K27" s="23"/>
      <c r="L27" s="23"/>
      <c r="M27" s="23"/>
      <c r="N27" s="23"/>
      <c r="O27" s="12"/>
      <c r="P27" s="12"/>
      <c r="Q27" s="12"/>
      <c r="R27" s="12"/>
      <c r="S27" s="12"/>
    </row>
    <row r="28" ht="16.5" spans="1:19">
      <c r="A28" s="22"/>
      <c r="B28" s="12"/>
      <c r="C28" s="12"/>
      <c r="D28" s="12"/>
      <c r="E28" s="12"/>
      <c r="F28" s="12"/>
      <c r="G28" s="23"/>
      <c r="H28" s="23"/>
      <c r="I28" s="24"/>
      <c r="J28" s="24"/>
      <c r="K28" s="23"/>
      <c r="L28" s="23"/>
      <c r="M28" s="23"/>
      <c r="N28" s="23"/>
      <c r="O28" s="12"/>
      <c r="P28" s="12"/>
      <c r="Q28" s="12"/>
      <c r="R28" s="12"/>
      <c r="S28" s="12"/>
    </row>
    <row r="29" ht="16.5" spans="1:19">
      <c r="A29" s="22"/>
      <c r="B29" s="12"/>
      <c r="C29" s="12"/>
      <c r="D29" s="12"/>
      <c r="E29" s="12"/>
      <c r="F29" s="12"/>
      <c r="G29" s="23"/>
      <c r="H29" s="23"/>
      <c r="I29" s="24"/>
      <c r="J29" s="24"/>
      <c r="K29" s="23"/>
      <c r="L29" s="23"/>
      <c r="M29" s="23"/>
      <c r="N29" s="23"/>
      <c r="O29" s="12"/>
      <c r="P29" s="12"/>
      <c r="Q29" s="12"/>
      <c r="R29" s="12"/>
      <c r="S29" s="12"/>
    </row>
    <row r="30" ht="16.5" spans="1:19">
      <c r="A30" s="22"/>
      <c r="B30" s="12"/>
      <c r="C30" s="12"/>
      <c r="D30" s="12"/>
      <c r="E30" s="12"/>
      <c r="F30" s="12"/>
      <c r="G30" s="23"/>
      <c r="H30" s="23"/>
      <c r="I30" s="24"/>
      <c r="J30" s="24"/>
      <c r="K30" s="23"/>
      <c r="L30" s="23"/>
      <c r="M30" s="23"/>
      <c r="N30" s="23"/>
      <c r="O30" s="12"/>
      <c r="P30" s="12"/>
      <c r="Q30" s="12"/>
      <c r="R30" s="12"/>
      <c r="S30" s="12"/>
    </row>
    <row r="31" ht="16.5" spans="1:19">
      <c r="A31" s="22"/>
      <c r="B31" s="12"/>
      <c r="C31" s="12"/>
      <c r="D31" s="12"/>
      <c r="E31" s="12"/>
      <c r="F31" s="12"/>
      <c r="G31" s="23"/>
      <c r="H31" s="23"/>
      <c r="I31" s="24"/>
      <c r="J31" s="24"/>
      <c r="K31" s="23"/>
      <c r="L31" s="23"/>
      <c r="M31" s="23"/>
      <c r="N31" s="23"/>
      <c r="O31" s="12"/>
      <c r="P31" s="12"/>
      <c r="Q31" s="12"/>
      <c r="R31" s="12"/>
      <c r="S31" s="12"/>
    </row>
    <row r="32" ht="16.5" spans="1:19">
      <c r="A32" s="22"/>
      <c r="B32" s="12"/>
      <c r="C32" s="12"/>
      <c r="D32" s="12"/>
      <c r="E32" s="12"/>
      <c r="F32" s="12"/>
      <c r="G32" s="23"/>
      <c r="H32" s="23"/>
      <c r="I32" s="24"/>
      <c r="J32" s="24"/>
      <c r="K32" s="23"/>
      <c r="L32" s="23"/>
      <c r="M32" s="23"/>
      <c r="N32" s="23"/>
      <c r="O32" s="12"/>
      <c r="P32" s="12"/>
      <c r="Q32" s="12"/>
      <c r="R32" s="12"/>
      <c r="S32" s="12"/>
    </row>
    <row r="33" ht="16.5" spans="1:19">
      <c r="A33" s="22"/>
      <c r="B33" s="12"/>
      <c r="C33" s="12"/>
      <c r="D33" s="12"/>
      <c r="E33" s="12"/>
      <c r="F33" s="12"/>
      <c r="G33" s="23"/>
      <c r="H33" s="23"/>
      <c r="I33" s="24"/>
      <c r="J33" s="24"/>
      <c r="K33" s="23"/>
      <c r="L33" s="23"/>
      <c r="M33" s="23"/>
      <c r="N33" s="23"/>
      <c r="O33" s="12"/>
      <c r="P33" s="12"/>
      <c r="Q33" s="12"/>
      <c r="R33" s="12"/>
      <c r="S33" s="12"/>
    </row>
    <row r="34" ht="16.5" spans="1:19">
      <c r="A34" s="22"/>
      <c r="B34" s="12"/>
      <c r="C34" s="12"/>
      <c r="D34" s="12"/>
      <c r="E34" s="12"/>
      <c r="F34" s="12"/>
      <c r="G34" s="23"/>
      <c r="H34" s="23"/>
      <c r="I34" s="24"/>
      <c r="J34" s="24"/>
      <c r="K34" s="23"/>
      <c r="L34" s="23"/>
      <c r="M34" s="23"/>
      <c r="N34" s="23"/>
      <c r="O34" s="12"/>
      <c r="P34" s="12"/>
      <c r="Q34" s="12"/>
      <c r="R34" s="12"/>
      <c r="S34" s="12"/>
    </row>
    <row r="35" ht="16.5" spans="1:19">
      <c r="A35" s="22"/>
      <c r="B35" s="12"/>
      <c r="C35" s="12"/>
      <c r="D35" s="12"/>
      <c r="E35" s="12"/>
      <c r="F35" s="12"/>
      <c r="G35" s="23"/>
      <c r="H35" s="23"/>
      <c r="I35" s="24"/>
      <c r="J35" s="24"/>
      <c r="K35" s="23"/>
      <c r="L35" s="23"/>
      <c r="M35" s="23"/>
      <c r="N35" s="23"/>
      <c r="O35" s="12"/>
      <c r="P35" s="12"/>
      <c r="Q35" s="12"/>
      <c r="R35" s="12"/>
      <c r="S35" s="12"/>
    </row>
    <row r="36" ht="16.5" spans="1:19">
      <c r="A36" s="22"/>
      <c r="B36" s="12"/>
      <c r="C36" s="12"/>
      <c r="D36" s="12"/>
      <c r="E36" s="12"/>
      <c r="F36" s="12"/>
      <c r="G36" s="23"/>
      <c r="H36" s="23"/>
      <c r="I36" s="24"/>
      <c r="J36" s="24"/>
      <c r="K36" s="23"/>
      <c r="L36" s="23"/>
      <c r="M36" s="23"/>
      <c r="N36" s="23"/>
      <c r="O36" s="12"/>
      <c r="P36" s="12"/>
      <c r="Q36" s="12"/>
      <c r="R36" s="12"/>
      <c r="S36" s="12"/>
    </row>
    <row r="37" ht="16.5" spans="1:19">
      <c r="A37" s="22"/>
      <c r="B37" s="12"/>
      <c r="C37" s="12"/>
      <c r="D37" s="12"/>
      <c r="E37" s="12"/>
      <c r="F37" s="12"/>
      <c r="G37" s="23"/>
      <c r="H37" s="23"/>
      <c r="I37" s="24"/>
      <c r="J37" s="24"/>
      <c r="K37" s="23"/>
      <c r="L37" s="23"/>
      <c r="M37" s="23"/>
      <c r="N37" s="23"/>
      <c r="O37" s="12"/>
      <c r="P37" s="12"/>
      <c r="Q37" s="12"/>
      <c r="R37" s="12"/>
      <c r="S37" s="12"/>
    </row>
    <row r="38" ht="16.5" spans="1:19">
      <c r="A38" s="22"/>
      <c r="B38" s="12"/>
      <c r="C38" s="12"/>
      <c r="D38" s="12"/>
      <c r="E38" s="12"/>
      <c r="F38" s="12"/>
      <c r="G38" s="23"/>
      <c r="H38" s="23"/>
      <c r="I38" s="24"/>
      <c r="J38" s="24"/>
      <c r="K38" s="23"/>
      <c r="L38" s="23"/>
      <c r="M38" s="23"/>
      <c r="N38" s="23"/>
      <c r="O38" s="12"/>
      <c r="P38" s="12"/>
      <c r="Q38" s="12"/>
      <c r="R38" s="12"/>
      <c r="S38" s="12"/>
    </row>
    <row r="39" ht="16.5" spans="1:19">
      <c r="A39" s="22"/>
      <c r="B39" s="12"/>
      <c r="C39" s="12"/>
      <c r="D39" s="12"/>
      <c r="E39" s="12"/>
      <c r="F39" s="12"/>
      <c r="G39" s="23"/>
      <c r="H39" s="23"/>
      <c r="I39" s="24"/>
      <c r="J39" s="24"/>
      <c r="K39" s="23"/>
      <c r="L39" s="23"/>
      <c r="M39" s="23"/>
      <c r="N39" s="23"/>
      <c r="O39" s="12"/>
      <c r="P39" s="12"/>
      <c r="Q39" s="12"/>
      <c r="R39" s="12"/>
      <c r="S39" s="12"/>
    </row>
    <row r="40" ht="16.5" spans="1:19">
      <c r="A40" s="22"/>
      <c r="B40" s="12"/>
      <c r="C40" s="12"/>
      <c r="D40" s="12"/>
      <c r="E40" s="12"/>
      <c r="F40" s="12"/>
      <c r="G40" s="23"/>
      <c r="H40" s="23"/>
      <c r="I40" s="24"/>
      <c r="J40" s="24"/>
      <c r="K40" s="23"/>
      <c r="L40" s="23"/>
      <c r="M40" s="23"/>
      <c r="N40" s="23"/>
      <c r="O40" s="12"/>
      <c r="P40" s="12"/>
      <c r="Q40" s="12"/>
      <c r="R40" s="12"/>
      <c r="S40" s="12"/>
    </row>
    <row r="41" ht="16.5" spans="1:19">
      <c r="A41" s="22"/>
      <c r="B41" s="12"/>
      <c r="C41" s="12"/>
      <c r="D41" s="12"/>
      <c r="E41" s="12"/>
      <c r="F41" s="12"/>
      <c r="G41" s="23"/>
      <c r="H41" s="23"/>
      <c r="I41" s="24"/>
      <c r="J41" s="24"/>
      <c r="K41" s="23"/>
      <c r="L41" s="23"/>
      <c r="M41" s="23"/>
      <c r="N41" s="23"/>
      <c r="O41" s="12"/>
      <c r="P41" s="12"/>
      <c r="Q41" s="12"/>
      <c r="R41" s="12"/>
      <c r="S41" s="12"/>
    </row>
    <row r="42" ht="16.5" spans="1:19">
      <c r="A42" s="22"/>
      <c r="B42" s="12"/>
      <c r="C42" s="12"/>
      <c r="D42" s="12"/>
      <c r="E42" s="12"/>
      <c r="F42" s="12"/>
      <c r="G42" s="23"/>
      <c r="H42" s="23"/>
      <c r="I42" s="24"/>
      <c r="J42" s="24"/>
      <c r="K42" s="23"/>
      <c r="L42" s="23"/>
      <c r="M42" s="23"/>
      <c r="N42" s="23"/>
      <c r="O42" s="12"/>
      <c r="P42" s="12"/>
      <c r="Q42" s="12"/>
      <c r="R42" s="12"/>
      <c r="S42" s="12"/>
    </row>
    <row r="43" ht="16.5" spans="1:19">
      <c r="A43" s="22"/>
      <c r="B43" s="12"/>
      <c r="C43" s="12"/>
      <c r="D43" s="12"/>
      <c r="E43" s="12"/>
      <c r="F43" s="12"/>
      <c r="G43" s="23"/>
      <c r="H43" s="23"/>
      <c r="I43" s="24"/>
      <c r="J43" s="24"/>
      <c r="K43" s="23"/>
      <c r="L43" s="23"/>
      <c r="M43" s="23"/>
      <c r="N43" s="23"/>
      <c r="O43" s="12"/>
      <c r="P43" s="12"/>
      <c r="Q43" s="12"/>
      <c r="R43" s="12"/>
      <c r="S43" s="12"/>
    </row>
    <row r="44" ht="16.5" spans="1:19">
      <c r="A44" s="22"/>
      <c r="B44" s="12"/>
      <c r="C44" s="12"/>
      <c r="D44" s="12"/>
      <c r="E44" s="12"/>
      <c r="F44" s="12"/>
      <c r="G44" s="23"/>
      <c r="H44" s="23"/>
      <c r="I44" s="24"/>
      <c r="J44" s="24"/>
      <c r="K44" s="23"/>
      <c r="L44" s="23"/>
      <c r="M44" s="23"/>
      <c r="N44" s="23"/>
      <c r="O44" s="12"/>
      <c r="P44" s="12"/>
      <c r="Q44" s="12"/>
      <c r="R44" s="12"/>
      <c r="S44" s="12"/>
    </row>
    <row r="45" ht="16.5" spans="1:19">
      <c r="A45" s="22"/>
      <c r="B45" s="12"/>
      <c r="C45" s="12"/>
      <c r="D45" s="12"/>
      <c r="E45" s="12"/>
      <c r="F45" s="12"/>
      <c r="G45" s="23"/>
      <c r="H45" s="23"/>
      <c r="I45" s="24"/>
      <c r="J45" s="24"/>
      <c r="K45" s="23"/>
      <c r="L45" s="23"/>
      <c r="M45" s="23"/>
      <c r="N45" s="23"/>
      <c r="O45" s="12"/>
      <c r="P45" s="12"/>
      <c r="Q45" s="12"/>
      <c r="R45" s="12"/>
      <c r="S45" s="12"/>
    </row>
    <row r="46" ht="16.5" spans="1:19">
      <c r="A46" s="22"/>
      <c r="B46" s="12"/>
      <c r="C46" s="12"/>
      <c r="D46" s="12"/>
      <c r="E46" s="12"/>
      <c r="F46" s="12"/>
      <c r="G46" s="23"/>
      <c r="H46" s="23"/>
      <c r="I46" s="24"/>
      <c r="J46" s="24"/>
      <c r="K46" s="23"/>
      <c r="L46" s="23"/>
      <c r="M46" s="23"/>
      <c r="N46" s="23"/>
      <c r="O46" s="12"/>
      <c r="P46" s="12"/>
      <c r="Q46" s="12"/>
      <c r="R46" s="12"/>
      <c r="S46" s="12"/>
    </row>
    <row r="47" ht="16.5" spans="1:19">
      <c r="A47" s="22"/>
      <c r="B47" s="12"/>
      <c r="C47" s="12"/>
      <c r="D47" s="12"/>
      <c r="E47" s="12"/>
      <c r="F47" s="12"/>
      <c r="G47" s="23"/>
      <c r="H47" s="23"/>
      <c r="I47" s="24"/>
      <c r="J47" s="24"/>
      <c r="K47" s="23"/>
      <c r="L47" s="23"/>
      <c r="M47" s="23"/>
      <c r="N47" s="23"/>
      <c r="O47" s="12"/>
      <c r="P47" s="12"/>
      <c r="Q47" s="12"/>
      <c r="R47" s="12"/>
      <c r="S47" s="12"/>
    </row>
    <row r="48" ht="16.5" spans="1:19">
      <c r="A48" s="22"/>
      <c r="B48" s="12"/>
      <c r="C48" s="12"/>
      <c r="D48" s="12"/>
      <c r="E48" s="12"/>
      <c r="F48" s="12"/>
      <c r="G48" s="23"/>
      <c r="H48" s="23"/>
      <c r="I48" s="24"/>
      <c r="J48" s="24"/>
      <c r="K48" s="23"/>
      <c r="L48" s="23"/>
      <c r="M48" s="23"/>
      <c r="N48" s="23"/>
      <c r="O48" s="12"/>
      <c r="P48" s="12"/>
      <c r="Q48" s="12"/>
      <c r="R48" s="12"/>
      <c r="S48" s="12"/>
    </row>
    <row r="49" ht="16.5" spans="1:19">
      <c r="A49" s="22"/>
      <c r="B49" s="12"/>
      <c r="C49" s="12"/>
      <c r="D49" s="12"/>
      <c r="E49" s="12"/>
      <c r="F49" s="12"/>
      <c r="G49" s="23"/>
      <c r="H49" s="23"/>
      <c r="I49" s="24"/>
      <c r="J49" s="24"/>
      <c r="K49" s="23"/>
      <c r="L49" s="23"/>
      <c r="M49" s="23"/>
      <c r="N49" s="23"/>
      <c r="O49" s="12"/>
      <c r="P49" s="12"/>
      <c r="Q49" s="12"/>
      <c r="R49" s="12"/>
      <c r="S49" s="12"/>
    </row>
    <row r="50" ht="16.5" spans="1:19">
      <c r="A50" s="22"/>
      <c r="B50" s="12"/>
      <c r="C50" s="12"/>
      <c r="D50" s="12"/>
      <c r="E50" s="12"/>
      <c r="F50" s="12"/>
      <c r="G50" s="23"/>
      <c r="H50" s="23"/>
      <c r="I50" s="24"/>
      <c r="J50" s="24"/>
      <c r="K50" s="23"/>
      <c r="L50" s="23"/>
      <c r="M50" s="23"/>
      <c r="N50" s="23"/>
      <c r="O50" s="12"/>
      <c r="P50" s="12"/>
      <c r="Q50" s="12"/>
      <c r="R50" s="12"/>
      <c r="S50" s="12"/>
    </row>
    <row r="51" ht="16.5" spans="1:19">
      <c r="A51" s="22"/>
      <c r="B51" s="12"/>
      <c r="C51" s="12"/>
      <c r="D51" s="12"/>
      <c r="E51" s="12"/>
      <c r="F51" s="12"/>
      <c r="G51" s="23"/>
      <c r="H51" s="23"/>
      <c r="I51" s="24"/>
      <c r="J51" s="24"/>
      <c r="K51" s="23"/>
      <c r="L51" s="23"/>
      <c r="M51" s="23"/>
      <c r="N51" s="23"/>
      <c r="O51" s="12"/>
      <c r="P51" s="12"/>
      <c r="Q51" s="12"/>
      <c r="R51" s="12"/>
      <c r="S51" s="12"/>
    </row>
    <row r="52" ht="16.5" spans="1:19">
      <c r="A52" s="22"/>
      <c r="B52" s="12"/>
      <c r="C52" s="12"/>
      <c r="D52" s="12"/>
      <c r="E52" s="12"/>
      <c r="F52" s="12"/>
      <c r="G52" s="23"/>
      <c r="H52" s="23"/>
      <c r="I52" s="24"/>
      <c r="J52" s="24"/>
      <c r="K52" s="23"/>
      <c r="L52" s="23"/>
      <c r="M52" s="23"/>
      <c r="N52" s="23"/>
      <c r="O52" s="12"/>
      <c r="P52" s="12"/>
      <c r="Q52" s="12"/>
      <c r="R52" s="12"/>
      <c r="S52" s="12"/>
    </row>
    <row r="53" ht="16.5" spans="1:19">
      <c r="A53" s="22"/>
      <c r="B53" s="12"/>
      <c r="C53" s="12"/>
      <c r="D53" s="12"/>
      <c r="E53" s="12"/>
      <c r="F53" s="12"/>
      <c r="G53" s="23"/>
      <c r="H53" s="23"/>
      <c r="I53" s="24"/>
      <c r="J53" s="24"/>
      <c r="K53" s="23"/>
      <c r="L53" s="23"/>
      <c r="M53" s="23"/>
      <c r="N53" s="23"/>
      <c r="O53" s="12"/>
      <c r="P53" s="12"/>
      <c r="Q53" s="12"/>
      <c r="R53" s="12"/>
      <c r="S53" s="12"/>
    </row>
    <row r="54" ht="16.5" spans="1:19">
      <c r="A54" s="22"/>
      <c r="B54" s="12"/>
      <c r="C54" s="12"/>
      <c r="D54" s="12"/>
      <c r="E54" s="12"/>
      <c r="F54" s="12"/>
      <c r="G54" s="23"/>
      <c r="H54" s="23"/>
      <c r="I54" s="24"/>
      <c r="J54" s="24"/>
      <c r="K54" s="23"/>
      <c r="L54" s="23"/>
      <c r="M54" s="23"/>
      <c r="N54" s="23"/>
      <c r="O54" s="12"/>
      <c r="P54" s="12"/>
      <c r="Q54" s="12"/>
      <c r="R54" s="12"/>
      <c r="S54" s="12"/>
    </row>
    <row r="55" ht="16.5" spans="1:19">
      <c r="A55" s="22"/>
      <c r="B55" s="12"/>
      <c r="C55" s="12"/>
      <c r="D55" s="12"/>
      <c r="E55" s="12"/>
      <c r="F55" s="12"/>
      <c r="G55" s="23"/>
      <c r="H55" s="23"/>
      <c r="I55" s="24"/>
      <c r="J55" s="24"/>
      <c r="K55" s="23"/>
      <c r="L55" s="23"/>
      <c r="M55" s="23"/>
      <c r="N55" s="23"/>
      <c r="O55" s="12"/>
      <c r="P55" s="12"/>
      <c r="Q55" s="12"/>
      <c r="R55" s="12"/>
      <c r="S55" s="12"/>
    </row>
    <row r="56" ht="16.5" spans="1:19">
      <c r="A56" s="22"/>
      <c r="B56" s="12"/>
      <c r="C56" s="12"/>
      <c r="D56" s="12"/>
      <c r="E56" s="12"/>
      <c r="F56" s="12"/>
      <c r="G56" s="23"/>
      <c r="H56" s="23"/>
      <c r="I56" s="24"/>
      <c r="J56" s="24"/>
      <c r="K56" s="23"/>
      <c r="L56" s="23"/>
      <c r="M56" s="23"/>
      <c r="N56" s="23"/>
      <c r="O56" s="12"/>
      <c r="P56" s="12"/>
      <c r="Q56" s="12"/>
      <c r="R56" s="12"/>
      <c r="S56" s="12"/>
    </row>
    <row r="57" ht="16.5" spans="1:19">
      <c r="A57" s="22"/>
      <c r="B57" s="12"/>
      <c r="C57" s="12"/>
      <c r="D57" s="12"/>
      <c r="E57" s="12"/>
      <c r="F57" s="12"/>
      <c r="G57" s="23"/>
      <c r="H57" s="23"/>
      <c r="I57" s="24"/>
      <c r="J57" s="24"/>
      <c r="K57" s="23"/>
      <c r="L57" s="23"/>
      <c r="M57" s="23"/>
      <c r="N57" s="23"/>
      <c r="O57" s="12"/>
      <c r="P57" s="12"/>
      <c r="Q57" s="12"/>
      <c r="R57" s="12"/>
      <c r="S57" s="12"/>
    </row>
    <row r="58" ht="16.5" spans="1:19">
      <c r="A58" s="22"/>
      <c r="B58" s="12"/>
      <c r="C58" s="12"/>
      <c r="D58" s="12"/>
      <c r="E58" s="12"/>
      <c r="F58" s="12"/>
      <c r="G58" s="23"/>
      <c r="H58" s="23"/>
      <c r="I58" s="24"/>
      <c r="J58" s="24"/>
      <c r="K58" s="23"/>
      <c r="L58" s="23"/>
      <c r="M58" s="23"/>
      <c r="N58" s="23"/>
      <c r="O58" s="12"/>
      <c r="P58" s="12"/>
      <c r="Q58" s="12"/>
      <c r="R58" s="12"/>
      <c r="S58" s="12"/>
    </row>
    <row r="59" ht="16.5" spans="1:19">
      <c r="A59" s="22"/>
      <c r="B59" s="12"/>
      <c r="C59" s="12"/>
      <c r="D59" s="12"/>
      <c r="E59" s="12"/>
      <c r="F59" s="12"/>
      <c r="G59" s="23"/>
      <c r="H59" s="23"/>
      <c r="I59" s="24"/>
      <c r="J59" s="24"/>
      <c r="K59" s="23"/>
      <c r="L59" s="23"/>
      <c r="M59" s="23"/>
      <c r="N59" s="23"/>
      <c r="O59" s="12"/>
      <c r="P59" s="12"/>
      <c r="Q59" s="12"/>
      <c r="R59" s="12"/>
      <c r="S59" s="12"/>
    </row>
    <row r="60" ht="16.5" spans="1:19">
      <c r="A60" s="22"/>
      <c r="B60" s="12"/>
      <c r="C60" s="12"/>
      <c r="D60" s="12"/>
      <c r="E60" s="12"/>
      <c r="F60" s="12"/>
      <c r="G60" s="23"/>
      <c r="H60" s="23"/>
      <c r="I60" s="24"/>
      <c r="J60" s="24"/>
      <c r="K60" s="23"/>
      <c r="L60" s="23"/>
      <c r="M60" s="23"/>
      <c r="N60" s="23"/>
      <c r="O60" s="12"/>
      <c r="P60" s="12"/>
      <c r="Q60" s="12"/>
      <c r="R60" s="12"/>
      <c r="S60" s="12"/>
    </row>
    <row r="61" ht="16.5" spans="1:19">
      <c r="A61" s="22"/>
      <c r="B61" s="12"/>
      <c r="C61" s="12"/>
      <c r="D61" s="12"/>
      <c r="E61" s="12"/>
      <c r="F61" s="12"/>
      <c r="G61" s="23"/>
      <c r="H61" s="23"/>
      <c r="I61" s="24"/>
      <c r="J61" s="24"/>
      <c r="K61" s="23"/>
      <c r="L61" s="23"/>
      <c r="M61" s="23"/>
      <c r="N61" s="23"/>
      <c r="O61" s="12"/>
      <c r="P61" s="12"/>
      <c r="Q61" s="12"/>
      <c r="R61" s="12"/>
      <c r="S61" s="12"/>
    </row>
    <row r="62" ht="16.5" spans="1:19">
      <c r="A62" s="22"/>
      <c r="B62" s="12"/>
      <c r="C62" s="12"/>
      <c r="D62" s="12"/>
      <c r="E62" s="12"/>
      <c r="F62" s="12"/>
      <c r="G62" s="23"/>
      <c r="H62" s="23"/>
      <c r="I62" s="24"/>
      <c r="J62" s="24"/>
      <c r="K62" s="23"/>
      <c r="L62" s="23"/>
      <c r="M62" s="23"/>
      <c r="N62" s="23"/>
      <c r="O62" s="12"/>
      <c r="P62" s="12"/>
      <c r="Q62" s="12"/>
      <c r="R62" s="12"/>
      <c r="S62" s="12"/>
    </row>
    <row r="63" ht="16.5" spans="1:19">
      <c r="A63" s="22"/>
      <c r="B63" s="12"/>
      <c r="C63" s="12"/>
      <c r="D63" s="12"/>
      <c r="E63" s="12"/>
      <c r="F63" s="12"/>
      <c r="G63" s="23"/>
      <c r="H63" s="23"/>
      <c r="I63" s="24"/>
      <c r="J63" s="24"/>
      <c r="K63" s="23"/>
      <c r="L63" s="23"/>
      <c r="M63" s="23"/>
      <c r="N63" s="23"/>
      <c r="O63" s="12"/>
      <c r="P63" s="12"/>
      <c r="Q63" s="12"/>
      <c r="R63" s="12"/>
      <c r="S63" s="12"/>
    </row>
    <row r="64" ht="16.5" spans="1:19">
      <c r="A64" s="22"/>
      <c r="B64" s="12"/>
      <c r="C64" s="12"/>
      <c r="D64" s="12"/>
      <c r="E64" s="12"/>
      <c r="F64" s="12"/>
      <c r="G64" s="23"/>
      <c r="H64" s="23"/>
      <c r="I64" s="24"/>
      <c r="J64" s="24"/>
      <c r="K64" s="23"/>
      <c r="L64" s="23"/>
      <c r="M64" s="23"/>
      <c r="N64" s="23"/>
      <c r="O64" s="12"/>
      <c r="P64" s="12"/>
      <c r="Q64" s="12"/>
      <c r="R64" s="12"/>
      <c r="S64" s="12"/>
    </row>
    <row r="65" ht="16.5" spans="1:19">
      <c r="A65" s="22"/>
      <c r="B65" s="12"/>
      <c r="C65" s="12"/>
      <c r="D65" s="12"/>
      <c r="E65" s="12"/>
      <c r="F65" s="12"/>
      <c r="G65" s="23"/>
      <c r="H65" s="23"/>
      <c r="I65" s="24"/>
      <c r="J65" s="24"/>
      <c r="K65" s="23"/>
      <c r="L65" s="23"/>
      <c r="M65" s="23"/>
      <c r="N65" s="23"/>
      <c r="O65" s="12"/>
      <c r="P65" s="12"/>
      <c r="Q65" s="12"/>
      <c r="R65" s="12"/>
      <c r="S65" s="12"/>
    </row>
    <row r="66" ht="16.5" spans="1:19">
      <c r="A66" s="22"/>
      <c r="B66" s="12"/>
      <c r="C66" s="12"/>
      <c r="D66" s="12"/>
      <c r="E66" s="12"/>
      <c r="F66" s="12"/>
      <c r="G66" s="23"/>
      <c r="H66" s="23"/>
      <c r="I66" s="24"/>
      <c r="J66" s="24"/>
      <c r="K66" s="23"/>
      <c r="L66" s="23"/>
      <c r="M66" s="23"/>
      <c r="N66" s="23"/>
      <c r="O66" s="12"/>
      <c r="P66" s="12"/>
      <c r="Q66" s="12"/>
      <c r="R66" s="12"/>
      <c r="S66" s="12"/>
    </row>
    <row r="67" ht="16.5" spans="1:19">
      <c r="A67" s="22"/>
      <c r="B67" s="12"/>
      <c r="C67" s="12"/>
      <c r="D67" s="12"/>
      <c r="E67" s="12"/>
      <c r="F67" s="12"/>
      <c r="G67" s="23"/>
      <c r="H67" s="23"/>
      <c r="I67" s="24"/>
      <c r="J67" s="24"/>
      <c r="K67" s="23"/>
      <c r="L67" s="23"/>
      <c r="M67" s="23"/>
      <c r="N67" s="23"/>
      <c r="O67" s="12"/>
      <c r="P67" s="12"/>
      <c r="Q67" s="12"/>
      <c r="R67" s="12"/>
      <c r="S67" s="12"/>
    </row>
    <row r="68" ht="16.5" spans="1:19">
      <c r="A68" s="22"/>
      <c r="B68" s="12"/>
      <c r="C68" s="12"/>
      <c r="D68" s="12"/>
      <c r="E68" s="12"/>
      <c r="F68" s="12"/>
      <c r="G68" s="23"/>
      <c r="H68" s="23"/>
      <c r="I68" s="24"/>
      <c r="J68" s="24"/>
      <c r="K68" s="23"/>
      <c r="L68" s="23"/>
      <c r="M68" s="23"/>
      <c r="N68" s="23"/>
      <c r="O68" s="12"/>
      <c r="P68" s="12"/>
      <c r="Q68" s="12"/>
      <c r="R68" s="12"/>
      <c r="S68" s="12"/>
    </row>
    <row r="69" ht="16.5" spans="1:19">
      <c r="A69" s="22"/>
      <c r="B69" s="12"/>
      <c r="C69" s="12"/>
      <c r="D69" s="12"/>
      <c r="E69" s="12"/>
      <c r="F69" s="12"/>
      <c r="G69" s="23"/>
      <c r="H69" s="23"/>
      <c r="I69" s="24"/>
      <c r="J69" s="24"/>
      <c r="K69" s="23"/>
      <c r="L69" s="23"/>
      <c r="M69" s="23"/>
      <c r="N69" s="23"/>
      <c r="O69" s="12"/>
      <c r="P69" s="12"/>
      <c r="Q69" s="12"/>
      <c r="R69" s="12"/>
      <c r="S69" s="12"/>
    </row>
    <row r="70" ht="16.5" spans="1:19">
      <c r="A70" s="22"/>
      <c r="B70" s="12"/>
      <c r="C70" s="12"/>
      <c r="D70" s="12"/>
      <c r="E70" s="12"/>
      <c r="F70" s="12"/>
      <c r="G70" s="23"/>
      <c r="H70" s="23"/>
      <c r="I70" s="24"/>
      <c r="J70" s="24"/>
      <c r="K70" s="23"/>
      <c r="L70" s="23"/>
      <c r="M70" s="23"/>
      <c r="N70" s="23"/>
      <c r="O70" s="12"/>
      <c r="P70" s="12"/>
      <c r="Q70" s="12"/>
      <c r="R70" s="12"/>
      <c r="S70" s="12"/>
    </row>
    <row r="71" ht="16.5" spans="1:19">
      <c r="A71" s="22"/>
      <c r="B71" s="12"/>
      <c r="C71" s="12"/>
      <c r="D71" s="12"/>
      <c r="E71" s="12"/>
      <c r="F71" s="12"/>
      <c r="G71" s="23"/>
      <c r="H71" s="23"/>
      <c r="I71" s="24"/>
      <c r="J71" s="24"/>
      <c r="K71" s="23"/>
      <c r="L71" s="23"/>
      <c r="M71" s="23"/>
      <c r="N71" s="23"/>
      <c r="O71" s="12"/>
      <c r="P71" s="12"/>
      <c r="Q71" s="12"/>
      <c r="R71" s="12"/>
      <c r="S71" s="12"/>
    </row>
    <row r="72" ht="16.5" spans="1:19">
      <c r="A72" s="22"/>
      <c r="B72" s="12"/>
      <c r="C72" s="12"/>
      <c r="D72" s="12"/>
      <c r="E72" s="12"/>
      <c r="F72" s="12"/>
      <c r="G72" s="23"/>
      <c r="H72" s="23"/>
      <c r="I72" s="24"/>
      <c r="J72" s="24"/>
      <c r="K72" s="23"/>
      <c r="L72" s="23"/>
      <c r="M72" s="23"/>
      <c r="N72" s="23"/>
      <c r="O72" s="12"/>
      <c r="P72" s="12"/>
      <c r="Q72" s="12"/>
      <c r="R72" s="12"/>
      <c r="S72" s="12"/>
    </row>
    <row r="73" ht="16.5" spans="1:19">
      <c r="A73" s="22"/>
      <c r="B73" s="12"/>
      <c r="C73" s="12"/>
      <c r="D73" s="12"/>
      <c r="E73" s="12"/>
      <c r="F73" s="12"/>
      <c r="G73" s="23"/>
      <c r="H73" s="23"/>
      <c r="I73" s="24"/>
      <c r="J73" s="24"/>
      <c r="K73" s="23"/>
      <c r="L73" s="23"/>
      <c r="M73" s="23"/>
      <c r="N73" s="23"/>
      <c r="O73" s="12"/>
      <c r="P73" s="12"/>
      <c r="Q73" s="12"/>
      <c r="R73" s="12"/>
      <c r="S73" s="12"/>
    </row>
    <row r="74" ht="16.5" spans="1:19">
      <c r="A74" s="22"/>
      <c r="B74" s="12"/>
      <c r="C74" s="12"/>
      <c r="D74" s="12"/>
      <c r="E74" s="12"/>
      <c r="F74" s="12"/>
      <c r="G74" s="23"/>
      <c r="H74" s="23"/>
      <c r="I74" s="24"/>
      <c r="J74" s="24"/>
      <c r="K74" s="23"/>
      <c r="L74" s="23"/>
      <c r="M74" s="23"/>
      <c r="N74" s="23"/>
      <c r="O74" s="12"/>
      <c r="P74" s="12"/>
      <c r="Q74" s="12"/>
      <c r="R74" s="12"/>
      <c r="S74" s="12"/>
    </row>
    <row r="75" ht="16.5" spans="1:19">
      <c r="A75" s="22"/>
      <c r="B75" s="12"/>
      <c r="C75" s="12"/>
      <c r="D75" s="12"/>
      <c r="E75" s="12"/>
      <c r="F75" s="12"/>
      <c r="G75" s="23"/>
      <c r="H75" s="23"/>
      <c r="I75" s="24"/>
      <c r="J75" s="24"/>
      <c r="K75" s="23"/>
      <c r="L75" s="23"/>
      <c r="M75" s="23"/>
      <c r="N75" s="23"/>
      <c r="O75" s="12"/>
      <c r="P75" s="12"/>
      <c r="Q75" s="12"/>
      <c r="R75" s="12"/>
      <c r="S75" s="12"/>
    </row>
    <row r="76" ht="16.5" spans="1:19">
      <c r="A76" s="22"/>
      <c r="B76" s="12"/>
      <c r="C76" s="12"/>
      <c r="D76" s="12"/>
      <c r="E76" s="12"/>
      <c r="F76" s="12"/>
      <c r="G76" s="23"/>
      <c r="H76" s="23"/>
      <c r="I76" s="24"/>
      <c r="J76" s="24"/>
      <c r="K76" s="23"/>
      <c r="L76" s="23"/>
      <c r="M76" s="23"/>
      <c r="N76" s="23"/>
      <c r="O76" s="12"/>
      <c r="P76" s="12"/>
      <c r="Q76" s="12"/>
      <c r="R76" s="12"/>
      <c r="S76" s="12"/>
    </row>
    <row r="77" ht="16.5" spans="1:19">
      <c r="A77" s="22"/>
      <c r="B77" s="12"/>
      <c r="C77" s="12"/>
      <c r="D77" s="12"/>
      <c r="E77" s="12"/>
      <c r="F77" s="12"/>
      <c r="G77" s="23"/>
      <c r="H77" s="23"/>
      <c r="I77" s="24"/>
      <c r="J77" s="24"/>
      <c r="K77" s="23"/>
      <c r="L77" s="23"/>
      <c r="M77" s="23"/>
      <c r="N77" s="23"/>
      <c r="O77" s="12"/>
      <c r="P77" s="12"/>
      <c r="Q77" s="12"/>
      <c r="R77" s="12"/>
      <c r="S77" s="12"/>
    </row>
    <row r="78" ht="16.5" spans="1:19">
      <c r="A78" s="22"/>
      <c r="B78" s="12"/>
      <c r="C78" s="12"/>
      <c r="D78" s="12"/>
      <c r="E78" s="12"/>
      <c r="F78" s="12"/>
      <c r="G78" s="23"/>
      <c r="H78" s="23"/>
      <c r="I78" s="24"/>
      <c r="J78" s="24"/>
      <c r="K78" s="23"/>
      <c r="L78" s="23"/>
      <c r="M78" s="23"/>
      <c r="N78" s="23"/>
      <c r="O78" s="12"/>
      <c r="P78" s="12"/>
      <c r="Q78" s="12"/>
      <c r="R78" s="12"/>
      <c r="S78" s="12"/>
    </row>
    <row r="79" ht="16.5" spans="1:19">
      <c r="A79" s="22"/>
      <c r="B79" s="12"/>
      <c r="C79" s="12"/>
      <c r="D79" s="12"/>
      <c r="E79" s="12"/>
      <c r="F79" s="12"/>
      <c r="G79" s="23"/>
      <c r="H79" s="23"/>
      <c r="I79" s="24"/>
      <c r="J79" s="24"/>
      <c r="K79" s="23"/>
      <c r="L79" s="23"/>
      <c r="M79" s="23"/>
      <c r="N79" s="23"/>
      <c r="O79" s="12"/>
      <c r="P79" s="12"/>
      <c r="Q79" s="12"/>
      <c r="R79" s="12"/>
      <c r="S79" s="12"/>
    </row>
    <row r="80" ht="16.5" spans="1:19">
      <c r="A80" s="22"/>
      <c r="B80" s="12"/>
      <c r="C80" s="12"/>
      <c r="D80" s="12"/>
      <c r="E80" s="12"/>
      <c r="F80" s="12"/>
      <c r="G80" s="23"/>
      <c r="H80" s="23"/>
      <c r="I80" s="24"/>
      <c r="J80" s="24"/>
      <c r="K80" s="23"/>
      <c r="L80" s="23"/>
      <c r="M80" s="23"/>
      <c r="N80" s="23"/>
      <c r="O80" s="12"/>
      <c r="P80" s="12"/>
      <c r="Q80" s="12"/>
      <c r="R80" s="12"/>
      <c r="S80" s="12"/>
    </row>
    <row r="81" ht="16.5" spans="1:19">
      <c r="A81" s="22"/>
      <c r="B81" s="12"/>
      <c r="C81" s="12"/>
      <c r="D81" s="12"/>
      <c r="E81" s="12"/>
      <c r="F81" s="12"/>
      <c r="G81" s="23"/>
      <c r="H81" s="23"/>
      <c r="I81" s="24"/>
      <c r="J81" s="24"/>
      <c r="K81" s="23"/>
      <c r="L81" s="23"/>
      <c r="M81" s="23"/>
      <c r="N81" s="23"/>
      <c r="O81" s="12"/>
      <c r="P81" s="12"/>
      <c r="Q81" s="12"/>
      <c r="R81" s="12"/>
      <c r="S81" s="12"/>
    </row>
    <row r="82" ht="16.5" spans="1:19">
      <c r="A82" s="22"/>
      <c r="B82" s="12"/>
      <c r="C82" s="12"/>
      <c r="D82" s="12"/>
      <c r="E82" s="12"/>
      <c r="F82" s="12"/>
      <c r="G82" s="23"/>
      <c r="H82" s="23"/>
      <c r="I82" s="24"/>
      <c r="J82" s="24"/>
      <c r="K82" s="23"/>
      <c r="L82" s="23"/>
      <c r="M82" s="23"/>
      <c r="N82" s="23"/>
      <c r="O82" s="12"/>
      <c r="P82" s="12"/>
      <c r="Q82" s="12"/>
      <c r="R82" s="12"/>
      <c r="S82" s="12"/>
    </row>
    <row r="83" ht="16.5" spans="1:19">
      <c r="A83" s="22"/>
      <c r="B83" s="12"/>
      <c r="C83" s="12"/>
      <c r="D83" s="12"/>
      <c r="E83" s="12"/>
      <c r="F83" s="12"/>
      <c r="G83" s="23"/>
      <c r="H83" s="23"/>
      <c r="I83" s="24"/>
      <c r="J83" s="24"/>
      <c r="K83" s="23"/>
      <c r="L83" s="23"/>
      <c r="M83" s="23"/>
      <c r="N83" s="23"/>
      <c r="O83" s="12"/>
      <c r="P83" s="12"/>
      <c r="Q83" s="12"/>
      <c r="R83" s="12"/>
      <c r="S83" s="12"/>
    </row>
    <row r="84" ht="16.5" spans="1:19">
      <c r="A84" s="22"/>
      <c r="B84" s="12"/>
      <c r="C84" s="12"/>
      <c r="D84" s="12"/>
      <c r="E84" s="12"/>
      <c r="F84" s="12"/>
      <c r="G84" s="23"/>
      <c r="H84" s="23"/>
      <c r="I84" s="24"/>
      <c r="J84" s="24"/>
      <c r="K84" s="23"/>
      <c r="L84" s="23"/>
      <c r="M84" s="23"/>
      <c r="N84" s="23"/>
      <c r="O84" s="12"/>
      <c r="P84" s="12"/>
      <c r="Q84" s="12"/>
      <c r="R84" s="12"/>
      <c r="S84" s="12"/>
    </row>
    <row r="85" ht="16.5" spans="1:19">
      <c r="A85" s="22"/>
      <c r="B85" s="12"/>
      <c r="C85" s="12"/>
      <c r="D85" s="12"/>
      <c r="E85" s="12"/>
      <c r="F85" s="12"/>
      <c r="G85" s="23"/>
      <c r="H85" s="23"/>
      <c r="I85" s="24"/>
      <c r="J85" s="24"/>
      <c r="K85" s="23"/>
      <c r="L85" s="23"/>
      <c r="M85" s="23"/>
      <c r="N85" s="23"/>
      <c r="O85" s="12"/>
      <c r="P85" s="12"/>
      <c r="Q85" s="12"/>
      <c r="R85" s="12"/>
      <c r="S85" s="12"/>
    </row>
    <row r="86" ht="16.5" spans="1:19">
      <c r="A86" s="22"/>
      <c r="B86" s="12"/>
      <c r="C86" s="12"/>
      <c r="D86" s="12"/>
      <c r="E86" s="12"/>
      <c r="F86" s="12"/>
      <c r="G86" s="23"/>
      <c r="H86" s="23"/>
      <c r="I86" s="24"/>
      <c r="J86" s="24"/>
      <c r="K86" s="23"/>
      <c r="L86" s="23"/>
      <c r="M86" s="23"/>
      <c r="N86" s="23"/>
      <c r="O86" s="12"/>
      <c r="P86" s="12"/>
      <c r="Q86" s="12"/>
      <c r="R86" s="12"/>
      <c r="S86" s="12"/>
    </row>
    <row r="87" ht="16.5" spans="1:19">
      <c r="A87" s="22"/>
      <c r="B87" s="12"/>
      <c r="C87" s="12"/>
      <c r="D87" s="12"/>
      <c r="E87" s="12"/>
      <c r="F87" s="12"/>
      <c r="G87" s="23"/>
      <c r="H87" s="23"/>
      <c r="I87" s="24"/>
      <c r="J87" s="24"/>
      <c r="K87" s="23"/>
      <c r="L87" s="23"/>
      <c r="M87" s="23"/>
      <c r="N87" s="23"/>
      <c r="O87" s="12"/>
      <c r="P87" s="12"/>
      <c r="Q87" s="12"/>
      <c r="R87" s="12"/>
      <c r="S87" s="12"/>
    </row>
    <row r="88" ht="16.5" spans="1:19">
      <c r="A88" s="22"/>
      <c r="B88" s="12"/>
      <c r="C88" s="12"/>
      <c r="D88" s="12"/>
      <c r="E88" s="12"/>
      <c r="F88" s="12"/>
      <c r="G88" s="23"/>
      <c r="H88" s="23"/>
      <c r="I88" s="24"/>
      <c r="J88" s="24"/>
      <c r="K88" s="23"/>
      <c r="L88" s="23"/>
      <c r="M88" s="23"/>
      <c r="N88" s="23"/>
      <c r="O88" s="12"/>
      <c r="P88" s="12"/>
      <c r="Q88" s="12"/>
      <c r="R88" s="12"/>
      <c r="S88" s="12"/>
    </row>
    <row r="89" ht="16.5" spans="1:19">
      <c r="A89" s="22"/>
      <c r="B89" s="12"/>
      <c r="C89" s="12"/>
      <c r="D89" s="12"/>
      <c r="E89" s="12"/>
      <c r="F89" s="12"/>
      <c r="G89" s="23"/>
      <c r="H89" s="23"/>
      <c r="I89" s="24"/>
      <c r="J89" s="24"/>
      <c r="K89" s="23"/>
      <c r="L89" s="23"/>
      <c r="M89" s="23"/>
      <c r="N89" s="23"/>
      <c r="O89" s="12"/>
      <c r="P89" s="12"/>
      <c r="Q89" s="12"/>
      <c r="R89" s="12"/>
      <c r="S89" s="12"/>
    </row>
    <row r="90" ht="16.5" spans="1:19">
      <c r="A90" s="22"/>
      <c r="B90" s="12"/>
      <c r="C90" s="12"/>
      <c r="D90" s="12"/>
      <c r="E90" s="12"/>
      <c r="F90" s="12"/>
      <c r="G90" s="23"/>
      <c r="H90" s="23"/>
      <c r="I90" s="24"/>
      <c r="J90" s="24"/>
      <c r="K90" s="23"/>
      <c r="L90" s="23"/>
      <c r="M90" s="23"/>
      <c r="N90" s="23"/>
      <c r="O90" s="12"/>
      <c r="P90" s="12"/>
      <c r="Q90" s="12"/>
      <c r="R90" s="12"/>
      <c r="S90" s="12"/>
    </row>
    <row r="91" ht="16.5" spans="1:19">
      <c r="A91" s="22"/>
      <c r="B91" s="12"/>
      <c r="C91" s="12"/>
      <c r="D91" s="12"/>
      <c r="E91" s="12"/>
      <c r="F91" s="12"/>
      <c r="G91" s="23"/>
      <c r="H91" s="23"/>
      <c r="I91" s="24"/>
      <c r="J91" s="24"/>
      <c r="K91" s="23"/>
      <c r="L91" s="23"/>
      <c r="M91" s="23"/>
      <c r="N91" s="23"/>
      <c r="O91" s="12"/>
      <c r="P91" s="12"/>
      <c r="Q91" s="12"/>
      <c r="R91" s="12"/>
      <c r="S91" s="12"/>
    </row>
    <row r="92" ht="16.5" spans="1:19">
      <c r="A92" s="22"/>
      <c r="B92" s="12"/>
      <c r="C92" s="12"/>
      <c r="D92" s="12"/>
      <c r="E92" s="12"/>
      <c r="F92" s="12"/>
      <c r="G92" s="23"/>
      <c r="H92" s="23"/>
      <c r="I92" s="24"/>
      <c r="J92" s="24"/>
      <c r="K92" s="23"/>
      <c r="L92" s="23"/>
      <c r="M92" s="23"/>
      <c r="N92" s="23"/>
      <c r="O92" s="12"/>
      <c r="P92" s="12"/>
      <c r="Q92" s="12"/>
      <c r="R92" s="12"/>
      <c r="S92" s="12"/>
    </row>
    <row r="93" ht="16.5" spans="1:19">
      <c r="A93" s="22"/>
      <c r="B93" s="12"/>
      <c r="C93" s="12"/>
      <c r="D93" s="12"/>
      <c r="E93" s="12"/>
      <c r="F93" s="12"/>
      <c r="G93" s="23"/>
      <c r="H93" s="23"/>
      <c r="I93" s="24"/>
      <c r="J93" s="24"/>
      <c r="K93" s="23"/>
      <c r="L93" s="23"/>
      <c r="M93" s="23"/>
      <c r="N93" s="23"/>
      <c r="O93" s="12"/>
      <c r="P93" s="12"/>
      <c r="Q93" s="12"/>
      <c r="R93" s="12"/>
      <c r="S93" s="12"/>
    </row>
    <row r="94" ht="16.5" spans="1:19">
      <c r="A94" s="22"/>
      <c r="B94" s="12"/>
      <c r="C94" s="12"/>
      <c r="D94" s="12"/>
      <c r="E94" s="12"/>
      <c r="F94" s="12"/>
      <c r="G94" s="23"/>
      <c r="H94" s="23"/>
      <c r="I94" s="24"/>
      <c r="J94" s="24"/>
      <c r="K94" s="23"/>
      <c r="L94" s="23"/>
      <c r="M94" s="23"/>
      <c r="N94" s="23"/>
      <c r="O94" s="12"/>
      <c r="P94" s="12"/>
      <c r="Q94" s="12"/>
      <c r="R94" s="12"/>
      <c r="S94" s="12"/>
    </row>
    <row r="95" ht="16.5" spans="1:19">
      <c r="A95" s="22"/>
      <c r="B95" s="12"/>
      <c r="C95" s="12"/>
      <c r="D95" s="12"/>
      <c r="E95" s="12"/>
      <c r="F95" s="12"/>
      <c r="G95" s="23"/>
      <c r="H95" s="23"/>
      <c r="I95" s="24"/>
      <c r="J95" s="24"/>
      <c r="K95" s="23"/>
      <c r="L95" s="23"/>
      <c r="M95" s="23"/>
      <c r="N95" s="23"/>
      <c r="O95" s="12"/>
      <c r="P95" s="12"/>
      <c r="Q95" s="12"/>
      <c r="R95" s="12"/>
      <c r="S95" s="12"/>
    </row>
    <row r="96" ht="16.5" spans="1:19">
      <c r="A96" s="22"/>
      <c r="B96" s="12"/>
      <c r="C96" s="12"/>
      <c r="D96" s="12"/>
      <c r="E96" s="12"/>
      <c r="F96" s="12"/>
      <c r="G96" s="23"/>
      <c r="H96" s="23"/>
      <c r="I96" s="24"/>
      <c r="J96" s="24"/>
      <c r="K96" s="23"/>
      <c r="L96" s="23"/>
      <c r="M96" s="23"/>
      <c r="N96" s="23"/>
      <c r="O96" s="12"/>
      <c r="P96" s="12"/>
      <c r="Q96" s="12"/>
      <c r="R96" s="12"/>
      <c r="S96" s="12"/>
    </row>
    <row r="97" ht="16.5" spans="1:19">
      <c r="A97" s="22"/>
      <c r="B97" s="12"/>
      <c r="C97" s="12"/>
      <c r="D97" s="12"/>
      <c r="E97" s="12"/>
      <c r="F97" s="12"/>
      <c r="G97" s="23"/>
      <c r="H97" s="23"/>
      <c r="I97" s="24"/>
      <c r="J97" s="24"/>
      <c r="K97" s="23"/>
      <c r="L97" s="23"/>
      <c r="M97" s="23"/>
      <c r="N97" s="23"/>
      <c r="O97" s="12"/>
      <c r="P97" s="12"/>
      <c r="Q97" s="12"/>
      <c r="R97" s="12"/>
      <c r="S97" s="12"/>
    </row>
    <row r="98" ht="16.5" spans="1:19">
      <c r="A98" s="22"/>
      <c r="B98" s="12"/>
      <c r="C98" s="12"/>
      <c r="D98" s="12"/>
      <c r="E98" s="12"/>
      <c r="F98" s="12"/>
      <c r="G98" s="23"/>
      <c r="H98" s="23"/>
      <c r="I98" s="24"/>
      <c r="J98" s="24"/>
      <c r="K98" s="23"/>
      <c r="L98" s="23"/>
      <c r="M98" s="23"/>
      <c r="N98" s="23"/>
      <c r="O98" s="12"/>
      <c r="P98" s="12"/>
      <c r="Q98" s="12"/>
      <c r="R98" s="12"/>
      <c r="S98" s="12"/>
    </row>
    <row r="99" ht="16.5" spans="1:19">
      <c r="A99" s="22"/>
      <c r="B99" s="12"/>
      <c r="C99" s="12"/>
      <c r="D99" s="12"/>
      <c r="E99" s="12"/>
      <c r="F99" s="12"/>
      <c r="G99" s="23"/>
      <c r="H99" s="23"/>
      <c r="I99" s="24"/>
      <c r="J99" s="24"/>
      <c r="K99" s="23"/>
      <c r="L99" s="23"/>
      <c r="M99" s="23"/>
      <c r="N99" s="23"/>
      <c r="O99" s="12"/>
      <c r="P99" s="12"/>
      <c r="Q99" s="12"/>
      <c r="R99" s="12"/>
      <c r="S99" s="12"/>
    </row>
    <row r="100" ht="16.5" spans="1:19">
      <c r="A100" s="22"/>
      <c r="B100" s="12"/>
      <c r="C100" s="12"/>
      <c r="D100" s="12"/>
      <c r="E100" s="12"/>
      <c r="F100" s="12"/>
      <c r="G100" s="23"/>
      <c r="H100" s="23"/>
      <c r="I100" s="24"/>
      <c r="J100" s="24"/>
      <c r="K100" s="23"/>
      <c r="L100" s="23"/>
      <c r="M100" s="23"/>
      <c r="N100" s="23"/>
      <c r="O100" s="12"/>
      <c r="P100" s="12"/>
      <c r="Q100" s="12"/>
      <c r="R100" s="12"/>
      <c r="S100" s="12"/>
    </row>
    <row r="101" ht="16.5" spans="1:19">
      <c r="A101" s="22"/>
      <c r="B101" s="12"/>
      <c r="C101" s="12"/>
      <c r="D101" s="12"/>
      <c r="E101" s="12"/>
      <c r="F101" s="12"/>
      <c r="G101" s="23"/>
      <c r="H101" s="23"/>
      <c r="I101" s="24"/>
      <c r="J101" s="24"/>
      <c r="K101" s="23"/>
      <c r="L101" s="23"/>
      <c r="M101" s="23"/>
      <c r="N101" s="23"/>
      <c r="O101" s="12"/>
      <c r="P101" s="12"/>
      <c r="Q101" s="12"/>
      <c r="R101" s="12"/>
      <c r="S101" s="12"/>
    </row>
    <row r="102" ht="16.5" spans="1:19">
      <c r="A102" s="22"/>
      <c r="B102" s="12"/>
      <c r="C102" s="12"/>
      <c r="D102" s="12"/>
      <c r="E102" s="12"/>
      <c r="F102" s="12"/>
      <c r="G102" s="23"/>
      <c r="H102" s="23"/>
      <c r="I102" s="24"/>
      <c r="J102" s="24"/>
      <c r="K102" s="23"/>
      <c r="L102" s="23"/>
      <c r="M102" s="23"/>
      <c r="N102" s="23"/>
      <c r="O102" s="12"/>
      <c r="P102" s="12"/>
      <c r="Q102" s="12"/>
      <c r="R102" s="12"/>
      <c r="S102" s="12"/>
    </row>
    <row r="103" ht="16.5" spans="1:19">
      <c r="A103" s="22"/>
      <c r="B103" s="12"/>
      <c r="C103" s="12"/>
      <c r="D103" s="12"/>
      <c r="E103" s="12"/>
      <c r="F103" s="12"/>
      <c r="G103" s="23"/>
      <c r="H103" s="23"/>
      <c r="I103" s="24"/>
      <c r="J103" s="24"/>
      <c r="K103" s="23"/>
      <c r="L103" s="23"/>
      <c r="M103" s="23"/>
      <c r="N103" s="23"/>
      <c r="O103" s="12"/>
      <c r="P103" s="12"/>
      <c r="Q103" s="12"/>
      <c r="R103" s="12"/>
      <c r="S103" s="12"/>
    </row>
    <row r="104" ht="16.5" spans="1:19">
      <c r="A104" s="22"/>
      <c r="B104" s="12"/>
      <c r="C104" s="12"/>
      <c r="D104" s="12"/>
      <c r="E104" s="12"/>
      <c r="F104" s="12"/>
      <c r="G104" s="23"/>
      <c r="H104" s="23"/>
      <c r="I104" s="24"/>
      <c r="J104" s="24"/>
      <c r="K104" s="23"/>
      <c r="L104" s="23"/>
      <c r="M104" s="23"/>
      <c r="N104" s="23"/>
      <c r="O104" s="12"/>
      <c r="P104" s="12"/>
      <c r="Q104" s="12"/>
      <c r="R104" s="12"/>
      <c r="S104" s="12"/>
    </row>
    <row r="105" ht="16.5" spans="1:19">
      <c r="A105" s="22"/>
      <c r="B105" s="12"/>
      <c r="C105" s="12"/>
      <c r="D105" s="12"/>
      <c r="E105" s="12"/>
      <c r="F105" s="12"/>
      <c r="G105" s="23"/>
      <c r="H105" s="23"/>
      <c r="I105" s="24"/>
      <c r="J105" s="24"/>
      <c r="K105" s="23"/>
      <c r="L105" s="23"/>
      <c r="M105" s="23"/>
      <c r="N105" s="23"/>
      <c r="O105" s="12"/>
      <c r="P105" s="12"/>
      <c r="Q105" s="12"/>
      <c r="R105" s="12"/>
      <c r="S105" s="12"/>
    </row>
    <row r="106" ht="16.5" spans="1:19">
      <c r="A106" s="22"/>
      <c r="B106" s="12"/>
      <c r="C106" s="12"/>
      <c r="D106" s="12"/>
      <c r="E106" s="12"/>
      <c r="F106" s="12"/>
      <c r="G106" s="23"/>
      <c r="H106" s="23"/>
      <c r="I106" s="24"/>
      <c r="J106" s="24"/>
      <c r="K106" s="23"/>
      <c r="L106" s="23"/>
      <c r="M106" s="23"/>
      <c r="N106" s="23"/>
      <c r="O106" s="12"/>
      <c r="P106" s="12"/>
      <c r="Q106" s="12"/>
      <c r="R106" s="12"/>
      <c r="S106" s="12"/>
    </row>
    <row r="107" ht="16.5" spans="1:19">
      <c r="A107" s="22"/>
      <c r="B107" s="12"/>
      <c r="C107" s="12"/>
      <c r="D107" s="12"/>
      <c r="E107" s="12"/>
      <c r="F107" s="12"/>
      <c r="G107" s="23"/>
      <c r="H107" s="23"/>
      <c r="I107" s="24"/>
      <c r="J107" s="24"/>
      <c r="K107" s="23"/>
      <c r="L107" s="23"/>
      <c r="M107" s="23"/>
      <c r="N107" s="23"/>
      <c r="O107" s="12"/>
      <c r="P107" s="12"/>
      <c r="Q107" s="12"/>
      <c r="R107" s="12"/>
      <c r="S107" s="12"/>
    </row>
    <row r="108" ht="16.5" spans="1:19">
      <c r="A108" s="22"/>
      <c r="B108" s="12"/>
      <c r="C108" s="12"/>
      <c r="D108" s="12"/>
      <c r="E108" s="12"/>
      <c r="F108" s="12"/>
      <c r="G108" s="23"/>
      <c r="H108" s="23"/>
      <c r="I108" s="24"/>
      <c r="J108" s="24"/>
      <c r="K108" s="23"/>
      <c r="L108" s="23"/>
      <c r="M108" s="23"/>
      <c r="N108" s="23"/>
      <c r="O108" s="12"/>
      <c r="P108" s="12"/>
      <c r="Q108" s="12"/>
      <c r="R108" s="12"/>
      <c r="S108" s="12"/>
    </row>
    <row r="109" ht="16.5" spans="1:19">
      <c r="A109" s="22"/>
      <c r="B109" s="12"/>
      <c r="C109" s="12"/>
      <c r="D109" s="12"/>
      <c r="E109" s="12"/>
      <c r="F109" s="12"/>
      <c r="G109" s="23"/>
      <c r="H109" s="23"/>
      <c r="I109" s="24"/>
      <c r="J109" s="24"/>
      <c r="K109" s="23"/>
      <c r="L109" s="23"/>
      <c r="M109" s="23"/>
      <c r="N109" s="23"/>
      <c r="O109" s="12"/>
      <c r="P109" s="12"/>
      <c r="Q109" s="12"/>
      <c r="R109" s="12"/>
      <c r="S109" s="12"/>
    </row>
    <row r="110" ht="16.5" spans="1:19">
      <c r="A110" s="22"/>
      <c r="B110" s="12"/>
      <c r="C110" s="12"/>
      <c r="D110" s="12"/>
      <c r="E110" s="12"/>
      <c r="F110" s="12"/>
      <c r="G110" s="23"/>
      <c r="H110" s="23"/>
      <c r="I110" s="24"/>
      <c r="J110" s="24"/>
      <c r="K110" s="23"/>
      <c r="L110" s="23"/>
      <c r="M110" s="23"/>
      <c r="N110" s="23"/>
      <c r="O110" s="12"/>
      <c r="P110" s="12"/>
      <c r="Q110" s="12"/>
      <c r="R110" s="12"/>
      <c r="S110" s="12"/>
    </row>
    <row r="111" ht="16.5" spans="1:19">
      <c r="A111" s="22"/>
      <c r="B111" s="12"/>
      <c r="C111" s="12"/>
      <c r="D111" s="12"/>
      <c r="E111" s="12"/>
      <c r="F111" s="12"/>
      <c r="G111" s="23"/>
      <c r="H111" s="23"/>
      <c r="I111" s="24"/>
      <c r="J111" s="24"/>
      <c r="K111" s="23"/>
      <c r="L111" s="23"/>
      <c r="M111" s="23"/>
      <c r="N111" s="23"/>
      <c r="O111" s="12"/>
      <c r="P111" s="12"/>
      <c r="Q111" s="12"/>
      <c r="R111" s="12"/>
      <c r="S111" s="12"/>
    </row>
    <row r="112" ht="16.5" spans="1:19">
      <c r="A112" s="22"/>
      <c r="B112" s="12"/>
      <c r="C112" s="12"/>
      <c r="D112" s="12"/>
      <c r="E112" s="12"/>
      <c r="F112" s="12"/>
      <c r="G112" s="23"/>
      <c r="H112" s="23"/>
      <c r="I112" s="24"/>
      <c r="J112" s="24"/>
      <c r="K112" s="23"/>
      <c r="L112" s="23"/>
      <c r="M112" s="23"/>
      <c r="N112" s="23"/>
      <c r="O112" s="12"/>
      <c r="P112" s="12"/>
      <c r="Q112" s="12"/>
      <c r="R112" s="12"/>
      <c r="S112" s="12"/>
    </row>
    <row r="113" ht="16.5" spans="1:19">
      <c r="A113" s="22"/>
      <c r="B113" s="12"/>
      <c r="C113" s="12"/>
      <c r="D113" s="12"/>
      <c r="E113" s="12"/>
      <c r="F113" s="12"/>
      <c r="G113" s="23"/>
      <c r="H113" s="23"/>
      <c r="I113" s="24"/>
      <c r="J113" s="24"/>
      <c r="K113" s="23"/>
      <c r="L113" s="23"/>
      <c r="M113" s="23"/>
      <c r="N113" s="23"/>
      <c r="O113" s="12"/>
      <c r="P113" s="12"/>
      <c r="Q113" s="12"/>
      <c r="R113" s="12"/>
      <c r="S113" s="12"/>
    </row>
    <row r="114" ht="16.5" spans="1:19">
      <c r="A114" s="22"/>
      <c r="B114" s="12"/>
      <c r="C114" s="12"/>
      <c r="D114" s="12"/>
      <c r="E114" s="12"/>
      <c r="F114" s="12"/>
      <c r="G114" s="23"/>
      <c r="H114" s="23"/>
      <c r="I114" s="24"/>
      <c r="J114" s="24"/>
      <c r="K114" s="23"/>
      <c r="L114" s="23"/>
      <c r="M114" s="23"/>
      <c r="N114" s="23"/>
      <c r="O114" s="12"/>
      <c r="P114" s="12"/>
      <c r="Q114" s="12"/>
      <c r="R114" s="12"/>
      <c r="S114" s="12"/>
    </row>
    <row r="115" ht="16.5" spans="1:19">
      <c r="A115" s="22"/>
      <c r="B115" s="12"/>
      <c r="C115" s="12"/>
      <c r="D115" s="12"/>
      <c r="E115" s="12"/>
      <c r="F115" s="12"/>
      <c r="G115" s="23"/>
      <c r="H115" s="23"/>
      <c r="I115" s="24"/>
      <c r="J115" s="24"/>
      <c r="K115" s="23"/>
      <c r="L115" s="23"/>
      <c r="M115" s="23"/>
      <c r="N115" s="23"/>
      <c r="O115" s="12"/>
      <c r="P115" s="12"/>
      <c r="Q115" s="12"/>
      <c r="R115" s="12"/>
      <c r="S115" s="12"/>
    </row>
    <row r="116" ht="16.5" spans="1:19">
      <c r="A116" s="22"/>
      <c r="B116" s="12"/>
      <c r="C116" s="12"/>
      <c r="D116" s="12"/>
      <c r="E116" s="12"/>
      <c r="F116" s="12"/>
      <c r="G116" s="23"/>
      <c r="H116" s="23"/>
      <c r="I116" s="24"/>
      <c r="J116" s="24"/>
      <c r="K116" s="23"/>
      <c r="L116" s="23"/>
      <c r="M116" s="23"/>
      <c r="N116" s="23"/>
      <c r="O116" s="12"/>
      <c r="P116" s="12"/>
      <c r="Q116" s="12"/>
      <c r="R116" s="12"/>
      <c r="S116" s="12"/>
    </row>
    <row r="117" ht="16.5" spans="1:19">
      <c r="A117" s="22"/>
      <c r="B117" s="12"/>
      <c r="C117" s="12"/>
      <c r="D117" s="12"/>
      <c r="E117" s="12"/>
      <c r="F117" s="12"/>
      <c r="G117" s="23"/>
      <c r="H117" s="23"/>
      <c r="I117" s="24"/>
      <c r="J117" s="24"/>
      <c r="K117" s="23"/>
      <c r="L117" s="23"/>
      <c r="M117" s="23"/>
      <c r="N117" s="23"/>
      <c r="O117" s="12"/>
      <c r="P117" s="12"/>
      <c r="Q117" s="12"/>
      <c r="R117" s="12"/>
      <c r="S117" s="12"/>
    </row>
    <row r="118" ht="16.5" spans="1:19">
      <c r="A118" s="22"/>
      <c r="B118" s="12"/>
      <c r="C118" s="12"/>
      <c r="D118" s="12"/>
      <c r="E118" s="12"/>
      <c r="F118" s="12"/>
      <c r="G118" s="23"/>
      <c r="H118" s="23"/>
      <c r="I118" s="24"/>
      <c r="J118" s="24"/>
      <c r="K118" s="23"/>
      <c r="L118" s="23"/>
      <c r="M118" s="23"/>
      <c r="N118" s="23"/>
      <c r="O118" s="12"/>
      <c r="P118" s="12"/>
      <c r="Q118" s="12"/>
      <c r="R118" s="12"/>
      <c r="S118" s="12"/>
    </row>
    <row r="119" ht="16.5" spans="1:19">
      <c r="A119" s="22"/>
      <c r="B119" s="12"/>
      <c r="C119" s="12"/>
      <c r="D119" s="12"/>
      <c r="E119" s="12"/>
      <c r="F119" s="12"/>
      <c r="G119" s="23"/>
      <c r="H119" s="23"/>
      <c r="I119" s="24"/>
      <c r="J119" s="24"/>
      <c r="K119" s="23"/>
      <c r="L119" s="23"/>
      <c r="M119" s="23"/>
      <c r="N119" s="23"/>
      <c r="O119" s="12"/>
      <c r="P119" s="12"/>
      <c r="Q119" s="12"/>
      <c r="R119" s="12"/>
      <c r="S119" s="12"/>
    </row>
    <row r="120" ht="16.5" spans="1:19">
      <c r="A120" s="22"/>
      <c r="B120" s="12"/>
      <c r="C120" s="12"/>
      <c r="D120" s="12"/>
      <c r="E120" s="12"/>
      <c r="F120" s="12"/>
      <c r="G120" s="23"/>
      <c r="H120" s="23"/>
      <c r="I120" s="24"/>
      <c r="J120" s="24"/>
      <c r="K120" s="23"/>
      <c r="L120" s="23"/>
      <c r="M120" s="23"/>
      <c r="N120" s="23"/>
      <c r="O120" s="12"/>
      <c r="P120" s="12"/>
      <c r="Q120" s="12"/>
      <c r="R120" s="12"/>
      <c r="S120" s="12"/>
    </row>
    <row r="121" ht="16.5" spans="1:19">
      <c r="A121" s="22"/>
      <c r="B121" s="12"/>
      <c r="C121" s="12"/>
      <c r="D121" s="12"/>
      <c r="E121" s="12"/>
      <c r="F121" s="12"/>
      <c r="G121" s="23"/>
      <c r="H121" s="23"/>
      <c r="I121" s="24"/>
      <c r="J121" s="24"/>
      <c r="K121" s="23"/>
      <c r="L121" s="23"/>
      <c r="M121" s="23"/>
      <c r="N121" s="23"/>
      <c r="O121" s="12"/>
      <c r="P121" s="12"/>
      <c r="Q121" s="12"/>
      <c r="R121" s="12"/>
      <c r="S121" s="12"/>
    </row>
    <row r="122" ht="16.5" spans="1:19">
      <c r="A122" s="22"/>
      <c r="B122" s="12"/>
      <c r="C122" s="12"/>
      <c r="D122" s="12"/>
      <c r="E122" s="12"/>
      <c r="F122" s="12"/>
      <c r="G122" s="23"/>
      <c r="H122" s="23"/>
      <c r="I122" s="24"/>
      <c r="J122" s="24"/>
      <c r="K122" s="23"/>
      <c r="L122" s="23"/>
      <c r="M122" s="23"/>
      <c r="N122" s="23"/>
      <c r="O122" s="12"/>
      <c r="P122" s="12"/>
      <c r="Q122" s="12"/>
      <c r="R122" s="12"/>
      <c r="S122" s="12"/>
    </row>
    <row r="123" ht="16.5" spans="1:19">
      <c r="A123" s="22"/>
      <c r="B123" s="12"/>
      <c r="C123" s="12"/>
      <c r="D123" s="12"/>
      <c r="E123" s="12"/>
      <c r="F123" s="12"/>
      <c r="G123" s="23"/>
      <c r="H123" s="23"/>
      <c r="I123" s="24"/>
      <c r="J123" s="24"/>
      <c r="K123" s="23"/>
      <c r="L123" s="23"/>
      <c r="M123" s="23"/>
      <c r="N123" s="23"/>
      <c r="O123" s="12"/>
      <c r="P123" s="12"/>
      <c r="Q123" s="12"/>
      <c r="R123" s="12"/>
      <c r="S123" s="12"/>
    </row>
    <row r="124" ht="16.5" spans="1:19">
      <c r="A124" s="22"/>
      <c r="B124" s="12"/>
      <c r="C124" s="12"/>
      <c r="D124" s="12"/>
      <c r="E124" s="12"/>
      <c r="F124" s="12"/>
      <c r="G124" s="23"/>
      <c r="H124" s="23"/>
      <c r="I124" s="24"/>
      <c r="J124" s="24"/>
      <c r="K124" s="23"/>
      <c r="L124" s="23"/>
      <c r="M124" s="23"/>
      <c r="N124" s="23"/>
      <c r="O124" s="12"/>
      <c r="P124" s="12"/>
      <c r="Q124" s="12"/>
      <c r="R124" s="12"/>
      <c r="S124" s="12"/>
    </row>
    <row r="125" ht="16.5" spans="1:19">
      <c r="A125" s="22"/>
      <c r="B125" s="12"/>
      <c r="C125" s="12"/>
      <c r="D125" s="12"/>
      <c r="E125" s="12"/>
      <c r="F125" s="12"/>
      <c r="G125" s="23"/>
      <c r="H125" s="23"/>
      <c r="I125" s="24"/>
      <c r="J125" s="24"/>
      <c r="K125" s="23"/>
      <c r="L125" s="23"/>
      <c r="M125" s="23"/>
      <c r="N125" s="23"/>
      <c r="O125" s="12"/>
      <c r="P125" s="12"/>
      <c r="Q125" s="12"/>
      <c r="R125" s="12"/>
      <c r="S125" s="12"/>
    </row>
    <row r="126" ht="16.5" spans="1:19">
      <c r="A126" s="22"/>
      <c r="B126" s="12"/>
      <c r="C126" s="12"/>
      <c r="D126" s="12"/>
      <c r="E126" s="12"/>
      <c r="F126" s="12"/>
      <c r="G126" s="23"/>
      <c r="H126" s="23"/>
      <c r="I126" s="24"/>
      <c r="J126" s="24"/>
      <c r="K126" s="23"/>
      <c r="L126" s="23"/>
      <c r="M126" s="23"/>
      <c r="N126" s="23"/>
      <c r="O126" s="12"/>
      <c r="P126" s="12"/>
      <c r="Q126" s="12"/>
      <c r="R126" s="12"/>
      <c r="S126" s="12"/>
    </row>
    <row r="127" ht="16.5" spans="1:19">
      <c r="A127" s="22"/>
      <c r="B127" s="12"/>
      <c r="C127" s="12"/>
      <c r="D127" s="12"/>
      <c r="E127" s="12"/>
      <c r="F127" s="12"/>
      <c r="G127" s="23"/>
      <c r="H127" s="23"/>
      <c r="I127" s="24"/>
      <c r="J127" s="24"/>
      <c r="K127" s="23"/>
      <c r="L127" s="23"/>
      <c r="M127" s="23"/>
      <c r="N127" s="23"/>
      <c r="O127" s="12"/>
      <c r="P127" s="12"/>
      <c r="Q127" s="12"/>
      <c r="R127" s="12"/>
      <c r="S127" s="12"/>
    </row>
    <row r="128" ht="16.5" spans="1:19">
      <c r="A128" s="22"/>
      <c r="B128" s="12"/>
      <c r="C128" s="12"/>
      <c r="D128" s="12"/>
      <c r="E128" s="12"/>
      <c r="F128" s="12"/>
      <c r="G128" s="23"/>
      <c r="H128" s="23"/>
      <c r="I128" s="24"/>
      <c r="J128" s="24"/>
      <c r="K128" s="23"/>
      <c r="L128" s="23"/>
      <c r="M128" s="23"/>
      <c r="N128" s="23"/>
      <c r="O128" s="12"/>
      <c r="P128" s="12"/>
      <c r="Q128" s="12"/>
      <c r="R128" s="12"/>
      <c r="S128" s="12"/>
    </row>
    <row r="129" ht="16.5" spans="1:19">
      <c r="A129" s="22"/>
      <c r="B129" s="12"/>
      <c r="C129" s="12"/>
      <c r="D129" s="12"/>
      <c r="E129" s="12"/>
      <c r="F129" s="12"/>
      <c r="G129" s="23"/>
      <c r="H129" s="23"/>
      <c r="I129" s="24"/>
      <c r="J129" s="24"/>
      <c r="K129" s="23"/>
      <c r="L129" s="23"/>
      <c r="M129" s="23"/>
      <c r="N129" s="23"/>
      <c r="O129" s="12"/>
      <c r="P129" s="12"/>
      <c r="Q129" s="12"/>
      <c r="R129" s="12"/>
      <c r="S129" s="12"/>
    </row>
    <row r="130" ht="16.5" spans="1:19">
      <c r="A130" s="22"/>
      <c r="B130" s="12"/>
      <c r="C130" s="12"/>
      <c r="D130" s="12"/>
      <c r="E130" s="12"/>
      <c r="F130" s="12"/>
      <c r="G130" s="23"/>
      <c r="H130" s="23"/>
      <c r="I130" s="24"/>
      <c r="J130" s="24"/>
      <c r="K130" s="23"/>
      <c r="L130" s="23"/>
      <c r="M130" s="23"/>
      <c r="N130" s="23"/>
      <c r="O130" s="12"/>
      <c r="P130" s="12"/>
      <c r="Q130" s="12"/>
      <c r="R130" s="12"/>
      <c r="S130" s="12"/>
    </row>
    <row r="131" ht="16.5" spans="1:19">
      <c r="A131" s="22"/>
      <c r="B131" s="12"/>
      <c r="C131" s="12"/>
      <c r="D131" s="12"/>
      <c r="E131" s="12"/>
      <c r="F131" s="12"/>
      <c r="G131" s="23"/>
      <c r="H131" s="23"/>
      <c r="I131" s="24"/>
      <c r="J131" s="24"/>
      <c r="K131" s="23"/>
      <c r="L131" s="23"/>
      <c r="M131" s="23"/>
      <c r="N131" s="23"/>
      <c r="O131" s="12"/>
      <c r="P131" s="12"/>
      <c r="Q131" s="12"/>
      <c r="R131" s="12"/>
      <c r="S131" s="12"/>
    </row>
    <row r="132" ht="16.5" spans="1:19">
      <c r="A132" s="22"/>
      <c r="B132" s="12"/>
      <c r="C132" s="12"/>
      <c r="D132" s="12"/>
      <c r="E132" s="12"/>
      <c r="F132" s="12"/>
      <c r="G132" s="23"/>
      <c r="H132" s="23"/>
      <c r="I132" s="24"/>
      <c r="J132" s="24"/>
      <c r="K132" s="23"/>
      <c r="L132" s="23"/>
      <c r="M132" s="23"/>
      <c r="N132" s="23"/>
      <c r="O132" s="12"/>
      <c r="P132" s="12"/>
      <c r="Q132" s="12"/>
      <c r="R132" s="12"/>
      <c r="S132" s="12"/>
    </row>
    <row r="133" ht="16.5" spans="1:19">
      <c r="A133" s="22"/>
      <c r="B133" s="12"/>
      <c r="C133" s="12"/>
      <c r="D133" s="12"/>
      <c r="E133" s="12"/>
      <c r="F133" s="12"/>
      <c r="G133" s="23"/>
      <c r="H133" s="23"/>
      <c r="I133" s="24"/>
      <c r="J133" s="24"/>
      <c r="K133" s="23"/>
      <c r="L133" s="23"/>
      <c r="M133" s="23"/>
      <c r="N133" s="23"/>
      <c r="O133" s="12"/>
      <c r="P133" s="12"/>
      <c r="Q133" s="12"/>
      <c r="R133" s="12"/>
      <c r="S133" s="12"/>
    </row>
    <row r="134" ht="16.5" spans="1:19">
      <c r="A134" s="22"/>
      <c r="B134" s="12"/>
      <c r="C134" s="12"/>
      <c r="D134" s="12"/>
      <c r="E134" s="12"/>
      <c r="F134" s="12"/>
      <c r="G134" s="23"/>
      <c r="H134" s="23"/>
      <c r="I134" s="24"/>
      <c r="J134" s="24"/>
      <c r="K134" s="23"/>
      <c r="L134" s="23"/>
      <c r="M134" s="23"/>
      <c r="N134" s="23"/>
      <c r="O134" s="12"/>
      <c r="P134" s="12"/>
      <c r="Q134" s="12"/>
      <c r="R134" s="12"/>
      <c r="S134" s="12"/>
    </row>
    <row r="135" ht="16.5" spans="1:19">
      <c r="A135" s="22"/>
      <c r="B135" s="12"/>
      <c r="C135" s="12"/>
      <c r="D135" s="12"/>
      <c r="E135" s="12"/>
      <c r="F135" s="12"/>
      <c r="G135" s="23"/>
      <c r="H135" s="23"/>
      <c r="I135" s="24"/>
      <c r="J135" s="24"/>
      <c r="K135" s="23"/>
      <c r="L135" s="23"/>
      <c r="M135" s="23"/>
      <c r="N135" s="23"/>
      <c r="O135" s="12"/>
      <c r="P135" s="12"/>
      <c r="Q135" s="12"/>
      <c r="R135" s="12"/>
      <c r="S135" s="12"/>
    </row>
    <row r="136" ht="16.5" spans="1:19">
      <c r="A136" s="22"/>
      <c r="B136" s="12"/>
      <c r="C136" s="12"/>
      <c r="D136" s="12"/>
      <c r="E136" s="12"/>
      <c r="F136" s="12"/>
      <c r="G136" s="23"/>
      <c r="H136" s="23"/>
      <c r="I136" s="24"/>
      <c r="J136" s="24"/>
      <c r="K136" s="23"/>
      <c r="L136" s="23"/>
      <c r="M136" s="23"/>
      <c r="N136" s="23"/>
      <c r="O136" s="12"/>
      <c r="P136" s="12"/>
      <c r="Q136" s="12"/>
      <c r="R136" s="12"/>
      <c r="S136" s="12"/>
    </row>
    <row r="137" ht="16.5" spans="1:19">
      <c r="A137" s="22"/>
      <c r="B137" s="12"/>
      <c r="C137" s="12"/>
      <c r="D137" s="12"/>
      <c r="E137" s="12"/>
      <c r="F137" s="12"/>
      <c r="G137" s="23"/>
      <c r="H137" s="23"/>
      <c r="I137" s="24"/>
      <c r="J137" s="24"/>
      <c r="K137" s="23"/>
      <c r="L137" s="23"/>
      <c r="M137" s="23"/>
      <c r="N137" s="23"/>
      <c r="O137" s="12"/>
      <c r="P137" s="12"/>
      <c r="Q137" s="12"/>
      <c r="R137" s="12"/>
      <c r="S137" s="12"/>
    </row>
    <row r="138" ht="16.5" spans="1:19">
      <c r="A138" s="22"/>
      <c r="B138" s="12"/>
      <c r="C138" s="12"/>
      <c r="D138" s="12"/>
      <c r="E138" s="12"/>
      <c r="F138" s="12"/>
      <c r="G138" s="23"/>
      <c r="H138" s="23"/>
      <c r="I138" s="24"/>
      <c r="J138" s="24"/>
      <c r="K138" s="23"/>
      <c r="L138" s="23"/>
      <c r="M138" s="23"/>
      <c r="N138" s="23"/>
      <c r="O138" s="12"/>
      <c r="P138" s="12"/>
      <c r="Q138" s="12"/>
      <c r="R138" s="12"/>
      <c r="S138" s="12"/>
    </row>
    <row r="139" ht="16.5" spans="1:19">
      <c r="A139" s="22"/>
      <c r="B139" s="12"/>
      <c r="C139" s="12"/>
      <c r="D139" s="12"/>
      <c r="E139" s="12"/>
      <c r="F139" s="12"/>
      <c r="G139" s="23"/>
      <c r="H139" s="23"/>
      <c r="I139" s="24"/>
      <c r="J139" s="24"/>
      <c r="K139" s="23"/>
      <c r="L139" s="23"/>
      <c r="M139" s="23"/>
      <c r="N139" s="23"/>
      <c r="O139" s="12"/>
      <c r="P139" s="12"/>
      <c r="Q139" s="12"/>
      <c r="R139" s="12"/>
      <c r="S139" s="12"/>
    </row>
    <row r="140" ht="16.5" spans="1:19">
      <c r="A140" s="22"/>
      <c r="B140" s="12"/>
      <c r="C140" s="12"/>
      <c r="D140" s="12"/>
      <c r="E140" s="12"/>
      <c r="F140" s="12"/>
      <c r="G140" s="23"/>
      <c r="H140" s="23"/>
      <c r="I140" s="24"/>
      <c r="J140" s="24"/>
      <c r="K140" s="23"/>
      <c r="L140" s="23"/>
      <c r="M140" s="23"/>
      <c r="N140" s="23"/>
      <c r="O140" s="12"/>
      <c r="P140" s="12"/>
      <c r="Q140" s="12"/>
      <c r="R140" s="12"/>
      <c r="S140" s="12"/>
    </row>
    <row r="141" ht="16.5" spans="1:19">
      <c r="A141" s="22"/>
      <c r="B141" s="12"/>
      <c r="C141" s="12"/>
      <c r="D141" s="12"/>
      <c r="E141" s="12"/>
      <c r="F141" s="12"/>
      <c r="G141" s="23"/>
      <c r="H141" s="23"/>
      <c r="I141" s="24"/>
      <c r="J141" s="24"/>
      <c r="K141" s="23"/>
      <c r="L141" s="23"/>
      <c r="M141" s="23"/>
      <c r="N141" s="23"/>
      <c r="O141" s="12"/>
      <c r="P141" s="12"/>
      <c r="Q141" s="12"/>
      <c r="R141" s="12"/>
      <c r="S141" s="12"/>
    </row>
    <row r="142" ht="16.5" spans="1:19">
      <c r="A142" s="22"/>
      <c r="B142" s="12"/>
      <c r="C142" s="12"/>
      <c r="D142" s="12"/>
      <c r="E142" s="12"/>
      <c r="F142" s="12"/>
      <c r="G142" s="23"/>
      <c r="H142" s="23"/>
      <c r="I142" s="24"/>
      <c r="J142" s="24"/>
      <c r="K142" s="23"/>
      <c r="L142" s="23"/>
      <c r="M142" s="23"/>
      <c r="N142" s="23"/>
      <c r="O142" s="12"/>
      <c r="P142" s="12"/>
      <c r="Q142" s="12"/>
      <c r="R142" s="12"/>
      <c r="S142" s="12"/>
    </row>
    <row r="143" ht="16.5" spans="1:19">
      <c r="A143" s="22"/>
      <c r="B143" s="12"/>
      <c r="C143" s="12"/>
      <c r="D143" s="12"/>
      <c r="E143" s="12"/>
      <c r="F143" s="12"/>
      <c r="G143" s="23"/>
      <c r="H143" s="23"/>
      <c r="I143" s="24"/>
      <c r="J143" s="24"/>
      <c r="K143" s="23"/>
      <c r="L143" s="23"/>
      <c r="M143" s="23"/>
      <c r="N143" s="23"/>
      <c r="O143" s="12"/>
      <c r="P143" s="12"/>
      <c r="Q143" s="12"/>
      <c r="R143" s="12"/>
      <c r="S143" s="12"/>
    </row>
    <row r="144" ht="16.5" spans="1:19">
      <c r="A144" s="22"/>
      <c r="B144" s="12"/>
      <c r="C144" s="12"/>
      <c r="D144" s="12"/>
      <c r="E144" s="12"/>
      <c r="F144" s="12"/>
      <c r="G144" s="23"/>
      <c r="H144" s="23"/>
      <c r="I144" s="24"/>
      <c r="J144" s="24"/>
      <c r="K144" s="23"/>
      <c r="L144" s="23"/>
      <c r="M144" s="23"/>
      <c r="N144" s="23"/>
      <c r="O144" s="12"/>
      <c r="P144" s="12"/>
      <c r="Q144" s="12"/>
      <c r="R144" s="12"/>
      <c r="S144" s="12"/>
    </row>
    <row r="145" ht="16.5" spans="1:19">
      <c r="A145" s="22"/>
      <c r="B145" s="12"/>
      <c r="C145" s="12"/>
      <c r="D145" s="12"/>
      <c r="E145" s="12"/>
      <c r="F145" s="12"/>
      <c r="G145" s="23"/>
      <c r="H145" s="23"/>
      <c r="I145" s="24"/>
      <c r="J145" s="24"/>
      <c r="K145" s="23"/>
      <c r="L145" s="23"/>
      <c r="M145" s="23"/>
      <c r="N145" s="23"/>
      <c r="O145" s="12"/>
      <c r="P145" s="12"/>
      <c r="Q145" s="12"/>
      <c r="R145" s="12"/>
      <c r="S145" s="12"/>
    </row>
    <row r="146" ht="16.5" spans="1:19">
      <c r="A146" s="22"/>
      <c r="B146" s="12"/>
      <c r="C146" s="12"/>
      <c r="D146" s="12"/>
      <c r="E146" s="12"/>
      <c r="F146" s="12"/>
      <c r="G146" s="23"/>
      <c r="H146" s="23"/>
      <c r="I146" s="24"/>
      <c r="J146" s="24"/>
      <c r="K146" s="23"/>
      <c r="L146" s="23"/>
      <c r="M146" s="23"/>
      <c r="N146" s="23"/>
      <c r="O146" s="12"/>
      <c r="P146" s="12"/>
      <c r="Q146" s="12"/>
      <c r="R146" s="12"/>
      <c r="S146" s="12"/>
    </row>
    <row r="147" ht="16.5" spans="1:19">
      <c r="A147" s="22"/>
      <c r="B147" s="12"/>
      <c r="C147" s="12"/>
      <c r="D147" s="12"/>
      <c r="E147" s="12"/>
      <c r="F147" s="12"/>
      <c r="G147" s="23"/>
      <c r="H147" s="23"/>
      <c r="I147" s="24"/>
      <c r="J147" s="24"/>
      <c r="K147" s="23"/>
      <c r="L147" s="23"/>
      <c r="M147" s="23"/>
      <c r="N147" s="23"/>
      <c r="O147" s="12"/>
      <c r="P147" s="12"/>
      <c r="Q147" s="12"/>
      <c r="R147" s="12"/>
      <c r="S147" s="12"/>
    </row>
    <row r="148" ht="16.5" spans="1:19">
      <c r="A148" s="22"/>
      <c r="B148" s="12"/>
      <c r="C148" s="12"/>
      <c r="D148" s="12"/>
      <c r="E148" s="12"/>
      <c r="F148" s="12"/>
      <c r="G148" s="23"/>
      <c r="H148" s="23"/>
      <c r="I148" s="24"/>
      <c r="J148" s="24"/>
      <c r="K148" s="23"/>
      <c r="L148" s="23"/>
      <c r="M148" s="23"/>
      <c r="N148" s="23"/>
      <c r="O148" s="12"/>
      <c r="P148" s="12"/>
      <c r="Q148" s="12"/>
      <c r="R148" s="12"/>
      <c r="S148" s="12"/>
    </row>
    <row r="149" ht="16.5" spans="1:19">
      <c r="A149" s="22"/>
      <c r="B149" s="12"/>
      <c r="C149" s="12"/>
      <c r="D149" s="12"/>
      <c r="E149" s="12"/>
      <c r="F149" s="12"/>
      <c r="G149" s="23"/>
      <c r="H149" s="23"/>
      <c r="I149" s="24"/>
      <c r="J149" s="24"/>
      <c r="K149" s="23"/>
      <c r="L149" s="23"/>
      <c r="M149" s="23"/>
      <c r="N149" s="23"/>
      <c r="O149" s="12"/>
      <c r="P149" s="12"/>
      <c r="Q149" s="12"/>
      <c r="R149" s="12"/>
      <c r="S149" s="12"/>
    </row>
    <row r="150" ht="16.5" spans="1:19">
      <c r="A150" s="22"/>
      <c r="B150" s="12"/>
      <c r="C150" s="12"/>
      <c r="D150" s="12"/>
      <c r="E150" s="12"/>
      <c r="F150" s="12"/>
      <c r="G150" s="23"/>
      <c r="H150" s="23"/>
      <c r="I150" s="24"/>
      <c r="J150" s="24"/>
      <c r="K150" s="23"/>
      <c r="L150" s="23"/>
      <c r="M150" s="23"/>
      <c r="N150" s="23"/>
      <c r="O150" s="12"/>
      <c r="P150" s="12"/>
      <c r="Q150" s="12"/>
      <c r="R150" s="12"/>
      <c r="S150" s="12"/>
    </row>
    <row r="151" ht="16.5" spans="1:19">
      <c r="A151" s="22"/>
      <c r="B151" s="12"/>
      <c r="C151" s="12"/>
      <c r="D151" s="12"/>
      <c r="E151" s="12"/>
      <c r="F151" s="12"/>
      <c r="G151" s="23"/>
      <c r="H151" s="23"/>
      <c r="I151" s="24"/>
      <c r="J151" s="24"/>
      <c r="K151" s="23"/>
      <c r="L151" s="23"/>
      <c r="M151" s="23"/>
      <c r="N151" s="23"/>
      <c r="O151" s="12"/>
      <c r="P151" s="12"/>
      <c r="Q151" s="12"/>
      <c r="R151" s="12"/>
      <c r="S151" s="12"/>
    </row>
    <row r="152" ht="16.5" spans="1:19">
      <c r="A152" s="22"/>
      <c r="B152" s="12"/>
      <c r="C152" s="12"/>
      <c r="D152" s="12"/>
      <c r="E152" s="12"/>
      <c r="F152" s="12"/>
      <c r="G152" s="23"/>
      <c r="H152" s="23"/>
      <c r="I152" s="24"/>
      <c r="J152" s="24"/>
      <c r="K152" s="23"/>
      <c r="L152" s="23"/>
      <c r="M152" s="23"/>
      <c r="N152" s="23"/>
      <c r="O152" s="12"/>
      <c r="P152" s="12"/>
      <c r="Q152" s="12"/>
      <c r="R152" s="12"/>
      <c r="S152" s="12"/>
    </row>
    <row r="153" ht="16.5" spans="1:19">
      <c r="A153" s="22"/>
      <c r="B153" s="12"/>
      <c r="C153" s="12"/>
      <c r="D153" s="12"/>
      <c r="E153" s="12"/>
      <c r="F153" s="12"/>
      <c r="G153" s="23"/>
      <c r="H153" s="23"/>
      <c r="I153" s="24"/>
      <c r="J153" s="24"/>
      <c r="K153" s="23"/>
      <c r="L153" s="23"/>
      <c r="M153" s="23"/>
      <c r="N153" s="23"/>
      <c r="O153" s="12"/>
      <c r="P153" s="12"/>
      <c r="Q153" s="12"/>
      <c r="R153" s="12"/>
      <c r="S153" s="12"/>
    </row>
    <row r="154" ht="16.5" spans="1:19">
      <c r="A154" s="22"/>
      <c r="B154" s="12"/>
      <c r="C154" s="12"/>
      <c r="D154" s="12"/>
      <c r="E154" s="12"/>
      <c r="F154" s="12"/>
      <c r="G154" s="23"/>
      <c r="H154" s="23"/>
      <c r="I154" s="24"/>
      <c r="J154" s="24"/>
      <c r="K154" s="23"/>
      <c r="L154" s="23"/>
      <c r="M154" s="23"/>
      <c r="N154" s="23"/>
      <c r="O154" s="12"/>
      <c r="P154" s="12"/>
      <c r="Q154" s="12"/>
      <c r="R154" s="12"/>
      <c r="S154" s="12"/>
    </row>
    <row r="155" ht="16.5" spans="1:19">
      <c r="A155" s="22"/>
      <c r="B155" s="12"/>
      <c r="C155" s="12"/>
      <c r="D155" s="12"/>
      <c r="E155" s="12"/>
      <c r="F155" s="12"/>
      <c r="G155" s="23"/>
      <c r="H155" s="23"/>
      <c r="I155" s="24"/>
      <c r="J155" s="24"/>
      <c r="K155" s="23"/>
      <c r="L155" s="23"/>
      <c r="M155" s="23"/>
      <c r="N155" s="23"/>
      <c r="O155" s="12"/>
      <c r="P155" s="12"/>
      <c r="Q155" s="12"/>
      <c r="R155" s="12"/>
      <c r="S155" s="12"/>
    </row>
    <row r="156" ht="16.5" spans="1:19">
      <c r="A156" s="22"/>
      <c r="B156" s="12"/>
      <c r="C156" s="12"/>
      <c r="D156" s="12"/>
      <c r="E156" s="12"/>
      <c r="F156" s="12"/>
      <c r="G156" s="23"/>
      <c r="H156" s="23"/>
      <c r="I156" s="24"/>
      <c r="J156" s="24"/>
      <c r="K156" s="23"/>
      <c r="L156" s="23"/>
      <c r="M156" s="23"/>
      <c r="N156" s="23"/>
      <c r="O156" s="12"/>
      <c r="P156" s="12"/>
      <c r="Q156" s="12"/>
      <c r="R156" s="12"/>
      <c r="S156" s="12"/>
    </row>
    <row r="157" ht="16.5" spans="1:19">
      <c r="A157" s="22"/>
      <c r="B157" s="12"/>
      <c r="C157" s="12"/>
      <c r="D157" s="12"/>
      <c r="E157" s="12"/>
      <c r="F157" s="12"/>
      <c r="G157" s="23"/>
      <c r="H157" s="23"/>
      <c r="I157" s="24"/>
      <c r="J157" s="24"/>
      <c r="K157" s="23"/>
      <c r="L157" s="23"/>
      <c r="M157" s="23"/>
      <c r="N157" s="23"/>
      <c r="O157" s="12"/>
      <c r="P157" s="12"/>
      <c r="Q157" s="12"/>
      <c r="R157" s="12"/>
      <c r="S157" s="12"/>
    </row>
    <row r="158" ht="16.5" spans="1:19">
      <c r="A158" s="22"/>
      <c r="B158" s="12"/>
      <c r="C158" s="12"/>
      <c r="D158" s="12"/>
      <c r="E158" s="12"/>
      <c r="F158" s="12"/>
      <c r="G158" s="23"/>
      <c r="H158" s="23"/>
      <c r="I158" s="24"/>
      <c r="J158" s="24"/>
      <c r="K158" s="23"/>
      <c r="L158" s="23"/>
      <c r="M158" s="23"/>
      <c r="N158" s="23"/>
      <c r="O158" s="12"/>
      <c r="P158" s="12"/>
      <c r="Q158" s="12"/>
      <c r="R158" s="12"/>
      <c r="S158" s="12"/>
    </row>
    <row r="159" ht="16.5" spans="1:19">
      <c r="A159" s="22"/>
      <c r="B159" s="12"/>
      <c r="C159" s="12"/>
      <c r="D159" s="12"/>
      <c r="E159" s="12"/>
      <c r="F159" s="12"/>
      <c r="G159" s="23"/>
      <c r="H159" s="23"/>
      <c r="I159" s="24"/>
      <c r="J159" s="24"/>
      <c r="K159" s="23"/>
      <c r="L159" s="23"/>
      <c r="M159" s="23"/>
      <c r="N159" s="23"/>
      <c r="O159" s="12"/>
      <c r="P159" s="12"/>
      <c r="Q159" s="12"/>
      <c r="R159" s="12"/>
      <c r="S159" s="12"/>
    </row>
    <row r="160" ht="16.5" spans="1:19">
      <c r="A160" s="22"/>
      <c r="B160" s="12"/>
      <c r="C160" s="12"/>
      <c r="D160" s="12"/>
      <c r="E160" s="12"/>
      <c r="F160" s="12"/>
      <c r="G160" s="23"/>
      <c r="H160" s="23"/>
      <c r="I160" s="24"/>
      <c r="J160" s="24"/>
      <c r="K160" s="23"/>
      <c r="L160" s="23"/>
      <c r="M160" s="23"/>
      <c r="N160" s="23"/>
      <c r="O160" s="12"/>
      <c r="P160" s="12"/>
      <c r="Q160" s="12"/>
      <c r="R160" s="12"/>
      <c r="S160" s="12"/>
    </row>
    <row r="161" ht="16.5" spans="1:19">
      <c r="A161" s="22"/>
      <c r="B161" s="12"/>
      <c r="C161" s="12"/>
      <c r="D161" s="12"/>
      <c r="E161" s="12"/>
      <c r="F161" s="12"/>
      <c r="G161" s="23"/>
      <c r="H161" s="23"/>
      <c r="I161" s="24"/>
      <c r="J161" s="24"/>
      <c r="K161" s="23"/>
      <c r="L161" s="23"/>
      <c r="M161" s="23"/>
      <c r="N161" s="23"/>
      <c r="O161" s="12"/>
      <c r="P161" s="12"/>
      <c r="Q161" s="12"/>
      <c r="R161" s="12"/>
      <c r="S161" s="12"/>
    </row>
    <row r="162" ht="16.5" spans="1:19">
      <c r="A162" s="22"/>
      <c r="B162" s="12"/>
      <c r="C162" s="12"/>
      <c r="D162" s="12"/>
      <c r="E162" s="12"/>
      <c r="F162" s="12"/>
      <c r="G162" s="23"/>
      <c r="H162" s="23"/>
      <c r="I162" s="24"/>
      <c r="J162" s="24"/>
      <c r="K162" s="23"/>
      <c r="L162" s="23"/>
      <c r="M162" s="23"/>
      <c r="N162" s="23"/>
      <c r="O162" s="12"/>
      <c r="P162" s="12"/>
      <c r="Q162" s="12"/>
      <c r="R162" s="12"/>
      <c r="S162" s="12"/>
    </row>
    <row r="163" ht="16.5" spans="1:19">
      <c r="A163" s="22"/>
      <c r="B163" s="12"/>
      <c r="C163" s="12"/>
      <c r="D163" s="12"/>
      <c r="E163" s="12"/>
      <c r="F163" s="12"/>
      <c r="G163" s="23"/>
      <c r="H163" s="23"/>
      <c r="I163" s="24"/>
      <c r="J163" s="24"/>
      <c r="K163" s="23"/>
      <c r="L163" s="23"/>
      <c r="M163" s="23"/>
      <c r="N163" s="23"/>
      <c r="O163" s="12"/>
      <c r="P163" s="12"/>
      <c r="Q163" s="12"/>
      <c r="R163" s="12"/>
      <c r="S163" s="12"/>
    </row>
    <row r="164" ht="16.5" spans="1:19">
      <c r="A164" s="22"/>
      <c r="B164" s="12"/>
      <c r="C164" s="12"/>
      <c r="D164" s="12"/>
      <c r="E164" s="12"/>
      <c r="F164" s="12"/>
      <c r="G164" s="23"/>
      <c r="H164" s="23"/>
      <c r="I164" s="24"/>
      <c r="J164" s="24"/>
      <c r="K164" s="23"/>
      <c r="L164" s="23"/>
      <c r="M164" s="23"/>
      <c r="N164" s="23"/>
      <c r="O164" s="12"/>
      <c r="P164" s="12"/>
      <c r="Q164" s="12"/>
      <c r="R164" s="12"/>
      <c r="S164" s="12"/>
    </row>
    <row r="165" ht="16.5" spans="1:19">
      <c r="A165" s="22"/>
      <c r="B165" s="12"/>
      <c r="C165" s="12"/>
      <c r="D165" s="12"/>
      <c r="E165" s="12"/>
      <c r="F165" s="12"/>
      <c r="G165" s="23"/>
      <c r="H165" s="23"/>
      <c r="I165" s="24"/>
      <c r="J165" s="24"/>
      <c r="K165" s="23"/>
      <c r="L165" s="23"/>
      <c r="M165" s="23"/>
      <c r="N165" s="23"/>
      <c r="O165" s="12"/>
      <c r="P165" s="12"/>
      <c r="Q165" s="12"/>
      <c r="R165" s="12"/>
      <c r="S165" s="12"/>
    </row>
    <row r="166" ht="16.5" spans="1:19">
      <c r="A166" s="22"/>
      <c r="B166" s="12"/>
      <c r="C166" s="12"/>
      <c r="D166" s="12"/>
      <c r="E166" s="12"/>
      <c r="F166" s="12"/>
      <c r="G166" s="23"/>
      <c r="H166" s="23"/>
      <c r="I166" s="24"/>
      <c r="J166" s="24"/>
      <c r="K166" s="23"/>
      <c r="L166" s="23"/>
      <c r="M166" s="23"/>
      <c r="N166" s="23"/>
      <c r="O166" s="12"/>
      <c r="P166" s="12"/>
      <c r="Q166" s="12"/>
      <c r="R166" s="12"/>
      <c r="S166" s="12"/>
    </row>
    <row r="167" ht="16.5" spans="1:19">
      <c r="A167" s="22"/>
      <c r="B167" s="12"/>
      <c r="C167" s="12"/>
      <c r="D167" s="12"/>
      <c r="E167" s="12"/>
      <c r="F167" s="12"/>
      <c r="G167" s="23"/>
      <c r="H167" s="23"/>
      <c r="I167" s="24"/>
      <c r="J167" s="24"/>
      <c r="K167" s="23"/>
      <c r="L167" s="23"/>
      <c r="M167" s="23"/>
      <c r="N167" s="23"/>
      <c r="O167" s="12"/>
      <c r="P167" s="12"/>
      <c r="Q167" s="12"/>
      <c r="R167" s="12"/>
      <c r="S167" s="12"/>
    </row>
    <row r="168" ht="16.5" spans="1:19">
      <c r="A168" s="22"/>
      <c r="B168" s="12"/>
      <c r="C168" s="12"/>
      <c r="D168" s="12"/>
      <c r="E168" s="12"/>
      <c r="F168" s="12"/>
      <c r="G168" s="23"/>
      <c r="H168" s="23"/>
      <c r="I168" s="24"/>
      <c r="J168" s="24"/>
      <c r="K168" s="23"/>
      <c r="L168" s="23"/>
      <c r="M168" s="23"/>
      <c r="N168" s="23"/>
      <c r="O168" s="12"/>
      <c r="P168" s="12"/>
      <c r="Q168" s="12"/>
      <c r="R168" s="12"/>
      <c r="S168" s="12"/>
    </row>
    <row r="169" ht="16.5" spans="1:19">
      <c r="A169" s="22"/>
      <c r="B169" s="12"/>
      <c r="C169" s="12"/>
      <c r="D169" s="12"/>
      <c r="E169" s="12"/>
      <c r="F169" s="12"/>
      <c r="G169" s="23"/>
      <c r="H169" s="23"/>
      <c r="I169" s="24"/>
      <c r="J169" s="24"/>
      <c r="K169" s="23"/>
      <c r="L169" s="23"/>
      <c r="M169" s="23"/>
      <c r="N169" s="23"/>
      <c r="O169" s="12"/>
      <c r="P169" s="12"/>
      <c r="Q169" s="12"/>
      <c r="R169" s="12"/>
      <c r="S169" s="12"/>
    </row>
    <row r="170" ht="16.5" spans="1:19">
      <c r="A170" s="22"/>
      <c r="B170" s="12"/>
      <c r="C170" s="12"/>
      <c r="D170" s="12"/>
      <c r="E170" s="12"/>
      <c r="F170" s="12"/>
      <c r="G170" s="23"/>
      <c r="H170" s="23"/>
      <c r="I170" s="24"/>
      <c r="J170" s="24"/>
      <c r="K170" s="23"/>
      <c r="L170" s="23"/>
      <c r="M170" s="23"/>
      <c r="N170" s="23"/>
      <c r="O170" s="12"/>
      <c r="P170" s="12"/>
      <c r="Q170" s="12"/>
      <c r="R170" s="12"/>
      <c r="S170" s="12"/>
    </row>
    <row r="171" ht="16.5" spans="1:19">
      <c r="A171" s="22"/>
      <c r="B171" s="12"/>
      <c r="C171" s="12"/>
      <c r="D171" s="12"/>
      <c r="E171" s="12"/>
      <c r="F171" s="12"/>
      <c r="G171" s="23"/>
      <c r="H171" s="23"/>
      <c r="I171" s="24"/>
      <c r="J171" s="24"/>
      <c r="K171" s="23"/>
      <c r="L171" s="23"/>
      <c r="M171" s="23"/>
      <c r="N171" s="23"/>
      <c r="O171" s="12"/>
      <c r="P171" s="12"/>
      <c r="Q171" s="12"/>
      <c r="R171" s="12"/>
      <c r="S171" s="12"/>
    </row>
    <row r="172" ht="16.5" spans="1:19">
      <c r="A172" s="22"/>
      <c r="B172" s="12"/>
      <c r="C172" s="12"/>
      <c r="D172" s="12"/>
      <c r="E172" s="12"/>
      <c r="F172" s="12"/>
      <c r="G172" s="23"/>
      <c r="H172" s="23"/>
      <c r="I172" s="24"/>
      <c r="J172" s="24"/>
      <c r="K172" s="23"/>
      <c r="L172" s="23"/>
      <c r="M172" s="23"/>
      <c r="N172" s="23"/>
      <c r="O172" s="12"/>
      <c r="P172" s="12"/>
      <c r="Q172" s="12"/>
      <c r="R172" s="12"/>
      <c r="S172" s="12"/>
    </row>
    <row r="173" ht="16.5" spans="1:19">
      <c r="A173" s="22"/>
      <c r="B173" s="12"/>
      <c r="C173" s="12"/>
      <c r="D173" s="12"/>
      <c r="E173" s="12"/>
      <c r="F173" s="12"/>
      <c r="G173" s="23"/>
      <c r="H173" s="23"/>
      <c r="I173" s="24"/>
      <c r="J173" s="24"/>
      <c r="K173" s="23"/>
      <c r="L173" s="23"/>
      <c r="M173" s="23"/>
      <c r="N173" s="23"/>
      <c r="O173" s="12"/>
      <c r="P173" s="12"/>
      <c r="Q173" s="12"/>
      <c r="R173" s="12"/>
      <c r="S173" s="12"/>
    </row>
    <row r="174" ht="16.5" spans="1:19">
      <c r="A174" s="22"/>
      <c r="B174" s="12"/>
      <c r="C174" s="12"/>
      <c r="D174" s="12"/>
      <c r="E174" s="12"/>
      <c r="F174" s="12"/>
      <c r="G174" s="23"/>
      <c r="H174" s="23"/>
      <c r="I174" s="24"/>
      <c r="J174" s="24"/>
      <c r="K174" s="23"/>
      <c r="L174" s="23"/>
      <c r="M174" s="23"/>
      <c r="N174" s="23"/>
      <c r="O174" s="12"/>
      <c r="P174" s="12"/>
      <c r="Q174" s="12"/>
      <c r="R174" s="12"/>
      <c r="S174" s="12"/>
    </row>
    <row r="175" ht="16.5" spans="1:19">
      <c r="A175" s="22"/>
      <c r="B175" s="12"/>
      <c r="C175" s="12"/>
      <c r="D175" s="12"/>
      <c r="E175" s="12"/>
      <c r="F175" s="12"/>
      <c r="G175" s="23"/>
      <c r="H175" s="23"/>
      <c r="I175" s="24"/>
      <c r="J175" s="24"/>
      <c r="K175" s="23"/>
      <c r="L175" s="23"/>
      <c r="M175" s="23"/>
      <c r="N175" s="23"/>
      <c r="O175" s="12"/>
      <c r="P175" s="12"/>
      <c r="Q175" s="12"/>
      <c r="R175" s="12"/>
      <c r="S175" s="12"/>
    </row>
    <row r="176" ht="16.5" spans="1:19">
      <c r="A176" s="22"/>
      <c r="B176" s="12"/>
      <c r="C176" s="12"/>
      <c r="D176" s="12"/>
      <c r="E176" s="12"/>
      <c r="F176" s="12"/>
      <c r="G176" s="23"/>
      <c r="H176" s="23"/>
      <c r="I176" s="24"/>
      <c r="J176" s="24"/>
      <c r="K176" s="23"/>
      <c r="L176" s="23"/>
      <c r="M176" s="23"/>
      <c r="N176" s="23"/>
      <c r="O176" s="12"/>
      <c r="P176" s="12"/>
      <c r="Q176" s="12"/>
      <c r="R176" s="12"/>
      <c r="S176" s="12"/>
    </row>
    <row r="177" ht="16.5" spans="1:19">
      <c r="A177" s="22"/>
      <c r="B177" s="12"/>
      <c r="C177" s="12"/>
      <c r="D177" s="12"/>
      <c r="E177" s="12"/>
      <c r="F177" s="12"/>
      <c r="G177" s="23"/>
      <c r="H177" s="23"/>
      <c r="I177" s="24"/>
      <c r="J177" s="24"/>
      <c r="K177" s="23"/>
      <c r="L177" s="23"/>
      <c r="M177" s="23"/>
      <c r="N177" s="23"/>
      <c r="O177" s="12"/>
      <c r="P177" s="12"/>
      <c r="Q177" s="12"/>
      <c r="R177" s="12"/>
      <c r="S177" s="12"/>
    </row>
    <row r="178" ht="16.5" spans="1:19">
      <c r="A178" s="22"/>
      <c r="B178" s="12"/>
      <c r="C178" s="12"/>
      <c r="D178" s="12"/>
      <c r="E178" s="12"/>
      <c r="F178" s="12"/>
      <c r="G178" s="23"/>
      <c r="H178" s="23"/>
      <c r="I178" s="24"/>
      <c r="J178" s="24"/>
      <c r="K178" s="23"/>
      <c r="L178" s="23"/>
      <c r="M178" s="23"/>
      <c r="N178" s="23"/>
      <c r="O178" s="12"/>
      <c r="P178" s="12"/>
      <c r="Q178" s="12"/>
      <c r="R178" s="12"/>
      <c r="S178" s="12"/>
    </row>
    <row r="179" ht="16.5" spans="1:19">
      <c r="A179" s="22"/>
      <c r="B179" s="12"/>
      <c r="C179" s="12"/>
      <c r="D179" s="12"/>
      <c r="E179" s="12"/>
      <c r="F179" s="12"/>
      <c r="G179" s="23"/>
      <c r="H179" s="23"/>
      <c r="I179" s="24"/>
      <c r="J179" s="24"/>
      <c r="K179" s="23"/>
      <c r="L179" s="23"/>
      <c r="M179" s="23"/>
      <c r="N179" s="23"/>
      <c r="O179" s="12"/>
      <c r="P179" s="12"/>
      <c r="Q179" s="12"/>
      <c r="R179" s="12"/>
      <c r="S179" s="12"/>
    </row>
    <row r="180" ht="16.5" spans="1:19">
      <c r="A180" s="22"/>
      <c r="B180" s="12"/>
      <c r="C180" s="12"/>
      <c r="D180" s="12"/>
      <c r="E180" s="12"/>
      <c r="F180" s="12"/>
      <c r="G180" s="23"/>
      <c r="H180" s="23"/>
      <c r="I180" s="24"/>
      <c r="J180" s="24"/>
      <c r="K180" s="23"/>
      <c r="L180" s="23"/>
      <c r="M180" s="23"/>
      <c r="N180" s="23"/>
      <c r="O180" s="12"/>
      <c r="P180" s="12"/>
      <c r="Q180" s="12"/>
      <c r="R180" s="12"/>
      <c r="S180" s="12"/>
    </row>
    <row r="181" ht="16.5" spans="1:19">
      <c r="A181" s="22"/>
      <c r="B181" s="12"/>
      <c r="C181" s="12"/>
      <c r="D181" s="12"/>
      <c r="E181" s="12"/>
      <c r="F181" s="12"/>
      <c r="G181" s="23"/>
      <c r="H181" s="23"/>
      <c r="I181" s="24"/>
      <c r="J181" s="24"/>
      <c r="K181" s="23"/>
      <c r="L181" s="23"/>
      <c r="M181" s="23"/>
      <c r="N181" s="23"/>
      <c r="O181" s="12"/>
      <c r="P181" s="12"/>
      <c r="Q181" s="12"/>
      <c r="R181" s="12"/>
      <c r="S181" s="12"/>
    </row>
    <row r="182" ht="16.5" spans="1:19">
      <c r="A182" s="22"/>
      <c r="B182" s="12"/>
      <c r="C182" s="12"/>
      <c r="D182" s="12"/>
      <c r="E182" s="12"/>
      <c r="F182" s="12"/>
      <c r="G182" s="23"/>
      <c r="H182" s="23"/>
      <c r="I182" s="24"/>
      <c r="J182" s="24"/>
      <c r="K182" s="23"/>
      <c r="L182" s="23"/>
      <c r="M182" s="23"/>
      <c r="N182" s="23"/>
      <c r="O182" s="12"/>
      <c r="P182" s="12"/>
      <c r="Q182" s="12"/>
      <c r="R182" s="12"/>
      <c r="S182" s="12"/>
    </row>
    <row r="183" ht="16.5" spans="1:19">
      <c r="A183" s="22"/>
      <c r="B183" s="12"/>
      <c r="C183" s="12"/>
      <c r="D183" s="12"/>
      <c r="E183" s="12"/>
      <c r="F183" s="12"/>
      <c r="G183" s="23"/>
      <c r="H183" s="23"/>
      <c r="I183" s="24"/>
      <c r="J183" s="24"/>
      <c r="K183" s="23"/>
      <c r="L183" s="23"/>
      <c r="M183" s="23"/>
      <c r="N183" s="23"/>
      <c r="O183" s="12"/>
      <c r="P183" s="12"/>
      <c r="Q183" s="12"/>
      <c r="R183" s="12"/>
      <c r="S183" s="12"/>
    </row>
    <row r="184" ht="16.5" spans="1:19">
      <c r="A184" s="22"/>
      <c r="B184" s="12"/>
      <c r="C184" s="12"/>
      <c r="D184" s="12"/>
      <c r="E184" s="12"/>
      <c r="F184" s="12"/>
      <c r="G184" s="23"/>
      <c r="H184" s="23"/>
      <c r="I184" s="24"/>
      <c r="J184" s="24"/>
      <c r="K184" s="23"/>
      <c r="L184" s="23"/>
      <c r="M184" s="23"/>
      <c r="N184" s="23"/>
      <c r="O184" s="12"/>
      <c r="P184" s="12"/>
      <c r="Q184" s="12"/>
      <c r="R184" s="12"/>
      <c r="S184" s="12"/>
    </row>
    <row r="185" ht="16.5" spans="1:19">
      <c r="A185" s="22"/>
      <c r="B185" s="12"/>
      <c r="C185" s="12"/>
      <c r="D185" s="12"/>
      <c r="E185" s="12"/>
      <c r="F185" s="12"/>
      <c r="G185" s="23"/>
      <c r="H185" s="23"/>
      <c r="I185" s="24"/>
      <c r="J185" s="24"/>
      <c r="K185" s="23"/>
      <c r="L185" s="23"/>
      <c r="M185" s="23"/>
      <c r="N185" s="23"/>
      <c r="O185" s="12"/>
      <c r="P185" s="12"/>
      <c r="Q185" s="12"/>
      <c r="R185" s="12"/>
      <c r="S185" s="12"/>
    </row>
    <row r="186" ht="16.5" spans="1:19">
      <c r="A186" s="22"/>
      <c r="B186" s="12"/>
      <c r="C186" s="12"/>
      <c r="D186" s="12"/>
      <c r="E186" s="12"/>
      <c r="F186" s="12"/>
      <c r="G186" s="23"/>
      <c r="H186" s="23"/>
      <c r="I186" s="24"/>
      <c r="J186" s="24"/>
      <c r="K186" s="23"/>
      <c r="L186" s="23"/>
      <c r="M186" s="23"/>
      <c r="N186" s="23"/>
      <c r="O186" s="12"/>
      <c r="P186" s="12"/>
      <c r="Q186" s="12"/>
      <c r="R186" s="12"/>
      <c r="S186" s="12"/>
    </row>
    <row r="187" ht="16.5" spans="1:19">
      <c r="A187" s="22"/>
      <c r="B187" s="12"/>
      <c r="C187" s="12"/>
      <c r="D187" s="12"/>
      <c r="E187" s="12"/>
      <c r="F187" s="12"/>
      <c r="G187" s="23"/>
      <c r="H187" s="23"/>
      <c r="I187" s="24"/>
      <c r="J187" s="24"/>
      <c r="K187" s="23"/>
      <c r="L187" s="23"/>
      <c r="M187" s="23"/>
      <c r="N187" s="23"/>
      <c r="O187" s="12"/>
      <c r="P187" s="12"/>
      <c r="Q187" s="12"/>
      <c r="R187" s="12"/>
      <c r="S187" s="12"/>
    </row>
    <row r="188" ht="16.5" spans="1:19">
      <c r="A188" s="22"/>
      <c r="B188" s="12"/>
      <c r="C188" s="12"/>
      <c r="D188" s="12"/>
      <c r="E188" s="12"/>
      <c r="F188" s="12"/>
      <c r="G188" s="23"/>
      <c r="H188" s="23"/>
      <c r="I188" s="24"/>
      <c r="J188" s="24"/>
      <c r="K188" s="23"/>
      <c r="L188" s="23"/>
      <c r="M188" s="23"/>
      <c r="N188" s="23"/>
      <c r="O188" s="12"/>
      <c r="P188" s="12"/>
      <c r="Q188" s="12"/>
      <c r="R188" s="12"/>
      <c r="S188" s="12"/>
    </row>
    <row r="189" ht="16.5" spans="1:19">
      <c r="A189" s="22"/>
      <c r="B189" s="12"/>
      <c r="C189" s="12"/>
      <c r="D189" s="12"/>
      <c r="E189" s="12"/>
      <c r="F189" s="12"/>
      <c r="G189" s="23"/>
      <c r="H189" s="23"/>
      <c r="I189" s="24"/>
      <c r="J189" s="24"/>
      <c r="K189" s="23"/>
      <c r="L189" s="23"/>
      <c r="M189" s="23"/>
      <c r="N189" s="23"/>
      <c r="O189" s="12"/>
      <c r="P189" s="12"/>
      <c r="Q189" s="12"/>
      <c r="R189" s="12"/>
      <c r="S189" s="12"/>
    </row>
    <row r="190" ht="16.5" spans="1:19">
      <c r="A190" s="22"/>
      <c r="B190" s="12"/>
      <c r="C190" s="12"/>
      <c r="D190" s="12"/>
      <c r="E190" s="12"/>
      <c r="F190" s="12"/>
      <c r="G190" s="23"/>
      <c r="H190" s="23"/>
      <c r="I190" s="24"/>
      <c r="J190" s="24"/>
      <c r="K190" s="23"/>
      <c r="L190" s="23"/>
      <c r="M190" s="23"/>
      <c r="N190" s="23"/>
      <c r="O190" s="12"/>
      <c r="P190" s="12"/>
      <c r="Q190" s="12"/>
      <c r="R190" s="12"/>
      <c r="S190" s="12"/>
    </row>
    <row r="191" ht="16.5" spans="1:19">
      <c r="A191" s="22"/>
      <c r="B191" s="12"/>
      <c r="C191" s="12"/>
      <c r="D191" s="12"/>
      <c r="E191" s="12"/>
      <c r="F191" s="12"/>
      <c r="G191" s="23"/>
      <c r="H191" s="23"/>
      <c r="I191" s="24"/>
      <c r="J191" s="24"/>
      <c r="K191" s="23"/>
      <c r="L191" s="23"/>
      <c r="M191" s="23"/>
      <c r="N191" s="23"/>
      <c r="O191" s="12"/>
      <c r="P191" s="12"/>
      <c r="Q191" s="12"/>
      <c r="R191" s="12"/>
      <c r="S191" s="12"/>
    </row>
    <row r="192" ht="16.5" spans="1:19">
      <c r="A192" s="22"/>
      <c r="B192" s="12"/>
      <c r="C192" s="12"/>
      <c r="D192" s="12"/>
      <c r="E192" s="12"/>
      <c r="F192" s="12"/>
      <c r="G192" s="23"/>
      <c r="H192" s="23"/>
      <c r="I192" s="24"/>
      <c r="J192" s="24"/>
      <c r="K192" s="23"/>
      <c r="L192" s="23"/>
      <c r="M192" s="23"/>
      <c r="N192" s="23"/>
      <c r="O192" s="12"/>
      <c r="P192" s="12"/>
      <c r="Q192" s="12"/>
      <c r="R192" s="12"/>
      <c r="S192" s="12"/>
    </row>
    <row r="193" ht="16.5" spans="1:19">
      <c r="A193" s="22"/>
      <c r="B193" s="12"/>
      <c r="C193" s="12"/>
      <c r="D193" s="12"/>
      <c r="E193" s="12"/>
      <c r="F193" s="12"/>
      <c r="G193" s="23"/>
      <c r="H193" s="23"/>
      <c r="I193" s="24"/>
      <c r="J193" s="24"/>
      <c r="K193" s="23"/>
      <c r="L193" s="23"/>
      <c r="M193" s="23"/>
      <c r="N193" s="23"/>
      <c r="O193" s="12"/>
      <c r="P193" s="12"/>
      <c r="Q193" s="12"/>
      <c r="R193" s="12"/>
      <c r="S193" s="12"/>
    </row>
    <row r="194" ht="16.5" spans="1:19">
      <c r="A194" s="22"/>
      <c r="B194" s="12"/>
      <c r="C194" s="12"/>
      <c r="D194" s="12"/>
      <c r="E194" s="12"/>
      <c r="F194" s="12"/>
      <c r="G194" s="23"/>
      <c r="H194" s="23"/>
      <c r="I194" s="24"/>
      <c r="J194" s="24"/>
      <c r="K194" s="23"/>
      <c r="L194" s="23"/>
      <c r="M194" s="23"/>
      <c r="N194" s="23"/>
      <c r="O194" s="12"/>
      <c r="P194" s="12"/>
      <c r="Q194" s="12"/>
      <c r="R194" s="12"/>
      <c r="S194" s="12"/>
    </row>
    <row r="195" ht="16.5" spans="1:19">
      <c r="A195" s="22"/>
      <c r="B195" s="12"/>
      <c r="C195" s="12"/>
      <c r="D195" s="12"/>
      <c r="E195" s="12"/>
      <c r="F195" s="12"/>
      <c r="G195" s="23"/>
      <c r="H195" s="23"/>
      <c r="I195" s="24"/>
      <c r="J195" s="24"/>
      <c r="K195" s="23"/>
      <c r="L195" s="23"/>
      <c r="M195" s="23"/>
      <c r="N195" s="23"/>
      <c r="O195" s="12"/>
      <c r="P195" s="12"/>
      <c r="Q195" s="12"/>
      <c r="R195" s="12"/>
      <c r="S195" s="12"/>
    </row>
    <row r="196" ht="16.5" spans="1:19">
      <c r="A196" s="22"/>
      <c r="B196" s="12"/>
      <c r="C196" s="12"/>
      <c r="D196" s="12"/>
      <c r="E196" s="12"/>
      <c r="F196" s="12"/>
      <c r="G196" s="23"/>
      <c r="H196" s="23"/>
      <c r="I196" s="24"/>
      <c r="J196" s="24"/>
      <c r="K196" s="23"/>
      <c r="L196" s="23"/>
      <c r="M196" s="23"/>
      <c r="N196" s="23"/>
      <c r="O196" s="12"/>
      <c r="P196" s="12"/>
      <c r="Q196" s="12"/>
      <c r="R196" s="12"/>
      <c r="S196" s="12"/>
    </row>
    <row r="197" ht="16.5" spans="1:19">
      <c r="A197" s="22"/>
      <c r="B197" s="12"/>
      <c r="C197" s="12"/>
      <c r="D197" s="12"/>
      <c r="E197" s="12"/>
      <c r="F197" s="12"/>
      <c r="G197" s="23"/>
      <c r="H197" s="23"/>
      <c r="I197" s="24"/>
      <c r="J197" s="24"/>
      <c r="K197" s="23"/>
      <c r="L197" s="23"/>
      <c r="M197" s="23"/>
      <c r="N197" s="23"/>
      <c r="O197" s="12"/>
      <c r="P197" s="12"/>
      <c r="Q197" s="12"/>
      <c r="R197" s="12"/>
      <c r="S197" s="12"/>
    </row>
    <row r="198" ht="16.5" spans="1:19">
      <c r="A198" s="22"/>
      <c r="B198" s="12"/>
      <c r="C198" s="12"/>
      <c r="D198" s="12"/>
      <c r="E198" s="12"/>
      <c r="F198" s="12"/>
      <c r="G198" s="23"/>
      <c r="H198" s="23"/>
      <c r="I198" s="24"/>
      <c r="J198" s="24"/>
      <c r="K198" s="23"/>
      <c r="L198" s="23"/>
      <c r="M198" s="23"/>
      <c r="N198" s="23"/>
      <c r="O198" s="12"/>
      <c r="P198" s="12"/>
      <c r="Q198" s="12"/>
      <c r="R198" s="12"/>
      <c r="S198" s="12"/>
    </row>
    <row r="199" ht="16.5" spans="1:19">
      <c r="A199" s="22"/>
      <c r="B199" s="12"/>
      <c r="C199" s="12"/>
      <c r="D199" s="12"/>
      <c r="E199" s="12"/>
      <c r="F199" s="12"/>
      <c r="G199" s="23"/>
      <c r="H199" s="23"/>
      <c r="I199" s="24"/>
      <c r="J199" s="24"/>
      <c r="K199" s="23"/>
      <c r="L199" s="23"/>
      <c r="M199" s="23"/>
      <c r="N199" s="23"/>
      <c r="O199" s="12"/>
      <c r="P199" s="12"/>
      <c r="Q199" s="12"/>
      <c r="R199" s="12"/>
      <c r="S199" s="12"/>
    </row>
    <row r="200" ht="16.5" spans="1:19">
      <c r="A200" s="22"/>
      <c r="B200" s="12"/>
      <c r="C200" s="12"/>
      <c r="D200" s="12"/>
      <c r="E200" s="12"/>
      <c r="F200" s="12"/>
      <c r="G200" s="23"/>
      <c r="H200" s="23"/>
      <c r="I200" s="24"/>
      <c r="J200" s="24"/>
      <c r="K200" s="23"/>
      <c r="L200" s="23"/>
      <c r="M200" s="23"/>
      <c r="N200" s="23"/>
      <c r="O200" s="12"/>
      <c r="P200" s="12"/>
      <c r="Q200" s="12"/>
      <c r="R200" s="12"/>
      <c r="S200" s="12"/>
    </row>
    <row r="201" ht="16.5" spans="1:19">
      <c r="A201" s="22"/>
      <c r="B201" s="12"/>
      <c r="C201" s="12"/>
      <c r="D201" s="12"/>
      <c r="E201" s="12"/>
      <c r="F201" s="12"/>
      <c r="G201" s="23"/>
      <c r="H201" s="23"/>
      <c r="I201" s="24"/>
      <c r="J201" s="24"/>
      <c r="K201" s="23"/>
      <c r="L201" s="23"/>
      <c r="M201" s="23"/>
      <c r="N201" s="23"/>
      <c r="O201" s="12"/>
      <c r="P201" s="12"/>
      <c r="Q201" s="12"/>
      <c r="R201" s="12"/>
      <c r="S201" s="12"/>
    </row>
    <row r="202" ht="16.5" spans="1:19">
      <c r="A202" s="22"/>
      <c r="B202" s="12"/>
      <c r="C202" s="12"/>
      <c r="D202" s="12"/>
      <c r="E202" s="12"/>
      <c r="F202" s="12"/>
      <c r="G202" s="23"/>
      <c r="H202" s="23"/>
      <c r="I202" s="24"/>
      <c r="J202" s="24"/>
      <c r="K202" s="23"/>
      <c r="L202" s="23"/>
      <c r="M202" s="23"/>
      <c r="N202" s="23"/>
      <c r="O202" s="12"/>
      <c r="P202" s="12"/>
      <c r="Q202" s="12"/>
      <c r="R202" s="12"/>
      <c r="S202" s="12"/>
    </row>
    <row r="203" ht="16.5" spans="1:19">
      <c r="A203" s="22"/>
      <c r="B203" s="12"/>
      <c r="C203" s="12"/>
      <c r="D203" s="12"/>
      <c r="E203" s="12"/>
      <c r="F203" s="12"/>
      <c r="G203" s="23"/>
      <c r="H203" s="23"/>
      <c r="I203" s="24"/>
      <c r="J203" s="24"/>
      <c r="K203" s="23"/>
      <c r="L203" s="23"/>
      <c r="M203" s="23"/>
      <c r="N203" s="23"/>
      <c r="O203" s="12"/>
      <c r="P203" s="12"/>
      <c r="Q203" s="12"/>
      <c r="R203" s="12"/>
      <c r="S203" s="12"/>
    </row>
    <row r="204" ht="16.5" spans="1:19">
      <c r="A204" s="22"/>
      <c r="B204" s="12"/>
      <c r="C204" s="12"/>
      <c r="D204" s="12"/>
      <c r="E204" s="12"/>
      <c r="F204" s="12"/>
      <c r="G204" s="23"/>
      <c r="H204" s="23"/>
      <c r="I204" s="24"/>
      <c r="J204" s="24"/>
      <c r="K204" s="23"/>
      <c r="L204" s="23"/>
      <c r="M204" s="23"/>
      <c r="N204" s="23"/>
      <c r="O204" s="12"/>
      <c r="P204" s="12"/>
      <c r="Q204" s="12"/>
      <c r="R204" s="12"/>
      <c r="S204" s="12"/>
    </row>
    <row r="205" ht="16.5" spans="1:19">
      <c r="A205" s="22"/>
      <c r="B205" s="12"/>
      <c r="C205" s="12"/>
      <c r="D205" s="12"/>
      <c r="E205" s="12"/>
      <c r="F205" s="12"/>
      <c r="G205" s="23"/>
      <c r="H205" s="23"/>
      <c r="I205" s="24"/>
      <c r="J205" s="24"/>
      <c r="K205" s="23"/>
      <c r="L205" s="23"/>
      <c r="M205" s="23"/>
      <c r="N205" s="23"/>
      <c r="O205" s="12"/>
      <c r="P205" s="12"/>
      <c r="Q205" s="12"/>
      <c r="R205" s="12"/>
      <c r="S205" s="12"/>
    </row>
    <row r="206" ht="16.5" spans="1:19">
      <c r="A206" s="22"/>
      <c r="B206" s="12"/>
      <c r="C206" s="12"/>
      <c r="D206" s="12"/>
      <c r="E206" s="12"/>
      <c r="F206" s="12"/>
      <c r="G206" s="23"/>
      <c r="H206" s="23"/>
      <c r="I206" s="24"/>
      <c r="J206" s="24"/>
      <c r="K206" s="23"/>
      <c r="L206" s="23"/>
      <c r="M206" s="23"/>
      <c r="N206" s="23"/>
      <c r="O206" s="12"/>
      <c r="P206" s="12"/>
      <c r="Q206" s="12"/>
      <c r="R206" s="12"/>
      <c r="S206" s="12"/>
    </row>
    <row r="207" ht="16.5" spans="1:19">
      <c r="A207" s="22"/>
      <c r="B207" s="12"/>
      <c r="C207" s="12"/>
      <c r="D207" s="12"/>
      <c r="E207" s="12"/>
      <c r="F207" s="12"/>
      <c r="G207" s="23"/>
      <c r="H207" s="23"/>
      <c r="I207" s="24"/>
      <c r="J207" s="24"/>
      <c r="K207" s="23"/>
      <c r="L207" s="23"/>
      <c r="M207" s="23"/>
      <c r="N207" s="23"/>
      <c r="O207" s="12"/>
      <c r="P207" s="12"/>
      <c r="Q207" s="12"/>
      <c r="R207" s="12"/>
      <c r="S207" s="12"/>
    </row>
    <row r="208" ht="16.5" spans="1:19">
      <c r="A208" s="22"/>
      <c r="B208" s="12"/>
      <c r="C208" s="12"/>
      <c r="D208" s="12"/>
      <c r="E208" s="12"/>
      <c r="F208" s="12"/>
      <c r="G208" s="23"/>
      <c r="H208" s="23"/>
      <c r="I208" s="24"/>
      <c r="J208" s="24"/>
      <c r="K208" s="23"/>
      <c r="L208" s="23"/>
      <c r="M208" s="23"/>
      <c r="N208" s="23"/>
      <c r="O208" s="12"/>
      <c r="P208" s="12"/>
      <c r="Q208" s="12"/>
      <c r="R208" s="12"/>
      <c r="S208" s="12"/>
    </row>
    <row r="209" ht="16.5" spans="1:19">
      <c r="A209" s="22"/>
      <c r="B209" s="12"/>
      <c r="C209" s="12"/>
      <c r="D209" s="12"/>
      <c r="E209" s="12"/>
      <c r="F209" s="12"/>
      <c r="G209" s="23"/>
      <c r="H209" s="23"/>
      <c r="I209" s="24"/>
      <c r="J209" s="24"/>
      <c r="K209" s="23"/>
      <c r="L209" s="23"/>
      <c r="M209" s="23"/>
      <c r="N209" s="23"/>
      <c r="O209" s="12"/>
      <c r="P209" s="12"/>
      <c r="Q209" s="12"/>
      <c r="R209" s="12"/>
      <c r="S209" s="12"/>
    </row>
    <row r="210" ht="16.5" spans="1:19">
      <c r="A210" s="22"/>
      <c r="B210" s="12"/>
      <c r="C210" s="12"/>
      <c r="D210" s="12"/>
      <c r="E210" s="12"/>
      <c r="F210" s="12"/>
      <c r="G210" s="23"/>
      <c r="H210" s="23"/>
      <c r="I210" s="24"/>
      <c r="J210" s="24"/>
      <c r="K210" s="23"/>
      <c r="L210" s="23"/>
      <c r="M210" s="23"/>
      <c r="N210" s="23"/>
      <c r="O210" s="12"/>
      <c r="P210" s="12"/>
      <c r="Q210" s="12"/>
      <c r="R210" s="12"/>
      <c r="S210" s="12"/>
    </row>
    <row r="211" ht="16.5" spans="1:19">
      <c r="A211" s="22"/>
      <c r="B211" s="12"/>
      <c r="C211" s="12"/>
      <c r="D211" s="12"/>
      <c r="E211" s="12"/>
      <c r="F211" s="12"/>
      <c r="G211" s="23"/>
      <c r="H211" s="23"/>
      <c r="I211" s="24"/>
      <c r="J211" s="24"/>
      <c r="K211" s="23"/>
      <c r="L211" s="23"/>
      <c r="M211" s="23"/>
      <c r="N211" s="23"/>
      <c r="O211" s="12"/>
      <c r="P211" s="12"/>
      <c r="Q211" s="12"/>
      <c r="R211" s="12"/>
      <c r="S211" s="12"/>
    </row>
    <row r="212" ht="16.5" spans="1:19">
      <c r="A212" s="22"/>
      <c r="B212" s="12"/>
      <c r="C212" s="12"/>
      <c r="D212" s="12"/>
      <c r="E212" s="12"/>
      <c r="F212" s="12"/>
      <c r="G212" s="23"/>
      <c r="H212" s="23"/>
      <c r="I212" s="24"/>
      <c r="J212" s="24"/>
      <c r="K212" s="23"/>
      <c r="L212" s="23"/>
      <c r="M212" s="23"/>
      <c r="N212" s="23"/>
      <c r="O212" s="12"/>
      <c r="P212" s="12"/>
      <c r="Q212" s="12"/>
      <c r="R212" s="12"/>
      <c r="S212" s="12"/>
    </row>
    <row r="213" ht="16.5" spans="1:19">
      <c r="A213" s="22"/>
      <c r="B213" s="12"/>
      <c r="C213" s="12"/>
      <c r="D213" s="12"/>
      <c r="E213" s="12"/>
      <c r="F213" s="12"/>
      <c r="G213" s="23"/>
      <c r="H213" s="23"/>
      <c r="I213" s="24"/>
      <c r="J213" s="24"/>
      <c r="K213" s="23"/>
      <c r="L213" s="23"/>
      <c r="M213" s="23"/>
      <c r="N213" s="23"/>
      <c r="O213" s="12"/>
      <c r="P213" s="12"/>
      <c r="Q213" s="12"/>
      <c r="R213" s="12"/>
      <c r="S213" s="12"/>
    </row>
    <row r="214" ht="16.5" spans="1:19">
      <c r="A214" s="22"/>
      <c r="B214" s="12"/>
      <c r="C214" s="12"/>
      <c r="D214" s="12"/>
      <c r="E214" s="12"/>
      <c r="F214" s="12"/>
      <c r="G214" s="23"/>
      <c r="H214" s="23"/>
      <c r="I214" s="24"/>
      <c r="J214" s="24"/>
      <c r="K214" s="23"/>
      <c r="L214" s="23"/>
      <c r="M214" s="23"/>
      <c r="N214" s="23"/>
      <c r="O214" s="12"/>
      <c r="P214" s="12"/>
      <c r="Q214" s="12"/>
      <c r="R214" s="12"/>
      <c r="S214" s="12"/>
    </row>
    <row r="215" ht="16.5" spans="1:19">
      <c r="A215" s="22"/>
      <c r="B215" s="12"/>
      <c r="C215" s="12"/>
      <c r="D215" s="12"/>
      <c r="E215" s="12"/>
      <c r="F215" s="12"/>
      <c r="G215" s="23"/>
      <c r="H215" s="23"/>
      <c r="I215" s="24"/>
      <c r="J215" s="24"/>
      <c r="K215" s="23"/>
      <c r="L215" s="23"/>
      <c r="M215" s="23"/>
      <c r="N215" s="23"/>
      <c r="O215" s="12"/>
      <c r="P215" s="12"/>
      <c r="Q215" s="12"/>
      <c r="R215" s="12"/>
      <c r="S215" s="12"/>
    </row>
    <row r="216" ht="16.5" spans="1:19">
      <c r="A216" s="22"/>
      <c r="B216" s="12"/>
      <c r="C216" s="12"/>
      <c r="D216" s="12"/>
      <c r="E216" s="12"/>
      <c r="F216" s="12"/>
      <c r="G216" s="23"/>
      <c r="H216" s="23"/>
      <c r="I216" s="24"/>
      <c r="J216" s="24"/>
      <c r="K216" s="23"/>
      <c r="L216" s="23"/>
      <c r="M216" s="23"/>
      <c r="N216" s="23"/>
      <c r="O216" s="12"/>
      <c r="P216" s="12"/>
      <c r="Q216" s="12"/>
      <c r="R216" s="12"/>
      <c r="S216" s="12"/>
    </row>
    <row r="217" ht="16.5" spans="1:19">
      <c r="A217" s="22"/>
      <c r="B217" s="12"/>
      <c r="C217" s="12"/>
      <c r="D217" s="12"/>
      <c r="E217" s="12"/>
      <c r="F217" s="12"/>
      <c r="G217" s="23"/>
      <c r="H217" s="23"/>
      <c r="I217" s="24"/>
      <c r="J217" s="24"/>
      <c r="K217" s="23"/>
      <c r="L217" s="23"/>
      <c r="M217" s="23"/>
      <c r="N217" s="23"/>
      <c r="O217" s="12"/>
      <c r="P217" s="12"/>
      <c r="Q217" s="12"/>
      <c r="R217" s="12"/>
      <c r="S217" s="12"/>
    </row>
    <row r="218" ht="16.5" spans="1:19">
      <c r="A218" s="22"/>
      <c r="B218" s="12"/>
      <c r="C218" s="12"/>
      <c r="D218" s="12"/>
      <c r="E218" s="12"/>
      <c r="F218" s="12"/>
      <c r="G218" s="23"/>
      <c r="H218" s="23"/>
      <c r="I218" s="24"/>
      <c r="J218" s="24"/>
      <c r="K218" s="23"/>
      <c r="L218" s="23"/>
      <c r="M218" s="23"/>
      <c r="N218" s="23"/>
      <c r="O218" s="12"/>
      <c r="P218" s="12"/>
      <c r="Q218" s="12"/>
      <c r="R218" s="12"/>
      <c r="S218" s="12"/>
    </row>
    <row r="219" ht="16.5" spans="1:19">
      <c r="A219" s="22"/>
      <c r="B219" s="12"/>
      <c r="C219" s="12"/>
      <c r="D219" s="12"/>
      <c r="E219" s="12"/>
      <c r="F219" s="12"/>
      <c r="G219" s="23"/>
      <c r="H219" s="23"/>
      <c r="I219" s="24"/>
      <c r="J219" s="24"/>
      <c r="K219" s="23"/>
      <c r="L219" s="23"/>
      <c r="M219" s="23"/>
      <c r="N219" s="23"/>
      <c r="O219" s="12"/>
      <c r="P219" s="12"/>
      <c r="Q219" s="12"/>
      <c r="R219" s="12"/>
      <c r="S219" s="12"/>
    </row>
    <row r="220" ht="16.5" spans="1:19">
      <c r="A220" s="22"/>
      <c r="B220" s="12"/>
      <c r="C220" s="12"/>
      <c r="D220" s="12"/>
      <c r="E220" s="12"/>
      <c r="F220" s="12"/>
      <c r="G220" s="23"/>
      <c r="H220" s="23"/>
      <c r="I220" s="24"/>
      <c r="J220" s="24"/>
      <c r="K220" s="23"/>
      <c r="L220" s="23"/>
      <c r="M220" s="23"/>
      <c r="N220" s="23"/>
      <c r="O220" s="12"/>
      <c r="P220" s="12"/>
      <c r="Q220" s="12"/>
      <c r="R220" s="12"/>
      <c r="S220" s="12"/>
    </row>
    <row r="221" ht="16.5" spans="1:19">
      <c r="A221" s="22"/>
      <c r="B221" s="12"/>
      <c r="C221" s="12"/>
      <c r="D221" s="12"/>
      <c r="E221" s="12"/>
      <c r="F221" s="12"/>
      <c r="G221" s="23"/>
      <c r="H221" s="23"/>
      <c r="I221" s="24"/>
      <c r="J221" s="24"/>
      <c r="K221" s="23"/>
      <c r="L221" s="23"/>
      <c r="M221" s="23"/>
      <c r="N221" s="23"/>
      <c r="O221" s="12"/>
      <c r="P221" s="12"/>
      <c r="Q221" s="12"/>
      <c r="R221" s="12"/>
      <c r="S221" s="12"/>
    </row>
    <row r="222" ht="16.5" spans="1:19">
      <c r="A222" s="22"/>
      <c r="B222" s="12"/>
      <c r="C222" s="12"/>
      <c r="D222" s="12"/>
      <c r="E222" s="12"/>
      <c r="F222" s="12"/>
      <c r="G222" s="23"/>
      <c r="H222" s="23"/>
      <c r="I222" s="24"/>
      <c r="J222" s="24"/>
      <c r="K222" s="23"/>
      <c r="L222" s="23"/>
      <c r="M222" s="23"/>
      <c r="N222" s="23"/>
      <c r="O222" s="12"/>
      <c r="P222" s="12"/>
      <c r="Q222" s="12"/>
      <c r="R222" s="12"/>
      <c r="S222" s="12"/>
    </row>
    <row r="223" ht="16.5" spans="1:19">
      <c r="A223" s="22"/>
      <c r="B223" s="12"/>
      <c r="C223" s="12"/>
      <c r="D223" s="12"/>
      <c r="E223" s="12"/>
      <c r="F223" s="12"/>
      <c r="G223" s="23"/>
      <c r="H223" s="23"/>
      <c r="I223" s="24"/>
      <c r="J223" s="24"/>
      <c r="K223" s="23"/>
      <c r="L223" s="23"/>
      <c r="M223" s="23"/>
      <c r="N223" s="23"/>
      <c r="O223" s="12"/>
      <c r="P223" s="12"/>
      <c r="Q223" s="12"/>
      <c r="R223" s="12"/>
      <c r="S223" s="12"/>
    </row>
    <row r="224" ht="16.5" spans="1:19">
      <c r="A224" s="22"/>
      <c r="B224" s="12"/>
      <c r="C224" s="12"/>
      <c r="D224" s="12"/>
      <c r="E224" s="12"/>
      <c r="F224" s="12"/>
      <c r="G224" s="23"/>
      <c r="H224" s="23"/>
      <c r="I224" s="24"/>
      <c r="J224" s="24"/>
      <c r="K224" s="23"/>
      <c r="L224" s="23"/>
      <c r="M224" s="23"/>
      <c r="N224" s="23"/>
      <c r="O224" s="12"/>
      <c r="P224" s="12"/>
      <c r="Q224" s="12"/>
      <c r="R224" s="12"/>
      <c r="S224" s="12"/>
    </row>
    <row r="225" ht="16.5" spans="1:19">
      <c r="A225" s="22"/>
      <c r="B225" s="12"/>
      <c r="C225" s="12"/>
      <c r="D225" s="12"/>
      <c r="E225" s="12"/>
      <c r="F225" s="12"/>
      <c r="G225" s="23"/>
      <c r="H225" s="23"/>
      <c r="I225" s="24"/>
      <c r="J225" s="24"/>
      <c r="K225" s="23"/>
      <c r="L225" s="23"/>
      <c r="M225" s="23"/>
      <c r="N225" s="23"/>
      <c r="O225" s="12"/>
      <c r="P225" s="12"/>
      <c r="Q225" s="12"/>
      <c r="R225" s="12"/>
      <c r="S225" s="12"/>
    </row>
    <row r="226" ht="16.5" spans="1:19">
      <c r="A226" s="22"/>
      <c r="B226" s="12"/>
      <c r="C226" s="12"/>
      <c r="D226" s="12"/>
      <c r="E226" s="12"/>
      <c r="F226" s="12"/>
      <c r="G226" s="23"/>
      <c r="H226" s="23"/>
      <c r="I226" s="24"/>
      <c r="J226" s="24"/>
      <c r="K226" s="23"/>
      <c r="L226" s="23"/>
      <c r="M226" s="23"/>
      <c r="N226" s="23"/>
      <c r="O226" s="12"/>
      <c r="P226" s="12"/>
      <c r="Q226" s="12"/>
      <c r="R226" s="12"/>
      <c r="S226" s="12"/>
    </row>
    <row r="227" ht="16.5" spans="1:19">
      <c r="A227" s="22"/>
      <c r="B227" s="12"/>
      <c r="C227" s="12"/>
      <c r="D227" s="12"/>
      <c r="E227" s="12"/>
      <c r="F227" s="12"/>
      <c r="G227" s="23"/>
      <c r="H227" s="23"/>
      <c r="I227" s="24"/>
      <c r="J227" s="24"/>
      <c r="K227" s="23"/>
      <c r="L227" s="23"/>
      <c r="M227" s="23"/>
      <c r="N227" s="23"/>
      <c r="O227" s="12"/>
      <c r="P227" s="12"/>
      <c r="Q227" s="12"/>
      <c r="R227" s="12"/>
      <c r="S227" s="12"/>
    </row>
    <row r="228" ht="16.5" spans="1:19">
      <c r="A228" s="22"/>
      <c r="B228" s="12"/>
      <c r="C228" s="12"/>
      <c r="D228" s="12"/>
      <c r="E228" s="12"/>
      <c r="F228" s="12"/>
      <c r="G228" s="23"/>
      <c r="H228" s="23"/>
      <c r="I228" s="24"/>
      <c r="J228" s="24"/>
      <c r="K228" s="23"/>
      <c r="L228" s="23"/>
      <c r="M228" s="23"/>
      <c r="N228" s="23"/>
      <c r="O228" s="12"/>
      <c r="P228" s="12"/>
      <c r="Q228" s="12"/>
      <c r="R228" s="12"/>
      <c r="S228" s="12"/>
    </row>
    <row r="229" ht="16.5" spans="1:19">
      <c r="A229" s="22"/>
      <c r="B229" s="12"/>
      <c r="C229" s="12"/>
      <c r="D229" s="12"/>
      <c r="E229" s="12"/>
      <c r="F229" s="12"/>
      <c r="G229" s="23"/>
      <c r="H229" s="23"/>
      <c r="I229" s="24"/>
      <c r="J229" s="24"/>
      <c r="K229" s="23"/>
      <c r="L229" s="23"/>
      <c r="M229" s="23"/>
      <c r="N229" s="23"/>
      <c r="O229" s="12"/>
      <c r="P229" s="12"/>
      <c r="Q229" s="12"/>
      <c r="R229" s="12"/>
      <c r="S229" s="12"/>
    </row>
    <row r="230" ht="16.5" spans="1:19">
      <c r="A230" s="22"/>
      <c r="B230" s="12"/>
      <c r="C230" s="12"/>
      <c r="D230" s="12"/>
      <c r="E230" s="12"/>
      <c r="F230" s="12"/>
      <c r="G230" s="23"/>
      <c r="H230" s="23"/>
      <c r="I230" s="24"/>
      <c r="J230" s="24"/>
      <c r="K230" s="23"/>
      <c r="L230" s="23"/>
      <c r="M230" s="23"/>
      <c r="N230" s="23"/>
      <c r="O230" s="12"/>
      <c r="P230" s="12"/>
      <c r="Q230" s="12"/>
      <c r="R230" s="12"/>
      <c r="S230" s="12"/>
    </row>
    <row r="231" ht="16.5" spans="1:19">
      <c r="A231" s="22"/>
      <c r="B231" s="12"/>
      <c r="C231" s="12"/>
      <c r="D231" s="12"/>
      <c r="E231" s="12"/>
      <c r="F231" s="12"/>
      <c r="G231" s="23"/>
      <c r="H231" s="23"/>
      <c r="I231" s="24"/>
      <c r="J231" s="24"/>
      <c r="K231" s="23"/>
      <c r="L231" s="23"/>
      <c r="M231" s="23"/>
      <c r="N231" s="23"/>
      <c r="O231" s="12"/>
      <c r="P231" s="12"/>
      <c r="Q231" s="12"/>
      <c r="R231" s="12"/>
      <c r="S231" s="12"/>
    </row>
    <row r="232" ht="16.5" spans="1:19">
      <c r="A232" s="22"/>
      <c r="B232" s="12"/>
      <c r="C232" s="12"/>
      <c r="D232" s="12"/>
      <c r="E232" s="12"/>
      <c r="F232" s="12"/>
      <c r="G232" s="23"/>
      <c r="H232" s="23"/>
      <c r="I232" s="24"/>
      <c r="J232" s="24"/>
      <c r="K232" s="23"/>
      <c r="L232" s="23"/>
      <c r="M232" s="23"/>
      <c r="N232" s="23"/>
      <c r="O232" s="12"/>
      <c r="P232" s="12"/>
      <c r="Q232" s="12"/>
      <c r="R232" s="12"/>
      <c r="S232" s="12"/>
    </row>
    <row r="233" ht="16.5" spans="1:19">
      <c r="A233" s="22"/>
      <c r="B233" s="12"/>
      <c r="C233" s="12"/>
      <c r="D233" s="12"/>
      <c r="E233" s="12"/>
      <c r="F233" s="12"/>
      <c r="G233" s="23"/>
      <c r="H233" s="23"/>
      <c r="I233" s="24"/>
      <c r="J233" s="24"/>
      <c r="K233" s="23"/>
      <c r="L233" s="23"/>
      <c r="M233" s="23"/>
      <c r="N233" s="23"/>
      <c r="O233" s="12"/>
      <c r="P233" s="12"/>
      <c r="Q233" s="12"/>
      <c r="R233" s="12"/>
      <c r="S233" s="12"/>
    </row>
    <row r="234" ht="16.5" spans="1:19">
      <c r="A234" s="22"/>
      <c r="B234" s="12"/>
      <c r="C234" s="12"/>
      <c r="D234" s="12"/>
      <c r="E234" s="12"/>
      <c r="F234" s="12"/>
      <c r="G234" s="23"/>
      <c r="H234" s="23"/>
      <c r="I234" s="24"/>
      <c r="J234" s="24"/>
      <c r="K234" s="23"/>
      <c r="L234" s="23"/>
      <c r="M234" s="23"/>
      <c r="N234" s="23"/>
      <c r="O234" s="12"/>
      <c r="P234" s="12"/>
      <c r="Q234" s="12"/>
      <c r="R234" s="12"/>
      <c r="S234" s="12"/>
    </row>
    <row r="235" ht="16.5" spans="1:19">
      <c r="A235" s="22"/>
      <c r="B235" s="12"/>
      <c r="C235" s="12"/>
      <c r="D235" s="12"/>
      <c r="E235" s="12"/>
      <c r="F235" s="12"/>
      <c r="G235" s="23"/>
      <c r="H235" s="23"/>
      <c r="I235" s="24"/>
      <c r="J235" s="24"/>
      <c r="K235" s="23"/>
      <c r="L235" s="23"/>
      <c r="M235" s="23"/>
      <c r="N235" s="23"/>
      <c r="O235" s="12"/>
      <c r="P235" s="12"/>
      <c r="Q235" s="12"/>
      <c r="R235" s="12"/>
      <c r="S235" s="12"/>
    </row>
    <row r="236" ht="16.5" spans="1:19">
      <c r="A236" s="22"/>
      <c r="B236" s="12"/>
      <c r="C236" s="12"/>
      <c r="D236" s="12"/>
      <c r="E236" s="12"/>
      <c r="F236" s="12"/>
      <c r="G236" s="23"/>
      <c r="H236" s="23"/>
      <c r="I236" s="24"/>
      <c r="J236" s="24"/>
      <c r="K236" s="23"/>
      <c r="L236" s="23"/>
      <c r="M236" s="23"/>
      <c r="N236" s="23"/>
      <c r="O236" s="12"/>
      <c r="P236" s="12"/>
      <c r="Q236" s="12"/>
      <c r="R236" s="12"/>
      <c r="S236" s="12"/>
    </row>
    <row r="237" ht="16.5" spans="1:19">
      <c r="A237" s="22"/>
      <c r="B237" s="12"/>
      <c r="C237" s="12"/>
      <c r="D237" s="12"/>
      <c r="E237" s="12"/>
      <c r="F237" s="12"/>
      <c r="G237" s="23"/>
      <c r="H237" s="23"/>
      <c r="I237" s="24"/>
      <c r="J237" s="24"/>
      <c r="K237" s="23"/>
      <c r="L237" s="23"/>
      <c r="M237" s="23"/>
      <c r="N237" s="23"/>
      <c r="O237" s="12"/>
      <c r="P237" s="12"/>
      <c r="Q237" s="12"/>
      <c r="R237" s="12"/>
      <c r="S237" s="12"/>
    </row>
    <row r="238" ht="16.5" spans="1:19">
      <c r="A238" s="22"/>
      <c r="B238" s="12"/>
      <c r="C238" s="12"/>
      <c r="D238" s="12"/>
      <c r="E238" s="12"/>
      <c r="F238" s="12"/>
      <c r="G238" s="23"/>
      <c r="H238" s="23"/>
      <c r="I238" s="24"/>
      <c r="J238" s="24"/>
      <c r="K238" s="23"/>
      <c r="L238" s="23"/>
      <c r="M238" s="23"/>
      <c r="N238" s="23"/>
      <c r="O238" s="12"/>
      <c r="P238" s="12"/>
      <c r="Q238" s="12"/>
      <c r="R238" s="12"/>
      <c r="S238" s="12"/>
    </row>
    <row r="239" ht="16.5" spans="1:19">
      <c r="A239" s="22"/>
      <c r="B239" s="12"/>
      <c r="C239" s="12"/>
      <c r="D239" s="12"/>
      <c r="E239" s="12"/>
      <c r="F239" s="12"/>
      <c r="G239" s="23"/>
      <c r="H239" s="23"/>
      <c r="I239" s="24"/>
      <c r="J239" s="24"/>
      <c r="K239" s="23"/>
      <c r="L239" s="23"/>
      <c r="M239" s="23"/>
      <c r="N239" s="23"/>
      <c r="O239" s="12"/>
      <c r="P239" s="12"/>
      <c r="Q239" s="12"/>
      <c r="R239" s="12"/>
      <c r="S239" s="12"/>
    </row>
    <row r="240" ht="16.5" spans="1:19">
      <c r="A240" s="22"/>
      <c r="B240" s="12"/>
      <c r="C240" s="12"/>
      <c r="D240" s="12"/>
      <c r="E240" s="12"/>
      <c r="F240" s="12"/>
      <c r="G240" s="23"/>
      <c r="H240" s="23"/>
      <c r="I240" s="24"/>
      <c r="J240" s="24"/>
      <c r="K240" s="23"/>
      <c r="L240" s="23"/>
      <c r="M240" s="23"/>
      <c r="N240" s="23"/>
      <c r="O240" s="12"/>
      <c r="P240" s="12"/>
      <c r="Q240" s="12"/>
      <c r="R240" s="12"/>
      <c r="S240" s="12"/>
    </row>
    <row r="241" ht="16.5" spans="1:19">
      <c r="A241" s="22"/>
      <c r="B241" s="12"/>
      <c r="C241" s="12"/>
      <c r="D241" s="12"/>
      <c r="E241" s="12"/>
      <c r="F241" s="12"/>
      <c r="G241" s="23"/>
      <c r="H241" s="23"/>
      <c r="I241" s="24"/>
      <c r="J241" s="24"/>
      <c r="K241" s="23"/>
      <c r="L241" s="23"/>
      <c r="M241" s="23"/>
      <c r="N241" s="23"/>
      <c r="O241" s="12"/>
      <c r="P241" s="12"/>
      <c r="Q241" s="12"/>
      <c r="R241" s="12"/>
      <c r="S241" s="12"/>
    </row>
    <row r="242" ht="16.5" spans="1:19">
      <c r="A242" s="22"/>
      <c r="B242" s="12"/>
      <c r="C242" s="12"/>
      <c r="D242" s="12"/>
      <c r="E242" s="12"/>
      <c r="F242" s="12"/>
      <c r="G242" s="23"/>
      <c r="H242" s="23"/>
      <c r="I242" s="24"/>
      <c r="J242" s="24"/>
      <c r="K242" s="23"/>
      <c r="L242" s="23"/>
      <c r="M242" s="23"/>
      <c r="N242" s="23"/>
      <c r="O242" s="12"/>
      <c r="P242" s="12"/>
      <c r="Q242" s="12"/>
      <c r="R242" s="12"/>
      <c r="S242" s="12"/>
    </row>
    <row r="243" ht="16.5" spans="1:19">
      <c r="A243" s="22"/>
      <c r="B243" s="12"/>
      <c r="C243" s="12"/>
      <c r="D243" s="12"/>
      <c r="E243" s="12"/>
      <c r="F243" s="12"/>
      <c r="G243" s="23"/>
      <c r="H243" s="23"/>
      <c r="I243" s="24"/>
      <c r="J243" s="24"/>
      <c r="K243" s="23"/>
      <c r="L243" s="23"/>
      <c r="M243" s="23"/>
      <c r="N243" s="23"/>
      <c r="O243" s="12"/>
      <c r="P243" s="12"/>
      <c r="Q243" s="12"/>
      <c r="R243" s="12"/>
      <c r="S243" s="12"/>
    </row>
    <row r="244" ht="16.5" spans="1:19">
      <c r="A244" s="22"/>
      <c r="B244" s="12"/>
      <c r="C244" s="12"/>
      <c r="D244" s="12"/>
      <c r="E244" s="12"/>
      <c r="F244" s="12"/>
      <c r="G244" s="23"/>
      <c r="H244" s="23"/>
      <c r="I244" s="24"/>
      <c r="J244" s="24"/>
      <c r="K244" s="23"/>
      <c r="L244" s="23"/>
      <c r="M244" s="23"/>
      <c r="N244" s="23"/>
      <c r="O244" s="12"/>
      <c r="P244" s="12"/>
      <c r="Q244" s="12"/>
      <c r="R244" s="12"/>
      <c r="S244" s="12"/>
    </row>
    <row r="245" ht="16.5" spans="1:19">
      <c r="A245" s="22"/>
      <c r="B245" s="12"/>
      <c r="C245" s="12"/>
      <c r="D245" s="12"/>
      <c r="E245" s="12"/>
      <c r="F245" s="12"/>
      <c r="G245" s="23"/>
      <c r="H245" s="23"/>
      <c r="I245" s="24"/>
      <c r="J245" s="24"/>
      <c r="K245" s="23"/>
      <c r="L245" s="23"/>
      <c r="M245" s="23"/>
      <c r="N245" s="23"/>
      <c r="O245" s="12"/>
      <c r="P245" s="12"/>
      <c r="Q245" s="12"/>
      <c r="R245" s="12"/>
      <c r="S245" s="12"/>
    </row>
    <row r="246" ht="16.5" spans="1:19">
      <c r="A246" s="22"/>
      <c r="B246" s="12"/>
      <c r="C246" s="12"/>
      <c r="D246" s="12"/>
      <c r="E246" s="12"/>
      <c r="F246" s="12"/>
      <c r="G246" s="23"/>
      <c r="H246" s="23"/>
      <c r="I246" s="24"/>
      <c r="J246" s="24"/>
      <c r="K246" s="23"/>
      <c r="L246" s="23"/>
      <c r="M246" s="23"/>
      <c r="N246" s="23"/>
      <c r="O246" s="12"/>
      <c r="P246" s="12"/>
      <c r="Q246" s="12"/>
      <c r="R246" s="12"/>
      <c r="S246" s="12"/>
    </row>
    <row r="247" ht="16.5" spans="1:19">
      <c r="A247" s="22"/>
      <c r="B247" s="12"/>
      <c r="C247" s="12"/>
      <c r="D247" s="12"/>
      <c r="E247" s="12"/>
      <c r="F247" s="12"/>
      <c r="G247" s="23"/>
      <c r="H247" s="23"/>
      <c r="I247" s="24"/>
      <c r="J247" s="24"/>
      <c r="K247" s="23"/>
      <c r="L247" s="23"/>
      <c r="M247" s="23"/>
      <c r="N247" s="23"/>
      <c r="O247" s="12"/>
      <c r="P247" s="12"/>
      <c r="Q247" s="12"/>
      <c r="R247" s="12"/>
      <c r="S247" s="12"/>
    </row>
    <row r="248" ht="16.5" spans="1:19">
      <c r="A248" s="22"/>
      <c r="B248" s="12"/>
      <c r="C248" s="12"/>
      <c r="D248" s="12"/>
      <c r="E248" s="12"/>
      <c r="F248" s="12"/>
      <c r="G248" s="23"/>
      <c r="H248" s="23"/>
      <c r="I248" s="24"/>
      <c r="J248" s="24"/>
      <c r="K248" s="23"/>
      <c r="L248" s="23"/>
      <c r="M248" s="23"/>
      <c r="N248" s="23"/>
      <c r="O248" s="12"/>
      <c r="P248" s="12"/>
      <c r="Q248" s="12"/>
      <c r="R248" s="12"/>
      <c r="S248" s="12"/>
    </row>
    <row r="249" ht="16.5" spans="1:19">
      <c r="A249" s="22"/>
      <c r="B249" s="12"/>
      <c r="C249" s="12"/>
      <c r="D249" s="12"/>
      <c r="E249" s="12"/>
      <c r="F249" s="12"/>
      <c r="G249" s="23"/>
      <c r="H249" s="23"/>
      <c r="I249" s="24"/>
      <c r="J249" s="24"/>
      <c r="K249" s="23"/>
      <c r="L249" s="23"/>
      <c r="M249" s="23"/>
      <c r="N249" s="23"/>
      <c r="O249" s="12"/>
      <c r="P249" s="12"/>
      <c r="Q249" s="12"/>
      <c r="R249" s="12"/>
      <c r="S249" s="12"/>
    </row>
    <row r="250" ht="16.5" spans="1:19">
      <c r="A250" s="22"/>
      <c r="B250" s="12"/>
      <c r="C250" s="12"/>
      <c r="D250" s="12"/>
      <c r="E250" s="12"/>
      <c r="F250" s="12"/>
      <c r="G250" s="23"/>
      <c r="H250" s="23"/>
      <c r="I250" s="24"/>
      <c r="J250" s="24"/>
      <c r="K250" s="23"/>
      <c r="L250" s="23"/>
      <c r="M250" s="23"/>
      <c r="N250" s="23"/>
      <c r="O250" s="12"/>
      <c r="P250" s="12"/>
      <c r="Q250" s="12"/>
      <c r="R250" s="12"/>
      <c r="S250" s="12"/>
    </row>
    <row r="251" ht="16.5" spans="1:19">
      <c r="A251" s="22"/>
      <c r="B251" s="12"/>
      <c r="C251" s="12"/>
      <c r="D251" s="12"/>
      <c r="E251" s="12"/>
      <c r="F251" s="12"/>
      <c r="G251" s="23"/>
      <c r="H251" s="23"/>
      <c r="I251" s="24"/>
      <c r="J251" s="24"/>
      <c r="K251" s="23"/>
      <c r="L251" s="23"/>
      <c r="M251" s="23"/>
      <c r="N251" s="23"/>
      <c r="O251" s="12"/>
      <c r="P251" s="12"/>
      <c r="Q251" s="12"/>
      <c r="R251" s="12"/>
      <c r="S251" s="12"/>
    </row>
    <row r="252" ht="16.5" spans="1:19">
      <c r="A252" s="22"/>
      <c r="B252" s="12"/>
      <c r="C252" s="12"/>
      <c r="D252" s="12"/>
      <c r="E252" s="12"/>
      <c r="F252" s="12"/>
      <c r="G252" s="23"/>
      <c r="H252" s="23"/>
      <c r="I252" s="24"/>
      <c r="J252" s="24"/>
      <c r="K252" s="23"/>
      <c r="L252" s="23"/>
      <c r="M252" s="23"/>
      <c r="N252" s="23"/>
      <c r="O252" s="12"/>
      <c r="P252" s="12"/>
      <c r="Q252" s="12"/>
      <c r="R252" s="12"/>
      <c r="S252" s="12"/>
    </row>
    <row r="253" ht="16.5" spans="1:19">
      <c r="A253" s="22"/>
      <c r="B253" s="12"/>
      <c r="C253" s="12"/>
      <c r="D253" s="12"/>
      <c r="E253" s="12"/>
      <c r="F253" s="12"/>
      <c r="G253" s="23"/>
      <c r="H253" s="23"/>
      <c r="I253" s="24"/>
      <c r="J253" s="24"/>
      <c r="K253" s="23"/>
      <c r="L253" s="23"/>
      <c r="M253" s="23"/>
      <c r="N253" s="23"/>
      <c r="O253" s="12"/>
      <c r="P253" s="12"/>
      <c r="Q253" s="12"/>
      <c r="R253" s="12"/>
      <c r="S253" s="12"/>
    </row>
    <row r="254" ht="16.5" spans="1:19">
      <c r="A254" s="22"/>
      <c r="B254" s="12"/>
      <c r="C254" s="12"/>
      <c r="D254" s="12"/>
      <c r="E254" s="12"/>
      <c r="F254" s="12"/>
      <c r="G254" s="23"/>
      <c r="H254" s="23"/>
      <c r="I254" s="24"/>
      <c r="J254" s="24"/>
      <c r="K254" s="23"/>
      <c r="L254" s="23"/>
      <c r="M254" s="23"/>
      <c r="N254" s="23"/>
      <c r="O254" s="12"/>
      <c r="P254" s="12"/>
      <c r="Q254" s="12"/>
      <c r="R254" s="12"/>
      <c r="S254" s="12"/>
    </row>
    <row r="255" ht="16.5" spans="1:19">
      <c r="A255" s="22"/>
      <c r="B255" s="12"/>
      <c r="C255" s="12"/>
      <c r="D255" s="12"/>
      <c r="E255" s="12"/>
      <c r="F255" s="12"/>
      <c r="G255" s="23"/>
      <c r="H255" s="23"/>
      <c r="I255" s="24"/>
      <c r="J255" s="24"/>
      <c r="K255" s="23"/>
      <c r="L255" s="23"/>
      <c r="M255" s="23"/>
      <c r="N255" s="23"/>
      <c r="O255" s="12"/>
      <c r="P255" s="12"/>
      <c r="Q255" s="12"/>
      <c r="R255" s="12"/>
      <c r="S255" s="12"/>
    </row>
    <row r="256" ht="16.5" spans="1:19">
      <c r="A256" s="22"/>
      <c r="B256" s="12"/>
      <c r="C256" s="12"/>
      <c r="D256" s="12"/>
      <c r="E256" s="12"/>
      <c r="F256" s="12"/>
      <c r="G256" s="23"/>
      <c r="H256" s="23"/>
      <c r="I256" s="24"/>
      <c r="J256" s="24"/>
      <c r="K256" s="23"/>
      <c r="L256" s="23"/>
      <c r="M256" s="23"/>
      <c r="N256" s="23"/>
      <c r="O256" s="12"/>
      <c r="P256" s="12"/>
      <c r="Q256" s="12"/>
      <c r="R256" s="12"/>
      <c r="S256" s="12"/>
    </row>
    <row r="257" ht="16.5" spans="1:19">
      <c r="A257" s="22"/>
      <c r="B257" s="12"/>
      <c r="C257" s="12"/>
      <c r="D257" s="12"/>
      <c r="E257" s="12"/>
      <c r="F257" s="12"/>
      <c r="G257" s="23"/>
      <c r="H257" s="23"/>
      <c r="I257" s="24"/>
      <c r="J257" s="24"/>
      <c r="K257" s="23"/>
      <c r="L257" s="23"/>
      <c r="M257" s="23"/>
      <c r="N257" s="23"/>
      <c r="O257" s="12"/>
      <c r="P257" s="12"/>
      <c r="Q257" s="12"/>
      <c r="R257" s="12"/>
      <c r="S257" s="12"/>
    </row>
    <row r="258" ht="16.5" spans="1:19">
      <c r="A258" s="22"/>
      <c r="B258" s="12"/>
      <c r="C258" s="12"/>
      <c r="D258" s="12"/>
      <c r="E258" s="12"/>
      <c r="F258" s="12"/>
      <c r="G258" s="23"/>
      <c r="H258" s="23"/>
      <c r="I258" s="24"/>
      <c r="J258" s="24"/>
      <c r="K258" s="23"/>
      <c r="L258" s="23"/>
      <c r="M258" s="23"/>
      <c r="N258" s="23"/>
      <c r="O258" s="12"/>
      <c r="P258" s="12"/>
      <c r="Q258" s="12"/>
      <c r="R258" s="12"/>
      <c r="S258" s="12"/>
    </row>
    <row r="259" ht="16.5" spans="1:19">
      <c r="A259" s="22"/>
      <c r="B259" s="12"/>
      <c r="C259" s="12"/>
      <c r="D259" s="12"/>
      <c r="E259" s="12"/>
      <c r="F259" s="12"/>
      <c r="G259" s="23"/>
      <c r="H259" s="23"/>
      <c r="I259" s="24"/>
      <c r="J259" s="24"/>
      <c r="K259" s="23"/>
      <c r="L259" s="23"/>
      <c r="M259" s="23"/>
      <c r="N259" s="23"/>
      <c r="O259" s="12"/>
      <c r="P259" s="12"/>
      <c r="Q259" s="12"/>
      <c r="R259" s="12"/>
      <c r="S259" s="12"/>
    </row>
    <row r="260" ht="16.5" spans="1:19">
      <c r="A260" s="22"/>
      <c r="B260" s="12"/>
      <c r="C260" s="12"/>
      <c r="D260" s="12"/>
      <c r="E260" s="12"/>
      <c r="F260" s="12"/>
      <c r="G260" s="23"/>
      <c r="H260" s="23"/>
      <c r="I260" s="24"/>
      <c r="J260" s="24"/>
      <c r="K260" s="23"/>
      <c r="L260" s="23"/>
      <c r="M260" s="23"/>
      <c r="N260" s="23"/>
      <c r="O260" s="12"/>
      <c r="P260" s="12"/>
      <c r="Q260" s="12"/>
      <c r="R260" s="12"/>
      <c r="S260" s="12"/>
    </row>
    <row r="261" ht="16.5" spans="1:19">
      <c r="A261" s="22"/>
      <c r="B261" s="12"/>
      <c r="C261" s="12"/>
      <c r="D261" s="12"/>
      <c r="E261" s="12"/>
      <c r="F261" s="12"/>
      <c r="G261" s="23"/>
      <c r="H261" s="23"/>
      <c r="I261" s="24"/>
      <c r="J261" s="24"/>
      <c r="K261" s="23"/>
      <c r="L261" s="23"/>
      <c r="M261" s="23"/>
      <c r="N261" s="23"/>
      <c r="O261" s="12"/>
      <c r="P261" s="12"/>
      <c r="Q261" s="12"/>
      <c r="R261" s="12"/>
      <c r="S261" s="12"/>
    </row>
    <row r="262" ht="16.5" spans="1:19">
      <c r="A262" s="22"/>
      <c r="B262" s="12"/>
      <c r="C262" s="12"/>
      <c r="D262" s="12"/>
      <c r="E262" s="12"/>
      <c r="F262" s="12"/>
      <c r="G262" s="23"/>
      <c r="H262" s="23"/>
      <c r="I262" s="24"/>
      <c r="J262" s="24"/>
      <c r="K262" s="23"/>
      <c r="L262" s="23"/>
      <c r="M262" s="23"/>
      <c r="N262" s="23"/>
      <c r="O262" s="12"/>
      <c r="P262" s="12"/>
      <c r="Q262" s="12"/>
      <c r="R262" s="12"/>
      <c r="S262" s="12"/>
    </row>
    <row r="263" ht="16.5" spans="1:19">
      <c r="A263" s="22"/>
      <c r="B263" s="12"/>
      <c r="C263" s="12"/>
      <c r="D263" s="12"/>
      <c r="E263" s="12"/>
      <c r="F263" s="12"/>
      <c r="G263" s="23"/>
      <c r="H263" s="23"/>
      <c r="I263" s="24"/>
      <c r="J263" s="24"/>
      <c r="K263" s="23"/>
      <c r="L263" s="23"/>
      <c r="M263" s="23"/>
      <c r="N263" s="23"/>
      <c r="O263" s="12"/>
      <c r="P263" s="12"/>
      <c r="Q263" s="12"/>
      <c r="R263" s="12"/>
      <c r="S263" s="12"/>
    </row>
    <row r="264" ht="16.5" spans="1:19">
      <c r="A264" s="22"/>
      <c r="B264" s="12"/>
      <c r="C264" s="12"/>
      <c r="D264" s="12"/>
      <c r="E264" s="12"/>
      <c r="F264" s="12"/>
      <c r="G264" s="23"/>
      <c r="H264" s="23"/>
      <c r="I264" s="24"/>
      <c r="J264" s="24"/>
      <c r="K264" s="23"/>
      <c r="L264" s="23"/>
      <c r="M264" s="23"/>
      <c r="N264" s="23"/>
      <c r="O264" s="12"/>
      <c r="P264" s="12"/>
      <c r="Q264" s="12"/>
      <c r="R264" s="12"/>
      <c r="S264" s="12"/>
    </row>
    <row r="265" ht="16.5" spans="1:19">
      <c r="A265" s="22"/>
      <c r="B265" s="12"/>
      <c r="C265" s="12"/>
      <c r="D265" s="12"/>
      <c r="E265" s="12"/>
      <c r="F265" s="12"/>
      <c r="G265" s="23"/>
      <c r="H265" s="23"/>
      <c r="I265" s="24"/>
      <c r="J265" s="24"/>
      <c r="K265" s="23"/>
      <c r="L265" s="23"/>
      <c r="M265" s="23"/>
      <c r="N265" s="23"/>
      <c r="O265" s="12"/>
      <c r="P265" s="12"/>
      <c r="Q265" s="12"/>
      <c r="R265" s="12"/>
      <c r="S265" s="12"/>
    </row>
    <row r="266" ht="16.5" spans="1:19">
      <c r="A266" s="22"/>
      <c r="B266" s="12"/>
      <c r="C266" s="12"/>
      <c r="D266" s="12"/>
      <c r="E266" s="12"/>
      <c r="F266" s="12"/>
      <c r="G266" s="23"/>
      <c r="H266" s="23"/>
      <c r="I266" s="24"/>
      <c r="J266" s="24"/>
      <c r="K266" s="23"/>
      <c r="L266" s="23"/>
      <c r="M266" s="23"/>
      <c r="N266" s="23"/>
      <c r="O266" s="12"/>
      <c r="P266" s="12"/>
      <c r="Q266" s="12"/>
      <c r="R266" s="12"/>
      <c r="S266" s="12"/>
    </row>
    <row r="267" ht="16.5" spans="1:19">
      <c r="A267" s="22"/>
      <c r="B267" s="12"/>
      <c r="C267" s="12"/>
      <c r="D267" s="12"/>
      <c r="E267" s="12"/>
      <c r="F267" s="12"/>
      <c r="G267" s="23"/>
      <c r="H267" s="23"/>
      <c r="I267" s="24"/>
      <c r="J267" s="24"/>
      <c r="K267" s="23"/>
      <c r="L267" s="23"/>
      <c r="M267" s="23"/>
      <c r="N267" s="23"/>
      <c r="O267" s="12"/>
      <c r="P267" s="12"/>
      <c r="Q267" s="12"/>
      <c r="R267" s="12"/>
      <c r="S267" s="12"/>
    </row>
    <row r="268" ht="16.5" spans="1:19">
      <c r="A268" s="22"/>
      <c r="B268" s="12"/>
      <c r="C268" s="12"/>
      <c r="D268" s="12"/>
      <c r="E268" s="12"/>
      <c r="F268" s="12"/>
      <c r="G268" s="23"/>
      <c r="H268" s="23"/>
      <c r="I268" s="24"/>
      <c r="J268" s="24"/>
      <c r="K268" s="23"/>
      <c r="L268" s="23"/>
      <c r="M268" s="23"/>
      <c r="N268" s="23"/>
      <c r="O268" s="12"/>
      <c r="P268" s="12"/>
      <c r="Q268" s="12"/>
      <c r="R268" s="12"/>
      <c r="S268" s="12"/>
    </row>
    <row r="269" ht="16.5" spans="1:19">
      <c r="A269" s="22"/>
      <c r="B269" s="12"/>
      <c r="C269" s="12"/>
      <c r="D269" s="12"/>
      <c r="E269" s="12"/>
      <c r="F269" s="12"/>
      <c r="G269" s="23"/>
      <c r="H269" s="23"/>
      <c r="I269" s="24"/>
      <c r="J269" s="24"/>
      <c r="K269" s="23"/>
      <c r="L269" s="23"/>
      <c r="M269" s="23"/>
      <c r="N269" s="23"/>
      <c r="O269" s="12"/>
      <c r="P269" s="12"/>
      <c r="Q269" s="12"/>
      <c r="R269" s="12"/>
      <c r="S269" s="12"/>
    </row>
    <row r="270" ht="16.5" spans="1:19">
      <c r="A270" s="22"/>
      <c r="B270" s="12"/>
      <c r="C270" s="12"/>
      <c r="D270" s="12"/>
      <c r="E270" s="12"/>
      <c r="F270" s="12"/>
      <c r="G270" s="23"/>
      <c r="H270" s="23"/>
      <c r="I270" s="24"/>
      <c r="J270" s="24"/>
      <c r="K270" s="23"/>
      <c r="L270" s="23"/>
      <c r="M270" s="23"/>
      <c r="N270" s="23"/>
      <c r="O270" s="12"/>
      <c r="P270" s="12"/>
      <c r="Q270" s="12"/>
      <c r="R270" s="12"/>
      <c r="S270" s="12"/>
    </row>
    <row r="271" ht="16.5" spans="1:19">
      <c r="A271" s="22"/>
      <c r="B271" s="12"/>
      <c r="C271" s="12"/>
      <c r="D271" s="12"/>
      <c r="E271" s="12"/>
      <c r="F271" s="12"/>
      <c r="G271" s="23"/>
      <c r="H271" s="23"/>
      <c r="I271" s="24"/>
      <c r="J271" s="24"/>
      <c r="K271" s="23"/>
      <c r="L271" s="23"/>
      <c r="M271" s="23"/>
      <c r="N271" s="23"/>
      <c r="O271" s="12"/>
      <c r="P271" s="12"/>
      <c r="Q271" s="12"/>
      <c r="R271" s="12"/>
      <c r="S271" s="12"/>
    </row>
    <row r="272" ht="16.5" spans="1:19">
      <c r="A272" s="22"/>
      <c r="B272" s="12"/>
      <c r="C272" s="12"/>
      <c r="D272" s="12"/>
      <c r="E272" s="12"/>
      <c r="F272" s="12"/>
      <c r="G272" s="23"/>
      <c r="H272" s="23"/>
      <c r="I272" s="24"/>
      <c r="J272" s="24"/>
      <c r="K272" s="23"/>
      <c r="L272" s="23"/>
      <c r="M272" s="23"/>
      <c r="N272" s="23"/>
      <c r="O272" s="12"/>
      <c r="P272" s="12"/>
      <c r="Q272" s="12"/>
      <c r="R272" s="12"/>
      <c r="S272" s="12"/>
    </row>
    <row r="273" ht="16.5" spans="1:19">
      <c r="A273" s="22"/>
      <c r="B273" s="12"/>
      <c r="C273" s="12"/>
      <c r="D273" s="12"/>
      <c r="E273" s="12"/>
      <c r="F273" s="12"/>
      <c r="G273" s="23"/>
      <c r="H273" s="23"/>
      <c r="I273" s="24"/>
      <c r="J273" s="24"/>
      <c r="K273" s="23"/>
      <c r="L273" s="23"/>
      <c r="M273" s="23"/>
      <c r="N273" s="23"/>
      <c r="O273" s="12"/>
      <c r="P273" s="12"/>
      <c r="Q273" s="12"/>
      <c r="R273" s="12"/>
      <c r="S273" s="12"/>
    </row>
    <row r="274" ht="16.5" spans="1:19">
      <c r="A274" s="22"/>
      <c r="B274" s="12"/>
      <c r="C274" s="12"/>
      <c r="D274" s="12"/>
      <c r="E274" s="12"/>
      <c r="F274" s="12"/>
      <c r="G274" s="23"/>
      <c r="H274" s="23"/>
      <c r="I274" s="24"/>
      <c r="J274" s="24"/>
      <c r="K274" s="23"/>
      <c r="L274" s="23"/>
      <c r="M274" s="23"/>
      <c r="N274" s="23"/>
      <c r="O274" s="12"/>
      <c r="P274" s="12"/>
      <c r="Q274" s="12"/>
      <c r="R274" s="12"/>
      <c r="S274" s="12"/>
    </row>
    <row r="275" ht="16.5" spans="1:19">
      <c r="A275" s="22"/>
      <c r="B275" s="12"/>
      <c r="C275" s="12"/>
      <c r="D275" s="12"/>
      <c r="E275" s="12"/>
      <c r="F275" s="12"/>
      <c r="G275" s="23"/>
      <c r="H275" s="23"/>
      <c r="I275" s="24"/>
      <c r="J275" s="24"/>
      <c r="K275" s="23"/>
      <c r="L275" s="23"/>
      <c r="M275" s="23"/>
      <c r="N275" s="23"/>
      <c r="O275" s="12"/>
      <c r="P275" s="12"/>
      <c r="Q275" s="12"/>
      <c r="R275" s="12"/>
      <c r="S275" s="12"/>
    </row>
    <row r="276" ht="16.5" spans="1:19">
      <c r="A276" s="22"/>
      <c r="B276" s="12"/>
      <c r="C276" s="12"/>
      <c r="D276" s="12"/>
      <c r="E276" s="12"/>
      <c r="F276" s="12"/>
      <c r="G276" s="23"/>
      <c r="H276" s="23"/>
      <c r="I276" s="24"/>
      <c r="J276" s="24"/>
      <c r="K276" s="23"/>
      <c r="L276" s="23"/>
      <c r="M276" s="23"/>
      <c r="N276" s="23"/>
      <c r="O276" s="12"/>
      <c r="P276" s="12"/>
      <c r="Q276" s="12"/>
      <c r="R276" s="12"/>
      <c r="S276" s="12"/>
    </row>
    <row r="277" ht="16.5" spans="1:19">
      <c r="A277" s="22"/>
      <c r="B277" s="12"/>
      <c r="C277" s="12"/>
      <c r="D277" s="12"/>
      <c r="E277" s="12"/>
      <c r="F277" s="12"/>
      <c r="G277" s="23"/>
      <c r="H277" s="23"/>
      <c r="I277" s="24"/>
      <c r="J277" s="24"/>
      <c r="K277" s="23"/>
      <c r="L277" s="23"/>
      <c r="M277" s="23"/>
      <c r="N277" s="23"/>
      <c r="O277" s="12"/>
      <c r="P277" s="12"/>
      <c r="Q277" s="12"/>
      <c r="R277" s="12"/>
      <c r="S277" s="12"/>
    </row>
    <row r="278" ht="16.5" spans="1:19">
      <c r="A278" s="22"/>
      <c r="B278" s="12"/>
      <c r="C278" s="12"/>
      <c r="D278" s="12"/>
      <c r="E278" s="12"/>
      <c r="F278" s="12"/>
      <c r="G278" s="23"/>
      <c r="H278" s="23"/>
      <c r="I278" s="24"/>
      <c r="J278" s="24"/>
      <c r="K278" s="23"/>
      <c r="L278" s="23"/>
      <c r="M278" s="23"/>
      <c r="N278" s="23"/>
      <c r="O278" s="12"/>
      <c r="P278" s="12"/>
      <c r="Q278" s="12"/>
      <c r="R278" s="12"/>
      <c r="S278" s="12"/>
    </row>
    <row r="279" ht="16.5" spans="1:19">
      <c r="A279" s="22"/>
      <c r="B279" s="12"/>
      <c r="C279" s="12"/>
      <c r="D279" s="12"/>
      <c r="E279" s="12"/>
      <c r="F279" s="12"/>
      <c r="G279" s="23"/>
      <c r="H279" s="23"/>
      <c r="I279" s="24"/>
      <c r="J279" s="24"/>
      <c r="K279" s="23"/>
      <c r="L279" s="23"/>
      <c r="M279" s="23"/>
      <c r="N279" s="23"/>
      <c r="O279" s="12"/>
      <c r="P279" s="12"/>
      <c r="Q279" s="12"/>
      <c r="R279" s="12"/>
      <c r="S279" s="12"/>
    </row>
    <row r="280" ht="16.5" spans="1:19">
      <c r="A280" s="22"/>
      <c r="B280" s="12"/>
      <c r="C280" s="12"/>
      <c r="D280" s="12"/>
      <c r="E280" s="12"/>
      <c r="F280" s="12"/>
      <c r="G280" s="23"/>
      <c r="H280" s="23"/>
      <c r="I280" s="24"/>
      <c r="J280" s="24"/>
      <c r="K280" s="23"/>
      <c r="L280" s="23"/>
      <c r="M280" s="23"/>
      <c r="N280" s="23"/>
      <c r="O280" s="12"/>
      <c r="P280" s="12"/>
      <c r="Q280" s="12"/>
      <c r="R280" s="12"/>
      <c r="S280" s="12"/>
    </row>
    <row r="281" ht="16.5" spans="1:19">
      <c r="A281" s="22"/>
      <c r="B281" s="12"/>
      <c r="C281" s="12"/>
      <c r="D281" s="12"/>
      <c r="E281" s="12"/>
      <c r="F281" s="12"/>
      <c r="G281" s="23"/>
      <c r="H281" s="23"/>
      <c r="I281" s="24"/>
      <c r="J281" s="24"/>
      <c r="K281" s="23"/>
      <c r="L281" s="23"/>
      <c r="M281" s="23"/>
      <c r="N281" s="23"/>
      <c r="O281" s="12"/>
      <c r="P281" s="12"/>
      <c r="Q281" s="12"/>
      <c r="R281" s="12"/>
      <c r="S281" s="12"/>
    </row>
    <row r="282" ht="16.5" spans="1:19">
      <c r="A282" s="22"/>
      <c r="B282" s="12"/>
      <c r="C282" s="12"/>
      <c r="D282" s="12"/>
      <c r="E282" s="12"/>
      <c r="F282" s="12"/>
      <c r="G282" s="23"/>
      <c r="H282" s="23"/>
      <c r="I282" s="24"/>
      <c r="J282" s="24"/>
      <c r="K282" s="23"/>
      <c r="L282" s="23"/>
      <c r="M282" s="23"/>
      <c r="N282" s="23"/>
      <c r="O282" s="12"/>
      <c r="P282" s="12"/>
      <c r="Q282" s="12"/>
      <c r="R282" s="12"/>
      <c r="S282" s="12"/>
    </row>
    <row r="283" ht="16.5" spans="1:19">
      <c r="A283" s="22"/>
      <c r="B283" s="12"/>
      <c r="C283" s="12"/>
      <c r="D283" s="12"/>
      <c r="E283" s="12"/>
      <c r="F283" s="12"/>
      <c r="G283" s="23"/>
      <c r="H283" s="23"/>
      <c r="I283" s="24"/>
      <c r="J283" s="24"/>
      <c r="K283" s="23"/>
      <c r="L283" s="23"/>
      <c r="M283" s="23"/>
      <c r="N283" s="23"/>
      <c r="O283" s="12"/>
      <c r="P283" s="12"/>
      <c r="Q283" s="12"/>
      <c r="R283" s="12"/>
      <c r="S283" s="12"/>
    </row>
    <row r="284" ht="16.5" spans="1:19">
      <c r="A284" s="22"/>
      <c r="B284" s="12"/>
      <c r="C284" s="12"/>
      <c r="D284" s="12"/>
      <c r="E284" s="12"/>
      <c r="F284" s="12"/>
      <c r="G284" s="23"/>
      <c r="H284" s="23"/>
      <c r="I284" s="24"/>
      <c r="J284" s="24"/>
      <c r="K284" s="23"/>
      <c r="L284" s="23"/>
      <c r="M284" s="23"/>
      <c r="N284" s="23"/>
      <c r="O284" s="12"/>
      <c r="P284" s="12"/>
      <c r="Q284" s="12"/>
      <c r="R284" s="12"/>
      <c r="S284" s="12"/>
    </row>
    <row r="285" ht="16.5" spans="1:19">
      <c r="A285" s="22"/>
      <c r="B285" s="12"/>
      <c r="C285" s="12"/>
      <c r="D285" s="12"/>
      <c r="E285" s="12"/>
      <c r="F285" s="12"/>
      <c r="G285" s="23"/>
      <c r="H285" s="23"/>
      <c r="I285" s="24"/>
      <c r="J285" s="24"/>
      <c r="K285" s="23"/>
      <c r="L285" s="23"/>
      <c r="M285" s="23"/>
      <c r="N285" s="23"/>
      <c r="O285" s="12"/>
      <c r="P285" s="12"/>
      <c r="Q285" s="12"/>
      <c r="R285" s="12"/>
      <c r="S285" s="12"/>
    </row>
    <row r="286" ht="16.5" spans="1:19">
      <c r="A286" s="22"/>
      <c r="B286" s="12"/>
      <c r="C286" s="12"/>
      <c r="D286" s="12"/>
      <c r="E286" s="12"/>
      <c r="F286" s="12"/>
      <c r="G286" s="23"/>
      <c r="H286" s="23"/>
      <c r="I286" s="24"/>
      <c r="J286" s="24"/>
      <c r="K286" s="23"/>
      <c r="L286" s="23"/>
      <c r="M286" s="23"/>
      <c r="N286" s="23"/>
      <c r="O286" s="12"/>
      <c r="P286" s="12"/>
      <c r="Q286" s="12"/>
      <c r="R286" s="12"/>
      <c r="S286" s="12"/>
    </row>
    <row r="287" ht="16.5" spans="1:19">
      <c r="A287" s="22"/>
      <c r="B287" s="12"/>
      <c r="C287" s="12"/>
      <c r="D287" s="12"/>
      <c r="E287" s="12"/>
      <c r="F287" s="12"/>
      <c r="G287" s="23"/>
      <c r="H287" s="23"/>
      <c r="I287" s="24"/>
      <c r="J287" s="24"/>
      <c r="K287" s="23"/>
      <c r="L287" s="23"/>
      <c r="M287" s="23"/>
      <c r="N287" s="23"/>
      <c r="O287" s="12"/>
      <c r="P287" s="12"/>
      <c r="Q287" s="12"/>
      <c r="R287" s="12"/>
      <c r="S287" s="12"/>
    </row>
    <row r="288" ht="16.5" spans="1:19">
      <c r="A288" s="22"/>
      <c r="B288" s="12"/>
      <c r="C288" s="12"/>
      <c r="D288" s="12"/>
      <c r="E288" s="12"/>
      <c r="F288" s="12"/>
      <c r="G288" s="23"/>
      <c r="H288" s="23"/>
      <c r="I288" s="24"/>
      <c r="J288" s="24"/>
      <c r="K288" s="23"/>
      <c r="L288" s="23"/>
      <c r="M288" s="23"/>
      <c r="N288" s="23"/>
      <c r="O288" s="12"/>
      <c r="P288" s="12"/>
      <c r="Q288" s="12"/>
      <c r="R288" s="12"/>
      <c r="S288" s="12"/>
    </row>
    <row r="289" ht="16.5" spans="1:19">
      <c r="A289" s="22"/>
      <c r="B289" s="12"/>
      <c r="C289" s="12"/>
      <c r="D289" s="12"/>
      <c r="E289" s="12"/>
      <c r="F289" s="12"/>
      <c r="G289" s="23"/>
      <c r="H289" s="23"/>
      <c r="I289" s="24"/>
      <c r="J289" s="24"/>
      <c r="K289" s="23"/>
      <c r="L289" s="23"/>
      <c r="M289" s="23"/>
      <c r="N289" s="23"/>
      <c r="O289" s="12"/>
      <c r="P289" s="12"/>
      <c r="Q289" s="12"/>
      <c r="R289" s="12"/>
      <c r="S289" s="12"/>
    </row>
    <row r="290" ht="16.5" spans="1:19">
      <c r="A290" s="22"/>
      <c r="B290" s="12"/>
      <c r="C290" s="12"/>
      <c r="D290" s="12"/>
      <c r="E290" s="12"/>
      <c r="F290" s="12"/>
      <c r="G290" s="23"/>
      <c r="H290" s="23"/>
      <c r="I290" s="24"/>
      <c r="J290" s="24"/>
      <c r="K290" s="23"/>
      <c r="L290" s="23"/>
      <c r="M290" s="23"/>
      <c r="N290" s="23"/>
      <c r="O290" s="12"/>
      <c r="P290" s="12"/>
      <c r="Q290" s="12"/>
      <c r="R290" s="12"/>
      <c r="S290" s="12"/>
    </row>
    <row r="291" ht="16.5" spans="1:19">
      <c r="A291" s="22"/>
      <c r="B291" s="12"/>
      <c r="C291" s="12"/>
      <c r="D291" s="12"/>
      <c r="E291" s="12"/>
      <c r="F291" s="12"/>
      <c r="G291" s="23"/>
      <c r="H291" s="23"/>
      <c r="I291" s="24"/>
      <c r="J291" s="24"/>
      <c r="K291" s="23"/>
      <c r="L291" s="23"/>
      <c r="M291" s="23"/>
      <c r="N291" s="23"/>
      <c r="O291" s="12"/>
      <c r="P291" s="12"/>
      <c r="Q291" s="12"/>
      <c r="R291" s="12"/>
      <c r="S291" s="12"/>
    </row>
    <row r="292" ht="16.5" spans="1:19">
      <c r="A292" s="22"/>
      <c r="B292" s="12"/>
      <c r="C292" s="12"/>
      <c r="D292" s="12"/>
      <c r="E292" s="12"/>
      <c r="F292" s="12"/>
      <c r="G292" s="23"/>
      <c r="H292" s="23"/>
      <c r="I292" s="24"/>
      <c r="J292" s="24"/>
      <c r="K292" s="23"/>
      <c r="L292" s="23"/>
      <c r="M292" s="23"/>
      <c r="N292" s="23"/>
      <c r="O292" s="12"/>
      <c r="P292" s="12"/>
      <c r="Q292" s="12"/>
      <c r="R292" s="12"/>
      <c r="S292" s="12"/>
    </row>
    <row r="293" ht="16.5" spans="1:19">
      <c r="A293" s="22"/>
      <c r="B293" s="12"/>
      <c r="C293" s="12"/>
      <c r="D293" s="12"/>
      <c r="E293" s="12"/>
      <c r="F293" s="12"/>
      <c r="G293" s="23"/>
      <c r="H293" s="23"/>
      <c r="I293" s="24"/>
      <c r="J293" s="24"/>
      <c r="K293" s="23"/>
      <c r="L293" s="23"/>
      <c r="M293" s="23"/>
      <c r="N293" s="23"/>
      <c r="O293" s="12"/>
      <c r="P293" s="12"/>
      <c r="Q293" s="12"/>
      <c r="R293" s="12"/>
      <c r="S293" s="12"/>
    </row>
    <row r="294" ht="16.5" spans="1:19">
      <c r="A294" s="22"/>
      <c r="B294" s="12"/>
      <c r="C294" s="12"/>
      <c r="D294" s="12"/>
      <c r="E294" s="12"/>
      <c r="F294" s="12"/>
      <c r="G294" s="23"/>
      <c r="H294" s="23"/>
      <c r="I294" s="24"/>
      <c r="J294" s="24"/>
      <c r="K294" s="23"/>
      <c r="L294" s="23"/>
      <c r="M294" s="23"/>
      <c r="N294" s="23"/>
      <c r="O294" s="12"/>
      <c r="P294" s="12"/>
      <c r="Q294" s="12"/>
      <c r="R294" s="12"/>
      <c r="S294" s="12"/>
    </row>
    <row r="295" ht="16.5" spans="1:19">
      <c r="A295" s="22"/>
      <c r="B295" s="12"/>
      <c r="C295" s="12"/>
      <c r="D295" s="12"/>
      <c r="E295" s="12"/>
      <c r="F295" s="12"/>
      <c r="G295" s="23"/>
      <c r="H295" s="23"/>
      <c r="I295" s="24"/>
      <c r="J295" s="24"/>
      <c r="K295" s="23"/>
      <c r="L295" s="23"/>
      <c r="M295" s="23"/>
      <c r="N295" s="23"/>
      <c r="O295" s="12"/>
      <c r="P295" s="12"/>
      <c r="Q295" s="12"/>
      <c r="R295" s="12"/>
      <c r="S295" s="12"/>
    </row>
    <row r="296" ht="16.5" spans="1:19">
      <c r="A296" s="22"/>
      <c r="B296" s="12"/>
      <c r="C296" s="12"/>
      <c r="D296" s="12"/>
      <c r="E296" s="12"/>
      <c r="F296" s="12"/>
      <c r="G296" s="23"/>
      <c r="H296" s="23"/>
      <c r="I296" s="24"/>
      <c r="J296" s="24"/>
      <c r="K296" s="23"/>
      <c r="L296" s="23"/>
      <c r="M296" s="23"/>
      <c r="N296" s="23"/>
      <c r="O296" s="12"/>
      <c r="P296" s="12"/>
      <c r="Q296" s="12"/>
      <c r="R296" s="12"/>
      <c r="S296" s="12"/>
    </row>
    <row r="297" ht="16.5" spans="1:19">
      <c r="A297" s="22"/>
      <c r="B297" s="12"/>
      <c r="C297" s="12"/>
      <c r="D297" s="12"/>
      <c r="E297" s="12"/>
      <c r="F297" s="12"/>
      <c r="G297" s="23"/>
      <c r="H297" s="23"/>
      <c r="I297" s="24"/>
      <c r="J297" s="24"/>
      <c r="K297" s="23"/>
      <c r="L297" s="23"/>
      <c r="M297" s="23"/>
      <c r="N297" s="23"/>
      <c r="O297" s="12"/>
      <c r="P297" s="12"/>
      <c r="Q297" s="12"/>
      <c r="R297" s="12"/>
      <c r="S297" s="12"/>
    </row>
    <row r="298" ht="16.5" spans="1:19">
      <c r="A298" s="22"/>
      <c r="B298" s="12"/>
      <c r="C298" s="12"/>
      <c r="D298" s="12"/>
      <c r="E298" s="12"/>
      <c r="F298" s="12"/>
      <c r="G298" s="23"/>
      <c r="H298" s="23"/>
      <c r="I298" s="24"/>
      <c r="J298" s="24"/>
      <c r="K298" s="23"/>
      <c r="L298" s="23"/>
      <c r="M298" s="23"/>
      <c r="N298" s="23"/>
      <c r="O298" s="12"/>
      <c r="P298" s="12"/>
      <c r="Q298" s="12"/>
      <c r="R298" s="12"/>
      <c r="S298" s="12"/>
    </row>
    <row r="299" ht="16.5" spans="1:19">
      <c r="A299" s="22"/>
      <c r="B299" s="12"/>
      <c r="C299" s="12"/>
      <c r="D299" s="12"/>
      <c r="E299" s="12"/>
      <c r="F299" s="12"/>
      <c r="G299" s="23"/>
      <c r="H299" s="23"/>
      <c r="I299" s="24"/>
      <c r="J299" s="24"/>
      <c r="K299" s="23"/>
      <c r="L299" s="23"/>
      <c r="M299" s="23"/>
      <c r="N299" s="23"/>
      <c r="O299" s="12"/>
      <c r="P299" s="12"/>
      <c r="Q299" s="12"/>
      <c r="R299" s="12"/>
      <c r="S299" s="12"/>
    </row>
    <row r="300" ht="16.5" spans="1:19">
      <c r="A300" s="22"/>
      <c r="B300" s="12"/>
      <c r="C300" s="12"/>
      <c r="D300" s="12"/>
      <c r="E300" s="12"/>
      <c r="F300" s="12"/>
      <c r="G300" s="23"/>
      <c r="H300" s="23"/>
      <c r="I300" s="24"/>
      <c r="J300" s="24"/>
      <c r="K300" s="23"/>
      <c r="L300" s="23"/>
      <c r="M300" s="23"/>
      <c r="N300" s="23"/>
      <c r="O300" s="12"/>
      <c r="P300" s="12"/>
      <c r="Q300" s="12"/>
      <c r="R300" s="12"/>
      <c r="S300" s="12"/>
    </row>
    <row r="301" ht="16.5" spans="1:19">
      <c r="A301" s="22"/>
      <c r="B301" s="12"/>
      <c r="C301" s="12"/>
      <c r="D301" s="12"/>
      <c r="E301" s="12"/>
      <c r="F301" s="12"/>
      <c r="G301" s="23"/>
      <c r="H301" s="23"/>
      <c r="I301" s="24"/>
      <c r="J301" s="24"/>
      <c r="K301" s="23"/>
      <c r="L301" s="23"/>
      <c r="M301" s="23"/>
      <c r="N301" s="23"/>
      <c r="O301" s="12"/>
      <c r="P301" s="12"/>
      <c r="Q301" s="12"/>
      <c r="R301" s="12"/>
      <c r="S301" s="12"/>
    </row>
    <row r="302" ht="16.5" spans="1:19">
      <c r="A302" s="22"/>
      <c r="B302" s="12"/>
      <c r="C302" s="12"/>
      <c r="D302" s="12"/>
      <c r="E302" s="12"/>
      <c r="F302" s="12"/>
      <c r="G302" s="23"/>
      <c r="H302" s="23"/>
      <c r="I302" s="24"/>
      <c r="J302" s="24"/>
      <c r="K302" s="23"/>
      <c r="L302" s="23"/>
      <c r="M302" s="23"/>
      <c r="N302" s="23"/>
      <c r="O302" s="12"/>
      <c r="P302" s="12"/>
      <c r="Q302" s="12"/>
      <c r="R302" s="12"/>
      <c r="S302" s="12"/>
    </row>
    <row r="303" ht="16.5" spans="1:19">
      <c r="A303" s="22"/>
      <c r="B303" s="12"/>
      <c r="C303" s="12"/>
      <c r="D303" s="12"/>
      <c r="E303" s="12"/>
      <c r="F303" s="12"/>
      <c r="G303" s="23"/>
      <c r="H303" s="23"/>
      <c r="I303" s="24"/>
      <c r="J303" s="24"/>
      <c r="K303" s="23"/>
      <c r="L303" s="23"/>
      <c r="M303" s="23"/>
      <c r="N303" s="23"/>
      <c r="O303" s="12"/>
      <c r="P303" s="12"/>
      <c r="Q303" s="12"/>
      <c r="R303" s="12"/>
      <c r="S303" s="12"/>
    </row>
    <row r="304" ht="16.5" spans="1:19">
      <c r="A304" s="22"/>
      <c r="B304" s="12"/>
      <c r="C304" s="12"/>
      <c r="D304" s="12"/>
      <c r="E304" s="12"/>
      <c r="F304" s="12"/>
      <c r="G304" s="23"/>
      <c r="H304" s="23"/>
      <c r="I304" s="24"/>
      <c r="J304" s="24"/>
      <c r="K304" s="23"/>
      <c r="L304" s="23"/>
      <c r="M304" s="23"/>
      <c r="N304" s="23"/>
      <c r="O304" s="12"/>
      <c r="P304" s="12"/>
      <c r="Q304" s="12"/>
      <c r="R304" s="12"/>
      <c r="S304" s="12"/>
    </row>
    <row r="305" ht="16.5" spans="1:19">
      <c r="A305" s="22"/>
      <c r="B305" s="12"/>
      <c r="C305" s="12"/>
      <c r="D305" s="12"/>
      <c r="E305" s="12"/>
      <c r="F305" s="12"/>
      <c r="G305" s="23"/>
      <c r="H305" s="23"/>
      <c r="I305" s="24"/>
      <c r="J305" s="24"/>
      <c r="K305" s="23"/>
      <c r="L305" s="23"/>
      <c r="M305" s="23"/>
      <c r="N305" s="23"/>
      <c r="O305" s="12"/>
      <c r="P305" s="12"/>
      <c r="Q305" s="12"/>
      <c r="R305" s="12"/>
      <c r="S305" s="12"/>
    </row>
    <row r="306" ht="16.5" spans="1:19">
      <c r="A306" s="22"/>
      <c r="B306" s="12"/>
      <c r="C306" s="12"/>
      <c r="D306" s="12"/>
      <c r="E306" s="12"/>
      <c r="F306" s="12"/>
      <c r="G306" s="23"/>
      <c r="H306" s="23"/>
      <c r="I306" s="24"/>
      <c r="J306" s="24"/>
      <c r="K306" s="23"/>
      <c r="L306" s="23"/>
      <c r="M306" s="23"/>
      <c r="N306" s="23"/>
      <c r="O306" s="12"/>
      <c r="P306" s="12"/>
      <c r="Q306" s="12"/>
      <c r="R306" s="12"/>
      <c r="S306" s="12"/>
    </row>
    <row r="307" ht="16.5" spans="1:19">
      <c r="A307" s="22"/>
      <c r="B307" s="12"/>
      <c r="C307" s="12"/>
      <c r="D307" s="12"/>
      <c r="E307" s="12"/>
      <c r="F307" s="12"/>
      <c r="G307" s="23"/>
      <c r="H307" s="23"/>
      <c r="I307" s="24"/>
      <c r="J307" s="24"/>
      <c r="K307" s="23"/>
      <c r="L307" s="23"/>
      <c r="M307" s="23"/>
      <c r="N307" s="23"/>
      <c r="O307" s="12"/>
      <c r="P307" s="12"/>
      <c r="Q307" s="12"/>
      <c r="R307" s="12"/>
      <c r="S307" s="12"/>
    </row>
    <row r="308" ht="16.5" spans="1:19">
      <c r="A308" s="22"/>
      <c r="B308" s="12"/>
      <c r="C308" s="12"/>
      <c r="D308" s="12"/>
      <c r="E308" s="12"/>
      <c r="F308" s="12"/>
      <c r="G308" s="23"/>
      <c r="H308" s="23"/>
      <c r="I308" s="24"/>
      <c r="J308" s="24"/>
      <c r="K308" s="23"/>
      <c r="L308" s="23"/>
      <c r="M308" s="23"/>
      <c r="N308" s="23"/>
      <c r="O308" s="12"/>
      <c r="P308" s="12"/>
      <c r="Q308" s="12"/>
      <c r="R308" s="12"/>
      <c r="S308" s="12"/>
    </row>
    <row r="309" ht="16.5" spans="1:19">
      <c r="A309" s="22"/>
      <c r="B309" s="12"/>
      <c r="C309" s="12"/>
      <c r="D309" s="12"/>
      <c r="E309" s="12"/>
      <c r="F309" s="12"/>
      <c r="G309" s="23"/>
      <c r="H309" s="23"/>
      <c r="I309" s="24"/>
      <c r="J309" s="24"/>
      <c r="K309" s="23"/>
      <c r="L309" s="23"/>
      <c r="M309" s="23"/>
      <c r="N309" s="23"/>
      <c r="O309" s="12"/>
      <c r="P309" s="12"/>
      <c r="Q309" s="12"/>
      <c r="R309" s="12"/>
      <c r="S309" s="12"/>
    </row>
    <row r="310" ht="16.5" spans="1:19">
      <c r="A310" s="22"/>
      <c r="B310" s="12"/>
      <c r="C310" s="12"/>
      <c r="D310" s="12"/>
      <c r="E310" s="12"/>
      <c r="F310" s="12"/>
      <c r="G310" s="23"/>
      <c r="H310" s="23"/>
      <c r="I310" s="24"/>
      <c r="J310" s="24"/>
      <c r="K310" s="23"/>
      <c r="L310" s="23"/>
      <c r="M310" s="23"/>
      <c r="N310" s="23"/>
      <c r="O310" s="12"/>
      <c r="P310" s="12"/>
      <c r="Q310" s="12"/>
      <c r="R310" s="12"/>
      <c r="S310" s="12"/>
    </row>
    <row r="311" ht="16.5" spans="1:19">
      <c r="A311" s="22"/>
      <c r="B311" s="12"/>
      <c r="C311" s="12"/>
      <c r="D311" s="12"/>
      <c r="E311" s="12"/>
      <c r="F311" s="12"/>
      <c r="G311" s="23"/>
      <c r="H311" s="23"/>
      <c r="I311" s="24"/>
      <c r="J311" s="24"/>
      <c r="K311" s="23"/>
      <c r="L311" s="23"/>
      <c r="M311" s="23"/>
      <c r="N311" s="23"/>
      <c r="O311" s="12"/>
      <c r="P311" s="12"/>
      <c r="Q311" s="12"/>
      <c r="R311" s="12"/>
      <c r="S311" s="12"/>
    </row>
    <row r="312" ht="16.5" spans="1:19">
      <c r="A312" s="22"/>
      <c r="B312" s="12"/>
      <c r="C312" s="12"/>
      <c r="D312" s="12"/>
      <c r="E312" s="12"/>
      <c r="F312" s="12"/>
      <c r="G312" s="23"/>
      <c r="H312" s="23"/>
      <c r="I312" s="24"/>
      <c r="J312" s="24"/>
      <c r="K312" s="23"/>
      <c r="L312" s="23"/>
      <c r="M312" s="23"/>
      <c r="N312" s="23"/>
      <c r="O312" s="12"/>
      <c r="P312" s="12"/>
      <c r="Q312" s="12"/>
      <c r="R312" s="12"/>
      <c r="S312" s="12"/>
    </row>
    <row r="313" ht="16.5" spans="1:19">
      <c r="A313" s="22"/>
      <c r="B313" s="12"/>
      <c r="C313" s="12"/>
      <c r="D313" s="12"/>
      <c r="E313" s="12"/>
      <c r="F313" s="12"/>
      <c r="G313" s="23"/>
      <c r="H313" s="23"/>
      <c r="I313" s="24"/>
      <c r="J313" s="24"/>
      <c r="K313" s="23"/>
      <c r="L313" s="23"/>
      <c r="M313" s="23"/>
      <c r="N313" s="23"/>
      <c r="O313" s="12"/>
      <c r="P313" s="12"/>
      <c r="Q313" s="12"/>
      <c r="R313" s="12"/>
      <c r="S313" s="12"/>
    </row>
    <row r="314" ht="16.5" spans="1:19">
      <c r="A314" s="22"/>
      <c r="B314" s="12"/>
      <c r="C314" s="12"/>
      <c r="D314" s="12"/>
      <c r="E314" s="12"/>
      <c r="F314" s="12"/>
      <c r="G314" s="23"/>
      <c r="H314" s="23"/>
      <c r="I314" s="24"/>
      <c r="J314" s="24"/>
      <c r="K314" s="23"/>
      <c r="L314" s="23"/>
      <c r="M314" s="23"/>
      <c r="N314" s="23"/>
      <c r="O314" s="12"/>
      <c r="P314" s="12"/>
      <c r="Q314" s="12"/>
      <c r="R314" s="12"/>
      <c r="S314" s="12"/>
    </row>
    <row r="315" ht="16.5" spans="1:19">
      <c r="A315" s="22"/>
      <c r="B315" s="12"/>
      <c r="C315" s="12"/>
      <c r="D315" s="12"/>
      <c r="E315" s="12"/>
      <c r="F315" s="12"/>
      <c r="G315" s="23"/>
      <c r="H315" s="23"/>
      <c r="I315" s="24"/>
      <c r="J315" s="24"/>
      <c r="K315" s="23"/>
      <c r="L315" s="23"/>
      <c r="M315" s="23"/>
      <c r="N315" s="23"/>
      <c r="O315" s="12"/>
      <c r="P315" s="12"/>
      <c r="Q315" s="12"/>
      <c r="R315" s="12"/>
      <c r="S315" s="12"/>
    </row>
    <row r="316" ht="16.5" spans="1:19">
      <c r="A316" s="22"/>
      <c r="B316" s="12"/>
      <c r="C316" s="12"/>
      <c r="D316" s="12"/>
      <c r="E316" s="12"/>
      <c r="F316" s="12"/>
      <c r="G316" s="23"/>
      <c r="H316" s="23"/>
      <c r="I316" s="24"/>
      <c r="J316" s="24"/>
      <c r="K316" s="23"/>
      <c r="L316" s="23"/>
      <c r="M316" s="23"/>
      <c r="N316" s="23"/>
      <c r="O316" s="12"/>
      <c r="P316" s="12"/>
      <c r="Q316" s="12"/>
      <c r="R316" s="12"/>
      <c r="S316" s="12"/>
    </row>
    <row r="317" ht="16.5" spans="1:19">
      <c r="A317" s="22"/>
      <c r="B317" s="12"/>
      <c r="C317" s="12"/>
      <c r="D317" s="12"/>
      <c r="E317" s="12"/>
      <c r="F317" s="12"/>
      <c r="G317" s="23"/>
      <c r="H317" s="23"/>
      <c r="I317" s="24"/>
      <c r="J317" s="24"/>
      <c r="K317" s="23"/>
      <c r="L317" s="23"/>
      <c r="M317" s="23"/>
      <c r="N317" s="23"/>
      <c r="O317" s="12"/>
      <c r="P317" s="12"/>
      <c r="Q317" s="12"/>
      <c r="R317" s="12"/>
      <c r="S317" s="12"/>
    </row>
    <row r="318" ht="16.5" spans="1:19">
      <c r="A318" s="22"/>
      <c r="B318" s="12"/>
      <c r="C318" s="12"/>
      <c r="D318" s="12"/>
      <c r="E318" s="12"/>
      <c r="F318" s="12"/>
      <c r="G318" s="23"/>
      <c r="H318" s="23"/>
      <c r="I318" s="24"/>
      <c r="J318" s="24"/>
      <c r="K318" s="23"/>
      <c r="L318" s="23"/>
      <c r="M318" s="23"/>
      <c r="N318" s="23"/>
      <c r="O318" s="12"/>
      <c r="P318" s="12"/>
      <c r="Q318" s="12"/>
      <c r="R318" s="12"/>
      <c r="S318" s="12"/>
    </row>
    <row r="319" ht="16.5" spans="1:19">
      <c r="A319" s="22"/>
      <c r="B319" s="12"/>
      <c r="C319" s="12"/>
      <c r="D319" s="12"/>
      <c r="E319" s="12"/>
      <c r="F319" s="12"/>
      <c r="G319" s="23"/>
      <c r="H319" s="23"/>
      <c r="I319" s="24"/>
      <c r="J319" s="24"/>
      <c r="K319" s="23"/>
      <c r="L319" s="23"/>
      <c r="M319" s="23"/>
      <c r="N319" s="23"/>
      <c r="O319" s="12"/>
      <c r="P319" s="12"/>
      <c r="Q319" s="12"/>
      <c r="R319" s="12"/>
      <c r="S319" s="12"/>
    </row>
    <row r="320" ht="16.5" spans="1:19">
      <c r="A320" s="22"/>
      <c r="B320" s="12"/>
      <c r="C320" s="12"/>
      <c r="D320" s="12"/>
      <c r="E320" s="12"/>
      <c r="F320" s="12"/>
      <c r="G320" s="23"/>
      <c r="H320" s="23"/>
      <c r="I320" s="24"/>
      <c r="J320" s="24"/>
      <c r="K320" s="23"/>
      <c r="L320" s="23"/>
      <c r="M320" s="23"/>
      <c r="N320" s="23"/>
      <c r="O320" s="12"/>
      <c r="P320" s="12"/>
      <c r="Q320" s="12"/>
      <c r="R320" s="12"/>
      <c r="S320" s="12"/>
    </row>
    <row r="321" ht="16.5" spans="1:19">
      <c r="A321" s="22"/>
      <c r="B321" s="12"/>
      <c r="C321" s="12"/>
      <c r="D321" s="12"/>
      <c r="E321" s="12"/>
      <c r="F321" s="12"/>
      <c r="G321" s="23"/>
      <c r="H321" s="23"/>
      <c r="I321" s="24"/>
      <c r="J321" s="24"/>
      <c r="K321" s="23"/>
      <c r="L321" s="23"/>
      <c r="M321" s="23"/>
      <c r="N321" s="23"/>
      <c r="O321" s="12"/>
      <c r="P321" s="12"/>
      <c r="Q321" s="12"/>
      <c r="R321" s="12"/>
      <c r="S321" s="12"/>
    </row>
    <row r="322" ht="16.5" spans="1:19">
      <c r="A322" s="22"/>
      <c r="B322" s="12"/>
      <c r="C322" s="12"/>
      <c r="D322" s="12"/>
      <c r="E322" s="12"/>
      <c r="F322" s="12"/>
      <c r="G322" s="23"/>
      <c r="H322" s="23"/>
      <c r="I322" s="24"/>
      <c r="J322" s="24"/>
      <c r="K322" s="23"/>
      <c r="L322" s="23"/>
      <c r="M322" s="23"/>
      <c r="N322" s="23"/>
      <c r="O322" s="12"/>
      <c r="P322" s="12"/>
      <c r="Q322" s="12"/>
      <c r="R322" s="12"/>
      <c r="S322" s="12"/>
    </row>
    <row r="323" ht="16.5" spans="1:19">
      <c r="A323" s="22"/>
      <c r="B323" s="12"/>
      <c r="C323" s="12"/>
      <c r="D323" s="12"/>
      <c r="E323" s="12"/>
      <c r="F323" s="12"/>
      <c r="G323" s="23"/>
      <c r="H323" s="23"/>
      <c r="I323" s="24"/>
      <c r="J323" s="24"/>
      <c r="K323" s="23"/>
      <c r="L323" s="23"/>
      <c r="M323" s="23"/>
      <c r="N323" s="23"/>
      <c r="O323" s="12"/>
      <c r="P323" s="12"/>
      <c r="Q323" s="12"/>
      <c r="R323" s="12"/>
      <c r="S323" s="12"/>
    </row>
    <row r="324" ht="16.5" spans="1:19">
      <c r="A324" s="22"/>
      <c r="B324" s="12"/>
      <c r="C324" s="12"/>
      <c r="D324" s="12"/>
      <c r="E324" s="12"/>
      <c r="F324" s="12"/>
      <c r="G324" s="23"/>
      <c r="H324" s="23"/>
      <c r="I324" s="24"/>
      <c r="J324" s="24"/>
      <c r="K324" s="23"/>
      <c r="L324" s="23"/>
      <c r="M324" s="23"/>
      <c r="N324" s="23"/>
      <c r="O324" s="12"/>
      <c r="P324" s="12"/>
      <c r="Q324" s="12"/>
      <c r="R324" s="12"/>
      <c r="S324" s="12"/>
    </row>
    <row r="325" ht="16.5" spans="1:19">
      <c r="A325" s="22"/>
      <c r="B325" s="12"/>
      <c r="C325" s="12"/>
      <c r="D325" s="12"/>
      <c r="E325" s="12"/>
      <c r="F325" s="12"/>
      <c r="G325" s="23"/>
      <c r="H325" s="23"/>
      <c r="I325" s="24"/>
      <c r="J325" s="24"/>
      <c r="K325" s="23"/>
      <c r="L325" s="23"/>
      <c r="M325" s="23"/>
      <c r="N325" s="23"/>
      <c r="O325" s="12"/>
      <c r="P325" s="12"/>
      <c r="Q325" s="12"/>
      <c r="R325" s="12"/>
      <c r="S325" s="12"/>
    </row>
    <row r="326" ht="16.5" spans="1:19">
      <c r="A326" s="22"/>
      <c r="B326" s="12"/>
      <c r="C326" s="12"/>
      <c r="D326" s="12"/>
      <c r="E326" s="12"/>
      <c r="F326" s="12"/>
      <c r="G326" s="23"/>
      <c r="H326" s="23"/>
      <c r="I326" s="24"/>
      <c r="J326" s="24"/>
      <c r="K326" s="23"/>
      <c r="L326" s="23"/>
      <c r="M326" s="23"/>
      <c r="N326" s="23"/>
      <c r="O326" s="12"/>
      <c r="P326" s="12"/>
      <c r="Q326" s="12"/>
      <c r="R326" s="12"/>
      <c r="S326" s="12"/>
    </row>
    <row r="327" ht="16.5" spans="1:19">
      <c r="A327" s="22"/>
      <c r="B327" s="12"/>
      <c r="C327" s="12"/>
      <c r="D327" s="12"/>
      <c r="E327" s="12"/>
      <c r="F327" s="12"/>
      <c r="G327" s="23"/>
      <c r="H327" s="23"/>
      <c r="I327" s="24"/>
      <c r="J327" s="24"/>
      <c r="K327" s="23"/>
      <c r="L327" s="23"/>
      <c r="M327" s="23"/>
      <c r="N327" s="23"/>
      <c r="O327" s="12"/>
      <c r="P327" s="12"/>
      <c r="Q327" s="12"/>
      <c r="R327" s="12"/>
      <c r="S327" s="12"/>
    </row>
    <row r="328" ht="16.5" spans="1:19">
      <c r="A328" s="22"/>
      <c r="B328" s="12"/>
      <c r="C328" s="12"/>
      <c r="D328" s="12"/>
      <c r="E328" s="12"/>
      <c r="F328" s="12"/>
      <c r="G328" s="23"/>
      <c r="H328" s="23"/>
      <c r="I328" s="24"/>
      <c r="J328" s="24"/>
      <c r="K328" s="23"/>
      <c r="L328" s="23"/>
      <c r="M328" s="23"/>
      <c r="N328" s="23"/>
      <c r="O328" s="12"/>
      <c r="P328" s="12"/>
      <c r="Q328" s="12"/>
      <c r="R328" s="12"/>
      <c r="S328" s="12"/>
    </row>
    <row r="329" ht="16.5" spans="1:19">
      <c r="A329" s="22"/>
      <c r="B329" s="12"/>
      <c r="C329" s="12"/>
      <c r="D329" s="12"/>
      <c r="E329" s="12"/>
      <c r="F329" s="12"/>
      <c r="G329" s="23"/>
      <c r="H329" s="23"/>
      <c r="I329" s="24"/>
      <c r="J329" s="24"/>
      <c r="K329" s="23"/>
      <c r="L329" s="23"/>
      <c r="M329" s="23"/>
      <c r="N329" s="23"/>
      <c r="O329" s="12"/>
      <c r="P329" s="12"/>
      <c r="Q329" s="12"/>
      <c r="R329" s="12"/>
      <c r="S329" s="12"/>
    </row>
    <row r="330" ht="16.5" spans="1:19">
      <c r="A330" s="22"/>
      <c r="B330" s="12"/>
      <c r="C330" s="12"/>
      <c r="D330" s="12"/>
      <c r="E330" s="12"/>
      <c r="F330" s="12"/>
      <c r="G330" s="23"/>
      <c r="H330" s="23"/>
      <c r="I330" s="24"/>
      <c r="J330" s="24"/>
      <c r="K330" s="23"/>
      <c r="L330" s="23"/>
      <c r="M330" s="23"/>
      <c r="N330" s="23"/>
      <c r="O330" s="12"/>
      <c r="P330" s="12"/>
      <c r="Q330" s="12"/>
      <c r="R330" s="12"/>
      <c r="S330" s="12"/>
    </row>
    <row r="331" ht="16.5" spans="1:19">
      <c r="A331" s="22"/>
      <c r="B331" s="12"/>
      <c r="C331" s="12"/>
      <c r="D331" s="12"/>
      <c r="E331" s="12"/>
      <c r="F331" s="12"/>
      <c r="G331" s="23"/>
      <c r="H331" s="23"/>
      <c r="I331" s="24"/>
      <c r="J331" s="24"/>
      <c r="K331" s="23"/>
      <c r="L331" s="23"/>
      <c r="M331" s="23"/>
      <c r="N331" s="23"/>
      <c r="O331" s="12"/>
      <c r="P331" s="12"/>
      <c r="Q331" s="12"/>
      <c r="R331" s="12"/>
      <c r="S331" s="12"/>
    </row>
    <row r="332" ht="16.5" spans="1:19">
      <c r="A332" s="22"/>
      <c r="B332" s="12"/>
      <c r="C332" s="12"/>
      <c r="D332" s="12"/>
      <c r="E332" s="12"/>
      <c r="F332" s="12"/>
      <c r="G332" s="23"/>
      <c r="H332" s="23"/>
      <c r="I332" s="24"/>
      <c r="J332" s="24"/>
      <c r="K332" s="23"/>
      <c r="L332" s="23"/>
      <c r="M332" s="23"/>
      <c r="N332" s="23"/>
      <c r="O332" s="12"/>
      <c r="P332" s="12"/>
      <c r="Q332" s="12"/>
      <c r="R332" s="12"/>
      <c r="S332" s="12"/>
    </row>
    <row r="333" ht="16.5" spans="1:19">
      <c r="A333" s="22"/>
      <c r="B333" s="12"/>
      <c r="C333" s="12"/>
      <c r="D333" s="12"/>
      <c r="E333" s="12"/>
      <c r="F333" s="12"/>
      <c r="G333" s="23"/>
      <c r="H333" s="23"/>
      <c r="I333" s="24"/>
      <c r="J333" s="24"/>
      <c r="K333" s="23"/>
      <c r="L333" s="23"/>
      <c r="M333" s="23"/>
      <c r="N333" s="23"/>
      <c r="O333" s="12"/>
      <c r="P333" s="12"/>
      <c r="Q333" s="12"/>
      <c r="R333" s="12"/>
      <c r="S333" s="12"/>
    </row>
    <row r="334" ht="16.5" spans="1:19">
      <c r="A334" s="22"/>
      <c r="B334" s="12"/>
      <c r="C334" s="12"/>
      <c r="D334" s="12"/>
      <c r="E334" s="12"/>
      <c r="F334" s="12"/>
      <c r="G334" s="23"/>
      <c r="H334" s="23"/>
      <c r="I334" s="24"/>
      <c r="J334" s="24"/>
      <c r="K334" s="23"/>
      <c r="L334" s="23"/>
      <c r="M334" s="23"/>
      <c r="N334" s="23"/>
      <c r="O334" s="12"/>
      <c r="P334" s="12"/>
      <c r="Q334" s="12"/>
      <c r="R334" s="12"/>
      <c r="S334" s="12"/>
    </row>
    <row r="335" ht="16.5" spans="1:19">
      <c r="A335" s="22"/>
      <c r="B335" s="12"/>
      <c r="C335" s="12"/>
      <c r="D335" s="12"/>
      <c r="E335" s="12"/>
      <c r="F335" s="12"/>
      <c r="G335" s="23"/>
      <c r="H335" s="23"/>
      <c r="I335" s="24"/>
      <c r="J335" s="24"/>
      <c r="K335" s="23"/>
      <c r="L335" s="23"/>
      <c r="M335" s="23"/>
      <c r="N335" s="23"/>
      <c r="O335" s="12"/>
      <c r="P335" s="12"/>
      <c r="Q335" s="12"/>
      <c r="R335" s="12"/>
      <c r="S335" s="12"/>
    </row>
    <row r="336" ht="16.5" spans="1:19">
      <c r="A336" s="22"/>
      <c r="B336" s="12"/>
      <c r="C336" s="12"/>
      <c r="D336" s="12"/>
      <c r="E336" s="12"/>
      <c r="F336" s="12"/>
      <c r="G336" s="23"/>
      <c r="H336" s="23"/>
      <c r="I336" s="24"/>
      <c r="J336" s="24"/>
      <c r="K336" s="23"/>
      <c r="L336" s="23"/>
      <c r="M336" s="23"/>
      <c r="N336" s="23"/>
      <c r="O336" s="12"/>
      <c r="P336" s="12"/>
      <c r="Q336" s="12"/>
      <c r="R336" s="12"/>
      <c r="S336" s="12"/>
    </row>
    <row r="337" ht="16.5" spans="1:19">
      <c r="A337" s="22"/>
      <c r="B337" s="12"/>
      <c r="C337" s="12"/>
      <c r="D337" s="12"/>
      <c r="E337" s="12"/>
      <c r="F337" s="12"/>
      <c r="G337" s="23"/>
      <c r="H337" s="23"/>
      <c r="I337" s="24"/>
      <c r="J337" s="24"/>
      <c r="K337" s="23"/>
      <c r="L337" s="23"/>
      <c r="M337" s="23"/>
      <c r="N337" s="23"/>
      <c r="O337" s="12"/>
      <c r="P337" s="12"/>
      <c r="Q337" s="12"/>
      <c r="R337" s="12"/>
      <c r="S337" s="12"/>
    </row>
    <row r="338" ht="16.5" spans="1:19">
      <c r="A338" s="22"/>
      <c r="B338" s="12"/>
      <c r="C338" s="12"/>
      <c r="D338" s="12"/>
      <c r="E338" s="12"/>
      <c r="F338" s="12"/>
      <c r="G338" s="23"/>
      <c r="H338" s="23"/>
      <c r="I338" s="24"/>
      <c r="J338" s="24"/>
      <c r="K338" s="23"/>
      <c r="L338" s="23"/>
      <c r="M338" s="23"/>
      <c r="N338" s="23"/>
      <c r="O338" s="12"/>
      <c r="P338" s="12"/>
      <c r="Q338" s="12"/>
      <c r="R338" s="12"/>
      <c r="S338" s="12"/>
    </row>
    <row r="339" ht="16.5" spans="1:19">
      <c r="A339" s="22"/>
      <c r="B339" s="12"/>
      <c r="C339" s="12"/>
      <c r="D339" s="12"/>
      <c r="E339" s="12"/>
      <c r="F339" s="12"/>
      <c r="G339" s="23"/>
      <c r="H339" s="23"/>
      <c r="I339" s="24"/>
      <c r="J339" s="24"/>
      <c r="K339" s="23"/>
      <c r="L339" s="23"/>
      <c r="M339" s="23"/>
      <c r="N339" s="23"/>
      <c r="O339" s="12"/>
      <c r="P339" s="12"/>
      <c r="Q339" s="12"/>
      <c r="R339" s="12"/>
      <c r="S339" s="12"/>
    </row>
    <row r="340" ht="16.5" spans="1:19">
      <c r="A340" s="22"/>
      <c r="B340" s="12"/>
      <c r="C340" s="12"/>
      <c r="D340" s="12"/>
      <c r="E340" s="12"/>
      <c r="F340" s="12"/>
      <c r="G340" s="23"/>
      <c r="H340" s="23"/>
      <c r="I340" s="24"/>
      <c r="J340" s="24"/>
      <c r="K340" s="23"/>
      <c r="L340" s="23"/>
      <c r="M340" s="23"/>
      <c r="N340" s="23"/>
      <c r="O340" s="12"/>
      <c r="P340" s="12"/>
      <c r="Q340" s="12"/>
      <c r="R340" s="12"/>
      <c r="S340" s="12"/>
    </row>
    <row r="341" ht="16.5" spans="1:19">
      <c r="A341" s="22"/>
      <c r="B341" s="12"/>
      <c r="C341" s="12"/>
      <c r="D341" s="12"/>
      <c r="E341" s="12"/>
      <c r="F341" s="12"/>
      <c r="G341" s="23"/>
      <c r="H341" s="23"/>
      <c r="I341" s="24"/>
      <c r="J341" s="24"/>
      <c r="K341" s="23"/>
      <c r="L341" s="23"/>
      <c r="M341" s="23"/>
      <c r="N341" s="23"/>
      <c r="O341" s="12"/>
      <c r="P341" s="12"/>
      <c r="Q341" s="12"/>
      <c r="R341" s="12"/>
      <c r="S341" s="12"/>
    </row>
    <row r="342" ht="16.5" spans="1:19">
      <c r="A342" s="22"/>
      <c r="B342" s="12"/>
      <c r="C342" s="12"/>
      <c r="D342" s="12"/>
      <c r="E342" s="12"/>
      <c r="F342" s="12"/>
      <c r="G342" s="23"/>
      <c r="H342" s="23"/>
      <c r="I342" s="24"/>
      <c r="J342" s="24"/>
      <c r="K342" s="23"/>
      <c r="L342" s="23"/>
      <c r="M342" s="23"/>
      <c r="N342" s="23"/>
      <c r="O342" s="12"/>
      <c r="P342" s="12"/>
      <c r="Q342" s="12"/>
      <c r="R342" s="12"/>
      <c r="S342" s="12"/>
    </row>
    <row r="343" ht="16.5" spans="1:19">
      <c r="A343" s="22"/>
      <c r="B343" s="12"/>
      <c r="C343" s="12"/>
      <c r="D343" s="12"/>
      <c r="E343" s="12"/>
      <c r="F343" s="12"/>
      <c r="G343" s="23"/>
      <c r="H343" s="23"/>
      <c r="I343" s="24"/>
      <c r="J343" s="24"/>
      <c r="K343" s="23"/>
      <c r="L343" s="23"/>
      <c r="M343" s="23"/>
      <c r="N343" s="23"/>
      <c r="O343" s="12"/>
      <c r="P343" s="12"/>
      <c r="Q343" s="12"/>
      <c r="R343" s="12"/>
      <c r="S343" s="12"/>
    </row>
    <row r="344" ht="16.5" spans="1:19">
      <c r="A344" s="22"/>
      <c r="B344" s="12"/>
      <c r="C344" s="12"/>
      <c r="D344" s="12"/>
      <c r="E344" s="12"/>
      <c r="F344" s="12"/>
      <c r="G344" s="23"/>
      <c r="H344" s="23"/>
      <c r="I344" s="24"/>
      <c r="J344" s="24"/>
      <c r="K344" s="23"/>
      <c r="L344" s="23"/>
      <c r="M344" s="23"/>
      <c r="N344" s="23"/>
      <c r="O344" s="12"/>
      <c r="P344" s="12"/>
      <c r="Q344" s="12"/>
      <c r="R344" s="12"/>
      <c r="S344" s="12"/>
    </row>
    <row r="345" ht="16.5" spans="1:19">
      <c r="A345" s="22"/>
      <c r="B345" s="12"/>
      <c r="C345" s="12"/>
      <c r="D345" s="12"/>
      <c r="E345" s="12"/>
      <c r="F345" s="12"/>
      <c r="G345" s="23"/>
      <c r="H345" s="23"/>
      <c r="I345" s="24"/>
      <c r="J345" s="24"/>
      <c r="K345" s="23"/>
      <c r="L345" s="23"/>
      <c r="M345" s="23"/>
      <c r="N345" s="23"/>
      <c r="O345" s="12"/>
      <c r="P345" s="12"/>
      <c r="Q345" s="12"/>
      <c r="R345" s="12"/>
      <c r="S345" s="12"/>
    </row>
    <row r="346" ht="16.5" spans="1:19">
      <c r="A346" s="22"/>
      <c r="B346" s="12"/>
      <c r="C346" s="12"/>
      <c r="D346" s="12"/>
      <c r="E346" s="12"/>
      <c r="F346" s="12"/>
      <c r="G346" s="23"/>
      <c r="H346" s="23"/>
      <c r="I346" s="24"/>
      <c r="J346" s="24"/>
      <c r="K346" s="23"/>
      <c r="L346" s="23"/>
      <c r="M346" s="23"/>
      <c r="N346" s="23"/>
      <c r="O346" s="12"/>
      <c r="P346" s="12"/>
      <c r="Q346" s="12"/>
      <c r="R346" s="12"/>
      <c r="S346" s="12"/>
    </row>
    <row r="347" ht="16.5" spans="1:19">
      <c r="A347" s="22"/>
      <c r="B347" s="12"/>
      <c r="C347" s="12"/>
      <c r="D347" s="12"/>
      <c r="E347" s="12"/>
      <c r="F347" s="12"/>
      <c r="G347" s="23"/>
      <c r="H347" s="23"/>
      <c r="I347" s="24"/>
      <c r="J347" s="24"/>
      <c r="K347" s="23"/>
      <c r="L347" s="23"/>
      <c r="M347" s="23"/>
      <c r="N347" s="23"/>
      <c r="O347" s="12"/>
      <c r="P347" s="12"/>
      <c r="Q347" s="12"/>
      <c r="R347" s="12"/>
      <c r="S347" s="12"/>
    </row>
    <row r="348" ht="16.5" spans="1:19">
      <c r="A348" s="22"/>
      <c r="B348" s="12"/>
      <c r="C348" s="12"/>
      <c r="D348" s="12"/>
      <c r="E348" s="12"/>
      <c r="F348" s="12"/>
      <c r="G348" s="23"/>
      <c r="H348" s="23"/>
      <c r="I348" s="24"/>
      <c r="J348" s="24"/>
      <c r="K348" s="23"/>
      <c r="L348" s="23"/>
      <c r="M348" s="23"/>
      <c r="N348" s="23"/>
      <c r="O348" s="12"/>
      <c r="P348" s="12"/>
      <c r="Q348" s="12"/>
      <c r="R348" s="12"/>
      <c r="S348" s="12"/>
    </row>
    <row r="349" ht="16.5" spans="1:19">
      <c r="A349" s="22"/>
      <c r="B349" s="12"/>
      <c r="C349" s="12"/>
      <c r="D349" s="12"/>
      <c r="E349" s="12"/>
      <c r="F349" s="12"/>
      <c r="G349" s="23"/>
      <c r="H349" s="23"/>
      <c r="I349" s="24"/>
      <c r="J349" s="24"/>
      <c r="K349" s="23"/>
      <c r="L349" s="23"/>
      <c r="M349" s="23"/>
      <c r="N349" s="23"/>
      <c r="O349" s="12"/>
      <c r="P349" s="12"/>
      <c r="Q349" s="12"/>
      <c r="R349" s="12"/>
      <c r="S349" s="12"/>
    </row>
    <row r="350" ht="16.5" spans="1:19">
      <c r="A350" s="22"/>
      <c r="B350" s="12"/>
      <c r="C350" s="12"/>
      <c r="D350" s="12"/>
      <c r="E350" s="12"/>
      <c r="F350" s="12"/>
      <c r="G350" s="23"/>
      <c r="H350" s="23"/>
      <c r="I350" s="24"/>
      <c r="J350" s="24"/>
      <c r="K350" s="23"/>
      <c r="L350" s="23"/>
      <c r="M350" s="23"/>
      <c r="N350" s="23"/>
      <c r="O350" s="12"/>
      <c r="P350" s="12"/>
      <c r="Q350" s="12"/>
      <c r="R350" s="12"/>
      <c r="S350" s="12"/>
    </row>
    <row r="351" ht="16.5" spans="1:19">
      <c r="A351" s="22"/>
      <c r="B351" s="12"/>
      <c r="C351" s="12"/>
      <c r="D351" s="12"/>
      <c r="E351" s="12"/>
      <c r="F351" s="12"/>
      <c r="G351" s="23"/>
      <c r="H351" s="23"/>
      <c r="I351" s="24"/>
      <c r="J351" s="24"/>
      <c r="K351" s="23"/>
      <c r="L351" s="23"/>
      <c r="M351" s="23"/>
      <c r="N351" s="23"/>
      <c r="O351" s="12"/>
      <c r="P351" s="12"/>
      <c r="Q351" s="12"/>
      <c r="R351" s="12"/>
      <c r="S351" s="12"/>
    </row>
    <row r="352" ht="16.5" spans="1:19">
      <c r="A352" s="22"/>
      <c r="B352" s="12"/>
      <c r="C352" s="12"/>
      <c r="D352" s="12"/>
      <c r="E352" s="12"/>
      <c r="F352" s="12"/>
      <c r="G352" s="23"/>
      <c r="H352" s="23"/>
      <c r="I352" s="24"/>
      <c r="J352" s="24"/>
      <c r="K352" s="23"/>
      <c r="L352" s="23"/>
      <c r="M352" s="23"/>
      <c r="N352" s="23"/>
      <c r="O352" s="12"/>
      <c r="P352" s="12"/>
      <c r="Q352" s="12"/>
      <c r="R352" s="12"/>
      <c r="S352" s="12"/>
    </row>
    <row r="353" ht="16.5" spans="1:19">
      <c r="A353" s="22"/>
      <c r="B353" s="12"/>
      <c r="C353" s="12"/>
      <c r="D353" s="12"/>
      <c r="E353" s="12"/>
      <c r="F353" s="12"/>
      <c r="G353" s="23"/>
      <c r="H353" s="23"/>
      <c r="I353" s="24"/>
      <c r="J353" s="24"/>
      <c r="K353" s="23"/>
      <c r="L353" s="23"/>
      <c r="M353" s="23"/>
      <c r="N353" s="23"/>
      <c r="O353" s="12"/>
      <c r="P353" s="12"/>
      <c r="Q353" s="12"/>
      <c r="R353" s="12"/>
      <c r="S353" s="12"/>
    </row>
    <row r="354" ht="16.5" spans="1:19">
      <c r="A354" s="22"/>
      <c r="B354" s="12"/>
      <c r="C354" s="12"/>
      <c r="D354" s="12"/>
      <c r="E354" s="12"/>
      <c r="F354" s="12"/>
      <c r="G354" s="23"/>
      <c r="H354" s="23"/>
      <c r="I354" s="24"/>
      <c r="J354" s="24"/>
      <c r="K354" s="23"/>
      <c r="L354" s="23"/>
      <c r="M354" s="23"/>
      <c r="N354" s="23"/>
      <c r="O354" s="12"/>
      <c r="P354" s="12"/>
      <c r="Q354" s="12"/>
      <c r="R354" s="12"/>
      <c r="S354" s="12"/>
    </row>
    <row r="355" ht="16.5" spans="1:19">
      <c r="A355" s="22"/>
      <c r="B355" s="12"/>
      <c r="C355" s="12"/>
      <c r="D355" s="12"/>
      <c r="E355" s="12"/>
      <c r="F355" s="12"/>
      <c r="G355" s="23"/>
      <c r="H355" s="23"/>
      <c r="I355" s="24"/>
      <c r="J355" s="24"/>
      <c r="K355" s="23"/>
      <c r="L355" s="23"/>
      <c r="M355" s="23"/>
      <c r="N355" s="23"/>
      <c r="O355" s="12"/>
      <c r="P355" s="12"/>
      <c r="Q355" s="12"/>
      <c r="R355" s="12"/>
      <c r="S355" s="12"/>
    </row>
    <row r="356" ht="16.5" spans="1:19">
      <c r="A356" s="22"/>
      <c r="B356" s="12"/>
      <c r="C356" s="12"/>
      <c r="D356" s="12"/>
      <c r="E356" s="12"/>
      <c r="F356" s="12"/>
      <c r="G356" s="23"/>
      <c r="H356" s="23"/>
      <c r="I356" s="24"/>
      <c r="J356" s="24"/>
      <c r="K356" s="23"/>
      <c r="L356" s="23"/>
      <c r="M356" s="23"/>
      <c r="N356" s="23"/>
      <c r="O356" s="12"/>
      <c r="P356" s="12"/>
      <c r="Q356" s="12"/>
      <c r="R356" s="12"/>
      <c r="S356" s="12"/>
    </row>
    <row r="357" ht="16.5" spans="1:19">
      <c r="A357" s="22"/>
      <c r="B357" s="12"/>
      <c r="C357" s="12"/>
      <c r="D357" s="12"/>
      <c r="E357" s="12"/>
      <c r="F357" s="12"/>
      <c r="G357" s="23"/>
      <c r="H357" s="23"/>
      <c r="I357" s="24"/>
      <c r="J357" s="24"/>
      <c r="K357" s="23"/>
      <c r="L357" s="23"/>
      <c r="M357" s="23"/>
      <c r="N357" s="23"/>
      <c r="O357" s="12"/>
      <c r="P357" s="12"/>
      <c r="Q357" s="12"/>
      <c r="R357" s="12"/>
      <c r="S357" s="12"/>
    </row>
    <row r="358" ht="16.5" spans="1:19">
      <c r="A358" s="22"/>
      <c r="B358" s="12"/>
      <c r="C358" s="12"/>
      <c r="D358" s="12"/>
      <c r="E358" s="12"/>
      <c r="F358" s="12"/>
      <c r="G358" s="23"/>
      <c r="H358" s="23"/>
      <c r="I358" s="24"/>
      <c r="J358" s="24"/>
      <c r="K358" s="23"/>
      <c r="L358" s="23"/>
      <c r="M358" s="23"/>
      <c r="N358" s="23"/>
      <c r="O358" s="12"/>
      <c r="P358" s="12"/>
      <c r="Q358" s="12"/>
      <c r="R358" s="12"/>
      <c r="S358" s="12"/>
    </row>
    <row r="359" ht="16.5" spans="1:19">
      <c r="A359" s="22"/>
      <c r="B359" s="12"/>
      <c r="C359" s="12"/>
      <c r="D359" s="12"/>
      <c r="E359" s="12"/>
      <c r="F359" s="12"/>
      <c r="G359" s="23"/>
      <c r="H359" s="23"/>
      <c r="I359" s="24"/>
      <c r="J359" s="24"/>
      <c r="K359" s="23"/>
      <c r="L359" s="23"/>
      <c r="M359" s="23"/>
      <c r="N359" s="23"/>
      <c r="O359" s="12"/>
      <c r="P359" s="12"/>
      <c r="Q359" s="12"/>
      <c r="R359" s="12"/>
      <c r="S359" s="12"/>
    </row>
    <row r="360" ht="16.5" spans="1:19">
      <c r="A360" s="22"/>
      <c r="B360" s="12"/>
      <c r="C360" s="12"/>
      <c r="D360" s="12"/>
      <c r="E360" s="12"/>
      <c r="F360" s="12"/>
      <c r="G360" s="23"/>
      <c r="H360" s="23"/>
      <c r="I360" s="24"/>
      <c r="J360" s="24"/>
      <c r="K360" s="23"/>
      <c r="L360" s="23"/>
      <c r="M360" s="23"/>
      <c r="N360" s="23"/>
      <c r="O360" s="12"/>
      <c r="P360" s="12"/>
      <c r="Q360" s="12"/>
      <c r="R360" s="12"/>
      <c r="S360" s="12"/>
    </row>
    <row r="361" ht="16.5" spans="1:19">
      <c r="A361" s="22"/>
      <c r="B361" s="12"/>
      <c r="C361" s="12"/>
      <c r="D361" s="12"/>
      <c r="E361" s="12"/>
      <c r="F361" s="12"/>
      <c r="G361" s="23"/>
      <c r="H361" s="23"/>
      <c r="I361" s="24"/>
      <c r="J361" s="24"/>
      <c r="K361" s="23"/>
      <c r="L361" s="23"/>
      <c r="M361" s="23"/>
      <c r="N361" s="23"/>
      <c r="O361" s="12"/>
      <c r="P361" s="12"/>
      <c r="Q361" s="12"/>
      <c r="R361" s="12"/>
      <c r="S361" s="12"/>
    </row>
    <row r="362" ht="16.5" spans="1:19">
      <c r="A362" s="22"/>
      <c r="B362" s="12"/>
      <c r="C362" s="12"/>
      <c r="D362" s="12"/>
      <c r="E362" s="12"/>
      <c r="F362" s="12"/>
      <c r="G362" s="23"/>
      <c r="H362" s="23"/>
      <c r="I362" s="24"/>
      <c r="J362" s="24"/>
      <c r="K362" s="23"/>
      <c r="L362" s="23"/>
      <c r="M362" s="23"/>
      <c r="N362" s="23"/>
      <c r="O362" s="12"/>
      <c r="P362" s="12"/>
      <c r="Q362" s="12"/>
      <c r="R362" s="12"/>
      <c r="S362" s="12"/>
    </row>
    <row r="363" ht="16.5" spans="1:19">
      <c r="A363" s="22"/>
      <c r="B363" s="12"/>
      <c r="C363" s="12"/>
      <c r="D363" s="12"/>
      <c r="E363" s="12"/>
      <c r="F363" s="12"/>
      <c r="G363" s="23"/>
      <c r="H363" s="23"/>
      <c r="I363" s="24"/>
      <c r="J363" s="24"/>
      <c r="K363" s="23"/>
      <c r="L363" s="23"/>
      <c r="M363" s="23"/>
      <c r="N363" s="23"/>
      <c r="O363" s="12"/>
      <c r="P363" s="12"/>
      <c r="Q363" s="12"/>
      <c r="R363" s="12"/>
      <c r="S363" s="12"/>
    </row>
    <row r="364" ht="16.5" spans="1:19">
      <c r="A364" s="22"/>
      <c r="B364" s="12"/>
      <c r="C364" s="12"/>
      <c r="D364" s="12"/>
      <c r="E364" s="12"/>
      <c r="F364" s="12"/>
      <c r="G364" s="23"/>
      <c r="H364" s="23"/>
      <c r="I364" s="24"/>
      <c r="J364" s="24"/>
      <c r="K364" s="23"/>
      <c r="L364" s="23"/>
      <c r="M364" s="23"/>
      <c r="N364" s="23"/>
      <c r="O364" s="12"/>
      <c r="P364" s="12"/>
      <c r="Q364" s="12"/>
      <c r="R364" s="12"/>
      <c r="S364" s="12"/>
    </row>
    <row r="365" ht="16.5" spans="1:19">
      <c r="A365" s="22"/>
      <c r="B365" s="12"/>
      <c r="C365" s="12"/>
      <c r="D365" s="12"/>
      <c r="E365" s="12"/>
      <c r="F365" s="12"/>
      <c r="G365" s="23"/>
      <c r="H365" s="23"/>
      <c r="I365" s="24"/>
      <c r="J365" s="24"/>
      <c r="K365" s="23"/>
      <c r="L365" s="23"/>
      <c r="M365" s="23"/>
      <c r="N365" s="23"/>
      <c r="O365" s="12"/>
      <c r="P365" s="12"/>
      <c r="Q365" s="12"/>
      <c r="R365" s="12"/>
      <c r="S365" s="12"/>
    </row>
    <row r="366" ht="16.5" spans="1:19">
      <c r="A366" s="22"/>
      <c r="B366" s="12"/>
      <c r="C366" s="12"/>
      <c r="D366" s="12"/>
      <c r="E366" s="12"/>
      <c r="F366" s="12"/>
      <c r="G366" s="23"/>
      <c r="H366" s="23"/>
      <c r="I366" s="24"/>
      <c r="J366" s="24"/>
      <c r="K366" s="23"/>
      <c r="L366" s="23"/>
      <c r="M366" s="23"/>
      <c r="N366" s="23"/>
      <c r="O366" s="12"/>
      <c r="P366" s="12"/>
      <c r="Q366" s="12"/>
      <c r="R366" s="12"/>
      <c r="S366" s="12"/>
    </row>
    <row r="367" ht="16.5" spans="1:19">
      <c r="A367" s="22"/>
      <c r="B367" s="12"/>
      <c r="C367" s="12"/>
      <c r="D367" s="12"/>
      <c r="E367" s="12"/>
      <c r="F367" s="12"/>
      <c r="G367" s="23"/>
      <c r="H367" s="23"/>
      <c r="I367" s="24"/>
      <c r="J367" s="24"/>
      <c r="K367" s="23"/>
      <c r="L367" s="23"/>
      <c r="M367" s="23"/>
      <c r="N367" s="23"/>
      <c r="O367" s="12"/>
      <c r="P367" s="12"/>
      <c r="Q367" s="12"/>
      <c r="R367" s="12"/>
      <c r="S367" s="12"/>
    </row>
    <row r="368" ht="16.5" spans="1:19">
      <c r="A368" s="22"/>
      <c r="B368" s="12"/>
      <c r="C368" s="12"/>
      <c r="D368" s="12"/>
      <c r="E368" s="12"/>
      <c r="F368" s="12"/>
      <c r="G368" s="23"/>
      <c r="H368" s="23"/>
      <c r="I368" s="24"/>
      <c r="J368" s="24"/>
      <c r="K368" s="23"/>
      <c r="L368" s="23"/>
      <c r="M368" s="23"/>
      <c r="N368" s="23"/>
      <c r="O368" s="12"/>
      <c r="P368" s="12"/>
      <c r="Q368" s="12"/>
      <c r="R368" s="12"/>
      <c r="S368" s="12"/>
    </row>
    <row r="369" ht="16.5" spans="1:19">
      <c r="A369" s="22"/>
      <c r="B369" s="12"/>
      <c r="C369" s="12"/>
      <c r="D369" s="12"/>
      <c r="E369" s="12"/>
      <c r="F369" s="12"/>
      <c r="G369" s="23"/>
      <c r="H369" s="23"/>
      <c r="I369" s="24"/>
      <c r="J369" s="24"/>
      <c r="K369" s="23"/>
      <c r="L369" s="23"/>
      <c r="M369" s="23"/>
      <c r="N369" s="23"/>
      <c r="O369" s="12"/>
      <c r="P369" s="12"/>
      <c r="Q369" s="12"/>
      <c r="R369" s="12"/>
      <c r="S369" s="12"/>
    </row>
    <row r="370" ht="16.5" spans="1:19">
      <c r="A370" s="22"/>
      <c r="B370" s="12"/>
      <c r="C370" s="12"/>
      <c r="D370" s="12"/>
      <c r="E370" s="12"/>
      <c r="F370" s="12"/>
      <c r="G370" s="23"/>
      <c r="H370" s="23"/>
      <c r="I370" s="24"/>
      <c r="J370" s="24"/>
      <c r="K370" s="23"/>
      <c r="L370" s="23"/>
      <c r="M370" s="23"/>
      <c r="N370" s="23"/>
      <c r="O370" s="12"/>
      <c r="P370" s="12"/>
      <c r="Q370" s="12"/>
      <c r="R370" s="12"/>
      <c r="S370" s="12"/>
    </row>
    <row r="371" ht="16.5" spans="1:19">
      <c r="A371" s="22"/>
      <c r="B371" s="12"/>
      <c r="C371" s="12"/>
      <c r="D371" s="12"/>
      <c r="E371" s="12"/>
      <c r="F371" s="12"/>
      <c r="G371" s="23"/>
      <c r="H371" s="23"/>
      <c r="I371" s="24"/>
      <c r="J371" s="24"/>
      <c r="K371" s="23"/>
      <c r="L371" s="23"/>
      <c r="M371" s="23"/>
      <c r="N371" s="23"/>
      <c r="O371" s="12"/>
      <c r="P371" s="12"/>
      <c r="Q371" s="12"/>
      <c r="R371" s="12"/>
      <c r="S371" s="12"/>
    </row>
    <row r="372" ht="16.5" spans="1:19">
      <c r="A372" s="22"/>
      <c r="B372" s="12"/>
      <c r="C372" s="12"/>
      <c r="D372" s="12"/>
      <c r="E372" s="12"/>
      <c r="F372" s="12"/>
      <c r="G372" s="23"/>
      <c r="H372" s="23"/>
      <c r="I372" s="24"/>
      <c r="J372" s="24"/>
      <c r="K372" s="23"/>
      <c r="L372" s="23"/>
      <c r="M372" s="23"/>
      <c r="N372" s="23"/>
      <c r="O372" s="12"/>
      <c r="P372" s="12"/>
      <c r="Q372" s="12"/>
      <c r="R372" s="12"/>
      <c r="S372" s="12"/>
    </row>
    <row r="373" ht="16.5" spans="1:19">
      <c r="A373" s="22"/>
      <c r="B373" s="12"/>
      <c r="C373" s="12"/>
      <c r="D373" s="12"/>
      <c r="E373" s="12"/>
      <c r="F373" s="12"/>
      <c r="G373" s="23"/>
      <c r="H373" s="23"/>
      <c r="I373" s="24"/>
      <c r="J373" s="24"/>
      <c r="K373" s="23"/>
      <c r="L373" s="23"/>
      <c r="M373" s="23"/>
      <c r="N373" s="23"/>
      <c r="O373" s="12"/>
      <c r="P373" s="12"/>
      <c r="Q373" s="12"/>
      <c r="R373" s="12"/>
      <c r="S373" s="12"/>
    </row>
    <row r="374" ht="16.5" spans="1:19">
      <c r="A374" s="22"/>
      <c r="B374" s="12"/>
      <c r="C374" s="12"/>
      <c r="D374" s="12"/>
      <c r="E374" s="12"/>
      <c r="F374" s="12"/>
      <c r="G374" s="23"/>
      <c r="H374" s="23"/>
      <c r="I374" s="24"/>
      <c r="J374" s="24"/>
      <c r="K374" s="23"/>
      <c r="L374" s="23"/>
      <c r="M374" s="23"/>
      <c r="N374" s="23"/>
      <c r="O374" s="12"/>
      <c r="P374" s="12"/>
      <c r="Q374" s="12"/>
      <c r="R374" s="12"/>
      <c r="S374" s="12"/>
    </row>
    <row r="375" ht="16.5" spans="1:19">
      <c r="A375" s="22"/>
      <c r="B375" s="12"/>
      <c r="C375" s="12"/>
      <c r="D375" s="12"/>
      <c r="E375" s="12"/>
      <c r="F375" s="12"/>
      <c r="G375" s="23"/>
      <c r="H375" s="23"/>
      <c r="I375" s="24"/>
      <c r="J375" s="24"/>
      <c r="K375" s="23"/>
      <c r="L375" s="23"/>
      <c r="M375" s="23"/>
      <c r="N375" s="23"/>
      <c r="O375" s="12"/>
      <c r="P375" s="12"/>
      <c r="Q375" s="12"/>
      <c r="R375" s="12"/>
      <c r="S375" s="12"/>
    </row>
    <row r="376" ht="16.5" spans="1:19">
      <c r="A376" s="22"/>
      <c r="B376" s="12"/>
      <c r="C376" s="12"/>
      <c r="D376" s="12"/>
      <c r="E376" s="12"/>
      <c r="F376" s="12"/>
      <c r="G376" s="23"/>
      <c r="H376" s="23"/>
      <c r="I376" s="24"/>
      <c r="J376" s="24"/>
      <c r="K376" s="23"/>
      <c r="L376" s="23"/>
      <c r="M376" s="23"/>
      <c r="N376" s="23"/>
      <c r="O376" s="12"/>
      <c r="P376" s="12"/>
      <c r="Q376" s="12"/>
      <c r="R376" s="12"/>
      <c r="S376" s="12"/>
    </row>
    <row r="377" ht="16.5" spans="1:19">
      <c r="A377" s="22"/>
      <c r="B377" s="12"/>
      <c r="C377" s="12"/>
      <c r="D377" s="12"/>
      <c r="E377" s="12"/>
      <c r="F377" s="12"/>
      <c r="G377" s="23"/>
      <c r="H377" s="23"/>
      <c r="I377" s="24"/>
      <c r="J377" s="24"/>
      <c r="K377" s="23"/>
      <c r="L377" s="23"/>
      <c r="M377" s="23"/>
      <c r="N377" s="23"/>
      <c r="O377" s="12"/>
      <c r="P377" s="12"/>
      <c r="Q377" s="12"/>
      <c r="R377" s="12"/>
      <c r="S377" s="12"/>
    </row>
    <row r="378" ht="16.5" spans="1:19">
      <c r="A378" s="22"/>
      <c r="B378" s="12"/>
      <c r="C378" s="12"/>
      <c r="D378" s="12"/>
      <c r="E378" s="12"/>
      <c r="F378" s="12"/>
      <c r="G378" s="23"/>
      <c r="H378" s="23"/>
      <c r="I378" s="24"/>
      <c r="J378" s="24"/>
      <c r="K378" s="23"/>
      <c r="L378" s="23"/>
      <c r="M378" s="23"/>
      <c r="N378" s="23"/>
      <c r="O378" s="12"/>
      <c r="P378" s="12"/>
      <c r="Q378" s="12"/>
      <c r="R378" s="12"/>
      <c r="S378" s="12"/>
    </row>
    <row r="379" ht="16.5" spans="1:19">
      <c r="A379" s="22"/>
      <c r="B379" s="12"/>
      <c r="C379" s="12"/>
      <c r="D379" s="12"/>
      <c r="E379" s="12"/>
      <c r="F379" s="12"/>
      <c r="G379" s="23"/>
      <c r="H379" s="23"/>
      <c r="I379" s="24"/>
      <c r="J379" s="24"/>
      <c r="K379" s="23"/>
      <c r="L379" s="23"/>
      <c r="M379" s="23"/>
      <c r="N379" s="23"/>
      <c r="O379" s="12"/>
      <c r="P379" s="12"/>
      <c r="Q379" s="12"/>
      <c r="R379" s="12"/>
      <c r="S379" s="12"/>
    </row>
    <row r="380" ht="16.5" spans="1:19">
      <c r="A380" s="22"/>
      <c r="B380" s="12"/>
      <c r="C380" s="12"/>
      <c r="D380" s="12"/>
      <c r="E380" s="12"/>
      <c r="F380" s="12"/>
      <c r="G380" s="23"/>
      <c r="H380" s="23"/>
      <c r="I380" s="24"/>
      <c r="J380" s="24"/>
      <c r="K380" s="23"/>
      <c r="L380" s="23"/>
      <c r="M380" s="23"/>
      <c r="N380" s="23"/>
      <c r="O380" s="12"/>
      <c r="P380" s="12"/>
      <c r="Q380" s="12"/>
      <c r="R380" s="12"/>
      <c r="S380" s="12"/>
    </row>
    <row r="381" ht="16.5" spans="1:19">
      <c r="A381" s="22"/>
      <c r="B381" s="12"/>
      <c r="C381" s="12"/>
      <c r="D381" s="12"/>
      <c r="E381" s="12"/>
      <c r="F381" s="12"/>
      <c r="G381" s="23"/>
      <c r="H381" s="23"/>
      <c r="I381" s="24"/>
      <c r="J381" s="24"/>
      <c r="K381" s="23"/>
      <c r="L381" s="23"/>
      <c r="M381" s="23"/>
      <c r="N381" s="23"/>
      <c r="O381" s="12"/>
      <c r="P381" s="12"/>
      <c r="Q381" s="12"/>
      <c r="R381" s="12"/>
      <c r="S381" s="12"/>
    </row>
    <row r="382" ht="16.5" spans="1:19">
      <c r="A382" s="22"/>
      <c r="B382" s="12"/>
      <c r="C382" s="12"/>
      <c r="D382" s="12"/>
      <c r="E382" s="12"/>
      <c r="F382" s="12"/>
      <c r="G382" s="23"/>
      <c r="H382" s="23"/>
      <c r="I382" s="24"/>
      <c r="J382" s="24"/>
      <c r="K382" s="23"/>
      <c r="L382" s="23"/>
      <c r="M382" s="23"/>
      <c r="N382" s="23"/>
      <c r="O382" s="12"/>
      <c r="P382" s="12"/>
      <c r="Q382" s="12"/>
      <c r="R382" s="12"/>
      <c r="S382" s="12"/>
    </row>
    <row r="383" ht="16.5" spans="1:19">
      <c r="A383" s="22"/>
      <c r="B383" s="12"/>
      <c r="C383" s="12"/>
      <c r="D383" s="12"/>
      <c r="E383" s="12"/>
      <c r="F383" s="12"/>
      <c r="G383" s="23"/>
      <c r="H383" s="23"/>
      <c r="I383" s="24"/>
      <c r="J383" s="24"/>
      <c r="K383" s="23"/>
      <c r="L383" s="23"/>
      <c r="M383" s="23"/>
      <c r="N383" s="23"/>
      <c r="O383" s="12"/>
      <c r="P383" s="12"/>
      <c r="Q383" s="12"/>
      <c r="R383" s="12"/>
      <c r="S383" s="12"/>
    </row>
    <row r="384" ht="16.5" spans="1:19">
      <c r="A384" s="22"/>
      <c r="B384" s="12"/>
      <c r="C384" s="12"/>
      <c r="D384" s="12"/>
      <c r="E384" s="12"/>
      <c r="F384" s="12"/>
      <c r="G384" s="23"/>
      <c r="H384" s="23"/>
      <c r="I384" s="24"/>
      <c r="J384" s="24"/>
      <c r="K384" s="23"/>
      <c r="L384" s="23"/>
      <c r="M384" s="23"/>
      <c r="N384" s="23"/>
      <c r="O384" s="12"/>
      <c r="P384" s="12"/>
      <c r="Q384" s="12"/>
      <c r="R384" s="12"/>
      <c r="S384" s="12"/>
    </row>
    <row r="385" ht="16.5" spans="1:19">
      <c r="A385" s="22"/>
      <c r="B385" s="12"/>
      <c r="C385" s="12"/>
      <c r="D385" s="12"/>
      <c r="E385" s="12"/>
      <c r="F385" s="12"/>
      <c r="G385" s="23"/>
      <c r="H385" s="23"/>
      <c r="I385" s="24"/>
      <c r="J385" s="24"/>
      <c r="K385" s="23"/>
      <c r="L385" s="23"/>
      <c r="M385" s="23"/>
      <c r="N385" s="23"/>
      <c r="O385" s="12"/>
      <c r="P385" s="12"/>
      <c r="Q385" s="12"/>
      <c r="R385" s="12"/>
      <c r="S385" s="12"/>
    </row>
    <row r="386" ht="16.5" spans="1:19">
      <c r="A386" s="22"/>
      <c r="B386" s="12"/>
      <c r="C386" s="12"/>
      <c r="D386" s="12"/>
      <c r="E386" s="12"/>
      <c r="F386" s="12"/>
      <c r="G386" s="23"/>
      <c r="H386" s="23"/>
      <c r="I386" s="24"/>
      <c r="J386" s="24"/>
      <c r="K386" s="23"/>
      <c r="L386" s="23"/>
      <c r="M386" s="23"/>
      <c r="N386" s="23"/>
      <c r="O386" s="12"/>
      <c r="P386" s="12"/>
      <c r="Q386" s="12"/>
      <c r="R386" s="12"/>
      <c r="S386" s="12"/>
    </row>
    <row r="387" ht="16.5" spans="1:19">
      <c r="A387" s="22"/>
      <c r="B387" s="12"/>
      <c r="C387" s="12"/>
      <c r="D387" s="12"/>
      <c r="E387" s="12"/>
      <c r="F387" s="12"/>
      <c r="G387" s="23"/>
      <c r="H387" s="23"/>
      <c r="I387" s="24"/>
      <c r="J387" s="24"/>
      <c r="K387" s="23"/>
      <c r="L387" s="23"/>
      <c r="M387" s="23"/>
      <c r="N387" s="23"/>
      <c r="O387" s="12"/>
      <c r="P387" s="12"/>
      <c r="Q387" s="12"/>
      <c r="R387" s="12"/>
      <c r="S387" s="12"/>
    </row>
    <row r="388" ht="16.5" spans="1:19">
      <c r="A388" s="22"/>
      <c r="B388" s="12"/>
      <c r="C388" s="12"/>
      <c r="D388" s="12"/>
      <c r="E388" s="12"/>
      <c r="F388" s="12"/>
      <c r="G388" s="23"/>
      <c r="H388" s="23"/>
      <c r="I388" s="24"/>
      <c r="J388" s="24"/>
      <c r="K388" s="23"/>
      <c r="L388" s="23"/>
      <c r="M388" s="23"/>
      <c r="N388" s="23"/>
      <c r="O388" s="12"/>
      <c r="P388" s="12"/>
      <c r="Q388" s="12"/>
      <c r="R388" s="12"/>
      <c r="S388" s="12"/>
    </row>
    <row r="389" ht="16.5" spans="1:19">
      <c r="A389" s="22"/>
      <c r="B389" s="12"/>
      <c r="C389" s="12"/>
      <c r="D389" s="12"/>
      <c r="E389" s="12"/>
      <c r="F389" s="12"/>
      <c r="G389" s="23"/>
      <c r="H389" s="23"/>
      <c r="I389" s="24"/>
      <c r="J389" s="24"/>
      <c r="K389" s="23"/>
      <c r="L389" s="23"/>
      <c r="M389" s="23"/>
      <c r="N389" s="23"/>
      <c r="O389" s="12"/>
      <c r="P389" s="12"/>
      <c r="Q389" s="12"/>
      <c r="R389" s="12"/>
      <c r="S389" s="12"/>
    </row>
    <row r="390" ht="16.5" spans="1:19">
      <c r="A390" s="22"/>
      <c r="B390" s="12"/>
      <c r="C390" s="12"/>
      <c r="D390" s="12"/>
      <c r="E390" s="12"/>
      <c r="F390" s="12"/>
      <c r="G390" s="23"/>
      <c r="H390" s="23"/>
      <c r="I390" s="24"/>
      <c r="J390" s="24"/>
      <c r="K390" s="23"/>
      <c r="L390" s="23"/>
      <c r="M390" s="23"/>
      <c r="N390" s="23"/>
      <c r="O390" s="12"/>
      <c r="P390" s="12"/>
      <c r="Q390" s="12"/>
      <c r="R390" s="12"/>
      <c r="S390" s="12"/>
    </row>
    <row r="391" ht="16.5" spans="1:19">
      <c r="A391" s="22"/>
      <c r="B391" s="12"/>
      <c r="C391" s="12"/>
      <c r="D391" s="12"/>
      <c r="E391" s="12"/>
      <c r="F391" s="12"/>
      <c r="G391" s="23"/>
      <c r="H391" s="23"/>
      <c r="I391" s="24"/>
      <c r="J391" s="24"/>
      <c r="K391" s="23"/>
      <c r="L391" s="23"/>
      <c r="M391" s="23"/>
      <c r="N391" s="23"/>
      <c r="O391" s="12"/>
      <c r="P391" s="12"/>
      <c r="Q391" s="12"/>
      <c r="R391" s="12"/>
      <c r="S391" s="12"/>
    </row>
    <row r="392" ht="16.5" spans="1:19">
      <c r="A392" s="22"/>
      <c r="B392" s="12"/>
      <c r="C392" s="12"/>
      <c r="D392" s="12"/>
      <c r="E392" s="12"/>
      <c r="F392" s="12"/>
      <c r="G392" s="23"/>
      <c r="H392" s="23"/>
      <c r="I392" s="24"/>
      <c r="J392" s="24"/>
      <c r="K392" s="23"/>
      <c r="L392" s="23"/>
      <c r="M392" s="23"/>
      <c r="N392" s="23"/>
      <c r="O392" s="12"/>
      <c r="P392" s="12"/>
      <c r="Q392" s="12"/>
      <c r="R392" s="12"/>
      <c r="S392" s="12"/>
    </row>
    <row r="393" ht="16.5" spans="1:19">
      <c r="A393" s="22"/>
      <c r="B393" s="12"/>
      <c r="C393" s="12"/>
      <c r="D393" s="12"/>
      <c r="E393" s="12"/>
      <c r="F393" s="12"/>
      <c r="G393" s="23"/>
      <c r="H393" s="23"/>
      <c r="I393" s="24"/>
      <c r="J393" s="24"/>
      <c r="K393" s="23"/>
      <c r="L393" s="23"/>
      <c r="M393" s="23"/>
      <c r="N393" s="23"/>
      <c r="O393" s="12"/>
      <c r="P393" s="12"/>
      <c r="Q393" s="12"/>
      <c r="R393" s="12"/>
      <c r="S393" s="12"/>
    </row>
    <row r="394" ht="16.5" spans="1:19">
      <c r="A394" s="22"/>
      <c r="B394" s="12"/>
      <c r="C394" s="12"/>
      <c r="D394" s="12"/>
      <c r="E394" s="12"/>
      <c r="F394" s="12"/>
      <c r="G394" s="23"/>
      <c r="H394" s="23"/>
      <c r="I394" s="24"/>
      <c r="J394" s="24"/>
      <c r="K394" s="23"/>
      <c r="L394" s="23"/>
      <c r="M394" s="23"/>
      <c r="N394" s="23"/>
      <c r="O394" s="12"/>
      <c r="P394" s="12"/>
      <c r="Q394" s="12"/>
      <c r="R394" s="12"/>
      <c r="S394" s="12"/>
    </row>
    <row r="395" ht="16.5" spans="1:19">
      <c r="A395" s="22"/>
      <c r="B395" s="12"/>
      <c r="C395" s="12"/>
      <c r="D395" s="12"/>
      <c r="E395" s="12"/>
      <c r="F395" s="12"/>
      <c r="G395" s="23"/>
      <c r="H395" s="23"/>
      <c r="I395" s="24"/>
      <c r="J395" s="24"/>
      <c r="K395" s="23"/>
      <c r="L395" s="23"/>
      <c r="M395" s="23"/>
      <c r="N395" s="23"/>
      <c r="O395" s="12"/>
      <c r="P395" s="12"/>
      <c r="Q395" s="12"/>
      <c r="R395" s="12"/>
      <c r="S395" s="12"/>
    </row>
    <row r="396" ht="16.5" spans="1:19">
      <c r="A396" s="22"/>
      <c r="B396" s="12"/>
      <c r="C396" s="12"/>
      <c r="D396" s="12"/>
      <c r="E396" s="12"/>
      <c r="F396" s="12"/>
      <c r="G396" s="23"/>
      <c r="H396" s="23"/>
      <c r="I396" s="24"/>
      <c r="J396" s="24"/>
      <c r="K396" s="23"/>
      <c r="L396" s="23"/>
      <c r="M396" s="23"/>
      <c r="N396" s="23"/>
      <c r="O396" s="12"/>
      <c r="P396" s="12"/>
      <c r="Q396" s="12"/>
      <c r="R396" s="12"/>
      <c r="S396" s="12"/>
    </row>
    <row r="397" ht="16.5" spans="1:19">
      <c r="A397" s="22"/>
      <c r="B397" s="12"/>
      <c r="C397" s="12"/>
      <c r="D397" s="12"/>
      <c r="E397" s="12"/>
      <c r="F397" s="12"/>
      <c r="G397" s="23"/>
      <c r="H397" s="23"/>
      <c r="I397" s="24"/>
      <c r="J397" s="24"/>
      <c r="K397" s="23"/>
      <c r="L397" s="23"/>
      <c r="M397" s="23"/>
      <c r="N397" s="23"/>
      <c r="O397" s="12"/>
      <c r="P397" s="12"/>
      <c r="Q397" s="12"/>
      <c r="R397" s="12"/>
      <c r="S397" s="12"/>
    </row>
    <row r="398" ht="16.5" spans="1:19">
      <c r="A398" s="22"/>
      <c r="B398" s="12"/>
      <c r="C398" s="12"/>
      <c r="D398" s="12"/>
      <c r="E398" s="12"/>
      <c r="F398" s="12"/>
      <c r="G398" s="23"/>
      <c r="H398" s="23"/>
      <c r="I398" s="24"/>
      <c r="J398" s="24"/>
      <c r="K398" s="23"/>
      <c r="L398" s="23"/>
      <c r="M398" s="23"/>
      <c r="N398" s="23"/>
      <c r="O398" s="12"/>
      <c r="P398" s="12"/>
      <c r="Q398" s="12"/>
      <c r="R398" s="12"/>
      <c r="S398" s="12"/>
    </row>
    <row r="399" ht="16.5" spans="1:19">
      <c r="A399" s="22"/>
      <c r="B399" s="12"/>
      <c r="C399" s="12"/>
      <c r="D399" s="12"/>
      <c r="E399" s="12"/>
      <c r="F399" s="12"/>
      <c r="G399" s="23"/>
      <c r="H399" s="23"/>
      <c r="I399" s="24"/>
      <c r="J399" s="24"/>
      <c r="K399" s="23"/>
      <c r="L399" s="23"/>
      <c r="M399" s="23"/>
      <c r="N399" s="23"/>
      <c r="O399" s="12"/>
      <c r="P399" s="12"/>
      <c r="Q399" s="12"/>
      <c r="R399" s="12"/>
      <c r="S399" s="12"/>
    </row>
    <row r="400" ht="16.5" spans="1:19">
      <c r="A400" s="22"/>
      <c r="B400" s="12"/>
      <c r="C400" s="12"/>
      <c r="D400" s="12"/>
      <c r="E400" s="12"/>
      <c r="F400" s="12"/>
      <c r="G400" s="23"/>
      <c r="H400" s="23"/>
      <c r="I400" s="24"/>
      <c r="J400" s="24"/>
      <c r="K400" s="23"/>
      <c r="L400" s="23"/>
      <c r="M400" s="23"/>
      <c r="N400" s="23"/>
      <c r="O400" s="12"/>
      <c r="P400" s="12"/>
      <c r="Q400" s="12"/>
      <c r="R400" s="12"/>
      <c r="S400" s="12"/>
    </row>
    <row r="401" ht="16.5" spans="1:19">
      <c r="A401" s="22"/>
      <c r="B401" s="12"/>
      <c r="C401" s="12"/>
      <c r="D401" s="12"/>
      <c r="E401" s="12"/>
      <c r="F401" s="12"/>
      <c r="G401" s="23"/>
      <c r="H401" s="23"/>
      <c r="I401" s="24"/>
      <c r="J401" s="24"/>
      <c r="K401" s="23"/>
      <c r="L401" s="23"/>
      <c r="M401" s="23"/>
      <c r="N401" s="23"/>
      <c r="O401" s="12"/>
      <c r="P401" s="12"/>
      <c r="Q401" s="12"/>
      <c r="R401" s="12"/>
      <c r="S401" s="12"/>
    </row>
    <row r="402" ht="16.5" spans="1:19">
      <c r="A402" s="22"/>
      <c r="B402" s="12"/>
      <c r="C402" s="12"/>
      <c r="D402" s="12"/>
      <c r="E402" s="12"/>
      <c r="F402" s="12"/>
      <c r="G402" s="23"/>
      <c r="H402" s="23"/>
      <c r="I402" s="24"/>
      <c r="J402" s="24"/>
      <c r="K402" s="23"/>
      <c r="L402" s="23"/>
      <c r="M402" s="23"/>
      <c r="N402" s="23"/>
      <c r="O402" s="12"/>
      <c r="P402" s="12"/>
      <c r="Q402" s="12"/>
      <c r="R402" s="12"/>
      <c r="S402" s="12"/>
    </row>
    <row r="403" ht="16.5" spans="1:19">
      <c r="A403" s="22"/>
      <c r="B403" s="12"/>
      <c r="C403" s="12"/>
      <c r="D403" s="12"/>
      <c r="E403" s="12"/>
      <c r="F403" s="12"/>
      <c r="G403" s="23"/>
      <c r="H403" s="23"/>
      <c r="I403" s="24"/>
      <c r="J403" s="24"/>
      <c r="K403" s="23"/>
      <c r="L403" s="23"/>
      <c r="M403" s="23"/>
      <c r="N403" s="23"/>
      <c r="O403" s="12"/>
      <c r="P403" s="12"/>
      <c r="Q403" s="12"/>
      <c r="R403" s="12"/>
      <c r="S403" s="12"/>
    </row>
    <row r="404" ht="16.5" spans="1:19">
      <c r="A404" s="22"/>
      <c r="B404" s="12"/>
      <c r="C404" s="12"/>
      <c r="D404" s="12"/>
      <c r="E404" s="12"/>
      <c r="F404" s="12"/>
      <c r="G404" s="23"/>
      <c r="H404" s="23"/>
      <c r="I404" s="24"/>
      <c r="J404" s="24"/>
      <c r="K404" s="23"/>
      <c r="L404" s="23"/>
      <c r="M404" s="23"/>
      <c r="N404" s="23"/>
      <c r="O404" s="12"/>
      <c r="P404" s="12"/>
      <c r="Q404" s="12"/>
      <c r="R404" s="12"/>
      <c r="S404" s="12"/>
    </row>
    <row r="405" ht="16.5" spans="1:19">
      <c r="A405" s="22"/>
      <c r="B405" s="12"/>
      <c r="C405" s="12"/>
      <c r="D405" s="12"/>
      <c r="E405" s="12"/>
      <c r="F405" s="12"/>
      <c r="G405" s="23"/>
      <c r="H405" s="23"/>
      <c r="I405" s="24"/>
      <c r="J405" s="24"/>
      <c r="K405" s="23"/>
      <c r="L405" s="23"/>
      <c r="M405" s="23"/>
      <c r="N405" s="23"/>
      <c r="O405" s="12"/>
      <c r="P405" s="12"/>
      <c r="Q405" s="12"/>
      <c r="R405" s="12"/>
      <c r="S405" s="12"/>
    </row>
  </sheetData>
  <mergeCells count="2">
    <mergeCell ref="A1:S1"/>
    <mergeCell ref="C2:S2"/>
  </mergeCells>
  <pageMargins left="0.75" right="0.75" top="1" bottom="1" header="0.5" footer="0.5"/>
  <pageSetup paperSize="1" fitToHeight="0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  <pageSetUpPr fitToPage="1"/>
  </sheetPr>
  <dimension ref="A1:F25"/>
  <sheetViews>
    <sheetView showGridLines="0" workbookViewId="0">
      <pane ySplit="4" topLeftCell="A5" activePane="bottomLeft" state="frozen"/>
      <selection/>
      <selection pane="bottomLeft" activeCell="F30" sqref="F30"/>
    </sheetView>
  </sheetViews>
  <sheetFormatPr defaultColWidth="9" defaultRowHeight="13.5" outlineLevelCol="5"/>
  <cols>
    <col min="1" max="1" width="6" customWidth="1"/>
    <col min="2" max="2" width="8" customWidth="1"/>
    <col min="3" max="3" width="52" customWidth="1"/>
    <col min="4" max="4" width="16" customWidth="1"/>
    <col min="5" max="5" width="14" customWidth="1"/>
    <col min="6" max="6" width="62" customWidth="1"/>
  </cols>
  <sheetData>
    <row r="1" ht="30" customHeight="1" spans="1:6">
      <c r="A1" s="1" t="s">
        <v>364</v>
      </c>
    </row>
    <row r="2" ht="24" customHeight="1" spans="1:6">
      <c r="A2" s="2" t="s">
        <v>365</v>
      </c>
    </row>
    <row r="4" ht="30" customHeight="1" spans="1:6">
      <c r="A4" s="3" t="s">
        <v>118</v>
      </c>
      <c r="B4" s="3" t="s">
        <v>366</v>
      </c>
      <c r="C4" s="3" t="s">
        <v>367</v>
      </c>
      <c r="D4" s="3" t="s">
        <v>368</v>
      </c>
      <c r="E4" s="3" t="s">
        <v>369</v>
      </c>
      <c r="F4" s="3" t="s">
        <v>281</v>
      </c>
    </row>
    <row r="5" ht="16.5" spans="1:6">
      <c r="A5" s="4">
        <v>1</v>
      </c>
      <c r="B5" s="5" t="s">
        <v>370</v>
      </c>
      <c r="C5" s="6" t="s">
        <v>371</v>
      </c>
      <c r="D5" s="7">
        <f>ROUND(账户余额表!$K$36-SUM(账户期初本位)-SUM(流水本位),2)</f>
        <v>0</v>
      </c>
      <c r="E5" s="5" t="str">
        <f t="shared" ref="E5:E10" si="0">IF(ROUND(N($D5),2)=0,"✓ 通过","✗ 算不平")</f>
        <v>✓ 通过</v>
      </c>
      <c r="F5" s="8" t="s">
        <v>372</v>
      </c>
    </row>
    <row r="6" ht="16.5" spans="1:6">
      <c r="A6" s="4">
        <v>2</v>
      </c>
      <c r="B6" s="5" t="s">
        <v>370</v>
      </c>
      <c r="C6" s="6" t="s">
        <v>373</v>
      </c>
      <c r="D6" s="7">
        <f>ROUND(SUM(账户余额表!$H$6:$H$35)-SUM(账户期初)-SUM(流水净额),2)</f>
        <v>0</v>
      </c>
      <c r="E6" s="5" t="str">
        <f t="shared" si="0"/>
        <v>✓ 通过</v>
      </c>
      <c r="F6" s="8" t="s">
        <v>374</v>
      </c>
    </row>
    <row r="7" ht="16.5" spans="1:6">
      <c r="A7" s="4">
        <v>3</v>
      </c>
      <c r="B7" s="5" t="s">
        <v>370</v>
      </c>
      <c r="C7" s="6" t="s">
        <v>375</v>
      </c>
      <c r="D7" s="7">
        <f>ROUND(分类收入合计-SUMIFS(流水本位,流水属性,"收入"),2)</f>
        <v>0</v>
      </c>
      <c r="E7" s="5" t="str">
        <f t="shared" si="0"/>
        <v>✓ 通过</v>
      </c>
      <c r="F7" s="8" t="s">
        <v>376</v>
      </c>
    </row>
    <row r="8" ht="16.5" spans="1:6">
      <c r="A8" s="4">
        <v>4</v>
      </c>
      <c r="B8" s="5" t="s">
        <v>370</v>
      </c>
      <c r="C8" s="6" t="s">
        <v>377</v>
      </c>
      <c r="D8" s="7">
        <f>ROUND(分类支出合计+SUMIFS(流水本位,流水属性,"支出"),2)</f>
        <v>0</v>
      </c>
      <c r="E8" s="5" t="str">
        <f t="shared" si="0"/>
        <v>✓ 通过</v>
      </c>
      <c r="F8" s="8" t="s">
        <v>378</v>
      </c>
    </row>
    <row r="9" ht="16.5" spans="1:6">
      <c r="A9" s="4">
        <v>5</v>
      </c>
      <c r="B9" s="5" t="s">
        <v>370</v>
      </c>
      <c r="C9" s="6" t="s">
        <v>379</v>
      </c>
      <c r="D9" s="7">
        <f>ROUND(账户余额表!$E$48-账户余额表!$J$36,2)</f>
        <v>0</v>
      </c>
      <c r="E9" s="5" t="str">
        <f t="shared" si="0"/>
        <v>✓ 通过</v>
      </c>
      <c r="F9" s="8" t="s">
        <v>380</v>
      </c>
    </row>
    <row r="10" ht="16.5" spans="1:6">
      <c r="A10" s="4">
        <v>6</v>
      </c>
      <c r="B10" s="5" t="s">
        <v>370</v>
      </c>
      <c r="C10" s="6" t="s">
        <v>381</v>
      </c>
      <c r="D10" s="9">
        <f>6-COUNTA(账户名)</f>
        <v>0</v>
      </c>
      <c r="E10" s="5" t="str">
        <f t="shared" si="0"/>
        <v>✓ 通过</v>
      </c>
      <c r="F10" s="8" t="s">
        <v>382</v>
      </c>
    </row>
    <row r="11" ht="16.5" spans="1:6">
      <c r="A11" s="4">
        <v>7</v>
      </c>
      <c r="B11" s="10" t="s">
        <v>383</v>
      </c>
      <c r="C11" s="6" t="s">
        <v>384</v>
      </c>
      <c r="D11" s="9">
        <f>COUNTIF(流水核对,"※*")</f>
        <v>0</v>
      </c>
      <c r="E11" s="5" t="str">
        <f t="shared" ref="E11:E19" si="1">IF(ROUND(N($D11),2)=0,"✓ 没有","△ 有")</f>
        <v>✓ 没有</v>
      </c>
      <c r="F11" s="8" t="s">
        <v>385</v>
      </c>
    </row>
    <row r="12" ht="16.5" spans="1:6">
      <c r="A12" s="4">
        <v>8</v>
      </c>
      <c r="B12" s="10" t="s">
        <v>383</v>
      </c>
      <c r="C12" s="6" t="s">
        <v>386</v>
      </c>
      <c r="D12" s="9">
        <f>COUNTIF(流水核对,"△*")</f>
        <v>0</v>
      </c>
      <c r="E12" s="5" t="str">
        <f t="shared" si="1"/>
        <v>✓ 没有</v>
      </c>
      <c r="F12" s="8" t="s">
        <v>387</v>
      </c>
    </row>
    <row r="13" ht="16.5" spans="1:6">
      <c r="A13" s="4">
        <v>9</v>
      </c>
      <c r="B13" s="10" t="s">
        <v>383</v>
      </c>
      <c r="C13" s="6" t="s">
        <v>388</v>
      </c>
      <c r="D13" s="9">
        <f>COUNTIF(档案核对,"※*")</f>
        <v>0</v>
      </c>
      <c r="E13" s="5" t="str">
        <f t="shared" si="1"/>
        <v>✓ 没有</v>
      </c>
      <c r="F13" s="8" t="s">
        <v>389</v>
      </c>
    </row>
    <row r="14" ht="16.5" spans="1:6">
      <c r="A14" s="4">
        <v>10</v>
      </c>
      <c r="B14" s="10" t="s">
        <v>383</v>
      </c>
      <c r="C14" s="6" t="s">
        <v>390</v>
      </c>
      <c r="D14" s="9">
        <f>SUMPRODUCT((汇率填写数=0)*(外币流水数&gt;0))</f>
        <v>0</v>
      </c>
      <c r="E14" s="5" t="str">
        <f t="shared" si="1"/>
        <v>✓ 没有</v>
      </c>
      <c r="F14" s="8" t="s">
        <v>391</v>
      </c>
    </row>
    <row r="15" ht="16.5" spans="1:6">
      <c r="A15" s="4">
        <v>11</v>
      </c>
      <c r="B15" s="10" t="s">
        <v>383</v>
      </c>
      <c r="C15" s="6" t="s">
        <v>392</v>
      </c>
      <c r="D15" s="9">
        <f>SUMPRODUCT((汇率币种头&lt;&gt;本位币)*(COUNTIF(账户币种,汇率币种头)&gt;0)*(汇率列计数=0))</f>
        <v>0</v>
      </c>
      <c r="E15" s="5" t="str">
        <f t="shared" si="1"/>
        <v>✓ 没有</v>
      </c>
      <c r="F15" s="8" t="s">
        <v>393</v>
      </c>
    </row>
    <row r="16" ht="16.5" spans="1:6">
      <c r="A16" s="4">
        <v>12</v>
      </c>
      <c r="B16" s="10" t="s">
        <v>383</v>
      </c>
      <c r="C16" s="6" t="s">
        <v>394</v>
      </c>
      <c r="D16" s="7">
        <f>ROUND(SUMIFS(流水本位,流水属性,"内部转账"),2)</f>
        <v>0</v>
      </c>
      <c r="E16" s="5" t="str">
        <f t="shared" si="1"/>
        <v>✓ 没有</v>
      </c>
      <c r="F16" s="8" t="s">
        <v>395</v>
      </c>
    </row>
    <row r="17" ht="16.5" spans="1:6">
      <c r="A17" s="4">
        <v>13</v>
      </c>
      <c r="B17" s="10" t="s">
        <v>383</v>
      </c>
      <c r="C17" s="6" t="s">
        <v>396</v>
      </c>
      <c r="D17" s="9">
        <f>COUNTIFS(流水属性,"内部转账",流水本位,"&gt;0")-COUNTIFS(流水属性,"内部转账",流水本位,"&lt;0")</f>
        <v>0</v>
      </c>
      <c r="E17" s="5" t="str">
        <f t="shared" si="1"/>
        <v>✓ 没有</v>
      </c>
      <c r="F17" s="8" t="s">
        <v>397</v>
      </c>
    </row>
    <row r="18" ht="16.5" spans="1:6">
      <c r="A18" s="4">
        <v>14</v>
      </c>
      <c r="B18" s="10" t="s">
        <v>383</v>
      </c>
      <c r="C18" s="6" t="s">
        <v>398</v>
      </c>
      <c r="D18" s="9">
        <f>COUNTIFS(流水账户,"&lt;&gt;",流水类别,"")</f>
        <v>0</v>
      </c>
      <c r="E18" s="5" t="str">
        <f t="shared" si="1"/>
        <v>✓ 没有</v>
      </c>
      <c r="F18" s="8" t="s">
        <v>399</v>
      </c>
    </row>
    <row r="19" ht="16.5" spans="1:6">
      <c r="A19" s="4">
        <v>15</v>
      </c>
      <c r="B19" s="10" t="s">
        <v>383</v>
      </c>
      <c r="C19" s="6" t="s">
        <v>400</v>
      </c>
      <c r="D19" s="9">
        <f>MAX(0,COUNTA(账户名)-15)</f>
        <v>0</v>
      </c>
      <c r="E19" s="5" t="str">
        <f t="shared" si="1"/>
        <v>✓ 没有</v>
      </c>
      <c r="F19" s="8" t="s">
        <v>401</v>
      </c>
    </row>
    <row r="20" ht="16.5" spans="1:6">
      <c r="A20" s="4">
        <v>16</v>
      </c>
      <c r="B20" s="10" t="s">
        <v>383</v>
      </c>
      <c r="C20" s="6" t="s">
        <v>402</v>
      </c>
      <c r="D20" s="11" t="str">
        <f>COUNTA(流水账户)&amp;" / 2000"</f>
        <v>18 / 2000</v>
      </c>
      <c r="E20" s="12" t="s">
        <v>271</v>
      </c>
      <c r="F20" s="8"/>
    </row>
    <row r="21" ht="16.5" spans="1:6">
      <c r="A21" s="4">
        <v>17</v>
      </c>
      <c r="B21" s="10" t="s">
        <v>383</v>
      </c>
      <c r="C21" s="6" t="s">
        <v>403</v>
      </c>
      <c r="D21" s="9">
        <f>SUMPRODUCT((类别表&lt;&gt;"")*(COUNTIF(类别表,类别表&amp;"")&gt;1))</f>
        <v>0</v>
      </c>
      <c r="E21" s="5" t="str">
        <f>IF(ROUND(N($D21),2)=0,"✓ 没有","△ 有")</f>
        <v>✓ 没有</v>
      </c>
      <c r="F21" s="8" t="s">
        <v>404</v>
      </c>
    </row>
    <row r="22" ht="16.5" spans="1:6">
      <c r="A22" s="4">
        <v>18</v>
      </c>
      <c r="B22" s="10" t="s">
        <v>383</v>
      </c>
      <c r="C22" s="6" t="s">
        <v>405</v>
      </c>
      <c r="D22" s="9">
        <f>SUMPRODUCT((项目表&lt;&gt;"")*(COUNTIF(项目表,项目表&amp;"")&gt;1))</f>
        <v>0</v>
      </c>
      <c r="E22" s="5" t="str">
        <f>IF(ROUND(N($D22),2)=0,"✓ 没有","△ 有")</f>
        <v>✓ 没有</v>
      </c>
      <c r="F22" s="8" t="s">
        <v>406</v>
      </c>
    </row>
    <row r="23" ht="16.5" spans="1:6">
      <c r="A23" s="4">
        <v>19</v>
      </c>
      <c r="B23" s="10" t="s">
        <v>383</v>
      </c>
      <c r="C23" s="6" t="s">
        <v>407</v>
      </c>
      <c r="D23" s="7">
        <f>ROUND(账户余额表!$L$36,2)</f>
        <v>40140</v>
      </c>
      <c r="E23" s="5" t="str">
        <f>IF(ROUND(N($D23),2)=0,"✓ 没有","△ 有")</f>
        <v>△ 有</v>
      </c>
      <c r="F23" s="8" t="s">
        <v>408</v>
      </c>
    </row>
    <row r="25" ht="16.5" spans="1:6">
      <c r="A25" s="13" t="s">
        <v>409</v>
      </c>
      <c r="B25" s="14"/>
      <c r="C25" s="15"/>
      <c r="D25" s="11" t="str">
        <f>COUNTIF($E$5:$E$23,"✓ 通过")&amp;" / 6"</f>
        <v>6 / 6</v>
      </c>
      <c r="E25" s="16" t="s">
        <v>383</v>
      </c>
      <c r="F25" s="17" t="str">
        <f>COUNTIF($E$5:$E$23,"△ 有")&amp;" 项没填齐"</f>
        <v>1 项没填齐</v>
      </c>
    </row>
  </sheetData>
  <mergeCells count="3">
    <mergeCell ref="A1:F1"/>
    <mergeCell ref="A2:F2"/>
    <mergeCell ref="A25:C25"/>
  </mergeCells>
  <conditionalFormatting sqref="E5:E23">
    <cfRule type="expression" dxfId="0" priority="1">
      <formula>LEFT(E5,1)="✗"</formula>
    </cfRule>
    <cfRule type="expression" dxfId="4" priority="2">
      <formula>LEFT(E5,1)="△"</formula>
    </cfRule>
  </conditionalFormatting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使用说明</vt:lpstr>
      <vt:lpstr>参数设置</vt:lpstr>
      <vt:lpstr>月度汇率</vt:lpstr>
      <vt:lpstr>流水录入</vt:lpstr>
      <vt:lpstr>账户余额表</vt:lpstr>
      <vt:lpstr>月度汇报表</vt:lpstr>
      <vt:lpstr>收支分类报表</vt:lpstr>
      <vt:lpstr>资金日报表</vt:lpstr>
      <vt:lpstr>区间查询</vt:lpstr>
      <vt:lpstr>工商银行基本户-8888</vt:lpstr>
      <vt:lpstr>中国银行美元结算户-6688</vt:lpstr>
      <vt:lpstr>汇丰银行港币结算户-5566</vt:lpstr>
      <vt:lpstr>招商银行一般户-2388</vt:lpstr>
      <vt:lpstr>汇丰银行美元结算户-7788</vt:lpstr>
      <vt:lpstr>中国银行欧元结算户-9900</vt:lpstr>
      <vt:lpstr>核对表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</cp:lastModifiedBy>
  <dcterms:created xsi:type="dcterms:W3CDTF">2026-09-17T14:54:00Z</dcterms:created>
  <dcterms:modified xsi:type="dcterms:W3CDTF">2026-09-18T08:08:08Z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F3BF2FF7CDA14B26813037CCD0B2E84C_13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