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中海联机电\合同档案\维保服务合同\"/>
    </mc:Choice>
  </mc:AlternateContent>
  <bookViews>
    <workbookView windowWidth="23145" windowHeight="9555" activeTab="5"/>
  </bookViews>
  <sheets>
    <sheet name="电梯档案" sheetId="1" r:id="rId1"/>
    <sheet name="刘丕斌徐少斌夏凯" sheetId="2" r:id="rId2"/>
    <sheet name="陆莹杨凯" sheetId="3" r:id="rId3"/>
    <sheet name="刘坤田超" sheetId="4" r:id="rId4"/>
    <sheet name="陈彪姚永华梅思阳" sheetId="5" r:id="rId5"/>
    <sheet name="胡春平" sheetId="7" r:id="rId6"/>
    <sheet name="Sheet5" sheetId="6" r:id="rId7"/>
    <sheet name="Sheet1" sheetId="8" r:id="rId8"/>
  </sheets>
  <definedNames>
    <definedName name="_xlnm._FilterDatabase" localSheetId="0" hidden="1">电梯档案!$A$1:$Y$304</definedName>
    <definedName name="_xlnm._FilterDatabase" localSheetId="4" hidden="1">陈彪姚永华梅思阳!$A$2:$D$93</definedName>
    <definedName name="_xlnm._FilterDatabase" localSheetId="5" hidden="1">胡春平!$A$1:$V$47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P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魏会计住3栋，3栋的右边的电梯好响，</t>
        </r>
      </text>
    </comment>
    <comment ref="P9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电梯从安装后一直存抖动问题，反复维修仍然出现，公司魏总住的楼</t>
        </r>
      </text>
    </comment>
    <comment ref="P10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魏诚住的电梯，外梯运行中有点跳，多关注收钢丝绳</t>
        </r>
      </text>
    </comment>
    <comment ref="C1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2026.4.24重大修理出监督检验报告（要重新报改造，6层6站改为6层12站。
）</t>
        </r>
      </text>
    </comment>
    <comment ref="P1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2015-11改造单位：湖北永达电（扶）梯有限公司</t>
        </r>
      </text>
    </comment>
  </commentList>
</comments>
</file>

<file path=xl/comments2.xml><?xml version="1.0" encoding="utf-8"?>
<comments xmlns="http://schemas.openxmlformats.org/spreadsheetml/2006/main">
  <authors>
    <author>DELL</author>
  </authors>
  <commentList>
    <comment ref="L7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9.17完成年检工作</t>
        </r>
      </text>
    </comment>
  </commentList>
</comments>
</file>

<file path=xl/comments3.xml><?xml version="1.0" encoding="utf-8"?>
<comments xmlns="http://schemas.openxmlformats.org/spreadsheetml/2006/main">
  <authors>
    <author>DELL</author>
  </authors>
  <commentList>
    <comment ref="L35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9.16特检所检测，第一年不收费</t>
        </r>
      </text>
    </comment>
    <comment ref="L44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9.14报检350元/台</t>
        </r>
      </text>
    </comment>
  </commentList>
</comments>
</file>

<file path=xl/comments4.xml><?xml version="1.0" encoding="utf-8"?>
<comments xmlns="http://schemas.openxmlformats.org/spreadsheetml/2006/main">
  <authors>
    <author>DELL</author>
  </authors>
  <commentList>
    <comment ref="G7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服务费3600/年+第三方检测费，限速器750，合计4350元</t>
        </r>
      </text>
    </comment>
    <comment ref="G8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服务费3600+第三方检测费350，合计3950</t>
        </r>
      </text>
    </comment>
    <comment ref="G14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服务费3600+第三方检测费，限速器750，合计4350</t>
        </r>
      </text>
    </comment>
    <comment ref="G22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服务费3600/年，检测费350，合计3950</t>
        </r>
      </text>
    </comment>
    <comment ref="K22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服务费按3000收</t>
        </r>
      </text>
    </comment>
    <comment ref="K23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250限速器效验费，330检测费</t>
        </r>
      </text>
    </comment>
  </commentList>
</comments>
</file>

<file path=xl/sharedStrings.xml><?xml version="1.0" encoding="utf-8"?>
<sst xmlns="http://schemas.openxmlformats.org/spreadsheetml/2006/main" count="3457" uniqueCount="1661">
  <si>
    <r>
      <rPr>
        <sz val="11"/>
        <color theme="9"/>
        <rFont val="华文宋体"/>
        <charset val="134"/>
      </rPr>
      <t>注意事项</t>
    </r>
  </si>
  <si>
    <r>
      <rPr>
        <sz val="20"/>
        <color theme="0"/>
        <rFont val="华文宋体"/>
        <charset val="134"/>
      </rPr>
      <t>使用单位</t>
    </r>
  </si>
  <si>
    <r>
      <rPr>
        <sz val="22"/>
        <color theme="0"/>
        <rFont val="华文宋体"/>
        <charset val="134"/>
      </rPr>
      <t>项目名称</t>
    </r>
  </si>
  <si>
    <r>
      <rPr>
        <sz val="16"/>
        <color theme="0"/>
        <rFont val="华文宋体"/>
        <charset val="134"/>
      </rPr>
      <t>型号</t>
    </r>
  </si>
  <si>
    <r>
      <rPr>
        <sz val="16"/>
        <color theme="0"/>
        <rFont val="华文宋体"/>
        <charset val="134"/>
      </rPr>
      <t>注册代码</t>
    </r>
  </si>
  <si>
    <r>
      <t>963333</t>
    </r>
    <r>
      <rPr>
        <sz val="16"/>
        <color theme="0"/>
        <rFont val="华文宋体"/>
        <charset val="134"/>
      </rPr>
      <t>应急救</t>
    </r>
    <r>
      <rPr>
        <sz val="16"/>
        <color theme="0"/>
        <rFont val="Verdana"/>
        <charset val="134"/>
      </rPr>
      <t xml:space="preserve">
</t>
    </r>
    <r>
      <rPr>
        <sz val="16"/>
        <color theme="0"/>
        <rFont val="华文宋体"/>
        <charset val="134"/>
      </rPr>
      <t>援标识牌编号</t>
    </r>
  </si>
  <si>
    <r>
      <rPr>
        <sz val="16"/>
        <color theme="0"/>
        <rFont val="华文宋体"/>
        <charset val="134"/>
      </rPr>
      <t>生产厂家</t>
    </r>
  </si>
  <si>
    <r>
      <rPr>
        <sz val="16"/>
        <color theme="0"/>
        <rFont val="华文宋体"/>
        <charset val="134"/>
      </rPr>
      <t>梯型</t>
    </r>
  </si>
  <si>
    <r>
      <rPr>
        <sz val="16"/>
        <color theme="0"/>
        <rFont val="华文宋体"/>
        <charset val="134"/>
      </rPr>
      <t>层</t>
    </r>
  </si>
  <si>
    <r>
      <rPr>
        <sz val="16"/>
        <color theme="0"/>
        <rFont val="华文宋体"/>
        <charset val="134"/>
      </rPr>
      <t>站</t>
    </r>
  </si>
  <si>
    <r>
      <rPr>
        <sz val="16"/>
        <color theme="0"/>
        <rFont val="华文宋体"/>
        <charset val="134"/>
      </rPr>
      <t>门</t>
    </r>
  </si>
  <si>
    <r>
      <rPr>
        <sz val="16"/>
        <color theme="0"/>
        <rFont val="华文宋体"/>
        <charset val="134"/>
      </rPr>
      <t>载重</t>
    </r>
  </si>
  <si>
    <r>
      <rPr>
        <sz val="16"/>
        <color theme="0"/>
        <rFont val="华文宋体"/>
        <charset val="134"/>
      </rPr>
      <t>速度</t>
    </r>
    <r>
      <rPr>
        <sz val="16"/>
        <color theme="0"/>
        <rFont val="Verdana"/>
        <charset val="0"/>
      </rPr>
      <t>/</t>
    </r>
    <r>
      <rPr>
        <sz val="16"/>
        <color theme="0"/>
        <rFont val="华文宋体"/>
        <charset val="134"/>
      </rPr>
      <t>宽度</t>
    </r>
  </si>
  <si>
    <r>
      <rPr>
        <sz val="16"/>
        <color theme="0"/>
        <rFont val="华文宋体"/>
        <charset val="134"/>
      </rPr>
      <t>台量</t>
    </r>
  </si>
  <si>
    <r>
      <rPr>
        <sz val="16"/>
        <color theme="0"/>
        <rFont val="华文宋体"/>
        <charset val="134"/>
      </rPr>
      <t>设备编号</t>
    </r>
  </si>
  <si>
    <r>
      <rPr>
        <sz val="16"/>
        <color theme="0"/>
        <rFont val="华文宋体"/>
        <charset val="134"/>
      </rPr>
      <t>使用编号</t>
    </r>
  </si>
  <si>
    <r>
      <rPr>
        <sz val="16"/>
        <color theme="0"/>
        <rFont val="华文宋体"/>
        <charset val="134"/>
      </rPr>
      <t>其它</t>
    </r>
    <r>
      <rPr>
        <sz val="16"/>
        <color theme="0"/>
        <rFont val="Verdana"/>
        <charset val="134"/>
      </rPr>
      <t>(</t>
    </r>
    <r>
      <rPr>
        <sz val="16"/>
        <color theme="0"/>
        <rFont val="华文宋体"/>
        <charset val="134"/>
      </rPr>
      <t>下次年检日期</t>
    </r>
    <r>
      <rPr>
        <sz val="16"/>
        <color theme="0"/>
        <rFont val="Verdana"/>
        <charset val="134"/>
      </rPr>
      <t>)</t>
    </r>
  </si>
  <si>
    <r>
      <rPr>
        <sz val="16"/>
        <color theme="0"/>
        <rFont val="华文宋体"/>
        <charset val="134"/>
      </rPr>
      <t>制造</t>
    </r>
    <r>
      <rPr>
        <sz val="16"/>
        <color theme="0"/>
        <rFont val="Verdana"/>
        <charset val="134"/>
      </rPr>
      <t xml:space="preserve">
</t>
    </r>
    <r>
      <rPr>
        <sz val="16"/>
        <color theme="0"/>
        <rFont val="华文宋体"/>
        <charset val="134"/>
      </rPr>
      <t>日期</t>
    </r>
  </si>
  <si>
    <r>
      <rPr>
        <sz val="16"/>
        <color theme="0"/>
        <rFont val="华文宋体"/>
        <charset val="134"/>
      </rPr>
      <t>限速器校验（下次）</t>
    </r>
  </si>
  <si>
    <r>
      <rPr>
        <sz val="16"/>
        <color theme="0"/>
        <rFont val="华文宋体"/>
        <charset val="134"/>
      </rPr>
      <t>载重试验</t>
    </r>
    <r>
      <rPr>
        <sz val="16"/>
        <color theme="0"/>
        <rFont val="Verdana"/>
        <charset val="134"/>
      </rPr>
      <t>125%</t>
    </r>
    <r>
      <rPr>
        <sz val="16"/>
        <color theme="0"/>
        <rFont val="华文宋体"/>
        <charset val="134"/>
      </rPr>
      <t>（下次）</t>
    </r>
  </si>
  <si>
    <r>
      <rPr>
        <sz val="16"/>
        <color theme="0"/>
        <rFont val="华文宋体"/>
        <charset val="134"/>
      </rPr>
      <t>维保性质</t>
    </r>
  </si>
  <si>
    <r>
      <rPr>
        <sz val="16"/>
        <color theme="0"/>
        <rFont val="华文宋体"/>
        <charset val="134"/>
      </rPr>
      <t>维保人员</t>
    </r>
  </si>
  <si>
    <t>维保状态</t>
  </si>
  <si>
    <r>
      <rPr>
        <sz val="12"/>
        <rFont val="华文宋体"/>
        <charset val="134"/>
      </rPr>
      <t>武汉中海联机电工程有限公司</t>
    </r>
  </si>
  <si>
    <r>
      <rPr>
        <sz val="12"/>
        <rFont val="华文宋体"/>
        <charset val="134"/>
      </rPr>
      <t>滨江苑一期</t>
    </r>
    <r>
      <rPr>
        <sz val="12"/>
        <rFont val="Verdana"/>
        <charset val="134"/>
      </rPr>
      <t>7</t>
    </r>
    <r>
      <rPr>
        <sz val="12"/>
        <rFont val="华文宋体"/>
        <charset val="134"/>
      </rPr>
      <t>号楼（汪益新）</t>
    </r>
  </si>
  <si>
    <t>KLWG</t>
  </si>
  <si>
    <t>3110420100201911Z156</t>
  </si>
  <si>
    <t>110647</t>
  </si>
  <si>
    <r>
      <rPr>
        <sz val="12"/>
        <rFont val="华文宋体"/>
        <charset val="134"/>
      </rPr>
      <t>康力电梯</t>
    </r>
  </si>
  <si>
    <r>
      <rPr>
        <sz val="12"/>
        <rFont val="华文宋体"/>
        <charset val="134"/>
      </rPr>
      <t>客梯</t>
    </r>
  </si>
  <si>
    <t>800kg</t>
  </si>
  <si>
    <t>1.0m/s</t>
  </si>
  <si>
    <t xml:space="preserve">10045590-0010 </t>
  </si>
  <si>
    <r>
      <t>1#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</si>
  <si>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武汉明海定慧商业管理有限公司</t>
    </r>
  </si>
  <si>
    <r>
      <rPr>
        <sz val="12"/>
        <rFont val="华文宋体"/>
        <charset val="134"/>
      </rPr>
      <t>六渡桥</t>
    </r>
  </si>
  <si>
    <t>FSLK</t>
  </si>
  <si>
    <t>31104201032017070035</t>
  </si>
  <si>
    <t>010829</t>
  </si>
  <si>
    <r>
      <rPr>
        <sz val="12"/>
        <rFont val="华文宋体"/>
        <charset val="134"/>
      </rPr>
      <t>浙江梅轮电梯公司</t>
    </r>
  </si>
  <si>
    <t>1.5m/s</t>
  </si>
  <si>
    <t>17ML-2601</t>
  </si>
  <si>
    <r>
      <t>L1#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</si>
  <si>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武汉华茂医院有限公司</t>
    </r>
  </si>
  <si>
    <r>
      <rPr>
        <sz val="12"/>
        <rFont val="华文宋体"/>
        <charset val="134"/>
      </rPr>
      <t>圣心医院</t>
    </r>
  </si>
  <si>
    <t>EBJ30</t>
  </si>
  <si>
    <t>3110420100201811X814</t>
  </si>
  <si>
    <t>102951</t>
  </si>
  <si>
    <r>
      <rPr>
        <sz val="12"/>
        <rFont val="华文宋体"/>
        <charset val="134"/>
      </rPr>
      <t>怡达快速电梯</t>
    </r>
  </si>
  <si>
    <t>1600kg</t>
  </si>
  <si>
    <t>H070058.1</t>
  </si>
  <si>
    <r>
      <rPr>
        <sz val="12"/>
        <rFont val="华文宋体"/>
        <charset val="134"/>
      </rPr>
      <t>医梯</t>
    </r>
    <r>
      <rPr>
        <sz val="12"/>
        <rFont val="Verdana"/>
        <charset val="134"/>
      </rPr>
      <t>1#</t>
    </r>
  </si>
  <si>
    <t>3110420100201811X815</t>
  </si>
  <si>
    <t>102952</t>
  </si>
  <si>
    <t>H070058.2</t>
  </si>
  <si>
    <r>
      <rPr>
        <sz val="12"/>
        <rFont val="华文宋体"/>
        <charset val="134"/>
      </rPr>
      <t>医梯</t>
    </r>
    <r>
      <rPr>
        <sz val="12"/>
        <rFont val="Verdana"/>
        <charset val="134"/>
      </rPr>
      <t>2#</t>
    </r>
  </si>
  <si>
    <r>
      <rPr>
        <sz val="12"/>
        <rFont val="华文宋体"/>
        <charset val="134"/>
      </rPr>
      <t>湖北长江人民艺术剧院有限责任公司</t>
    </r>
  </si>
  <si>
    <r>
      <rPr>
        <sz val="12"/>
        <rFont val="华文宋体"/>
        <charset val="134"/>
      </rPr>
      <t>长江人艺</t>
    </r>
    <r>
      <rPr>
        <sz val="12"/>
        <rFont val="Verdana"/>
        <charset val="134"/>
      </rPr>
      <t>D8</t>
    </r>
    <r>
      <rPr>
        <sz val="12"/>
        <rFont val="华文宋体"/>
        <charset val="134"/>
      </rPr>
      <t>小剧场</t>
    </r>
  </si>
  <si>
    <t>MEGA-P</t>
  </si>
  <si>
    <t>31104201062025120001</t>
  </si>
  <si>
    <r>
      <rPr>
        <sz val="12"/>
        <rFont val="华文宋体"/>
        <charset val="134"/>
      </rPr>
      <t>住富电梯科技有限公司</t>
    </r>
  </si>
  <si>
    <t>1500kg</t>
  </si>
  <si>
    <t>F09193</t>
  </si>
  <si>
    <r>
      <t>3#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</si>
  <si>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小东门华中村</t>
    </r>
    <r>
      <rPr>
        <sz val="12"/>
        <rFont val="Verdana"/>
        <charset val="134"/>
      </rPr>
      <t>64</t>
    </r>
    <r>
      <rPr>
        <sz val="12"/>
        <rFont val="华文宋体"/>
        <charset val="134"/>
      </rPr>
      <t>号</t>
    </r>
  </si>
  <si>
    <t>MEGA-MRL</t>
  </si>
  <si>
    <t>31104201062022100030</t>
  </si>
  <si>
    <r>
      <rPr>
        <sz val="12"/>
        <rFont val="华文宋体"/>
        <charset val="134"/>
      </rPr>
      <t>住友富士</t>
    </r>
  </si>
  <si>
    <r>
      <rPr>
        <sz val="12"/>
        <rFont val="华文宋体"/>
        <charset val="134"/>
      </rPr>
      <t>客梯</t>
    </r>
    <r>
      <rPr>
        <sz val="12"/>
        <rFont val="Verdana"/>
        <charset val="134"/>
      </rPr>
      <t>(</t>
    </r>
    <r>
      <rPr>
        <sz val="12"/>
        <rFont val="华文宋体"/>
        <charset val="134"/>
      </rPr>
      <t>无机房</t>
    </r>
    <r>
      <rPr>
        <sz val="12"/>
        <rFont val="Verdana"/>
        <charset val="134"/>
      </rPr>
      <t>)</t>
    </r>
  </si>
  <si>
    <t>1000kg</t>
  </si>
  <si>
    <t>31104201062022100031</t>
  </si>
  <si>
    <r>
      <t>2#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</si>
  <si>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金禧建设集团有限公司</t>
    </r>
  </si>
  <si>
    <r>
      <rPr>
        <sz val="12"/>
        <rFont val="华文宋体"/>
        <charset val="134"/>
      </rPr>
      <t>金禧中北路</t>
    </r>
    <r>
      <rPr>
        <sz val="12"/>
        <rFont val="Verdana"/>
        <charset val="134"/>
      </rPr>
      <t>221</t>
    </r>
    <r>
      <rPr>
        <sz val="12"/>
        <rFont val="华文宋体"/>
        <charset val="134"/>
      </rPr>
      <t>号</t>
    </r>
  </si>
  <si>
    <t>MTP</t>
  </si>
  <si>
    <t>31104201062019090001</t>
  </si>
  <si>
    <t>095986</t>
  </si>
  <si>
    <r>
      <rPr>
        <sz val="12"/>
        <rFont val="华文宋体"/>
        <charset val="134"/>
      </rPr>
      <t>曼隆蒂森克虏伯电梯</t>
    </r>
  </si>
  <si>
    <t>1.75m/s</t>
  </si>
  <si>
    <t>M19NJ1136</t>
  </si>
  <si>
    <t>1#</t>
  </si>
  <si>
    <r>
      <rPr>
        <sz val="12"/>
        <rFont val="华文宋体"/>
        <charset val="134"/>
      </rPr>
      <t>湖北南远电缆科技有限公司</t>
    </r>
  </si>
  <si>
    <r>
      <rPr>
        <sz val="12"/>
        <rFont val="华文宋体"/>
        <charset val="134"/>
      </rPr>
      <t>南远电缆</t>
    </r>
  </si>
  <si>
    <t>LTHX2000/0.5-VF</t>
  </si>
  <si>
    <t>31204201002018051055</t>
  </si>
  <si>
    <t>099118</t>
  </si>
  <si>
    <r>
      <rPr>
        <sz val="12"/>
        <rFont val="华文宋体"/>
        <charset val="134"/>
      </rPr>
      <t>菱王电梯股份有限公司</t>
    </r>
  </si>
  <si>
    <r>
      <rPr>
        <sz val="12"/>
        <rFont val="华文宋体"/>
        <charset val="134"/>
      </rPr>
      <t>货梯</t>
    </r>
  </si>
  <si>
    <t>2000kg</t>
  </si>
  <si>
    <t>0.5m/s</t>
  </si>
  <si>
    <t>17H002199</t>
  </si>
  <si>
    <r>
      <t>1#</t>
    </r>
    <r>
      <rPr>
        <sz val="12"/>
        <rFont val="华文宋体"/>
        <charset val="134"/>
      </rPr>
      <t>货梯</t>
    </r>
  </si>
  <si>
    <t>CHOI-III</t>
  </si>
  <si>
    <t>31104201012022107422</t>
  </si>
  <si>
    <r>
      <rPr>
        <sz val="12"/>
        <rFont val="华文宋体"/>
        <charset val="134"/>
      </rPr>
      <t>沈阳远大智能工业集团</t>
    </r>
  </si>
  <si>
    <t>BLTSY22K/20366</t>
  </si>
  <si>
    <r>
      <t>L1#</t>
    </r>
    <r>
      <rPr>
        <sz val="12"/>
        <rFont val="华文宋体"/>
        <charset val="134"/>
      </rPr>
      <t>客梯</t>
    </r>
  </si>
  <si>
    <r>
      <rPr>
        <sz val="12"/>
        <rFont val="华文宋体"/>
        <charset val="134"/>
      </rPr>
      <t>武汉市黄陂区鑫捷惠超市（个体工商户）</t>
    </r>
  </si>
  <si>
    <r>
      <rPr>
        <sz val="12"/>
        <rFont val="华文宋体"/>
        <charset val="134"/>
      </rPr>
      <t>黄陂雅迪</t>
    </r>
  </si>
  <si>
    <t>F2000D05S-C0</t>
  </si>
  <si>
    <t>30134201162013060001</t>
  </si>
  <si>
    <t>092260</t>
  </si>
  <si>
    <r>
      <rPr>
        <sz val="12"/>
        <rFont val="华文宋体"/>
        <charset val="134"/>
      </rPr>
      <t>江南嘉捷电梯</t>
    </r>
  </si>
  <si>
    <t>12J50060</t>
  </si>
  <si>
    <r>
      <t>1#</t>
    </r>
    <r>
      <rPr>
        <sz val="12"/>
        <rFont val="华文宋体"/>
        <charset val="134"/>
      </rPr>
      <t>货</t>
    </r>
  </si>
  <si>
    <r>
      <rPr>
        <sz val="12"/>
        <rFont val="华文宋体"/>
        <charset val="134"/>
      </rPr>
      <t>武汉尊品益康意食品有限公司</t>
    </r>
  </si>
  <si>
    <r>
      <rPr>
        <sz val="12"/>
        <rFont val="华文宋体"/>
        <charset val="134"/>
      </rPr>
      <t>意康意厂房</t>
    </r>
  </si>
  <si>
    <t>LTHX</t>
  </si>
  <si>
    <t>31204201002019073047</t>
  </si>
  <si>
    <t>108416</t>
  </si>
  <si>
    <t>18H001296</t>
  </si>
  <si>
    <t>31204201002019073048</t>
  </si>
  <si>
    <t>108417</t>
  </si>
  <si>
    <t>18H001297</t>
  </si>
  <si>
    <r>
      <t>2#</t>
    </r>
    <r>
      <rPr>
        <sz val="12"/>
        <rFont val="华文宋体"/>
        <charset val="134"/>
      </rPr>
      <t>货</t>
    </r>
  </si>
  <si>
    <t>31204201002019073049</t>
  </si>
  <si>
    <t>108418</t>
  </si>
  <si>
    <t>18H001298</t>
  </si>
  <si>
    <r>
      <t>3#</t>
    </r>
    <r>
      <rPr>
        <sz val="12"/>
        <rFont val="华文宋体"/>
        <charset val="134"/>
      </rPr>
      <t>货</t>
    </r>
  </si>
  <si>
    <t>31204201002019073050</t>
  </si>
  <si>
    <t>108419</t>
  </si>
  <si>
    <t>18H001299</t>
  </si>
  <si>
    <r>
      <t>4#</t>
    </r>
    <r>
      <rPr>
        <sz val="12"/>
        <rFont val="华文宋体"/>
        <charset val="134"/>
      </rPr>
      <t>货</t>
    </r>
  </si>
  <si>
    <t>LTK</t>
  </si>
  <si>
    <t>3110420100201907Z115</t>
  </si>
  <si>
    <t>108415</t>
  </si>
  <si>
    <t>1050kg</t>
  </si>
  <si>
    <t>18K001875</t>
  </si>
  <si>
    <r>
      <rPr>
        <sz val="12"/>
        <rFont val="华文宋体"/>
        <charset val="134"/>
      </rPr>
      <t>武汉光谷铁神新材料孵化器有限公司</t>
    </r>
  </si>
  <si>
    <r>
      <rPr>
        <sz val="12"/>
        <rFont val="华文宋体"/>
        <charset val="134"/>
      </rPr>
      <t>光谷铁神孵化器</t>
    </r>
  </si>
  <si>
    <t>MAX-E1050-C01.75</t>
  </si>
  <si>
    <t>31104201192020010040</t>
  </si>
  <si>
    <r>
      <rPr>
        <sz val="12"/>
        <rFont val="华文宋体"/>
        <charset val="134"/>
      </rPr>
      <t>梯</t>
    </r>
    <r>
      <rPr>
        <sz val="12"/>
        <rFont val="Verdana"/>
        <charset val="134"/>
      </rPr>
      <t>11</t>
    </r>
    <r>
      <rPr>
        <sz val="12"/>
        <rFont val="华文宋体"/>
        <charset val="134"/>
      </rPr>
      <t>鄂</t>
    </r>
    <r>
      <rPr>
        <sz val="12"/>
        <rFont val="Verdana"/>
        <charset val="134"/>
      </rPr>
      <t>A28927</t>
    </r>
    <r>
      <rPr>
        <sz val="12"/>
        <rFont val="华文宋体"/>
        <charset val="134"/>
      </rPr>
      <t>（</t>
    </r>
    <r>
      <rPr>
        <sz val="12"/>
        <rFont val="Verdana"/>
        <charset val="134"/>
      </rPr>
      <t>20</t>
    </r>
    <r>
      <rPr>
        <sz val="12"/>
        <rFont val="华文宋体"/>
        <charset val="134"/>
      </rPr>
      <t>）</t>
    </r>
  </si>
  <si>
    <r>
      <rPr>
        <sz val="12"/>
        <rFont val="华文宋体"/>
        <charset val="134"/>
      </rPr>
      <t>广州广日</t>
    </r>
  </si>
  <si>
    <t>19278033001</t>
  </si>
  <si>
    <r>
      <t>1</t>
    </r>
    <r>
      <rPr>
        <sz val="12"/>
        <rFont val="华文宋体"/>
        <charset val="134"/>
      </rPr>
      <t>号楼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梯</t>
    </r>
  </si>
  <si>
    <t>31104201192020010041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</si>
  <si>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11</t>
    </r>
    <r>
      <rPr>
        <sz val="12"/>
        <rFont val="华文宋体"/>
        <charset val="134"/>
      </rPr>
      <t>鄂</t>
    </r>
    <r>
      <rPr>
        <sz val="12"/>
        <rFont val="Verdana"/>
        <charset val="0"/>
      </rPr>
      <t>A28928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20</t>
    </r>
    <r>
      <rPr>
        <sz val="12"/>
        <rFont val="华文宋体"/>
        <charset val="134"/>
      </rPr>
      <t>）</t>
    </r>
  </si>
  <si>
    <t>19278033002</t>
  </si>
  <si>
    <r>
      <t>1</t>
    </r>
    <r>
      <rPr>
        <sz val="12"/>
        <rFont val="华文宋体"/>
        <charset val="134"/>
      </rPr>
      <t>号楼</t>
    </r>
    <r>
      <rPr>
        <sz val="12"/>
        <rFont val="Verdana"/>
        <charset val="134"/>
      </rPr>
      <t>2#</t>
    </r>
    <r>
      <rPr>
        <sz val="12"/>
        <rFont val="华文宋体"/>
        <charset val="134"/>
      </rPr>
      <t>梯</t>
    </r>
  </si>
  <si>
    <t>31104201192020010042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</si>
  <si>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11</t>
    </r>
    <r>
      <rPr>
        <sz val="12"/>
        <rFont val="华文宋体"/>
        <charset val="134"/>
      </rPr>
      <t>鄂</t>
    </r>
    <r>
      <rPr>
        <sz val="12"/>
        <rFont val="Verdana"/>
        <charset val="0"/>
      </rPr>
      <t>A28929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20</t>
    </r>
    <r>
      <rPr>
        <sz val="12"/>
        <rFont val="华文宋体"/>
        <charset val="134"/>
      </rPr>
      <t>）</t>
    </r>
  </si>
  <si>
    <t>19278033003</t>
  </si>
  <si>
    <r>
      <t>2</t>
    </r>
    <r>
      <rPr>
        <sz val="12"/>
        <rFont val="华文宋体"/>
        <charset val="134"/>
      </rPr>
      <t>号楼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梯</t>
    </r>
  </si>
  <si>
    <t>31104201192020010043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</si>
  <si>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11</t>
    </r>
    <r>
      <rPr>
        <sz val="12"/>
        <rFont val="华文宋体"/>
        <charset val="134"/>
      </rPr>
      <t>鄂</t>
    </r>
    <r>
      <rPr>
        <sz val="12"/>
        <rFont val="Verdana"/>
        <charset val="0"/>
      </rPr>
      <t>A28930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20</t>
    </r>
    <r>
      <rPr>
        <sz val="12"/>
        <rFont val="华文宋体"/>
        <charset val="0"/>
      </rPr>
      <t>）</t>
    </r>
  </si>
  <si>
    <t>19278033004</t>
  </si>
  <si>
    <r>
      <t>3</t>
    </r>
    <r>
      <rPr>
        <sz val="12"/>
        <rFont val="华文宋体"/>
        <charset val="134"/>
      </rPr>
      <t>号楼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梯</t>
    </r>
  </si>
  <si>
    <t>31104201192020010044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</si>
  <si>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11</t>
    </r>
    <r>
      <rPr>
        <sz val="12"/>
        <rFont val="华文宋体"/>
        <charset val="134"/>
      </rPr>
      <t>鄂</t>
    </r>
    <r>
      <rPr>
        <sz val="12"/>
        <rFont val="Verdana"/>
        <charset val="0"/>
      </rPr>
      <t>A28931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20</t>
    </r>
    <r>
      <rPr>
        <sz val="12"/>
        <rFont val="华文宋体"/>
        <charset val="134"/>
      </rPr>
      <t>）</t>
    </r>
  </si>
  <si>
    <t>19278033005</t>
  </si>
  <si>
    <r>
      <t>2</t>
    </r>
    <r>
      <rPr>
        <sz val="12"/>
        <rFont val="华文宋体"/>
        <charset val="134"/>
      </rPr>
      <t>号楼</t>
    </r>
    <r>
      <rPr>
        <sz val="12"/>
        <rFont val="Verdana"/>
        <charset val="134"/>
      </rPr>
      <t>2#</t>
    </r>
    <r>
      <rPr>
        <sz val="12"/>
        <rFont val="华文宋体"/>
        <charset val="134"/>
      </rPr>
      <t>梯</t>
    </r>
  </si>
  <si>
    <t>31104201192020010045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</si>
  <si>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11</t>
    </r>
    <r>
      <rPr>
        <sz val="12"/>
        <rFont val="华文宋体"/>
        <charset val="134"/>
      </rPr>
      <t>鄂</t>
    </r>
    <r>
      <rPr>
        <sz val="12"/>
        <rFont val="Verdana"/>
        <charset val="0"/>
      </rPr>
      <t>A28932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20</t>
    </r>
    <r>
      <rPr>
        <sz val="12"/>
        <rFont val="华文宋体"/>
        <charset val="134"/>
      </rPr>
      <t>）</t>
    </r>
  </si>
  <si>
    <t>19278033006</t>
  </si>
  <si>
    <r>
      <t>3</t>
    </r>
    <r>
      <rPr>
        <sz val="12"/>
        <rFont val="华文宋体"/>
        <charset val="134"/>
      </rPr>
      <t>号楼</t>
    </r>
    <r>
      <rPr>
        <sz val="12"/>
        <rFont val="Verdana"/>
        <charset val="134"/>
      </rPr>
      <t>2#</t>
    </r>
    <r>
      <rPr>
        <sz val="12"/>
        <rFont val="华文宋体"/>
        <charset val="134"/>
      </rPr>
      <t>梯</t>
    </r>
  </si>
  <si>
    <r>
      <t xml:space="preserve"> </t>
    </r>
    <r>
      <rPr>
        <sz val="12"/>
        <rFont val="华文宋体"/>
        <charset val="134"/>
      </rPr>
      <t>湖北京通建材有限公司</t>
    </r>
  </si>
  <si>
    <r>
      <rPr>
        <sz val="12"/>
        <rFont val="华文宋体"/>
        <charset val="134"/>
      </rPr>
      <t>蔡甸老水泥厂</t>
    </r>
  </si>
  <si>
    <t>CTRL80</t>
  </si>
  <si>
    <t>30104201142013070007</t>
  </si>
  <si>
    <r>
      <rPr>
        <sz val="12"/>
        <rFont val="华文宋体"/>
        <charset val="134"/>
      </rPr>
      <t>快意电梯</t>
    </r>
  </si>
  <si>
    <t>K14777</t>
  </si>
  <si>
    <r>
      <t>1#</t>
    </r>
    <r>
      <rPr>
        <sz val="12"/>
        <rFont val="华文宋体"/>
        <charset val="134"/>
      </rPr>
      <t>客梯</t>
    </r>
  </si>
  <si>
    <r>
      <rPr>
        <sz val="12"/>
        <rFont val="华文宋体"/>
        <charset val="134"/>
      </rPr>
      <t>湖北波罗金环保科技有限公司</t>
    </r>
  </si>
  <si>
    <r>
      <rPr>
        <sz val="12"/>
        <rFont val="华文宋体"/>
        <charset val="134"/>
      </rPr>
      <t>金澜湾工业园</t>
    </r>
  </si>
  <si>
    <t>XO-HIVF</t>
  </si>
  <si>
    <t>31204201132016090002</t>
  </si>
  <si>
    <t>119757</t>
  </si>
  <si>
    <r>
      <rPr>
        <sz val="12"/>
        <rFont val="华文宋体"/>
        <charset val="134"/>
      </rPr>
      <t>杭州西奥</t>
    </r>
  </si>
  <si>
    <t>XOH A74744</t>
  </si>
  <si>
    <t>XO-REBO</t>
  </si>
  <si>
    <t>31104201132016090038</t>
  </si>
  <si>
    <t>119759</t>
  </si>
  <si>
    <t>XOK A74745</t>
  </si>
  <si>
    <t>31104201132016090039</t>
  </si>
  <si>
    <t>119760</t>
  </si>
  <si>
    <t>XOK A74743</t>
  </si>
  <si>
    <r>
      <rPr>
        <sz val="12"/>
        <rFont val="华文宋体"/>
        <charset val="134"/>
      </rPr>
      <t>武汉鑫承丰市政工程有限公司</t>
    </r>
  </si>
  <si>
    <r>
      <rPr>
        <sz val="12"/>
        <rFont val="华文宋体"/>
        <charset val="134"/>
      </rPr>
      <t>汉南薇湖路鑫承丰办公楼</t>
    </r>
  </si>
  <si>
    <t>METIS</t>
  </si>
  <si>
    <t>31104201132020090009</t>
  </si>
  <si>
    <t>137209</t>
  </si>
  <si>
    <t>ZT2000003645</t>
  </si>
  <si>
    <r>
      <rPr>
        <sz val="12"/>
        <rFont val="华文宋体"/>
        <charset val="134"/>
      </rPr>
      <t>武汉市宝嘉丽酒店管理有限公司</t>
    </r>
  </si>
  <si>
    <r>
      <rPr>
        <sz val="12"/>
        <rFont val="华文宋体"/>
        <charset val="134"/>
      </rPr>
      <t>纽宾凯拦江路店</t>
    </r>
  </si>
  <si>
    <t>EKW56</t>
  </si>
  <si>
    <t>31104201052020120038</t>
  </si>
  <si>
    <t>137210</t>
  </si>
  <si>
    <t>K090258</t>
  </si>
  <si>
    <r>
      <rPr>
        <sz val="12"/>
        <rFont val="华文宋体"/>
        <charset val="134"/>
      </rPr>
      <t>湖北海推智能装备有限公司</t>
    </r>
  </si>
  <si>
    <r>
      <rPr>
        <sz val="12"/>
        <rFont val="华文宋体"/>
        <charset val="134"/>
      </rPr>
      <t>东西湖年产</t>
    </r>
    <r>
      <rPr>
        <sz val="12"/>
        <rFont val="Verdana"/>
        <charset val="134"/>
      </rPr>
      <t>1000</t>
    </r>
    <r>
      <rPr>
        <sz val="12"/>
        <rFont val="华文宋体"/>
        <charset val="134"/>
      </rPr>
      <t>台</t>
    </r>
  </si>
  <si>
    <t>EKJ10</t>
  </si>
  <si>
    <t>31204201122020110008</t>
  </si>
  <si>
    <t>123868</t>
  </si>
  <si>
    <t>J070208.5</t>
  </si>
  <si>
    <r>
      <rPr>
        <sz val="12"/>
        <rFont val="华文宋体"/>
        <charset val="134"/>
      </rPr>
      <t>办公楼</t>
    </r>
    <r>
      <rPr>
        <sz val="12"/>
        <rFont val="Verdana"/>
        <charset val="134"/>
      </rPr>
      <t>5#</t>
    </r>
  </si>
  <si>
    <r>
      <rPr>
        <sz val="12"/>
        <rFont val="华文宋体"/>
        <charset val="134"/>
      </rPr>
      <t>滨江苑一期</t>
    </r>
    <r>
      <rPr>
        <sz val="12"/>
        <rFont val="Verdana"/>
        <charset val="134"/>
      </rPr>
      <t>3-1</t>
    </r>
    <r>
      <rPr>
        <sz val="12"/>
        <rFont val="华文宋体"/>
        <charset val="134"/>
      </rPr>
      <t>（任侠）</t>
    </r>
  </si>
  <si>
    <t>31104201002021031929</t>
  </si>
  <si>
    <t>137211</t>
  </si>
  <si>
    <t>10052351-0010</t>
  </si>
  <si>
    <r>
      <t>3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梯</t>
    </r>
  </si>
  <si>
    <t>EHJ20</t>
  </si>
  <si>
    <t>31204201122020110009</t>
  </si>
  <si>
    <t>123869</t>
  </si>
  <si>
    <t>3000kg</t>
  </si>
  <si>
    <t>J070208.1</t>
  </si>
  <si>
    <t>31204201122020110012</t>
  </si>
  <si>
    <t>123872</t>
  </si>
  <si>
    <t>J070208.4</t>
  </si>
  <si>
    <t>31204201122020110010</t>
  </si>
  <si>
    <t>123870</t>
  </si>
  <si>
    <t>J070208.2</t>
  </si>
  <si>
    <t>31204201122020110011</t>
  </si>
  <si>
    <t>123871</t>
  </si>
  <si>
    <t>J070208.3</t>
  </si>
  <si>
    <r>
      <rPr>
        <sz val="12"/>
        <rFont val="华文宋体"/>
        <charset val="134"/>
      </rPr>
      <t>武汉北方能源股份有限公司</t>
    </r>
  </si>
  <si>
    <r>
      <rPr>
        <sz val="12"/>
        <rFont val="华文宋体"/>
        <charset val="134"/>
      </rPr>
      <t>北方能源</t>
    </r>
  </si>
  <si>
    <t>EKJ35</t>
  </si>
  <si>
    <t>31104201122020110001</t>
  </si>
  <si>
    <t>137215</t>
  </si>
  <si>
    <t>J070233.1</t>
  </si>
  <si>
    <r>
      <rPr>
        <sz val="12"/>
        <rFont val="华文宋体"/>
        <charset val="134"/>
      </rPr>
      <t>工业园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楼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</si>
  <si>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31104201122020110002</t>
  </si>
  <si>
    <t>137216</t>
  </si>
  <si>
    <t>J070233.2</t>
  </si>
  <si>
    <r>
      <rPr>
        <sz val="12"/>
        <rFont val="华文宋体"/>
        <charset val="134"/>
      </rPr>
      <t>工业园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楼</t>
    </r>
    <r>
      <rPr>
        <sz val="12"/>
        <rFont val="Verdana"/>
        <charset val="134"/>
      </rPr>
      <t>2#</t>
    </r>
    <r>
      <rPr>
        <sz val="12"/>
        <rFont val="华文宋体"/>
        <charset val="134"/>
      </rPr>
      <t>客</t>
    </r>
  </si>
  <si>
    <t>31204201122020110007</t>
  </si>
  <si>
    <t>137217</t>
  </si>
  <si>
    <t>J070233.7</t>
  </si>
  <si>
    <r>
      <rPr>
        <sz val="12"/>
        <rFont val="华文宋体"/>
        <charset val="134"/>
      </rPr>
      <t>工业园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楼</t>
    </r>
    <r>
      <rPr>
        <sz val="12"/>
        <rFont val="Verdana"/>
        <charset val="134"/>
      </rPr>
      <t>3#</t>
    </r>
    <r>
      <rPr>
        <sz val="12"/>
        <rFont val="华文宋体"/>
        <charset val="134"/>
      </rPr>
      <t>客</t>
    </r>
  </si>
  <si>
    <t>137218</t>
  </si>
  <si>
    <t>J070233.8</t>
  </si>
  <si>
    <r>
      <rPr>
        <sz val="12"/>
        <rFont val="华文宋体"/>
        <charset val="134"/>
      </rPr>
      <t>工业园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楼</t>
    </r>
    <r>
      <rPr>
        <sz val="12"/>
        <rFont val="Verdana"/>
        <charset val="134"/>
      </rPr>
      <t>4#</t>
    </r>
    <r>
      <rPr>
        <sz val="12"/>
        <rFont val="华文宋体"/>
        <charset val="134"/>
      </rPr>
      <t>客</t>
    </r>
  </si>
  <si>
    <t>THJ</t>
  </si>
  <si>
    <t>31204201122020110013</t>
  </si>
  <si>
    <r>
      <rPr>
        <sz val="12"/>
        <rFont val="华文宋体"/>
        <charset val="134"/>
      </rPr>
      <t>广东台菱</t>
    </r>
  </si>
  <si>
    <t>E2007154</t>
  </si>
  <si>
    <r>
      <t>2#</t>
    </r>
    <r>
      <rPr>
        <sz val="12"/>
        <rFont val="华文宋体"/>
        <charset val="134"/>
      </rPr>
      <t>厂房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货</t>
    </r>
  </si>
  <si>
    <t>31204201122020110014</t>
  </si>
  <si>
    <t>E2007155</t>
  </si>
  <si>
    <r>
      <t>2#</t>
    </r>
    <r>
      <rPr>
        <sz val="12"/>
        <rFont val="华文宋体"/>
        <charset val="134"/>
      </rPr>
      <t>厂房</t>
    </r>
    <r>
      <rPr>
        <sz val="12"/>
        <rFont val="Verdana"/>
        <charset val="134"/>
      </rPr>
      <t>2#</t>
    </r>
    <r>
      <rPr>
        <sz val="12"/>
        <rFont val="华文宋体"/>
        <charset val="134"/>
      </rPr>
      <t>货</t>
    </r>
  </si>
  <si>
    <t>TKJ</t>
  </si>
  <si>
    <t>31104201122020110097</t>
  </si>
  <si>
    <t>E2007152</t>
  </si>
  <si>
    <r>
      <t>2#</t>
    </r>
    <r>
      <rPr>
        <sz val="12"/>
        <rFont val="华文宋体"/>
        <charset val="134"/>
      </rPr>
      <t>厂房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</si>
  <si>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31104201122020110098</t>
  </si>
  <si>
    <t>E2007153</t>
  </si>
  <si>
    <r>
      <t>2#</t>
    </r>
    <r>
      <rPr>
        <sz val="12"/>
        <rFont val="华文宋体"/>
        <charset val="134"/>
      </rPr>
      <t>厂房</t>
    </r>
    <r>
      <rPr>
        <sz val="12"/>
        <rFont val="Verdana"/>
        <charset val="134"/>
      </rPr>
      <t>2#</t>
    </r>
    <r>
      <rPr>
        <sz val="12"/>
        <rFont val="华文宋体"/>
        <charset val="134"/>
      </rPr>
      <t>客</t>
    </r>
  </si>
  <si>
    <t xml:space="preserve">LGE-050-C0105 </t>
  </si>
  <si>
    <t>31104201122020110125</t>
  </si>
  <si>
    <r>
      <rPr>
        <sz val="12"/>
        <rFont val="华文宋体"/>
        <charset val="134"/>
      </rPr>
      <t>日立电梯</t>
    </r>
  </si>
  <si>
    <t>19G077819</t>
  </si>
  <si>
    <r>
      <rPr>
        <sz val="12"/>
        <rFont val="华文宋体"/>
        <charset val="134"/>
      </rPr>
      <t>研发楼</t>
    </r>
    <r>
      <rPr>
        <sz val="12"/>
        <rFont val="Verdana"/>
        <charset val="134"/>
      </rPr>
      <t>Y1#</t>
    </r>
    <r>
      <rPr>
        <sz val="12"/>
        <rFont val="华文宋体"/>
        <charset val="134"/>
      </rPr>
      <t>客</t>
    </r>
  </si>
  <si>
    <t>31104201122020110126</t>
  </si>
  <si>
    <t>19G077820</t>
  </si>
  <si>
    <r>
      <rPr>
        <sz val="12"/>
        <rFont val="华文宋体"/>
        <charset val="134"/>
      </rPr>
      <t>研发楼</t>
    </r>
    <r>
      <rPr>
        <sz val="12"/>
        <rFont val="Verdana"/>
        <charset val="134"/>
      </rPr>
      <t>Y2#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</si>
  <si>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武汉博语文化传媒有限公司</t>
    </r>
  </si>
  <si>
    <r>
      <rPr>
        <sz val="12"/>
        <rFont val="华文宋体"/>
        <charset val="134"/>
      </rPr>
      <t>吴家花园</t>
    </r>
  </si>
  <si>
    <t>MEGA-H</t>
  </si>
  <si>
    <t>/</t>
  </si>
  <si>
    <r>
      <rPr>
        <sz val="12"/>
        <rFont val="华文宋体"/>
        <charset val="134"/>
      </rPr>
      <t>住友富士电梯有限公司</t>
    </r>
  </si>
  <si>
    <t>400kg</t>
  </si>
  <si>
    <t>0.4m/s</t>
  </si>
  <si>
    <t>1102016</t>
  </si>
  <si>
    <r>
      <rPr>
        <sz val="12"/>
        <rFont val="华文宋体"/>
        <charset val="134"/>
      </rPr>
      <t>别墅电梯</t>
    </r>
  </si>
  <si>
    <r>
      <rPr>
        <sz val="12"/>
        <rFont val="华文宋体"/>
        <charset val="134"/>
      </rPr>
      <t>武汉力托投资有限公司</t>
    </r>
  </si>
  <si>
    <r>
      <rPr>
        <sz val="12"/>
        <rFont val="华文宋体"/>
        <charset val="134"/>
      </rPr>
      <t>力托工业园</t>
    </r>
  </si>
  <si>
    <t>31104201132021050002</t>
  </si>
  <si>
    <t>129254</t>
  </si>
  <si>
    <t>BLTSY20K/20412</t>
  </si>
  <si>
    <t>31104201132021050003</t>
  </si>
  <si>
    <t>129255</t>
  </si>
  <si>
    <t>BLTSY20K/20413</t>
  </si>
  <si>
    <r>
      <rPr>
        <sz val="12"/>
        <rFont val="华文宋体"/>
        <charset val="134"/>
      </rPr>
      <t>武汉彤明汽车零部件有限公司</t>
    </r>
  </si>
  <si>
    <r>
      <rPr>
        <sz val="12"/>
        <rFont val="华文宋体"/>
        <charset val="134"/>
      </rPr>
      <t>金澜湾工业园彤明</t>
    </r>
    <r>
      <rPr>
        <sz val="12"/>
        <rFont val="Verdana"/>
        <charset val="134"/>
      </rPr>
      <t>23#</t>
    </r>
    <r>
      <rPr>
        <sz val="12"/>
        <rFont val="华文宋体"/>
        <charset val="134"/>
      </rPr>
      <t>楼</t>
    </r>
  </si>
  <si>
    <t>31104201132021050005</t>
  </si>
  <si>
    <t>129257</t>
  </si>
  <si>
    <t>BLTSY20K/20414</t>
  </si>
  <si>
    <r>
      <t>23</t>
    </r>
    <r>
      <rPr>
        <sz val="12"/>
        <rFont val="华文宋体"/>
        <charset val="134"/>
      </rPr>
      <t>号楼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</si>
  <si>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31104201132021050006</t>
  </si>
  <si>
    <t>129258</t>
  </si>
  <si>
    <t>BLTSY20K/20415</t>
  </si>
  <si>
    <r>
      <t>23</t>
    </r>
    <r>
      <rPr>
        <sz val="12"/>
        <rFont val="华文宋体"/>
        <charset val="134"/>
      </rPr>
      <t>号楼</t>
    </r>
    <r>
      <rPr>
        <sz val="12"/>
        <rFont val="Verdana"/>
        <charset val="134"/>
      </rPr>
      <t>2#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</si>
  <si>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武汉三工光电设备制造有限公司</t>
    </r>
  </si>
  <si>
    <r>
      <rPr>
        <sz val="12"/>
        <rFont val="华文宋体"/>
        <charset val="134"/>
      </rPr>
      <t>武大园办公楼</t>
    </r>
  </si>
  <si>
    <t>31104201192021070025</t>
  </si>
  <si>
    <t>137220</t>
  </si>
  <si>
    <t>1103081</t>
  </si>
  <si>
    <r>
      <rPr>
        <sz val="12"/>
        <rFont val="华文宋体"/>
        <charset val="134"/>
      </rPr>
      <t>电建小区</t>
    </r>
    <r>
      <rPr>
        <sz val="12"/>
        <rFont val="Verdana"/>
        <charset val="134"/>
      </rPr>
      <t>41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单元（涂晓慧）</t>
    </r>
  </si>
  <si>
    <t>WJK</t>
  </si>
  <si>
    <t>31104201032021080035</t>
  </si>
  <si>
    <t>137221</t>
  </si>
  <si>
    <r>
      <rPr>
        <sz val="12"/>
        <rFont val="华文宋体"/>
        <charset val="134"/>
      </rPr>
      <t>福州快科电梯</t>
    </r>
  </si>
  <si>
    <r>
      <rPr>
        <sz val="12"/>
        <rFont val="华文宋体"/>
        <charset val="134"/>
      </rPr>
      <t>客梯（无机房）</t>
    </r>
  </si>
  <si>
    <t>K.E30-2100076</t>
  </si>
  <si>
    <r>
      <rPr>
        <sz val="12"/>
        <rFont val="华文宋体"/>
        <charset val="134"/>
      </rPr>
      <t>湖北星安电梯有限公司</t>
    </r>
  </si>
  <si>
    <r>
      <rPr>
        <sz val="12"/>
        <rFont val="华文宋体"/>
        <charset val="134"/>
      </rPr>
      <t>滨江苑一期</t>
    </r>
    <r>
      <rPr>
        <sz val="12"/>
        <rFont val="Verdana"/>
        <charset val="134"/>
      </rPr>
      <t>11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单元（陈俊群）</t>
    </r>
  </si>
  <si>
    <t xml:space="preserve"> 31104201022021110017</t>
  </si>
  <si>
    <t>137222</t>
  </si>
  <si>
    <t>K.E30-2100167</t>
  </si>
  <si>
    <r>
      <rPr>
        <sz val="12"/>
        <rFont val="华文宋体"/>
        <charset val="134"/>
      </rPr>
      <t>武汉北港建工集团开发有限公司</t>
    </r>
  </si>
  <si>
    <r>
      <rPr>
        <sz val="12"/>
        <rFont val="华文宋体"/>
        <charset val="134"/>
      </rPr>
      <t>佳和云居</t>
    </r>
  </si>
  <si>
    <t>XO-REZ0II</t>
  </si>
  <si>
    <t>31104201112022060060</t>
  </si>
  <si>
    <t>154205</t>
  </si>
  <si>
    <r>
      <rPr>
        <sz val="12"/>
        <rFont val="华文宋体"/>
        <charset val="134"/>
      </rPr>
      <t>杭州西奥电梯</t>
    </r>
  </si>
  <si>
    <t>XODTS17457</t>
  </si>
  <si>
    <r>
      <t>9-2-2#</t>
    </r>
    <r>
      <rPr>
        <sz val="12"/>
        <rFont val="华文宋体"/>
        <charset val="134"/>
      </rPr>
      <t>客</t>
    </r>
  </si>
  <si>
    <t>31104201112022030072</t>
  </si>
  <si>
    <t>134748</t>
  </si>
  <si>
    <t>XODTS17461</t>
  </si>
  <si>
    <r>
      <t>9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</si>
  <si>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31104201112022060059</t>
  </si>
  <si>
    <t>154204</t>
  </si>
  <si>
    <t>XODTS17456</t>
  </si>
  <si>
    <r>
      <t>9-1-2#</t>
    </r>
    <r>
      <rPr>
        <sz val="12"/>
        <rFont val="华文宋体"/>
        <charset val="134"/>
      </rPr>
      <t>客</t>
    </r>
  </si>
  <si>
    <t>31104201112022030071</t>
  </si>
  <si>
    <t>134747</t>
  </si>
  <si>
    <t>XODTS17460</t>
  </si>
  <si>
    <r>
      <t>9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</si>
  <si>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31104201112022060058</t>
  </si>
  <si>
    <t>154203</t>
  </si>
  <si>
    <t>XODTS17449</t>
  </si>
  <si>
    <r>
      <t>8-2-2#</t>
    </r>
    <r>
      <rPr>
        <sz val="12"/>
        <rFont val="华文宋体"/>
        <charset val="134"/>
      </rPr>
      <t>客</t>
    </r>
  </si>
  <si>
    <t>31104201112022010047</t>
  </si>
  <si>
    <t>136356</t>
  </si>
  <si>
    <t>XODTS17448</t>
  </si>
  <si>
    <r>
      <t>8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</si>
  <si>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31104201112022060057</t>
  </si>
  <si>
    <t>154202</t>
  </si>
  <si>
    <t>XODTS17447</t>
  </si>
  <si>
    <r>
      <t>8-1-2#</t>
    </r>
    <r>
      <rPr>
        <sz val="12"/>
        <rFont val="华文宋体"/>
        <charset val="134"/>
      </rPr>
      <t>客</t>
    </r>
  </si>
  <si>
    <t>31104201112022010046</t>
  </si>
  <si>
    <t>136360</t>
  </si>
  <si>
    <t>XODTS17446</t>
  </si>
  <si>
    <r>
      <t>8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</si>
  <si>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31104201112022060056</t>
  </si>
  <si>
    <t>154201</t>
  </si>
  <si>
    <t>XODTS17453</t>
  </si>
  <si>
    <r>
      <t>7-2#</t>
    </r>
    <r>
      <rPr>
        <sz val="12"/>
        <rFont val="华文宋体"/>
        <charset val="134"/>
      </rPr>
      <t>客</t>
    </r>
  </si>
  <si>
    <t>31104201112022030068</t>
  </si>
  <si>
    <t>134744</t>
  </si>
  <si>
    <t>XODTS17452</t>
  </si>
  <si>
    <r>
      <t>7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</si>
  <si>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31104201112022060055</t>
  </si>
  <si>
    <t>154200</t>
  </si>
  <si>
    <t>XODTS17459</t>
  </si>
  <si>
    <r>
      <t>6-2-2#</t>
    </r>
    <r>
      <rPr>
        <sz val="12"/>
        <rFont val="华文宋体"/>
        <charset val="134"/>
      </rPr>
      <t>客</t>
    </r>
  </si>
  <si>
    <t>31104201112022030070</t>
  </si>
  <si>
    <t>134746</t>
  </si>
  <si>
    <t>XODTS17475</t>
  </si>
  <si>
    <r>
      <t>6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</si>
  <si>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31104201112022060054</t>
  </si>
  <si>
    <t>154199</t>
  </si>
  <si>
    <t>XODTS17454</t>
  </si>
  <si>
    <r>
      <t>6-1-2#</t>
    </r>
    <r>
      <rPr>
        <sz val="12"/>
        <rFont val="华文宋体"/>
        <charset val="134"/>
      </rPr>
      <t>客</t>
    </r>
  </si>
  <si>
    <t>31104201112022030069</t>
  </si>
  <si>
    <t>134745</t>
  </si>
  <si>
    <t>XODTS17458</t>
  </si>
  <si>
    <r>
      <t>6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</si>
  <si>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31104201112022060053</t>
  </si>
  <si>
    <t>154198</t>
  </si>
  <si>
    <t>XODTS17445</t>
  </si>
  <si>
    <r>
      <t>5-2-2#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</si>
  <si>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滨江苑一期</t>
    </r>
    <r>
      <rPr>
        <sz val="12"/>
        <rFont val="Verdana"/>
        <charset val="134"/>
      </rPr>
      <t>4</t>
    </r>
    <r>
      <rPr>
        <sz val="12"/>
        <rFont val="华文宋体"/>
        <charset val="134"/>
      </rPr>
      <t>栋（龚翠红）</t>
    </r>
  </si>
  <si>
    <t>KLW</t>
  </si>
  <si>
    <t>31104201022022010029</t>
  </si>
  <si>
    <t>137224</t>
  </si>
  <si>
    <t>10059069-0010</t>
  </si>
  <si>
    <r>
      <rPr>
        <sz val="12"/>
        <rFont val="华文宋体"/>
        <charset val="134"/>
      </rPr>
      <t>湖北燃蚁环境科技有限公司</t>
    </r>
  </si>
  <si>
    <r>
      <rPr>
        <sz val="12"/>
        <rFont val="华文宋体"/>
        <charset val="134"/>
      </rPr>
      <t>青青美庐西区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单元（姚征权）</t>
    </r>
  </si>
  <si>
    <r>
      <t>XO-REZ0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MRL</t>
    </r>
    <r>
      <rPr>
        <sz val="12"/>
        <rFont val="华文宋体"/>
        <charset val="134"/>
      </rPr>
      <t>）</t>
    </r>
  </si>
  <si>
    <t xml:space="preserve"> 31104201022022010030</t>
  </si>
  <si>
    <t>137225</t>
  </si>
  <si>
    <t xml:space="preserve"> XODTF02737</t>
  </si>
  <si>
    <r>
      <rPr>
        <sz val="12"/>
        <rFont val="华文宋体"/>
        <charset val="134"/>
      </rPr>
      <t>武汉光谷卓越科技股份有限公司</t>
    </r>
  </si>
  <si>
    <r>
      <rPr>
        <sz val="12"/>
        <rFont val="华文宋体"/>
        <charset val="134"/>
      </rPr>
      <t>武大科技园</t>
    </r>
    <r>
      <rPr>
        <sz val="12"/>
        <rFont val="Verdana"/>
        <charset val="134"/>
      </rPr>
      <t>4</t>
    </r>
    <r>
      <rPr>
        <sz val="12"/>
        <rFont val="华文宋体"/>
        <charset val="134"/>
      </rPr>
      <t>路</t>
    </r>
    <r>
      <rPr>
        <sz val="12"/>
        <rFont val="Verdana"/>
        <charset val="134"/>
      </rPr>
      <t>6</t>
    </r>
    <r>
      <rPr>
        <sz val="12"/>
        <rFont val="华文宋体"/>
        <charset val="134"/>
      </rPr>
      <t>号</t>
    </r>
  </si>
  <si>
    <t xml:space="preserve">elegant MRL 1000 VF </t>
  </si>
  <si>
    <t>30104201192005080002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</si>
  <si>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11</t>
    </r>
    <r>
      <rPr>
        <sz val="12"/>
        <rFont val="华文宋体"/>
        <charset val="134"/>
      </rPr>
      <t>鄂</t>
    </r>
    <r>
      <rPr>
        <sz val="12"/>
        <rFont val="Verdana"/>
        <charset val="134"/>
      </rPr>
      <t>AZV553(05)</t>
    </r>
  </si>
  <si>
    <r>
      <rPr>
        <sz val="12"/>
        <rFont val="华文宋体"/>
        <charset val="134"/>
      </rPr>
      <t>迅达</t>
    </r>
  </si>
  <si>
    <t>E0043552</t>
  </si>
  <si>
    <r>
      <rPr>
        <sz val="12"/>
        <rFont val="华文宋体"/>
        <charset val="134"/>
      </rPr>
      <t>武汉中南标准件有限公司</t>
    </r>
  </si>
  <si>
    <r>
      <rPr>
        <sz val="12"/>
        <rFont val="华文宋体"/>
        <charset val="134"/>
      </rPr>
      <t>圣源酒店</t>
    </r>
  </si>
  <si>
    <t>G SM -P1000-C O 60</t>
  </si>
  <si>
    <t>30104201032010050001</t>
  </si>
  <si>
    <t xml:space="preserve"> 033008</t>
  </si>
  <si>
    <r>
      <rPr>
        <sz val="12"/>
        <rFont val="华文宋体"/>
        <charset val="134"/>
      </rPr>
      <t>广州永日电梯</t>
    </r>
  </si>
  <si>
    <t>Y09111302</t>
  </si>
  <si>
    <t>31104201112022010045</t>
  </si>
  <si>
    <t>136357</t>
  </si>
  <si>
    <t>XODTS17444</t>
  </si>
  <si>
    <r>
      <t>5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</si>
  <si>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31104201112022060052</t>
  </si>
  <si>
    <t>154197</t>
  </si>
  <si>
    <t>XODTS17443</t>
  </si>
  <si>
    <r>
      <t>5-1-2#</t>
    </r>
    <r>
      <rPr>
        <sz val="12"/>
        <rFont val="华文宋体"/>
        <charset val="134"/>
      </rPr>
      <t>客</t>
    </r>
  </si>
  <si>
    <t>31104201112022010044</t>
  </si>
  <si>
    <t>136358</t>
  </si>
  <si>
    <t>XODTS17442</t>
  </si>
  <si>
    <r>
      <t>5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</si>
  <si>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31104201112022060051</t>
  </si>
  <si>
    <t>154196</t>
  </si>
  <si>
    <t>XODTS17451</t>
  </si>
  <si>
    <r>
      <t>3-2#</t>
    </r>
    <r>
      <rPr>
        <sz val="12"/>
        <rFont val="华文宋体"/>
        <charset val="134"/>
      </rPr>
      <t>客</t>
    </r>
  </si>
  <si>
    <t>31104201112022010043</t>
  </si>
  <si>
    <t>136352</t>
  </si>
  <si>
    <t>XODTS17450</t>
  </si>
  <si>
    <r>
      <t>3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</si>
  <si>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31104201112022060050</t>
  </si>
  <si>
    <t>154195</t>
  </si>
  <si>
    <t>XODTS17441</t>
  </si>
  <si>
    <r>
      <t>2-2-2#</t>
    </r>
    <r>
      <rPr>
        <sz val="12"/>
        <rFont val="华文宋体"/>
        <charset val="134"/>
      </rPr>
      <t>客</t>
    </r>
  </si>
  <si>
    <t>31104201112022010042</t>
  </si>
  <si>
    <t>136363</t>
  </si>
  <si>
    <t>XODTS17440</t>
  </si>
  <si>
    <r>
      <t>2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</si>
  <si>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武汉兴达联置业有限公司</t>
    </r>
  </si>
  <si>
    <r>
      <rPr>
        <sz val="12"/>
        <rFont val="华文宋体"/>
        <charset val="134"/>
      </rPr>
      <t>金湖听语</t>
    </r>
    <r>
      <rPr>
        <sz val="12"/>
        <rFont val="Verdana"/>
        <charset val="134"/>
      </rPr>
      <t>T17</t>
    </r>
  </si>
  <si>
    <t>KLK1</t>
  </si>
  <si>
    <t>31104201012022053040</t>
  </si>
  <si>
    <t>144965</t>
  </si>
  <si>
    <t>1150kg</t>
  </si>
  <si>
    <t>1.6m/s</t>
  </si>
  <si>
    <t>10056344-0010</t>
  </si>
  <si>
    <t>T17-1#</t>
  </si>
  <si>
    <t>31104201012022053041</t>
  </si>
  <si>
    <t>144966</t>
  </si>
  <si>
    <t>10056344-0020</t>
  </si>
  <si>
    <t>T17-2#</t>
  </si>
  <si>
    <t>31104201012022053042</t>
  </si>
  <si>
    <t>144967</t>
  </si>
  <si>
    <t>10056344-0030</t>
  </si>
  <si>
    <t>T17-3#</t>
  </si>
  <si>
    <t>31104201012022053043</t>
  </si>
  <si>
    <t>144968</t>
  </si>
  <si>
    <t>10056344-0040</t>
  </si>
  <si>
    <t>T17-4#</t>
  </si>
  <si>
    <r>
      <rPr>
        <sz val="12"/>
        <rFont val="华文宋体"/>
        <charset val="134"/>
      </rPr>
      <t>花莲里</t>
    </r>
    <r>
      <rPr>
        <sz val="12"/>
        <rFont val="Verdana"/>
        <charset val="134"/>
      </rPr>
      <t>156</t>
    </r>
    <r>
      <rPr>
        <sz val="12"/>
        <rFont val="华文宋体"/>
        <charset val="134"/>
      </rPr>
      <t>号（杨双英）</t>
    </r>
  </si>
  <si>
    <t>LGE-825-C060</t>
  </si>
  <si>
    <t>31104201022022060052</t>
  </si>
  <si>
    <t>153803</t>
  </si>
  <si>
    <t>825kg</t>
  </si>
  <si>
    <t>21R136040</t>
  </si>
  <si>
    <r>
      <rPr>
        <sz val="12"/>
        <rFont val="华文宋体"/>
        <charset val="134"/>
      </rPr>
      <t>电建小区</t>
    </r>
    <r>
      <rPr>
        <sz val="12"/>
        <rFont val="Verdana"/>
        <charset val="134"/>
      </rPr>
      <t>42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单元（刘正春）</t>
    </r>
  </si>
  <si>
    <t>31104201032022050007</t>
  </si>
  <si>
    <t>154811</t>
  </si>
  <si>
    <t>K.E30-2200026</t>
  </si>
  <si>
    <t>31104201112022060049</t>
  </si>
  <si>
    <t>154194</t>
  </si>
  <si>
    <t>XODTS17439</t>
  </si>
  <si>
    <r>
      <t>2-1-2#</t>
    </r>
    <r>
      <rPr>
        <sz val="12"/>
        <rFont val="华文宋体"/>
        <charset val="134"/>
      </rPr>
      <t>客</t>
    </r>
  </si>
  <si>
    <t>31104201112022010041</t>
  </si>
  <si>
    <t>136364</t>
  </si>
  <si>
    <t>XODTS17438</t>
  </si>
  <si>
    <r>
      <t>2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</si>
  <si>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31104201112022060068</t>
  </si>
  <si>
    <t>154213</t>
  </si>
  <si>
    <t>XODTS17479</t>
  </si>
  <si>
    <r>
      <t>15-2#</t>
    </r>
    <r>
      <rPr>
        <sz val="12"/>
        <rFont val="华文宋体"/>
        <charset val="134"/>
      </rPr>
      <t>客</t>
    </r>
  </si>
  <si>
    <t>31104201112022010053</t>
  </si>
  <si>
    <t>136359</t>
  </si>
  <si>
    <t>XODTS17478</t>
  </si>
  <si>
    <r>
      <t>15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</si>
  <si>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31104201112022060067</t>
  </si>
  <si>
    <t>154212</t>
  </si>
  <si>
    <t>XODTS17473</t>
  </si>
  <si>
    <r>
      <t>13-2-2#</t>
    </r>
    <r>
      <rPr>
        <sz val="12"/>
        <rFont val="华文宋体"/>
        <charset val="134"/>
      </rPr>
      <t>客</t>
    </r>
  </si>
  <si>
    <t>31104201112022010052</t>
  </si>
  <si>
    <t>136365</t>
  </si>
  <si>
    <t>XODTS17474</t>
  </si>
  <si>
    <r>
      <t>13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</si>
  <si>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31104201112022060066</t>
  </si>
  <si>
    <t>154211</t>
  </si>
  <si>
    <t>XODTS17455</t>
  </si>
  <si>
    <r>
      <t>13-1-2#</t>
    </r>
    <r>
      <rPr>
        <sz val="12"/>
        <rFont val="华文宋体"/>
        <charset val="134"/>
      </rPr>
      <t>客</t>
    </r>
  </si>
  <si>
    <t>31104201112022010051</t>
  </si>
  <si>
    <t>136353</t>
  </si>
  <si>
    <t>XODTS17472</t>
  </si>
  <si>
    <r>
      <t>13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</si>
  <si>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31104201112022060065</t>
  </si>
  <si>
    <t>154210</t>
  </si>
  <si>
    <t>XODTS17471</t>
  </si>
  <si>
    <r>
      <t>12-2-2#</t>
    </r>
    <r>
      <rPr>
        <sz val="12"/>
        <rFont val="华文宋体"/>
        <charset val="134"/>
      </rPr>
      <t>客</t>
    </r>
  </si>
  <si>
    <t>31104201112022010050</t>
  </si>
  <si>
    <t>136366</t>
  </si>
  <si>
    <t>XODTS17470</t>
  </si>
  <si>
    <r>
      <t>12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</si>
  <si>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31104201112022060048</t>
  </si>
  <si>
    <t>154193</t>
  </si>
  <si>
    <t>XODTS17463</t>
  </si>
  <si>
    <r>
      <t>1-2-2#</t>
    </r>
    <r>
      <rPr>
        <sz val="12"/>
        <rFont val="华文宋体"/>
        <charset val="134"/>
      </rPr>
      <t>客</t>
    </r>
  </si>
  <si>
    <t>31104201112022060064</t>
  </si>
  <si>
    <t>154209</t>
  </si>
  <si>
    <t>XODTS17469</t>
  </si>
  <si>
    <r>
      <t>12-1-2#</t>
    </r>
    <r>
      <rPr>
        <sz val="12"/>
        <rFont val="华文宋体"/>
        <charset val="134"/>
      </rPr>
      <t>客</t>
    </r>
  </si>
  <si>
    <t>31104201112022010049</t>
  </si>
  <si>
    <t>136361</t>
  </si>
  <si>
    <t>XODTS17468</t>
  </si>
  <si>
    <r>
      <t>12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</si>
  <si>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31104201112022010040</t>
  </si>
  <si>
    <t>136355</t>
  </si>
  <si>
    <t>XODTS17462</t>
  </si>
  <si>
    <r>
      <t>1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</si>
  <si>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31104201112022060047</t>
  </si>
  <si>
    <t>154192</t>
  </si>
  <si>
    <t>XODTS17437</t>
  </si>
  <si>
    <r>
      <t>1-1-2#</t>
    </r>
    <r>
      <rPr>
        <sz val="12"/>
        <rFont val="华文宋体"/>
        <charset val="134"/>
      </rPr>
      <t>客</t>
    </r>
  </si>
  <si>
    <t>31104201112022060063</t>
  </si>
  <si>
    <t>154208</t>
  </si>
  <si>
    <t>XODTS17477</t>
  </si>
  <si>
    <r>
      <t>11-2#</t>
    </r>
    <r>
      <rPr>
        <sz val="12"/>
        <rFont val="华文宋体"/>
        <charset val="134"/>
      </rPr>
      <t>客</t>
    </r>
  </si>
  <si>
    <t>31104201112022010039</t>
  </si>
  <si>
    <t>136354</t>
  </si>
  <si>
    <t>XODTS17436</t>
  </si>
  <si>
    <r>
      <t>1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</si>
  <si>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31104201112022010048</t>
  </si>
  <si>
    <t>136362</t>
  </si>
  <si>
    <t>XODTS17476</t>
  </si>
  <si>
    <r>
      <t>11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</si>
  <si>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31104201112022060062</t>
  </si>
  <si>
    <t>154207</t>
  </si>
  <si>
    <t>XODTS17467</t>
  </si>
  <si>
    <r>
      <t>10-2-2#</t>
    </r>
    <r>
      <rPr>
        <sz val="12"/>
        <rFont val="华文宋体"/>
        <charset val="134"/>
      </rPr>
      <t>客</t>
    </r>
  </si>
  <si>
    <t>31104201112022030074</t>
  </si>
  <si>
    <t>134750</t>
  </si>
  <si>
    <t>XODTS17466</t>
  </si>
  <si>
    <r>
      <t>10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</si>
  <si>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t>31104201112022060061</t>
  </si>
  <si>
    <t>154206</t>
  </si>
  <si>
    <t>XODTS17465</t>
  </si>
  <si>
    <r>
      <t>10-1-2#</t>
    </r>
    <r>
      <rPr>
        <sz val="12"/>
        <rFont val="华文宋体"/>
        <charset val="134"/>
      </rPr>
      <t>客</t>
    </r>
  </si>
  <si>
    <t>31104201112022030073</t>
  </si>
  <si>
    <t>134749</t>
  </si>
  <si>
    <t>XODTS17464</t>
  </si>
  <si>
    <r>
      <t>10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</si>
  <si>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好利来食品科技（武汉）有限公司</t>
    </r>
  </si>
  <si>
    <r>
      <rPr>
        <sz val="12"/>
        <rFont val="华文宋体"/>
        <charset val="134"/>
      </rPr>
      <t>好利来</t>
    </r>
  </si>
  <si>
    <t>GF10</t>
  </si>
  <si>
    <t>31204201142022050005</t>
  </si>
  <si>
    <t>153697</t>
  </si>
  <si>
    <r>
      <t xml:space="preserve"> </t>
    </r>
    <r>
      <rPr>
        <sz val="12"/>
        <rFont val="华文宋体"/>
        <charset val="134"/>
      </rPr>
      <t>巨立电梯</t>
    </r>
  </si>
  <si>
    <t>21G04463</t>
  </si>
  <si>
    <r>
      <rPr>
        <sz val="12"/>
        <rFont val="华文宋体"/>
        <charset val="134"/>
      </rPr>
      <t>生产车间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货</t>
    </r>
  </si>
  <si>
    <t xml:space="preserve"> 31204201142022050006</t>
  </si>
  <si>
    <t>153698</t>
  </si>
  <si>
    <t xml:space="preserve"> 21G04464</t>
  </si>
  <si>
    <r>
      <t xml:space="preserve"> </t>
    </r>
    <r>
      <rPr>
        <sz val="12"/>
        <rFont val="华文宋体"/>
        <charset val="134"/>
      </rPr>
      <t>生产车间</t>
    </r>
    <r>
      <rPr>
        <sz val="12"/>
        <rFont val="Verdana"/>
        <charset val="134"/>
      </rPr>
      <t>2#</t>
    </r>
    <r>
      <rPr>
        <sz val="12"/>
        <rFont val="华文宋体"/>
        <charset val="134"/>
      </rPr>
      <t>货</t>
    </r>
  </si>
  <si>
    <t xml:space="preserve"> 31204201142022050007</t>
  </si>
  <si>
    <t>153699</t>
  </si>
  <si>
    <t>21G04465</t>
  </si>
  <si>
    <r>
      <t xml:space="preserve"> </t>
    </r>
    <r>
      <rPr>
        <sz val="12"/>
        <rFont val="华文宋体"/>
        <charset val="134"/>
      </rPr>
      <t>生产车间</t>
    </r>
    <r>
      <rPr>
        <sz val="12"/>
        <rFont val="Verdana"/>
        <charset val="134"/>
      </rPr>
      <t>3#</t>
    </r>
    <r>
      <rPr>
        <sz val="12"/>
        <rFont val="华文宋体"/>
        <charset val="134"/>
      </rPr>
      <t>货</t>
    </r>
  </si>
  <si>
    <t>GF11</t>
  </si>
  <si>
    <t xml:space="preserve"> 31204201142022050008</t>
  </si>
  <si>
    <t>153700</t>
  </si>
  <si>
    <t>21G04466</t>
  </si>
  <si>
    <r>
      <t xml:space="preserve"> </t>
    </r>
    <r>
      <rPr>
        <sz val="12"/>
        <rFont val="华文宋体"/>
        <charset val="134"/>
      </rPr>
      <t>生产车间</t>
    </r>
    <r>
      <rPr>
        <sz val="12"/>
        <rFont val="Verdana"/>
        <charset val="134"/>
      </rPr>
      <t>4#</t>
    </r>
    <r>
      <rPr>
        <sz val="12"/>
        <rFont val="华文宋体"/>
        <charset val="134"/>
      </rPr>
      <t>货</t>
    </r>
  </si>
  <si>
    <t xml:space="preserve"> 31204201142022050009</t>
  </si>
  <si>
    <t>153701</t>
  </si>
  <si>
    <t>21G04467</t>
  </si>
  <si>
    <r>
      <t xml:space="preserve"> </t>
    </r>
    <r>
      <rPr>
        <sz val="12"/>
        <rFont val="华文宋体"/>
        <charset val="134"/>
      </rPr>
      <t>生产车间</t>
    </r>
    <r>
      <rPr>
        <sz val="12"/>
        <rFont val="Verdana"/>
        <charset val="134"/>
      </rPr>
      <t>5#</t>
    </r>
    <r>
      <rPr>
        <sz val="12"/>
        <rFont val="华文宋体"/>
        <charset val="134"/>
      </rPr>
      <t>货</t>
    </r>
  </si>
  <si>
    <t xml:space="preserve"> 31204201142022050010</t>
  </si>
  <si>
    <t>153702</t>
  </si>
  <si>
    <t>21G04468</t>
  </si>
  <si>
    <r>
      <t xml:space="preserve"> </t>
    </r>
    <r>
      <rPr>
        <sz val="12"/>
        <rFont val="华文宋体"/>
        <charset val="134"/>
      </rPr>
      <t>生产车间</t>
    </r>
    <r>
      <rPr>
        <sz val="12"/>
        <rFont val="Verdana"/>
        <charset val="134"/>
      </rPr>
      <t>6#</t>
    </r>
    <r>
      <rPr>
        <sz val="12"/>
        <rFont val="华文宋体"/>
        <charset val="134"/>
      </rPr>
      <t>货</t>
    </r>
  </si>
  <si>
    <r>
      <rPr>
        <sz val="12"/>
        <rFont val="华文宋体"/>
        <charset val="134"/>
      </rPr>
      <t>花桥一村</t>
    </r>
    <r>
      <rPr>
        <sz val="12"/>
        <rFont val="Verdana"/>
        <charset val="134"/>
      </rPr>
      <t>18</t>
    </r>
    <r>
      <rPr>
        <sz val="12"/>
        <rFont val="华文宋体"/>
        <charset val="134"/>
      </rPr>
      <t>号（李青）</t>
    </r>
  </si>
  <si>
    <t xml:space="preserve">KLW </t>
  </si>
  <si>
    <t>31104201022022080029</t>
  </si>
  <si>
    <t xml:space="preserve"> 10063446-0010</t>
  </si>
  <si>
    <r>
      <rPr>
        <sz val="12"/>
        <rFont val="华文宋体"/>
        <charset val="134"/>
      </rPr>
      <t>武汉君派创新科技有限公司</t>
    </r>
  </si>
  <si>
    <r>
      <rPr>
        <sz val="12"/>
        <rFont val="华文宋体"/>
        <charset val="134"/>
      </rPr>
      <t>江夏金地威新</t>
    </r>
    <r>
      <rPr>
        <sz val="12"/>
        <rFont val="Verdana"/>
        <charset val="134"/>
      </rPr>
      <t>9-3</t>
    </r>
    <r>
      <rPr>
        <sz val="12"/>
        <rFont val="华文宋体"/>
        <charset val="134"/>
      </rPr>
      <t>栋</t>
    </r>
  </si>
  <si>
    <t>MEGA-F</t>
  </si>
  <si>
    <t>31204201152022100003</t>
  </si>
  <si>
    <t>907257</t>
  </si>
  <si>
    <r>
      <t>9</t>
    </r>
    <r>
      <rPr>
        <sz val="12"/>
        <rFont val="华文宋体"/>
        <charset val="134"/>
      </rPr>
      <t>号厂房</t>
    </r>
  </si>
  <si>
    <r>
      <rPr>
        <sz val="12"/>
        <rFont val="华文宋体"/>
        <charset val="134"/>
      </rPr>
      <t>花桥一村</t>
    </r>
    <r>
      <rPr>
        <sz val="12"/>
        <rFont val="Verdana"/>
        <charset val="134"/>
      </rPr>
      <t>25</t>
    </r>
    <r>
      <rPr>
        <sz val="12"/>
        <rFont val="华文宋体"/>
        <charset val="134"/>
      </rPr>
      <t>号（张锋）</t>
    </r>
  </si>
  <si>
    <t>GPN65</t>
  </si>
  <si>
    <t>31104201022023010018</t>
  </si>
  <si>
    <r>
      <rPr>
        <sz val="12"/>
        <rFont val="华文宋体"/>
        <charset val="134"/>
      </rPr>
      <t>巨人通力电梯</t>
    </r>
  </si>
  <si>
    <t>45012742</t>
  </si>
  <si>
    <r>
      <t>25-1#</t>
    </r>
    <r>
      <rPr>
        <sz val="12"/>
        <rFont val="华文宋体"/>
        <charset val="134"/>
      </rPr>
      <t>客梯</t>
    </r>
  </si>
  <si>
    <r>
      <rPr>
        <sz val="12"/>
        <rFont val="华文宋体"/>
        <charset val="134"/>
      </rPr>
      <t>湖北慧科检测有限公司</t>
    </r>
  </si>
  <si>
    <r>
      <rPr>
        <sz val="12"/>
        <rFont val="华文宋体"/>
        <charset val="134"/>
      </rPr>
      <t>江夏金地威新</t>
    </r>
    <r>
      <rPr>
        <sz val="12"/>
        <rFont val="Verdana"/>
        <charset val="134"/>
      </rPr>
      <t>9-4</t>
    </r>
    <r>
      <rPr>
        <sz val="12"/>
        <rFont val="华文宋体"/>
        <charset val="134"/>
      </rPr>
      <t>栋</t>
    </r>
  </si>
  <si>
    <t>G.plus</t>
  </si>
  <si>
    <t xml:space="preserve"> 31104201152022080029</t>
  </si>
  <si>
    <t>22T49838001</t>
  </si>
  <si>
    <r>
      <rPr>
        <sz val="12"/>
        <rFont val="华文宋体"/>
        <charset val="134"/>
      </rPr>
      <t>厂房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</si>
  <si>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武汉和颐旅馆有限责任公司</t>
    </r>
  </si>
  <si>
    <r>
      <rPr>
        <sz val="12"/>
        <rFont val="华文宋体"/>
        <charset val="134"/>
      </rPr>
      <t>铁神宜尚酒店</t>
    </r>
  </si>
  <si>
    <t>GLP500</t>
  </si>
  <si>
    <t>31104201012022075318</t>
  </si>
  <si>
    <t>165703</t>
  </si>
  <si>
    <r>
      <rPr>
        <sz val="12"/>
        <rFont val="华文宋体"/>
        <charset val="134"/>
      </rPr>
      <t>巨龙电梯</t>
    </r>
  </si>
  <si>
    <t>011861</t>
  </si>
  <si>
    <r>
      <rPr>
        <sz val="12"/>
        <rFont val="华文宋体"/>
        <charset val="134"/>
      </rPr>
      <t>武汉十三堡慈苑农业专业合作社</t>
    </r>
  </si>
  <si>
    <r>
      <rPr>
        <sz val="12"/>
        <rFont val="华文宋体"/>
        <charset val="134"/>
      </rPr>
      <t>原雄一风</t>
    </r>
  </si>
  <si>
    <t>31204201162023090030</t>
  </si>
  <si>
    <t>075878</t>
  </si>
  <si>
    <t>308106</t>
  </si>
  <si>
    <r>
      <rPr>
        <sz val="12"/>
        <rFont val="华文宋体"/>
        <charset val="134"/>
      </rPr>
      <t>滨江苑一期</t>
    </r>
    <r>
      <rPr>
        <sz val="12"/>
        <rFont val="Verdana"/>
        <charset val="134"/>
      </rPr>
      <t>11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3</t>
    </r>
    <r>
      <rPr>
        <sz val="12"/>
        <rFont val="华文宋体"/>
        <charset val="134"/>
      </rPr>
      <t>单元</t>
    </r>
  </si>
  <si>
    <t>31104201022023090025</t>
  </si>
  <si>
    <t>192359</t>
  </si>
  <si>
    <t>K.E30-2300157</t>
  </si>
  <si>
    <r>
      <rPr>
        <sz val="12"/>
        <rFont val="华文宋体"/>
        <charset val="134"/>
      </rPr>
      <t>滨江苑一期</t>
    </r>
    <r>
      <rPr>
        <sz val="12"/>
        <rFont val="Verdana"/>
        <charset val="134"/>
      </rPr>
      <t>5</t>
    </r>
    <r>
      <rPr>
        <sz val="12"/>
        <rFont val="华文宋体"/>
        <charset val="134"/>
      </rPr>
      <t>栋</t>
    </r>
  </si>
  <si>
    <t>31104201022023110041</t>
  </si>
  <si>
    <t>192361</t>
  </si>
  <si>
    <t>10073007-0010</t>
  </si>
  <si>
    <r>
      <rPr>
        <sz val="12"/>
        <rFont val="华文宋体"/>
        <charset val="134"/>
      </rPr>
      <t>滨江苑一期</t>
    </r>
    <r>
      <rPr>
        <sz val="12"/>
        <rFont val="Verdana"/>
        <charset val="134"/>
      </rPr>
      <t>4</t>
    </r>
    <r>
      <rPr>
        <sz val="12"/>
        <rFont val="华文宋体"/>
        <charset val="134"/>
      </rPr>
      <t>栋（原龚翠红）</t>
    </r>
  </si>
  <si>
    <t xml:space="preserve"> 31104201022022010029</t>
  </si>
  <si>
    <r>
      <rPr>
        <sz val="12"/>
        <rFont val="华文宋体"/>
        <charset val="134"/>
      </rPr>
      <t>滨江苑一期</t>
    </r>
    <r>
      <rPr>
        <sz val="12"/>
        <rFont val="Verdana"/>
        <charset val="134"/>
      </rPr>
      <t>9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3</t>
    </r>
    <r>
      <rPr>
        <sz val="12"/>
        <rFont val="华文宋体"/>
        <charset val="134"/>
      </rPr>
      <t>单元</t>
    </r>
  </si>
  <si>
    <t>31104201022023110040</t>
  </si>
  <si>
    <t>192360</t>
  </si>
  <si>
    <t>45049272</t>
  </si>
  <si>
    <r>
      <rPr>
        <sz val="12"/>
        <rFont val="华文宋体"/>
        <charset val="134"/>
      </rPr>
      <t>滨江苑一期</t>
    </r>
    <r>
      <rPr>
        <sz val="12"/>
        <rFont val="Verdana"/>
        <charset val="134"/>
      </rPr>
      <t>10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4</t>
    </r>
    <r>
      <rPr>
        <sz val="12"/>
        <rFont val="华文宋体"/>
        <charset val="134"/>
      </rPr>
      <t>单元</t>
    </r>
  </si>
  <si>
    <t>31104201022024010047</t>
  </si>
  <si>
    <t>45369661</t>
  </si>
  <si>
    <r>
      <rPr>
        <sz val="12"/>
        <rFont val="华文宋体"/>
        <charset val="134"/>
      </rPr>
      <t>青青美庐东区</t>
    </r>
    <r>
      <rPr>
        <sz val="12"/>
        <rFont val="Verdana"/>
        <charset val="134"/>
      </rPr>
      <t>5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</si>
  <si>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t>XO-REZO(MRL)</t>
  </si>
  <si>
    <t>31104201022023110064</t>
  </si>
  <si>
    <t>192358</t>
  </si>
  <si>
    <t>XODTG19971</t>
  </si>
  <si>
    <r>
      <rPr>
        <sz val="12"/>
        <rFont val="华文宋体"/>
        <charset val="134"/>
      </rPr>
      <t>生态花园小区</t>
    </r>
    <r>
      <rPr>
        <sz val="12"/>
        <rFont val="Verdana"/>
        <charset val="134"/>
      </rPr>
      <t>22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</si>
  <si>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t>31104201022023110065</t>
  </si>
  <si>
    <t>192357</t>
  </si>
  <si>
    <t>XSDTS24497</t>
  </si>
  <si>
    <r>
      <rPr>
        <sz val="12"/>
        <rFont val="华文宋体"/>
        <charset val="134"/>
      </rPr>
      <t>武装部宿舍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</si>
  <si>
    <t xml:space="preserve"> 31104201022023110066</t>
  </si>
  <si>
    <t>XSDTS24498</t>
  </si>
  <si>
    <r>
      <rPr>
        <sz val="12"/>
        <rFont val="华文宋体"/>
        <charset val="134"/>
      </rPr>
      <t>武装部宿舍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</si>
  <si>
    <t>31104201022023110067</t>
  </si>
  <si>
    <t>XSDTS24499</t>
  </si>
  <si>
    <r>
      <rPr>
        <sz val="12"/>
        <rFont val="华文宋体"/>
        <charset val="134"/>
      </rPr>
      <t>台北教师公寓</t>
    </r>
  </si>
  <si>
    <t xml:space="preserve">Xmodel 3(MRL) </t>
  </si>
  <si>
    <t>31104201012024052609</t>
  </si>
  <si>
    <t>XODTS25197</t>
  </si>
  <si>
    <r>
      <rPr>
        <sz val="12"/>
        <rFont val="华文宋体"/>
        <charset val="134"/>
      </rPr>
      <t>彤明</t>
    </r>
    <r>
      <rPr>
        <sz val="12"/>
        <rFont val="Verdana"/>
        <charset val="134"/>
      </rPr>
      <t>24#</t>
    </r>
    <r>
      <rPr>
        <sz val="12"/>
        <rFont val="华文宋体"/>
        <charset val="134"/>
      </rPr>
      <t>楼</t>
    </r>
  </si>
  <si>
    <t>31104201012023117805</t>
  </si>
  <si>
    <t>187389</t>
  </si>
  <si>
    <t>BLTSY20K/20416</t>
  </si>
  <si>
    <r>
      <t>24#</t>
    </r>
    <r>
      <rPr>
        <sz val="12"/>
        <rFont val="华文宋体"/>
        <charset val="134"/>
      </rPr>
      <t>楼</t>
    </r>
    <r>
      <rPr>
        <sz val="12"/>
        <rFont val="Verdana"/>
        <charset val="134"/>
      </rPr>
      <t>4#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</si>
  <si>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百步亭温馨苑</t>
    </r>
    <r>
      <rPr>
        <sz val="12"/>
        <rFont val="Verdana"/>
        <charset val="134"/>
      </rPr>
      <t>AB</t>
    </r>
    <r>
      <rPr>
        <sz val="12"/>
        <rFont val="华文宋体"/>
        <charset val="134"/>
      </rPr>
      <t>区</t>
    </r>
    <r>
      <rPr>
        <sz val="12"/>
        <rFont val="Verdana"/>
        <charset val="134"/>
      </rPr>
      <t>116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</si>
  <si>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t xml:space="preserve"> 31104201022024010045</t>
  </si>
  <si>
    <t>45350969</t>
  </si>
  <si>
    <r>
      <rPr>
        <sz val="12"/>
        <rFont val="华文宋体"/>
        <charset val="134"/>
      </rPr>
      <t>武昌区东一路</t>
    </r>
    <r>
      <rPr>
        <sz val="12"/>
        <rFont val="Verdana"/>
        <charset val="134"/>
      </rPr>
      <t>26</t>
    </r>
    <r>
      <rPr>
        <sz val="12"/>
        <rFont val="华文宋体"/>
        <charset val="134"/>
      </rPr>
      <t>号</t>
    </r>
  </si>
  <si>
    <t>31104201062024040001</t>
  </si>
  <si>
    <t>148913</t>
  </si>
  <si>
    <t>630kg</t>
  </si>
  <si>
    <t>45209935</t>
  </si>
  <si>
    <t>26-1#</t>
  </si>
  <si>
    <r>
      <rPr>
        <sz val="12"/>
        <rFont val="华文宋体"/>
        <charset val="134"/>
      </rPr>
      <t>瑞安街陆总花园</t>
    </r>
  </si>
  <si>
    <t>31104201112025040008</t>
  </si>
  <si>
    <t>207636</t>
  </si>
  <si>
    <t>XODTS28089</t>
  </si>
  <si>
    <r>
      <t xml:space="preserve">1# 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</si>
  <si>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滨江苑一期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</si>
  <si>
    <t>31104201022024070008</t>
  </si>
  <si>
    <t>197745</t>
  </si>
  <si>
    <r>
      <rPr>
        <sz val="12"/>
        <rFont val="华文宋体"/>
        <charset val="0"/>
      </rPr>
      <t>巨人通力电梯</t>
    </r>
  </si>
  <si>
    <t>45049258</t>
  </si>
  <si>
    <r>
      <rPr>
        <sz val="12"/>
        <rFont val="华文宋体"/>
        <charset val="134"/>
      </rPr>
      <t>东方花都</t>
    </r>
    <r>
      <rPr>
        <sz val="12"/>
        <rFont val="Verdana"/>
        <charset val="134"/>
      </rPr>
      <t>A9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</si>
  <si>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t>XO-GMEIII</t>
  </si>
  <si>
    <t>31104201022023070033</t>
  </si>
  <si>
    <t>174663</t>
  </si>
  <si>
    <t>XODTG04336</t>
  </si>
  <si>
    <r>
      <rPr>
        <sz val="12"/>
        <rFont val="华文宋体"/>
        <charset val="134"/>
      </rPr>
      <t>花桥一村</t>
    </r>
    <r>
      <rPr>
        <sz val="12"/>
        <rFont val="Verdana"/>
        <charset val="134"/>
      </rPr>
      <t>20</t>
    </r>
    <r>
      <rPr>
        <sz val="12"/>
        <rFont val="华文宋体"/>
        <charset val="134"/>
      </rPr>
      <t>号</t>
    </r>
  </si>
  <si>
    <t>31104201022024080006</t>
  </si>
  <si>
    <t>45404777</t>
  </si>
  <si>
    <r>
      <rPr>
        <sz val="12"/>
        <rFont val="华文宋体"/>
        <charset val="134"/>
      </rPr>
      <t>花桥一村</t>
    </r>
    <r>
      <rPr>
        <sz val="12"/>
        <rFont val="Verdana"/>
        <charset val="134"/>
      </rPr>
      <t>20#</t>
    </r>
    <r>
      <rPr>
        <sz val="12"/>
        <rFont val="华文宋体"/>
        <charset val="134"/>
      </rPr>
      <t>客梯</t>
    </r>
  </si>
  <si>
    <r>
      <rPr>
        <sz val="12"/>
        <rFont val="华文宋体"/>
        <charset val="134"/>
      </rPr>
      <t>花桥一村</t>
    </r>
    <r>
      <rPr>
        <sz val="12"/>
        <rFont val="Verdana"/>
        <charset val="134"/>
      </rPr>
      <t>12</t>
    </r>
    <r>
      <rPr>
        <sz val="12"/>
        <rFont val="华文宋体"/>
        <charset val="134"/>
      </rPr>
      <t>号</t>
    </r>
  </si>
  <si>
    <t>31104201022024080007</t>
  </si>
  <si>
    <t>45404775</t>
  </si>
  <si>
    <r>
      <rPr>
        <sz val="12"/>
        <rFont val="华文宋体"/>
        <charset val="134"/>
      </rPr>
      <t>花桥一村</t>
    </r>
    <r>
      <rPr>
        <sz val="12"/>
        <rFont val="Verdana"/>
        <charset val="134"/>
      </rPr>
      <t>12#</t>
    </r>
    <r>
      <rPr>
        <sz val="12"/>
        <rFont val="华文宋体"/>
        <charset val="134"/>
      </rPr>
      <t>客梯</t>
    </r>
  </si>
  <si>
    <r>
      <rPr>
        <sz val="12"/>
        <rFont val="华文宋体"/>
        <charset val="134"/>
      </rPr>
      <t>花桥一村</t>
    </r>
    <r>
      <rPr>
        <sz val="12"/>
        <rFont val="Verdana"/>
        <charset val="134"/>
      </rPr>
      <t>17</t>
    </r>
    <r>
      <rPr>
        <sz val="12"/>
        <rFont val="华文宋体"/>
        <charset val="134"/>
      </rPr>
      <t>号</t>
    </r>
  </si>
  <si>
    <t>31104201012024115255</t>
  </si>
  <si>
    <t>45404776</t>
  </si>
  <si>
    <r>
      <rPr>
        <sz val="12"/>
        <rFont val="华文宋体"/>
        <charset val="134"/>
      </rPr>
      <t>花桥一村</t>
    </r>
    <r>
      <rPr>
        <sz val="12"/>
        <rFont val="Verdana"/>
        <charset val="134"/>
      </rPr>
      <t>17#</t>
    </r>
    <r>
      <rPr>
        <sz val="12"/>
        <rFont val="华文宋体"/>
        <charset val="134"/>
      </rPr>
      <t>客梯</t>
    </r>
  </si>
  <si>
    <r>
      <rPr>
        <sz val="12"/>
        <rFont val="华文宋体"/>
        <charset val="134"/>
      </rPr>
      <t>怡康苑北区</t>
    </r>
    <r>
      <rPr>
        <sz val="12"/>
        <rFont val="Verdana"/>
        <charset val="134"/>
      </rPr>
      <t>204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</si>
  <si>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t>31104201022024070017</t>
  </si>
  <si>
    <t>45475378</t>
  </si>
  <si>
    <r>
      <t>204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</si>
  <si>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怡和苑北区</t>
    </r>
    <r>
      <rPr>
        <sz val="12"/>
        <rFont val="Verdana"/>
        <charset val="134"/>
      </rPr>
      <t>408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</si>
  <si>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t>31104201012024083993</t>
  </si>
  <si>
    <t>45475379</t>
  </si>
  <si>
    <r>
      <t>408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</si>
  <si>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怡和苑北区</t>
    </r>
    <r>
      <rPr>
        <sz val="12"/>
        <rFont val="Verdana"/>
        <charset val="134"/>
      </rPr>
      <t>407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</si>
  <si>
    <t>31104201022024120099</t>
  </si>
  <si>
    <t>45475377</t>
  </si>
  <si>
    <r>
      <t>407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</si>
  <si>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生态花园小区</t>
    </r>
    <r>
      <rPr>
        <sz val="12"/>
        <rFont val="Verdana"/>
        <charset val="134"/>
      </rPr>
      <t>18</t>
    </r>
    <r>
      <rPr>
        <sz val="12"/>
        <rFont val="宋体"/>
        <charset val="134"/>
      </rPr>
      <t>㠉</t>
    </r>
    <r>
      <rPr>
        <sz val="12"/>
        <rFont val="华文宋体"/>
        <charset val="134"/>
      </rPr>
      <t>（号）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</si>
  <si>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t>31104201022024080014</t>
  </si>
  <si>
    <t>XODTS28090</t>
  </si>
  <si>
    <r>
      <rPr>
        <sz val="12"/>
        <rFont val="华文宋体"/>
        <charset val="134"/>
      </rPr>
      <t>中国农业科学院油料作物研究所</t>
    </r>
  </si>
  <si>
    <r>
      <rPr>
        <sz val="12"/>
        <rFont val="华文宋体"/>
        <charset val="134"/>
      </rPr>
      <t>油料所</t>
    </r>
    <r>
      <rPr>
        <sz val="12"/>
        <rFont val="Verdana"/>
        <charset val="134"/>
      </rPr>
      <t>3</t>
    </r>
    <r>
      <rPr>
        <sz val="12"/>
        <rFont val="华文宋体"/>
        <charset val="134"/>
      </rPr>
      <t>号楼改造更新项目</t>
    </r>
  </si>
  <si>
    <t>GPS35S</t>
  </si>
  <si>
    <t>31104201062024120006</t>
  </si>
  <si>
    <t>147079</t>
  </si>
  <si>
    <t>45686423</t>
  </si>
  <si>
    <t>3-1</t>
  </si>
  <si>
    <r>
      <rPr>
        <sz val="12"/>
        <rFont val="华文宋体"/>
        <charset val="134"/>
      </rPr>
      <t>武汉市洪山区悟空星火休闲娱乐馆（个体工商户）</t>
    </r>
  </si>
  <si>
    <r>
      <rPr>
        <sz val="12"/>
        <rFont val="华文宋体"/>
        <charset val="134"/>
      </rPr>
      <t>佳和丽枫酒店</t>
    </r>
  </si>
  <si>
    <t>WGJ1000/1.0</t>
  </si>
  <si>
    <t>30104201112011110130</t>
  </si>
  <si>
    <t>049427</t>
  </si>
  <si>
    <r>
      <rPr>
        <sz val="12"/>
        <rFont val="华文宋体"/>
        <charset val="134"/>
      </rPr>
      <t>北京优力维特</t>
    </r>
  </si>
  <si>
    <t>UL10746</t>
  </si>
  <si>
    <r>
      <t>2#</t>
    </r>
    <r>
      <rPr>
        <sz val="12"/>
        <rFont val="华文宋体"/>
        <charset val="134"/>
      </rPr>
      <t>观</t>
    </r>
  </si>
  <si>
    <r>
      <rPr>
        <sz val="12"/>
        <rFont val="华文宋体"/>
        <charset val="134"/>
      </rPr>
      <t>安友花园</t>
    </r>
    <r>
      <rPr>
        <sz val="12"/>
        <rFont val="Verdana"/>
        <charset val="134"/>
      </rPr>
      <t>A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3</t>
    </r>
    <r>
      <rPr>
        <sz val="12"/>
        <rFont val="华文宋体"/>
        <charset val="134"/>
      </rPr>
      <t>单元</t>
    </r>
  </si>
  <si>
    <t>KTKJ</t>
  </si>
  <si>
    <t>31104201032025010004</t>
  </si>
  <si>
    <t>203833</t>
  </si>
  <si>
    <r>
      <rPr>
        <sz val="12"/>
        <rFont val="华文宋体"/>
        <charset val="134"/>
      </rPr>
      <t>福州快科</t>
    </r>
  </si>
  <si>
    <t>K.E30-2400145</t>
  </si>
  <si>
    <r>
      <rPr>
        <sz val="12"/>
        <rFont val="华文宋体"/>
        <charset val="134"/>
      </rPr>
      <t>武汉中海联机电工程有限公司（法院宿舍）</t>
    </r>
  </si>
  <si>
    <r>
      <rPr>
        <sz val="12"/>
        <rFont val="华文宋体"/>
        <charset val="134"/>
      </rPr>
      <t>后湖法院宿舍</t>
    </r>
  </si>
  <si>
    <t>FUJI-WK</t>
  </si>
  <si>
    <t>31104201022025040006</t>
  </si>
  <si>
    <t>203832</t>
  </si>
  <si>
    <r>
      <rPr>
        <sz val="12"/>
        <rFont val="华文宋体"/>
        <charset val="134"/>
      </rPr>
      <t>亚洲富士电梯</t>
    </r>
  </si>
  <si>
    <t>FUJI2025010003</t>
  </si>
  <si>
    <r>
      <rPr>
        <sz val="12"/>
        <rFont val="华文宋体"/>
        <charset val="134"/>
      </rPr>
      <t>武汉鑫润塑业有限公司</t>
    </r>
  </si>
  <si>
    <r>
      <rPr>
        <sz val="12"/>
        <rFont val="华文宋体"/>
        <charset val="134"/>
      </rPr>
      <t>（汉南）纱帽街</t>
    </r>
    <r>
      <rPr>
        <sz val="12"/>
        <rFont val="Verdana"/>
        <charset val="134"/>
      </rPr>
      <t>/</t>
    </r>
    <r>
      <rPr>
        <sz val="12"/>
        <rFont val="华文宋体"/>
        <charset val="134"/>
      </rPr>
      <t>幸福园路与解放河路交汇处</t>
    </r>
  </si>
  <si>
    <t>TKJ1050/1.0</t>
  </si>
  <si>
    <t>31104201132025073136</t>
  </si>
  <si>
    <t>213600</t>
  </si>
  <si>
    <r>
      <rPr>
        <sz val="12"/>
        <rFont val="华文宋体"/>
        <charset val="134"/>
      </rPr>
      <t>赛奥智能电梯（苏州）有限公司</t>
    </r>
  </si>
  <si>
    <t xml:space="preserve"> S241666</t>
  </si>
  <si>
    <r>
      <rPr>
        <sz val="12"/>
        <rFont val="华文宋体"/>
        <charset val="134"/>
      </rPr>
      <t>百步亭温馨苑</t>
    </r>
    <r>
      <rPr>
        <sz val="12"/>
        <rFont val="Verdana"/>
        <charset val="134"/>
      </rPr>
      <t>AB</t>
    </r>
    <r>
      <rPr>
        <sz val="12"/>
        <rFont val="华文宋体"/>
        <charset val="134"/>
      </rPr>
      <t>区</t>
    </r>
    <r>
      <rPr>
        <sz val="12"/>
        <rFont val="Verdana"/>
        <charset val="134"/>
      </rPr>
      <t>306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</si>
  <si>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t>31104201022025070005</t>
  </si>
  <si>
    <t>212640</t>
  </si>
  <si>
    <t>45842384</t>
  </si>
  <si>
    <r>
      <rPr>
        <sz val="12"/>
        <rFont val="华文宋体"/>
        <charset val="134"/>
      </rPr>
      <t>武汉中海联机电工程有限公司（百合苑）</t>
    </r>
  </si>
  <si>
    <r>
      <rPr>
        <sz val="12"/>
        <rFont val="华文宋体"/>
        <charset val="134"/>
      </rPr>
      <t>百步亭百合苑</t>
    </r>
    <r>
      <rPr>
        <sz val="12"/>
        <rFont val="Verdana"/>
        <charset val="134"/>
      </rPr>
      <t>208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</si>
  <si>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t>31104201022025050129</t>
  </si>
  <si>
    <t>212641</t>
  </si>
  <si>
    <t>45475376</t>
  </si>
  <si>
    <r>
      <rPr>
        <sz val="12"/>
        <rFont val="华文宋体"/>
        <charset val="134"/>
      </rPr>
      <t>幸乐村小区</t>
    </r>
    <r>
      <rPr>
        <sz val="12"/>
        <rFont val="Verdana"/>
        <charset val="134"/>
      </rPr>
      <t>8</t>
    </r>
    <r>
      <rPr>
        <sz val="12"/>
        <rFont val="华文宋体"/>
        <charset val="134"/>
      </rPr>
      <t>幢（号）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</si>
  <si>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r>
      <t>XO-GMEIII</t>
    </r>
    <r>
      <rPr>
        <sz val="12"/>
        <rFont val="华文宋体"/>
        <charset val="134"/>
      </rPr>
      <t>（</t>
    </r>
    <r>
      <rPr>
        <sz val="12"/>
        <rFont val="Verdana"/>
        <charset val="134"/>
      </rPr>
      <t>MRL)-1</t>
    </r>
  </si>
  <si>
    <t>31104201042025060007</t>
  </si>
  <si>
    <t>212871</t>
  </si>
  <si>
    <t>550kg</t>
  </si>
  <si>
    <t>XODTJ25931</t>
  </si>
  <si>
    <r>
      <rPr>
        <sz val="12"/>
        <rFont val="华文宋体"/>
        <charset val="134"/>
      </rPr>
      <t>升福楼宇工程有限公司</t>
    </r>
  </si>
  <si>
    <r>
      <rPr>
        <sz val="12"/>
        <rFont val="华文宋体"/>
        <charset val="134"/>
      </rPr>
      <t>百步亭怡康苑北区</t>
    </r>
    <r>
      <rPr>
        <sz val="12"/>
        <rFont val="Verdana"/>
        <charset val="134"/>
      </rPr>
      <t>214</t>
    </r>
    <r>
      <rPr>
        <sz val="12"/>
        <rFont val="华文宋体"/>
        <charset val="134"/>
      </rPr>
      <t>栋一单元</t>
    </r>
  </si>
  <si>
    <t>TKJW</t>
  </si>
  <si>
    <t>31104201022023080029</t>
  </si>
  <si>
    <r>
      <rPr>
        <sz val="12"/>
        <rFont val="华文宋体"/>
        <charset val="134"/>
      </rPr>
      <t>通用电梯</t>
    </r>
  </si>
  <si>
    <t>GE2301102K</t>
  </si>
  <si>
    <r>
      <rPr>
        <sz val="12"/>
        <rFont val="华文宋体"/>
        <charset val="134"/>
      </rPr>
      <t>湖北新城置业有限责任公司（长青壹号）</t>
    </r>
  </si>
  <si>
    <r>
      <rPr>
        <sz val="12"/>
        <rFont val="华文宋体"/>
        <charset val="134"/>
      </rPr>
      <t>东西湖区尚远幼儿园长青壹号杂物梯</t>
    </r>
  </si>
  <si>
    <t>TWJ300</t>
  </si>
  <si>
    <t>34304201002020100307</t>
  </si>
  <si>
    <r>
      <rPr>
        <sz val="12"/>
        <rFont val="华文宋体"/>
        <charset val="134"/>
      </rPr>
      <t>湖北东洋电梯有限公司</t>
    </r>
  </si>
  <si>
    <r>
      <rPr>
        <sz val="12"/>
        <rFont val="华文宋体"/>
        <charset val="134"/>
      </rPr>
      <t>杂物梯</t>
    </r>
  </si>
  <si>
    <t>200kg</t>
  </si>
  <si>
    <t>DY-200520111</t>
  </si>
  <si>
    <r>
      <rPr>
        <sz val="12"/>
        <rFont val="华文宋体"/>
        <charset val="134"/>
      </rPr>
      <t>幼儿园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杂</t>
    </r>
  </si>
  <si>
    <r>
      <rPr>
        <sz val="12"/>
        <rFont val="华文宋体"/>
        <charset val="134"/>
      </rPr>
      <t>后湖街秀泽园北区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</si>
  <si>
    <t>31104201022025080021</t>
  </si>
  <si>
    <t>45842385</t>
  </si>
  <si>
    <r>
      <t>2-2#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</si>
  <si>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青青美庐社区东区</t>
    </r>
    <r>
      <rPr>
        <sz val="12"/>
        <rFont val="Verdana"/>
        <charset val="134"/>
      </rPr>
      <t>14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3</t>
    </r>
    <r>
      <rPr>
        <sz val="12"/>
        <rFont val="华文宋体"/>
        <charset val="134"/>
      </rPr>
      <t>单元</t>
    </r>
  </si>
  <si>
    <r>
      <t>Xmodel3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MRL</t>
    </r>
    <r>
      <rPr>
        <sz val="12"/>
        <rFont val="华文宋体"/>
        <charset val="134"/>
      </rPr>
      <t>）</t>
    </r>
  </si>
  <si>
    <t>31104201022025080054</t>
  </si>
  <si>
    <t>XODTJ25928</t>
  </si>
  <si>
    <r>
      <t>14-3#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</si>
  <si>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武汉意力物业管理有限责任公司</t>
    </r>
  </si>
  <si>
    <r>
      <rPr>
        <sz val="12"/>
        <rFont val="华文宋体"/>
        <charset val="134"/>
      </rPr>
      <t>六渡桥中山大厦</t>
    </r>
    <r>
      <rPr>
        <sz val="12"/>
        <rFont val="Verdana"/>
        <charset val="134"/>
      </rPr>
      <t>168</t>
    </r>
    <r>
      <rPr>
        <sz val="12"/>
        <rFont val="华文宋体"/>
        <charset val="134"/>
      </rPr>
      <t>项目</t>
    </r>
  </si>
  <si>
    <t>EKW30</t>
  </si>
  <si>
    <t>31104201032025103028</t>
  </si>
  <si>
    <t>225599</t>
  </si>
  <si>
    <t>PHU060297.1</t>
  </si>
  <si>
    <r>
      <rPr>
        <sz val="12"/>
        <rFont val="华文宋体"/>
        <charset val="134"/>
      </rPr>
      <t>百步亭安居苑</t>
    </r>
    <r>
      <rPr>
        <sz val="12"/>
        <rFont val="Verdana"/>
        <charset val="134"/>
      </rPr>
      <t>B</t>
    </r>
    <r>
      <rPr>
        <sz val="12"/>
        <rFont val="华文宋体"/>
        <charset val="134"/>
      </rPr>
      <t>区</t>
    </r>
    <r>
      <rPr>
        <sz val="12"/>
        <rFont val="Verdana"/>
        <charset val="134"/>
      </rPr>
      <t>206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</si>
  <si>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t>31104201002022010462</t>
  </si>
  <si>
    <t>GE2007278K</t>
  </si>
  <si>
    <r>
      <rPr>
        <sz val="12"/>
        <rFont val="华文宋体"/>
        <charset val="134"/>
      </rPr>
      <t>如寿里小区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</si>
  <si>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t xml:space="preserve">XO-GMEIII </t>
  </si>
  <si>
    <t>133898</t>
  </si>
  <si>
    <t>XODTC71967</t>
  </si>
  <si>
    <r>
      <rPr>
        <sz val="12"/>
        <rFont val="华文宋体"/>
        <charset val="134"/>
      </rPr>
      <t>武汉意力物业管理有限责任公司（中山大厦）</t>
    </r>
  </si>
  <si>
    <r>
      <rPr>
        <sz val="12"/>
        <rFont val="华文宋体"/>
        <charset val="134"/>
      </rPr>
      <t>六渡桥中山大厦</t>
    </r>
  </si>
  <si>
    <t>THJ2000/0.5-JXW</t>
  </si>
  <si>
    <t>30134201032005050001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</si>
  <si>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12</t>
    </r>
    <r>
      <rPr>
        <sz val="12"/>
        <rFont val="华文宋体"/>
        <charset val="134"/>
      </rPr>
      <t>鄂</t>
    </r>
    <r>
      <rPr>
        <sz val="12"/>
        <rFont val="Verdana"/>
        <charset val="134"/>
      </rPr>
      <t>AZZ640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05</t>
    </r>
    <r>
      <rPr>
        <sz val="12"/>
        <rFont val="华文宋体"/>
        <charset val="134"/>
      </rPr>
      <t>）</t>
    </r>
  </si>
  <si>
    <r>
      <rPr>
        <sz val="12"/>
        <rFont val="华文宋体"/>
        <charset val="134"/>
      </rPr>
      <t>湖州怡达电梯</t>
    </r>
  </si>
  <si>
    <t>2000993</t>
  </si>
  <si>
    <r>
      <rPr>
        <sz val="12"/>
        <rFont val="华文宋体"/>
        <charset val="134"/>
      </rPr>
      <t>武汉意力物业管理有限责任公司（雍景台小区）</t>
    </r>
  </si>
  <si>
    <r>
      <rPr>
        <sz val="12"/>
        <rFont val="华文宋体"/>
        <charset val="134"/>
      </rPr>
      <t>六渡桥雍景台大厦</t>
    </r>
  </si>
  <si>
    <t>VFGD</t>
  </si>
  <si>
    <t>30104201042000120517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</si>
  <si>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11</t>
    </r>
    <r>
      <rPr>
        <sz val="12"/>
        <rFont val="华文宋体"/>
        <charset val="134"/>
      </rPr>
      <t>鄂</t>
    </r>
    <r>
      <rPr>
        <sz val="12"/>
        <rFont val="Verdana"/>
        <charset val="134"/>
      </rPr>
      <t>AZVX1T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00</t>
    </r>
    <r>
      <rPr>
        <sz val="12"/>
        <rFont val="华文宋体"/>
        <charset val="134"/>
      </rPr>
      <t>）</t>
    </r>
  </si>
  <si>
    <r>
      <rPr>
        <sz val="12"/>
        <rFont val="华文宋体"/>
        <charset val="134"/>
      </rPr>
      <t>上海崇友东芝电梯厂</t>
    </r>
  </si>
  <si>
    <t>30104201042000120518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</si>
  <si>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11</t>
    </r>
    <r>
      <rPr>
        <sz val="12"/>
        <rFont val="华文宋体"/>
        <charset val="134"/>
      </rPr>
      <t>鄂</t>
    </r>
    <r>
      <rPr>
        <sz val="12"/>
        <rFont val="Verdana"/>
        <charset val="134"/>
      </rPr>
      <t>AZVX1S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00</t>
    </r>
    <r>
      <rPr>
        <sz val="12"/>
        <rFont val="华文宋体"/>
        <charset val="134"/>
      </rPr>
      <t>）</t>
    </r>
  </si>
  <si>
    <t>30104201042000120519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</si>
  <si>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11</t>
    </r>
    <r>
      <rPr>
        <sz val="12"/>
        <rFont val="华文宋体"/>
        <charset val="134"/>
      </rPr>
      <t>鄂</t>
    </r>
    <r>
      <rPr>
        <sz val="12"/>
        <rFont val="Verdana"/>
        <charset val="134"/>
      </rPr>
      <t>AZVX1R(00)</t>
    </r>
  </si>
  <si>
    <t>30104201042000120520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</si>
  <si>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11</t>
    </r>
    <r>
      <rPr>
        <sz val="12"/>
        <rFont val="华文宋体"/>
        <charset val="134"/>
      </rPr>
      <t>鄂</t>
    </r>
    <r>
      <rPr>
        <sz val="12"/>
        <rFont val="Verdana"/>
        <charset val="134"/>
      </rPr>
      <t>AZVX19(00)</t>
    </r>
  </si>
  <si>
    <r>
      <t>4#</t>
    </r>
    <r>
      <rPr>
        <sz val="12"/>
        <rFont val="华文宋体"/>
        <charset val="134"/>
      </rPr>
      <t>消</t>
    </r>
  </si>
  <si>
    <r>
      <rPr>
        <sz val="12"/>
        <rFont val="华文宋体"/>
        <charset val="134"/>
      </rPr>
      <t>武汉盛世阳光酒店有限公司</t>
    </r>
  </si>
  <si>
    <r>
      <rPr>
        <sz val="12"/>
        <rFont val="华文宋体"/>
        <charset val="134"/>
      </rPr>
      <t>五里新村盛世阳光酒店</t>
    </r>
  </si>
  <si>
    <t>VFP(X)-800-CO-60</t>
  </si>
  <si>
    <t>30104201052008010002</t>
  </si>
  <si>
    <r>
      <rPr>
        <sz val="12"/>
        <rFont val="华文宋体"/>
        <charset val="134"/>
      </rPr>
      <t>武汉东菱富士电梯制造有限公司</t>
    </r>
  </si>
  <si>
    <t>2007-1106</t>
  </si>
  <si>
    <r>
      <rPr>
        <sz val="12"/>
        <rFont val="华文宋体"/>
        <charset val="134"/>
      </rPr>
      <t>武汉盆景奇石根雕艺术馆</t>
    </r>
  </si>
  <si>
    <r>
      <rPr>
        <sz val="12"/>
        <rFont val="华文宋体"/>
        <charset val="134"/>
      </rPr>
      <t>汉阳区翠薇路</t>
    </r>
    <r>
      <rPr>
        <sz val="12"/>
        <rFont val="Verdana"/>
        <charset val="134"/>
      </rPr>
      <t>61</t>
    </r>
    <r>
      <rPr>
        <sz val="12"/>
        <rFont val="华文宋体"/>
        <charset val="134"/>
      </rPr>
      <t>号</t>
    </r>
  </si>
  <si>
    <t>SPACEL-UNI</t>
  </si>
  <si>
    <t>30104201002009050001</t>
  </si>
  <si>
    <t>019595</t>
  </si>
  <si>
    <r>
      <rPr>
        <sz val="12"/>
        <rFont val="华文宋体"/>
        <charset val="134"/>
      </rPr>
      <t>东芝</t>
    </r>
  </si>
  <si>
    <r>
      <rPr>
        <sz val="12"/>
        <rFont val="华文宋体"/>
        <charset val="134"/>
      </rPr>
      <t>湖北建亿欧机电有限公司</t>
    </r>
  </si>
  <si>
    <r>
      <rPr>
        <sz val="12"/>
        <rFont val="华文宋体"/>
        <charset val="134"/>
      </rPr>
      <t>台北教师公寓</t>
    </r>
    <r>
      <rPr>
        <sz val="12"/>
        <rFont val="Verdana"/>
        <charset val="134"/>
      </rPr>
      <t>B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</si>
  <si>
    <r>
      <t>GMEIII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MRL)-P</t>
    </r>
  </si>
  <si>
    <t>31104201022025040055</t>
  </si>
  <si>
    <t>XODTH70960</t>
  </si>
  <si>
    <r>
      <t>DT1#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</si>
  <si>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武汉市武昌区仙岛湖商务酒店</t>
    </r>
  </si>
  <si>
    <r>
      <rPr>
        <sz val="12"/>
        <rFont val="华文宋体"/>
        <charset val="134"/>
      </rPr>
      <t>武昌仙岛湖酒店</t>
    </r>
  </si>
  <si>
    <t>HD60000-MRL-800/1.0</t>
  </si>
  <si>
    <t>31104201062016120029</t>
  </si>
  <si>
    <t>081958</t>
  </si>
  <si>
    <r>
      <rPr>
        <sz val="12"/>
        <rFont val="华文宋体"/>
        <charset val="134"/>
      </rPr>
      <t>宁波宏大电梯有限公司</t>
    </r>
  </si>
  <si>
    <t>162255</t>
  </si>
  <si>
    <r>
      <t>1</t>
    </r>
    <r>
      <rPr>
        <sz val="12"/>
        <rFont val="华文宋体"/>
        <charset val="134"/>
      </rPr>
      <t>号楼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号梯</t>
    </r>
  </si>
  <si>
    <r>
      <rPr>
        <sz val="12"/>
        <rFont val="华文宋体"/>
        <charset val="134"/>
      </rPr>
      <t>百步亭温馨苑</t>
    </r>
    <r>
      <rPr>
        <sz val="12"/>
        <rFont val="Verdana"/>
        <charset val="134"/>
      </rPr>
      <t>AB</t>
    </r>
    <r>
      <rPr>
        <sz val="12"/>
        <rFont val="华文宋体"/>
        <charset val="134"/>
      </rPr>
      <t>区</t>
    </r>
    <r>
      <rPr>
        <sz val="12"/>
        <rFont val="Verdana"/>
        <charset val="134"/>
      </rPr>
      <t>112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</si>
  <si>
    <t>31104201002021076064</t>
  </si>
  <si>
    <t>GE2104058K</t>
  </si>
  <si>
    <r>
      <rPr>
        <sz val="12"/>
        <rFont val="华文宋体"/>
        <charset val="134"/>
      </rPr>
      <t>湖北玉舟机电工程有限公司</t>
    </r>
  </si>
  <si>
    <r>
      <rPr>
        <sz val="12"/>
        <rFont val="华文宋体"/>
        <charset val="134"/>
      </rPr>
      <t>百步亭花园百合苑</t>
    </r>
    <r>
      <rPr>
        <sz val="12"/>
        <rFont val="Verdana"/>
        <charset val="134"/>
      </rPr>
      <t>501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</si>
  <si>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t>3110420100202112C012</t>
  </si>
  <si>
    <t>153126</t>
  </si>
  <si>
    <t>GE2108183K</t>
  </si>
  <si>
    <r>
      <rPr>
        <sz val="12"/>
        <rFont val="华文宋体"/>
        <charset val="134"/>
      </rPr>
      <t>百步亭温馨苑</t>
    </r>
    <r>
      <rPr>
        <sz val="12"/>
        <rFont val="Verdana"/>
        <charset val="134"/>
      </rPr>
      <t>CD</t>
    </r>
    <r>
      <rPr>
        <sz val="12"/>
        <rFont val="华文宋体"/>
        <charset val="134"/>
      </rPr>
      <t>区</t>
    </r>
    <r>
      <rPr>
        <sz val="12"/>
        <rFont val="Verdana"/>
        <charset val="134"/>
      </rPr>
      <t>409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</si>
  <si>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t>31104201022021010045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</si>
  <si>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11</t>
    </r>
    <r>
      <rPr>
        <sz val="12"/>
        <rFont val="华文宋体"/>
        <charset val="134"/>
      </rPr>
      <t>鄂</t>
    </r>
    <r>
      <rPr>
        <sz val="12"/>
        <rFont val="Verdana"/>
        <charset val="134"/>
      </rPr>
      <t>AA0620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24</t>
    </r>
    <r>
      <rPr>
        <sz val="12"/>
        <rFont val="华文宋体"/>
        <charset val="134"/>
      </rPr>
      <t>）</t>
    </r>
  </si>
  <si>
    <t>GE2011255K</t>
  </si>
  <si>
    <r>
      <rPr>
        <sz val="12"/>
        <rFont val="华文宋体"/>
        <charset val="134"/>
      </rPr>
      <t>席如锦（百步亭怡康南小区</t>
    </r>
    <r>
      <rPr>
        <sz val="12"/>
        <rFont val="Verdana"/>
        <charset val="134"/>
      </rPr>
      <t>504</t>
    </r>
    <r>
      <rPr>
        <sz val="12"/>
        <rFont val="华文宋体"/>
        <charset val="134"/>
      </rPr>
      <t>号二单元）</t>
    </r>
  </si>
  <si>
    <t>31104201022022030010</t>
  </si>
  <si>
    <t>GE2112224K</t>
  </si>
  <si>
    <r>
      <rPr>
        <sz val="12"/>
        <rFont val="华文宋体"/>
        <charset val="134"/>
      </rPr>
      <t>湖北易加梯建设工程有限公司</t>
    </r>
  </si>
  <si>
    <r>
      <rPr>
        <sz val="12"/>
        <rFont val="华文宋体"/>
        <charset val="134"/>
      </rPr>
      <t>青青美庐小区西区</t>
    </r>
    <r>
      <rPr>
        <sz val="12"/>
        <rFont val="Verdana"/>
        <charset val="134"/>
      </rPr>
      <t>3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</si>
  <si>
    <t>VEW800/1.0-VVVF</t>
  </si>
  <si>
    <t>31104201022023070008</t>
  </si>
  <si>
    <r>
      <rPr>
        <sz val="12"/>
        <rFont val="华文宋体"/>
        <charset val="134"/>
      </rPr>
      <t>沃克斯迅达</t>
    </r>
  </si>
  <si>
    <t>V22NO17480</t>
  </si>
  <si>
    <r>
      <rPr>
        <sz val="12"/>
        <rFont val="华文宋体"/>
        <charset val="134"/>
      </rPr>
      <t>百步亭百合苑</t>
    </r>
    <r>
      <rPr>
        <sz val="12"/>
        <rFont val="Verdana"/>
        <charset val="134"/>
      </rPr>
      <t>303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3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 xml:space="preserve"> </t>
    </r>
  </si>
  <si>
    <t>31104201012025090038</t>
  </si>
  <si>
    <t>45949970</t>
  </si>
  <si>
    <r>
      <t>303-3#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</si>
  <si>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安居苑</t>
    </r>
    <r>
      <rPr>
        <sz val="12"/>
        <rFont val="Verdana"/>
        <charset val="134"/>
      </rPr>
      <t>D</t>
    </r>
    <r>
      <rPr>
        <sz val="12"/>
        <rFont val="华文宋体"/>
        <charset val="134"/>
      </rPr>
      <t>区</t>
    </r>
    <r>
      <rPr>
        <sz val="12"/>
        <rFont val="Verdana"/>
        <charset val="134"/>
      </rPr>
      <t>405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3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 xml:space="preserve"> </t>
    </r>
  </si>
  <si>
    <t>31104201022025090039</t>
  </si>
  <si>
    <t>45949971</t>
  </si>
  <si>
    <r>
      <t>405-3#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</si>
  <si>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滨江苑一期</t>
    </r>
    <r>
      <rPr>
        <sz val="12"/>
        <rFont val="Verdana"/>
        <charset val="134"/>
      </rPr>
      <t>10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、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</si>
  <si>
    <t>31104201022025120006</t>
  </si>
  <si>
    <t>45842386</t>
  </si>
  <si>
    <r>
      <t>10-1#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</si>
  <si>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滨江苑一期</t>
    </r>
    <r>
      <rPr>
        <sz val="12"/>
        <rFont val="Verdana"/>
        <charset val="134"/>
      </rPr>
      <t>12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</si>
  <si>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t>mela200 MRL</t>
  </si>
  <si>
    <t>31104201022025120007</t>
  </si>
  <si>
    <r>
      <rPr>
        <sz val="12"/>
        <rFont val="华文宋体"/>
        <charset val="134"/>
      </rPr>
      <t>蒂升电梯</t>
    </r>
  </si>
  <si>
    <t>S9MO-038142.001</t>
  </si>
  <si>
    <r>
      <t>12-1#P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</si>
  <si>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残联宿舍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</si>
  <si>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t>31104201022025110019</t>
  </si>
  <si>
    <t>45949980</t>
  </si>
  <si>
    <r>
      <rPr>
        <sz val="12"/>
        <rFont val="华文宋体"/>
        <charset val="134"/>
      </rPr>
      <t>武汉市孜泉酒店有限公司</t>
    </r>
  </si>
  <si>
    <r>
      <rPr>
        <sz val="12"/>
        <rFont val="华文宋体"/>
        <charset val="134"/>
      </rPr>
      <t>胜利街</t>
    </r>
    <r>
      <rPr>
        <sz val="12"/>
        <rFont val="Verdana"/>
        <charset val="134"/>
      </rPr>
      <t>122</t>
    </r>
    <r>
      <rPr>
        <sz val="12"/>
        <rFont val="华文宋体"/>
        <charset val="134"/>
      </rPr>
      <t>号</t>
    </r>
  </si>
  <si>
    <t>31104201022025120008</t>
  </si>
  <si>
    <t>45976782</t>
  </si>
  <si>
    <r>
      <t>1#</t>
    </r>
    <r>
      <rPr>
        <sz val="12"/>
        <rFont val="华文宋体"/>
        <charset val="134"/>
      </rPr>
      <t>梯</t>
    </r>
  </si>
  <si>
    <r>
      <rPr>
        <sz val="12"/>
        <rFont val="华文宋体"/>
        <charset val="134"/>
      </rPr>
      <t>武汉泰富城酒店管理有限责任公司</t>
    </r>
  </si>
  <si>
    <r>
      <rPr>
        <sz val="12"/>
        <rFont val="华文宋体"/>
        <charset val="134"/>
      </rPr>
      <t>武汉中海联机电工程有限公司（七星四季）</t>
    </r>
  </si>
  <si>
    <r>
      <rPr>
        <sz val="12"/>
        <rFont val="华文宋体"/>
        <charset val="134"/>
      </rPr>
      <t>七星四季花园</t>
    </r>
    <r>
      <rPr>
        <sz val="12"/>
        <rFont val="Verdana"/>
        <charset val="134"/>
      </rPr>
      <t>4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</si>
  <si>
    <t>31104201112025120039</t>
  </si>
  <si>
    <t>217916</t>
  </si>
  <si>
    <t>FUJI2025090805</t>
  </si>
  <si>
    <r>
      <t>4-2#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</si>
  <si>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武汉中海联机电工程有限公司（黄鹂小区）</t>
    </r>
  </si>
  <si>
    <r>
      <rPr>
        <sz val="12"/>
        <rFont val="华文宋体"/>
        <charset val="134"/>
      </rPr>
      <t>黄鹂小区</t>
    </r>
    <r>
      <rPr>
        <sz val="12"/>
        <rFont val="Verdana"/>
        <charset val="134"/>
      </rPr>
      <t>15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 xml:space="preserve"> </t>
    </r>
  </si>
  <si>
    <t>31104201502025110001</t>
  </si>
  <si>
    <t>217917</t>
  </si>
  <si>
    <t>FUJI2025100942</t>
  </si>
  <si>
    <r>
      <t>15-1#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</si>
  <si>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东湖生态旅游风景区黄鹂小区</t>
    </r>
    <r>
      <rPr>
        <sz val="12"/>
        <rFont val="Verdana"/>
        <charset val="134"/>
      </rPr>
      <t>16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 xml:space="preserve"> </t>
    </r>
  </si>
  <si>
    <t>31104201502025083001</t>
  </si>
  <si>
    <t>FUJI2025070589</t>
  </si>
  <si>
    <t xml:space="preserve">1# </t>
  </si>
  <si>
    <r>
      <rPr>
        <sz val="12"/>
        <rFont val="华文宋体"/>
        <charset val="134"/>
      </rPr>
      <t>武汉中海联机电工程有限公司（柴林小区）</t>
    </r>
  </si>
  <si>
    <r>
      <rPr>
        <sz val="12"/>
        <rFont val="华文宋体"/>
        <charset val="134"/>
      </rPr>
      <t>柴林花园</t>
    </r>
    <r>
      <rPr>
        <sz val="12"/>
        <rFont val="Verdana"/>
        <charset val="134"/>
      </rPr>
      <t>12-1</t>
    </r>
  </si>
  <si>
    <t>31104201112025120011</t>
  </si>
  <si>
    <t>FUJI2025111009</t>
  </si>
  <si>
    <r>
      <t>12-1#</t>
    </r>
    <r>
      <rPr>
        <sz val="12"/>
        <rFont val="华文宋体"/>
        <charset val="134"/>
      </rPr>
      <t>梯</t>
    </r>
  </si>
  <si>
    <r>
      <rPr>
        <sz val="12"/>
        <rFont val="华文宋体"/>
        <charset val="134"/>
      </rPr>
      <t>武汉中海联机电工程有限公司（惠济小区）</t>
    </r>
  </si>
  <si>
    <r>
      <rPr>
        <sz val="12"/>
        <rFont val="华文宋体"/>
        <charset val="134"/>
      </rPr>
      <t>花桥惠济小区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4</t>
    </r>
    <r>
      <rPr>
        <sz val="12"/>
        <rFont val="华文宋体"/>
        <charset val="134"/>
      </rPr>
      <t>单元</t>
    </r>
  </si>
  <si>
    <r>
      <t>XmodelH</t>
    </r>
    <r>
      <rPr>
        <sz val="12"/>
        <rFont val="华文宋体"/>
        <charset val="0"/>
      </rPr>
      <t>（</t>
    </r>
    <r>
      <rPr>
        <sz val="12"/>
        <rFont val="Verdana"/>
        <charset val="0"/>
      </rPr>
      <t>MRL</t>
    </r>
    <r>
      <rPr>
        <sz val="12"/>
        <rFont val="华文宋体"/>
        <charset val="0"/>
      </rPr>
      <t>）</t>
    </r>
  </si>
  <si>
    <t>31104201022026010141</t>
  </si>
  <si>
    <t>880kg</t>
  </si>
  <si>
    <t>1.25m/s</t>
  </si>
  <si>
    <t>XODTK36860</t>
  </si>
  <si>
    <r>
      <t>1-4#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</si>
  <si>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武汉中海联机电工程有限公司（花莲里）</t>
    </r>
  </si>
  <si>
    <r>
      <rPr>
        <sz val="12"/>
        <rFont val="华文宋体"/>
        <charset val="134"/>
      </rPr>
      <t>花莲里</t>
    </r>
    <r>
      <rPr>
        <sz val="12"/>
        <rFont val="Verdana"/>
        <charset val="134"/>
      </rPr>
      <t>159</t>
    </r>
    <r>
      <rPr>
        <sz val="12"/>
        <rFont val="华文宋体"/>
        <charset val="134"/>
      </rPr>
      <t>号</t>
    </r>
  </si>
  <si>
    <r>
      <t>Xmode13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MRL</t>
    </r>
    <r>
      <rPr>
        <sz val="12"/>
        <rFont val="华文宋体"/>
        <charset val="134"/>
      </rPr>
      <t>）</t>
    </r>
  </si>
  <si>
    <t>31104201022026010014</t>
  </si>
  <si>
    <t>XODTK36955</t>
  </si>
  <si>
    <r>
      <t>159-4#</t>
    </r>
    <r>
      <rPr>
        <sz val="12"/>
        <rFont val="华文宋体"/>
        <charset val="134"/>
      </rPr>
      <t>梯</t>
    </r>
  </si>
  <si>
    <r>
      <rPr>
        <sz val="12"/>
        <rFont val="华文宋体"/>
        <charset val="134"/>
      </rPr>
      <t>武汉中海联机电工程有限公司（百步亭）</t>
    </r>
  </si>
  <si>
    <r>
      <rPr>
        <sz val="12"/>
        <rFont val="华文宋体"/>
        <charset val="134"/>
      </rPr>
      <t>安居苑</t>
    </r>
    <r>
      <rPr>
        <sz val="12"/>
        <rFont val="Verdana"/>
        <charset val="134"/>
      </rPr>
      <t>D</t>
    </r>
    <r>
      <rPr>
        <sz val="12"/>
        <rFont val="华文宋体"/>
        <charset val="134"/>
      </rPr>
      <t>区</t>
    </r>
    <r>
      <rPr>
        <sz val="12"/>
        <rFont val="Verdana"/>
        <charset val="134"/>
      </rPr>
      <t>406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4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 xml:space="preserve"> </t>
    </r>
  </si>
  <si>
    <t>31104201022026010047</t>
  </si>
  <si>
    <t>45949972</t>
  </si>
  <si>
    <r>
      <t>406-4#</t>
    </r>
    <r>
      <rPr>
        <sz val="12"/>
        <rFont val="华文宋体"/>
        <charset val="134"/>
      </rPr>
      <t>梯</t>
    </r>
  </si>
  <si>
    <r>
      <rPr>
        <sz val="12"/>
        <rFont val="华文宋体"/>
        <charset val="134"/>
      </rPr>
      <t>武汉中海联机电工程有限公司（花桥一村）</t>
    </r>
  </si>
  <si>
    <r>
      <rPr>
        <sz val="12"/>
        <rFont val="华文宋体"/>
        <charset val="134"/>
      </rPr>
      <t>花桥一村</t>
    </r>
    <r>
      <rPr>
        <sz val="12"/>
        <rFont val="Verdana"/>
        <charset val="134"/>
      </rPr>
      <t>16</t>
    </r>
    <r>
      <rPr>
        <sz val="12"/>
        <rFont val="华文宋体"/>
        <charset val="134"/>
      </rPr>
      <t>号</t>
    </r>
  </si>
  <si>
    <t>31104201022026010269</t>
  </si>
  <si>
    <t>46133799</t>
  </si>
  <si>
    <r>
      <t>16-1#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</si>
  <si>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武汉中海联机电工程有限公司（鹏程花苑）</t>
    </r>
  </si>
  <si>
    <r>
      <rPr>
        <sz val="12"/>
        <rFont val="华文宋体"/>
        <charset val="134"/>
      </rPr>
      <t>鹏程花苑</t>
    </r>
    <r>
      <rPr>
        <sz val="12"/>
        <rFont val="Verdana"/>
        <charset val="134"/>
      </rPr>
      <t>4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</si>
  <si>
    <r>
      <t>XmodelH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MRL</t>
    </r>
    <r>
      <rPr>
        <sz val="12"/>
        <rFont val="华文宋体"/>
        <charset val="134"/>
      </rPr>
      <t>）</t>
    </r>
  </si>
  <si>
    <t>31104201022026010246</t>
  </si>
  <si>
    <t>XODTK52551</t>
  </si>
  <si>
    <r>
      <rPr>
        <sz val="12"/>
        <rFont val="华文宋体"/>
        <charset val="134"/>
      </rPr>
      <t>武汉中海联机电工程有限公司（青青美庐）</t>
    </r>
  </si>
  <si>
    <r>
      <rPr>
        <sz val="12"/>
        <rFont val="华文宋体"/>
        <charset val="134"/>
      </rPr>
      <t>青青美庐西区</t>
    </r>
    <r>
      <rPr>
        <sz val="12"/>
        <rFont val="Verdana"/>
        <charset val="134"/>
      </rPr>
      <t>5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</si>
  <si>
    <t>31104201022025103029</t>
  </si>
  <si>
    <t>XODTJ25924</t>
  </si>
  <si>
    <r>
      <rPr>
        <sz val="12"/>
        <rFont val="华文宋体"/>
        <charset val="134"/>
      </rPr>
      <t>西区</t>
    </r>
    <r>
      <rPr>
        <sz val="12"/>
        <rFont val="Verdana"/>
        <charset val="134"/>
      </rPr>
      <t>5-2#</t>
    </r>
    <r>
      <rPr>
        <sz val="12"/>
        <rFont val="华文宋体"/>
        <charset val="134"/>
      </rPr>
      <t>梯</t>
    </r>
  </si>
  <si>
    <r>
      <rPr>
        <sz val="12"/>
        <rFont val="华文宋体"/>
        <charset val="134"/>
      </rPr>
      <t>青青美庐东区</t>
    </r>
    <r>
      <rPr>
        <sz val="12"/>
        <rFont val="Verdana"/>
        <charset val="134"/>
      </rPr>
      <t>8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</si>
  <si>
    <t>Xmodel3(MRL)</t>
  </si>
  <si>
    <t>31104201022025120020</t>
  </si>
  <si>
    <t>XODTK19846</t>
  </si>
  <si>
    <r>
      <rPr>
        <sz val="12"/>
        <rFont val="华文宋体"/>
        <charset val="134"/>
      </rPr>
      <t>东区</t>
    </r>
    <r>
      <rPr>
        <sz val="12"/>
        <rFont val="Verdana"/>
        <charset val="134"/>
      </rPr>
      <t>8-2#</t>
    </r>
    <r>
      <rPr>
        <sz val="12"/>
        <rFont val="华文宋体"/>
        <charset val="134"/>
      </rPr>
      <t>梯</t>
    </r>
  </si>
  <si>
    <r>
      <rPr>
        <sz val="12"/>
        <rFont val="华文宋体"/>
        <charset val="134"/>
      </rPr>
      <t>安居苑</t>
    </r>
    <r>
      <rPr>
        <sz val="12"/>
        <rFont val="Verdana"/>
        <charset val="134"/>
      </rPr>
      <t>D</t>
    </r>
    <r>
      <rPr>
        <sz val="12"/>
        <rFont val="华文宋体"/>
        <charset val="134"/>
      </rPr>
      <t>区</t>
    </r>
    <r>
      <rPr>
        <sz val="12"/>
        <rFont val="Verdana"/>
        <charset val="134"/>
      </rPr>
      <t>404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3</t>
    </r>
    <r>
      <rPr>
        <sz val="12"/>
        <rFont val="华文宋体"/>
        <charset val="134"/>
      </rPr>
      <t>单元</t>
    </r>
  </si>
  <si>
    <t>LGE-Z</t>
  </si>
  <si>
    <t>31104201022025113005</t>
  </si>
  <si>
    <r>
      <rPr>
        <sz val="12"/>
        <rFont val="华文宋体"/>
        <charset val="0"/>
      </rPr>
      <t>日立电梯</t>
    </r>
  </si>
  <si>
    <t>25R072115</t>
  </si>
  <si>
    <r>
      <rPr>
        <sz val="12"/>
        <rFont val="华文宋体"/>
        <charset val="134"/>
      </rPr>
      <t>武铁社区武铁洪山住宅小区</t>
    </r>
    <r>
      <rPr>
        <sz val="12"/>
        <rFont val="Verdana"/>
        <charset val="134"/>
      </rPr>
      <t>9</t>
    </r>
    <r>
      <rPr>
        <sz val="12"/>
        <rFont val="华文宋体"/>
        <charset val="134"/>
      </rPr>
      <t>栋</t>
    </r>
  </si>
  <si>
    <t>LGE-H</t>
  </si>
  <si>
    <t>25R075126</t>
  </si>
  <si>
    <t>9-1#</t>
  </si>
  <si>
    <r>
      <rPr>
        <sz val="12"/>
        <rFont val="华文宋体"/>
        <charset val="134"/>
      </rPr>
      <t>武铁社区武铁洪山住宅小区</t>
    </r>
    <r>
      <rPr>
        <sz val="12"/>
        <rFont val="Verdana"/>
        <charset val="134"/>
      </rPr>
      <t>15</t>
    </r>
    <r>
      <rPr>
        <sz val="12"/>
        <rFont val="华文宋体"/>
        <charset val="134"/>
      </rPr>
      <t>栋</t>
    </r>
  </si>
  <si>
    <t>25R075137</t>
  </si>
  <si>
    <t>15-2#</t>
  </si>
  <si>
    <r>
      <rPr>
        <sz val="12"/>
        <rFont val="华文宋体"/>
        <charset val="134"/>
      </rPr>
      <t>武汉中海联机电工程有限公司（铁机馨苑）</t>
    </r>
  </si>
  <si>
    <r>
      <rPr>
        <sz val="12"/>
        <rFont val="华文宋体"/>
        <charset val="134"/>
      </rPr>
      <t>铁机馨苑</t>
    </r>
    <r>
      <rPr>
        <sz val="12"/>
        <rFont val="Verdana"/>
        <charset val="134"/>
      </rPr>
      <t>2-3</t>
    </r>
  </si>
  <si>
    <t>31104201112026030016</t>
  </si>
  <si>
    <t>FUJI2025121109</t>
  </si>
  <si>
    <r>
      <t>2-3#</t>
    </r>
    <r>
      <rPr>
        <sz val="12"/>
        <rFont val="华文宋体"/>
        <charset val="134"/>
      </rPr>
      <t>客</t>
    </r>
  </si>
  <si>
    <r>
      <rPr>
        <sz val="10.5"/>
        <rFont val="华文宋体"/>
        <charset val="134"/>
      </rPr>
      <t>武汉中海联机电工程有限公司（城明花园）</t>
    </r>
  </si>
  <si>
    <r>
      <rPr>
        <sz val="12"/>
        <rFont val="华文宋体"/>
        <charset val="134"/>
      </rPr>
      <t>江夏城明花园</t>
    </r>
    <r>
      <rPr>
        <sz val="12"/>
        <rFont val="Verdana"/>
        <charset val="134"/>
      </rPr>
      <t>14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</si>
  <si>
    <t>31104201152025103089</t>
  </si>
  <si>
    <t>45842387</t>
  </si>
  <si>
    <r>
      <t>14-2#</t>
    </r>
    <r>
      <rPr>
        <sz val="12"/>
        <rFont val="华文宋体"/>
        <charset val="134"/>
      </rPr>
      <t>梯</t>
    </r>
  </si>
  <si>
    <r>
      <rPr>
        <sz val="12"/>
        <rFont val="华文宋体"/>
        <charset val="134"/>
      </rPr>
      <t>百步亭怡和苑北区</t>
    </r>
    <r>
      <rPr>
        <sz val="12"/>
        <rFont val="Verdana"/>
        <charset val="134"/>
      </rPr>
      <t>409-3</t>
    </r>
  </si>
  <si>
    <t>31104201022026030008</t>
  </si>
  <si>
    <t>PHU060297.2</t>
  </si>
  <si>
    <r>
      <t>409-3#</t>
    </r>
    <r>
      <rPr>
        <sz val="12"/>
        <rFont val="华文宋体"/>
        <charset val="134"/>
      </rPr>
      <t>梯</t>
    </r>
  </si>
  <si>
    <r>
      <rPr>
        <sz val="12"/>
        <rFont val="华文宋体"/>
        <charset val="134"/>
      </rPr>
      <t>武汉中海联机电工程有限公司（陆总花园）</t>
    </r>
  </si>
  <si>
    <r>
      <rPr>
        <sz val="12"/>
        <rFont val="华文宋体"/>
        <charset val="134"/>
      </rPr>
      <t>陆总花园</t>
    </r>
    <r>
      <rPr>
        <sz val="12"/>
        <rFont val="Verdana"/>
        <charset val="134"/>
      </rPr>
      <t>5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  <r>
      <rPr>
        <sz val="12"/>
        <rFont val="Verdana"/>
        <charset val="134"/>
      </rPr>
      <t xml:space="preserve"> </t>
    </r>
  </si>
  <si>
    <t>31104201112026040087</t>
  </si>
  <si>
    <t>243547</t>
  </si>
  <si>
    <t>XODTK36859</t>
  </si>
  <si>
    <r>
      <t>5-2#</t>
    </r>
    <r>
      <rPr>
        <sz val="12"/>
        <rFont val="华文宋体"/>
        <charset val="134"/>
      </rPr>
      <t>梯</t>
    </r>
  </si>
  <si>
    <r>
      <rPr>
        <sz val="12"/>
        <rFont val="华文宋体"/>
        <charset val="134"/>
      </rPr>
      <t>武汉盛世保和企业管理有限公司</t>
    </r>
  </si>
  <si>
    <r>
      <rPr>
        <sz val="12"/>
        <rFont val="华文宋体"/>
        <charset val="134"/>
      </rPr>
      <t>湖北洪山宾馆集团有限公司</t>
    </r>
  </si>
  <si>
    <t>ESW</t>
  </si>
  <si>
    <t>31104201062026070124</t>
  </si>
  <si>
    <t>2532T033005</t>
  </si>
  <si>
    <r>
      <t>5#</t>
    </r>
    <r>
      <rPr>
        <sz val="12"/>
        <rFont val="华文宋体"/>
        <charset val="134"/>
      </rPr>
      <t>客</t>
    </r>
  </si>
  <si>
    <t>31104201062026070125</t>
  </si>
  <si>
    <t>2532T033006</t>
  </si>
  <si>
    <r>
      <t>6#</t>
    </r>
    <r>
      <rPr>
        <sz val="12"/>
        <rFont val="华文宋体"/>
        <charset val="134"/>
      </rPr>
      <t>客</t>
    </r>
  </si>
  <si>
    <t>31104201062026070126</t>
  </si>
  <si>
    <t>2532T033001</t>
  </si>
  <si>
    <t>31104201062026070127</t>
  </si>
  <si>
    <t>2532T033002</t>
  </si>
  <si>
    <t>31104201062026070128</t>
  </si>
  <si>
    <t>2532T033003</t>
  </si>
  <si>
    <t>31104201062026070129</t>
  </si>
  <si>
    <t>2532T033004</t>
  </si>
  <si>
    <r>
      <t>4#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</si>
  <si>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湖北联投物业有限公司</t>
    </r>
  </si>
  <si>
    <r>
      <rPr>
        <sz val="12"/>
        <rFont val="华文宋体"/>
        <charset val="134"/>
      </rPr>
      <t>联投龙湾一期一栋三单元</t>
    </r>
  </si>
  <si>
    <t>MAX-E</t>
  </si>
  <si>
    <t>31101006820260704629</t>
  </si>
  <si>
    <t>2.0m/s</t>
  </si>
  <si>
    <t>26G07933001</t>
  </si>
  <si>
    <r>
      <rPr>
        <sz val="12"/>
        <rFont val="华文宋体"/>
        <charset val="134"/>
      </rPr>
      <t>一栋三单元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货</t>
    </r>
  </si>
  <si>
    <r>
      <rPr>
        <sz val="12"/>
        <rFont val="华文宋体"/>
        <charset val="134"/>
      </rPr>
      <t>武汉中海联机电工程有限公司（富康花园）</t>
    </r>
  </si>
  <si>
    <r>
      <rPr>
        <sz val="12"/>
        <rFont val="华文宋体"/>
        <charset val="134"/>
      </rPr>
      <t>富康花园小区</t>
    </r>
    <r>
      <rPr>
        <sz val="12"/>
        <rFont val="Verdana"/>
        <charset val="134"/>
      </rPr>
      <t>4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</si>
  <si>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t>S5000</t>
  </si>
  <si>
    <t>31104201032026050141</t>
  </si>
  <si>
    <r>
      <rPr>
        <sz val="12"/>
        <rFont val="华文宋体"/>
        <charset val="134"/>
      </rPr>
      <t>西继迅达</t>
    </r>
  </si>
  <si>
    <t>2411107EB-001</t>
  </si>
  <si>
    <r>
      <t>4-1#</t>
    </r>
    <r>
      <rPr>
        <sz val="12"/>
        <rFont val="华文宋体"/>
        <charset val="134"/>
      </rPr>
      <t>梯</t>
    </r>
  </si>
  <si>
    <r>
      <rPr>
        <sz val="12"/>
        <rFont val="华文宋体"/>
        <charset val="134"/>
      </rPr>
      <t>武汉中海联机电工程有限公司（常安佳苑）</t>
    </r>
  </si>
  <si>
    <r>
      <rPr>
        <sz val="12"/>
        <rFont val="华文宋体"/>
        <charset val="134"/>
      </rPr>
      <t>畔湖社区常安佳苑小区</t>
    </r>
    <r>
      <rPr>
        <sz val="12"/>
        <rFont val="Verdana"/>
        <charset val="134"/>
      </rPr>
      <t>6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</si>
  <si>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t xml:space="preserve">Kone Home X-PLUS-MRL </t>
  </si>
  <si>
    <t>31104201122026060016</t>
  </si>
  <si>
    <r>
      <rPr>
        <sz val="12"/>
        <rFont val="华文宋体"/>
        <charset val="134"/>
      </rPr>
      <t>通力电梯</t>
    </r>
  </si>
  <si>
    <t>46088386</t>
  </si>
  <si>
    <r>
      <rPr>
        <sz val="12"/>
        <rFont val="华文宋体"/>
        <charset val="134"/>
      </rPr>
      <t>武汉中海联机电工程有限公司（东方花都）</t>
    </r>
  </si>
  <si>
    <r>
      <rPr>
        <sz val="12"/>
        <rFont val="华文宋体"/>
        <charset val="134"/>
      </rPr>
      <t>东方花都</t>
    </r>
    <r>
      <rPr>
        <sz val="12"/>
        <rFont val="Verdana"/>
        <charset val="134"/>
      </rPr>
      <t>A</t>
    </r>
    <r>
      <rPr>
        <sz val="12"/>
        <rFont val="华文宋体"/>
        <charset val="134"/>
      </rPr>
      <t>区</t>
    </r>
    <r>
      <rPr>
        <sz val="12"/>
        <rFont val="Verdana"/>
        <charset val="134"/>
      </rPr>
      <t>13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</si>
  <si>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t>31104201022026040145</t>
  </si>
  <si>
    <t>FUJI2025121110</t>
  </si>
  <si>
    <r>
      <t>A13-1#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</si>
  <si>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武汉中海联机电工程有限公司</t>
    </r>
    <r>
      <rPr>
        <sz val="10.5"/>
        <rFont val="Verdana"/>
        <charset val="0"/>
      </rPr>
      <t>(</t>
    </r>
    <r>
      <rPr>
        <sz val="10.5"/>
        <rFont val="华文宋体"/>
        <charset val="134"/>
      </rPr>
      <t>丰竹园</t>
    </r>
    <r>
      <rPr>
        <sz val="10.5"/>
        <rFont val="Verdana"/>
        <charset val="0"/>
      </rPr>
      <t>)</t>
    </r>
  </si>
  <si>
    <r>
      <rPr>
        <sz val="12"/>
        <rFont val="华文宋体"/>
        <charset val="134"/>
      </rPr>
      <t>丰竹园小区</t>
    </r>
    <r>
      <rPr>
        <sz val="12"/>
        <rFont val="Verdana"/>
        <charset val="134"/>
      </rPr>
      <t>205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</si>
  <si>
    <t>31104201042026050014</t>
  </si>
  <si>
    <t>FUJI2025111069</t>
  </si>
  <si>
    <r>
      <t>205-2#</t>
    </r>
    <r>
      <rPr>
        <sz val="12"/>
        <rFont val="华文宋体"/>
        <charset val="134"/>
      </rPr>
      <t>梯</t>
    </r>
  </si>
  <si>
    <r>
      <rPr>
        <sz val="12"/>
        <rFont val="华文宋体"/>
        <charset val="134"/>
      </rPr>
      <t>武汉中海联机电工程有限公司（东风阳光城）</t>
    </r>
  </si>
  <si>
    <r>
      <rPr>
        <sz val="12"/>
        <rFont val="华文宋体"/>
        <charset val="134"/>
      </rPr>
      <t>东风阳光城荟景苑小区</t>
    </r>
    <r>
      <rPr>
        <sz val="12"/>
        <rFont val="Verdana"/>
        <charset val="134"/>
      </rPr>
      <t>5</t>
    </r>
    <r>
      <rPr>
        <sz val="12"/>
        <rFont val="华文宋体"/>
        <charset val="134"/>
      </rPr>
      <t>幢</t>
    </r>
    <r>
      <rPr>
        <sz val="12"/>
        <rFont val="Verdana"/>
        <charset val="134"/>
      </rPr>
      <t>(</t>
    </r>
    <r>
      <rPr>
        <sz val="12"/>
        <rFont val="华文宋体"/>
        <charset val="134"/>
      </rPr>
      <t>号</t>
    </r>
    <r>
      <rPr>
        <sz val="12"/>
        <rFont val="Verdana"/>
        <charset val="134"/>
      </rPr>
      <t>)2</t>
    </r>
    <r>
      <rPr>
        <sz val="12"/>
        <rFont val="华文宋体"/>
        <charset val="134"/>
      </rPr>
      <t>单元</t>
    </r>
  </si>
  <si>
    <t>31104201222026050059</t>
  </si>
  <si>
    <t>FUJI2026010055</t>
  </si>
  <si>
    <r>
      <rPr>
        <sz val="12"/>
        <rFont val="华文宋体"/>
        <charset val="134"/>
      </rPr>
      <t>东风阳光城荟景苑小区</t>
    </r>
    <r>
      <rPr>
        <sz val="12"/>
        <rFont val="Verdana"/>
        <charset val="134"/>
      </rPr>
      <t>5</t>
    </r>
    <r>
      <rPr>
        <sz val="12"/>
        <rFont val="华文宋体"/>
        <charset val="134"/>
      </rPr>
      <t>幢</t>
    </r>
    <r>
      <rPr>
        <sz val="12"/>
        <rFont val="Verdana"/>
        <charset val="134"/>
      </rPr>
      <t>(</t>
    </r>
    <r>
      <rPr>
        <sz val="12"/>
        <rFont val="华文宋体"/>
        <charset val="134"/>
      </rPr>
      <t>号</t>
    </r>
    <r>
      <rPr>
        <sz val="12"/>
        <rFont val="Verdana"/>
        <charset val="134"/>
      </rPr>
      <t>)3</t>
    </r>
    <r>
      <rPr>
        <sz val="12"/>
        <rFont val="华文宋体"/>
        <charset val="134"/>
      </rPr>
      <t>单元</t>
    </r>
  </si>
  <si>
    <t>31104201222026050060</t>
  </si>
  <si>
    <t>FUJI2026010056</t>
  </si>
  <si>
    <r>
      <t>5-3#</t>
    </r>
    <r>
      <rPr>
        <sz val="12"/>
        <rFont val="华文宋体"/>
        <charset val="134"/>
      </rPr>
      <t>梯</t>
    </r>
  </si>
  <si>
    <r>
      <rPr>
        <sz val="12"/>
        <rFont val="华文宋体"/>
        <charset val="134"/>
      </rPr>
      <t>武汉纯一商贸有限公司</t>
    </r>
  </si>
  <si>
    <r>
      <rPr>
        <sz val="12"/>
        <rFont val="华文宋体"/>
        <charset val="134"/>
      </rPr>
      <t>友谊路</t>
    </r>
    <r>
      <rPr>
        <sz val="12"/>
        <rFont val="Verdana"/>
        <charset val="134"/>
      </rPr>
      <t>130</t>
    </r>
    <r>
      <rPr>
        <sz val="12"/>
        <rFont val="华文宋体"/>
        <charset val="134"/>
      </rPr>
      <t>号里白酒店</t>
    </r>
  </si>
  <si>
    <t>31104201032026060077</t>
  </si>
  <si>
    <t>218386</t>
  </si>
  <si>
    <t>XODTJ92606</t>
  </si>
  <si>
    <r>
      <rPr>
        <sz val="12"/>
        <rFont val="华文宋体"/>
        <charset val="134"/>
      </rPr>
      <t>武汉中海联机电工程有限公司（秀泽园）</t>
    </r>
  </si>
  <si>
    <r>
      <rPr>
        <sz val="12"/>
        <rFont val="华文宋体"/>
        <charset val="134"/>
      </rPr>
      <t>秀泽园北区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</si>
  <si>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t>31104201022026060156</t>
  </si>
  <si>
    <t>FUJI2026030181</t>
  </si>
  <si>
    <r>
      <t>1-1#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</si>
  <si>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武汉中海联机电工程有限公司（维善里）</t>
    </r>
  </si>
  <si>
    <r>
      <rPr>
        <sz val="12"/>
        <rFont val="华文宋体"/>
        <charset val="134"/>
      </rPr>
      <t>江汉区维善里小区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</si>
  <si>
    <t>31104201032026060076</t>
  </si>
  <si>
    <t>46133800</t>
  </si>
  <si>
    <r>
      <t>1-2#</t>
    </r>
    <r>
      <rPr>
        <sz val="12"/>
        <rFont val="华文宋体"/>
        <charset val="134"/>
      </rPr>
      <t>客</t>
    </r>
  </si>
  <si>
    <r>
      <rPr>
        <sz val="12"/>
        <rFont val="华文宋体"/>
        <charset val="134"/>
      </rPr>
      <t>黄鹂小区</t>
    </r>
    <r>
      <rPr>
        <sz val="12"/>
        <rFont val="Verdana"/>
        <charset val="134"/>
      </rPr>
      <t>14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</si>
  <si>
    <t>31104201182026070002</t>
  </si>
  <si>
    <r>
      <rPr>
        <sz val="12"/>
        <rFont val="华文宋体"/>
        <charset val="134"/>
      </rPr>
      <t>天门市维佳物业服务有限责任公司</t>
    </r>
  </si>
  <si>
    <r>
      <rPr>
        <sz val="12"/>
        <rFont val="华文宋体"/>
        <charset val="134"/>
      </rPr>
      <t>天门市宝安商业广场</t>
    </r>
  </si>
  <si>
    <t>EF10</t>
  </si>
  <si>
    <t>33104290062019120108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</si>
  <si>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31</t>
    </r>
    <r>
      <rPr>
        <sz val="12"/>
        <rFont val="华文宋体"/>
        <charset val="134"/>
      </rPr>
      <t>鄂</t>
    </r>
    <r>
      <rPr>
        <sz val="12"/>
        <rFont val="Verdana"/>
        <charset val="0"/>
      </rPr>
      <t>01263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19</t>
    </r>
    <r>
      <rPr>
        <sz val="12"/>
        <rFont val="华文宋体"/>
        <charset val="134"/>
      </rPr>
      <t>）</t>
    </r>
  </si>
  <si>
    <r>
      <rPr>
        <sz val="12"/>
        <rFont val="华文宋体"/>
        <charset val="134"/>
      </rPr>
      <t>扶梯</t>
    </r>
  </si>
  <si>
    <t>J090249.2</t>
  </si>
  <si>
    <r>
      <t>1#</t>
    </r>
    <r>
      <rPr>
        <sz val="12"/>
        <rFont val="华文宋体"/>
        <charset val="134"/>
      </rPr>
      <t>扶梯</t>
    </r>
  </si>
  <si>
    <t>31104290062020032770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</si>
  <si>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11</t>
    </r>
    <r>
      <rPr>
        <sz val="12"/>
        <rFont val="华文宋体"/>
        <charset val="134"/>
      </rPr>
      <t>鄂</t>
    </r>
    <r>
      <rPr>
        <sz val="12"/>
        <rFont val="Verdana"/>
        <charset val="0"/>
      </rPr>
      <t>01301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20</t>
    </r>
    <r>
      <rPr>
        <sz val="12"/>
        <rFont val="华文宋体"/>
        <charset val="134"/>
      </rPr>
      <t>）</t>
    </r>
  </si>
  <si>
    <t>J090249.1</t>
  </si>
  <si>
    <r>
      <rPr>
        <sz val="12"/>
        <rFont val="华文宋体"/>
        <charset val="134"/>
      </rPr>
      <t>天门市衣世界服装批发城</t>
    </r>
  </si>
  <si>
    <r>
      <rPr>
        <sz val="12"/>
        <rFont val="华文宋体"/>
        <charset val="134"/>
      </rPr>
      <t>天门雅斯广场人民大道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号</t>
    </r>
  </si>
  <si>
    <t>STAR-1000-30/4.5</t>
  </si>
  <si>
    <t>33104290062017090042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</si>
  <si>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31</t>
    </r>
    <r>
      <rPr>
        <sz val="12"/>
        <rFont val="华文宋体"/>
        <charset val="134"/>
      </rPr>
      <t>鄂</t>
    </r>
    <r>
      <rPr>
        <sz val="12"/>
        <rFont val="Verdana"/>
        <charset val="0"/>
      </rPr>
      <t>00099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17</t>
    </r>
    <r>
      <rPr>
        <sz val="12"/>
        <rFont val="华文宋体"/>
        <charset val="134"/>
      </rPr>
      <t>）</t>
    </r>
  </si>
  <si>
    <r>
      <rPr>
        <sz val="12"/>
        <rFont val="华文宋体"/>
        <charset val="134"/>
      </rPr>
      <t>西子奥的斯电梯</t>
    </r>
  </si>
  <si>
    <t>F8NK6955</t>
  </si>
  <si>
    <t>2#</t>
  </si>
  <si>
    <t>FES302-1000</t>
  </si>
  <si>
    <t>33104290062017090039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</si>
  <si>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31</t>
    </r>
    <r>
      <rPr>
        <sz val="12"/>
        <rFont val="华文宋体"/>
        <charset val="134"/>
      </rPr>
      <t>鄂</t>
    </r>
    <r>
      <rPr>
        <sz val="12"/>
        <rFont val="Verdana"/>
        <charset val="0"/>
      </rPr>
      <t>00093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17</t>
    </r>
    <r>
      <rPr>
        <sz val="12"/>
        <rFont val="华文宋体"/>
        <charset val="134"/>
      </rPr>
      <t>）</t>
    </r>
  </si>
  <si>
    <t>16J58312/E1</t>
  </si>
  <si>
    <t>1-2F</t>
  </si>
  <si>
    <r>
      <rPr>
        <sz val="12"/>
        <rFont val="华文宋体"/>
        <charset val="134"/>
      </rPr>
      <t>天门市汪场中心卫生院</t>
    </r>
  </si>
  <si>
    <r>
      <rPr>
        <sz val="12"/>
        <rFont val="华文宋体"/>
        <charset val="134"/>
      </rPr>
      <t>天门市汪场镇汪场街</t>
    </r>
    <r>
      <rPr>
        <sz val="12"/>
        <rFont val="Verdana"/>
        <charset val="134"/>
      </rPr>
      <t>8</t>
    </r>
    <r>
      <rPr>
        <sz val="12"/>
        <rFont val="华文宋体"/>
        <charset val="134"/>
      </rPr>
      <t>号</t>
    </r>
  </si>
  <si>
    <t>FSLB</t>
  </si>
  <si>
    <t>31104290062017090453</t>
  </si>
  <si>
    <r>
      <rPr>
        <sz val="12"/>
        <rFont val="华文宋体"/>
        <charset val="134"/>
      </rPr>
      <t>梯</t>
    </r>
    <r>
      <rPr>
        <sz val="12"/>
        <rFont val="Verdana"/>
        <charset val="134"/>
      </rPr>
      <t>11</t>
    </r>
    <r>
      <rPr>
        <sz val="12"/>
        <rFont val="华文宋体"/>
        <charset val="134"/>
      </rPr>
      <t>鄂</t>
    </r>
    <r>
      <rPr>
        <sz val="12"/>
        <rFont val="Verdana"/>
        <charset val="134"/>
      </rPr>
      <t>00100</t>
    </r>
    <r>
      <rPr>
        <sz val="12"/>
        <rFont val="华文宋体"/>
        <charset val="134"/>
      </rPr>
      <t>（</t>
    </r>
    <r>
      <rPr>
        <sz val="12"/>
        <rFont val="Verdana"/>
        <charset val="134"/>
      </rPr>
      <t>17</t>
    </r>
    <r>
      <rPr>
        <sz val="12"/>
        <rFont val="华文宋体"/>
        <charset val="134"/>
      </rPr>
      <t>）</t>
    </r>
  </si>
  <si>
    <t>17ML-2166</t>
  </si>
  <si>
    <r>
      <rPr>
        <sz val="12"/>
        <rFont val="华文宋体"/>
        <charset val="134"/>
      </rPr>
      <t>天门市鑫佳宜购物广场九真店</t>
    </r>
  </si>
  <si>
    <r>
      <rPr>
        <sz val="12"/>
        <rFont val="华文宋体"/>
        <charset val="134"/>
      </rPr>
      <t>九真鑫佳宜超市</t>
    </r>
  </si>
  <si>
    <t>FET</t>
  </si>
  <si>
    <t>33204290062018060089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</si>
  <si>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32</t>
    </r>
    <r>
      <rPr>
        <sz val="12"/>
        <rFont val="华文宋体"/>
        <charset val="134"/>
      </rPr>
      <t>鄂</t>
    </r>
    <r>
      <rPr>
        <sz val="12"/>
        <rFont val="Verdana"/>
        <charset val="0"/>
      </rPr>
      <t>00466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18</t>
    </r>
    <r>
      <rPr>
        <sz val="12"/>
        <rFont val="华文宋体"/>
        <charset val="134"/>
      </rPr>
      <t>）</t>
    </r>
  </si>
  <si>
    <r>
      <rPr>
        <sz val="12"/>
        <rFont val="华文宋体"/>
        <charset val="134"/>
      </rPr>
      <t>人行道</t>
    </r>
  </si>
  <si>
    <t>17J58084/E1</t>
  </si>
  <si>
    <t>33204290062018060090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</si>
  <si>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32</t>
    </r>
    <r>
      <rPr>
        <sz val="12"/>
        <rFont val="华文宋体"/>
        <charset val="134"/>
      </rPr>
      <t>鄂</t>
    </r>
    <r>
      <rPr>
        <sz val="12"/>
        <rFont val="Verdana"/>
        <charset val="0"/>
      </rPr>
      <t>00467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18</t>
    </r>
    <r>
      <rPr>
        <sz val="12"/>
        <rFont val="华文宋体"/>
        <charset val="134"/>
      </rPr>
      <t>）</t>
    </r>
  </si>
  <si>
    <t>17J58085/E2</t>
  </si>
  <si>
    <r>
      <rPr>
        <sz val="12"/>
        <rFont val="华文宋体"/>
        <charset val="134"/>
      </rPr>
      <t>天门市世泰服饰加工厂</t>
    </r>
  </si>
  <si>
    <r>
      <rPr>
        <sz val="12"/>
        <rFont val="华文宋体"/>
        <charset val="134"/>
      </rPr>
      <t>世泰服饰（原陈磊私宒）</t>
    </r>
  </si>
  <si>
    <t>ML-PE01</t>
  </si>
  <si>
    <t>31104290062020093481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</si>
  <si>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11</t>
    </r>
    <r>
      <rPr>
        <sz val="12"/>
        <rFont val="华文宋体"/>
        <charset val="134"/>
      </rPr>
      <t>鄂</t>
    </r>
    <r>
      <rPr>
        <sz val="12"/>
        <rFont val="Verdana"/>
        <charset val="0"/>
      </rPr>
      <t>01316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20</t>
    </r>
    <r>
      <rPr>
        <sz val="12"/>
        <rFont val="华文宋体"/>
        <charset val="134"/>
      </rPr>
      <t>）</t>
    </r>
  </si>
  <si>
    <t>20ML-03122</t>
  </si>
  <si>
    <r>
      <t>1#</t>
    </r>
    <r>
      <rPr>
        <sz val="12"/>
        <rFont val="华文宋体"/>
        <charset val="134"/>
      </rPr>
      <t>电梯</t>
    </r>
  </si>
  <si>
    <r>
      <rPr>
        <sz val="12"/>
        <rFont val="华文宋体"/>
        <charset val="134"/>
      </rPr>
      <t>中国邮政集团有限公司天门市分公司</t>
    </r>
  </si>
  <si>
    <r>
      <rPr>
        <sz val="12"/>
        <rFont val="华文宋体"/>
        <charset val="134"/>
      </rPr>
      <t>中国邮政</t>
    </r>
  </si>
  <si>
    <t>KLKS</t>
  </si>
  <si>
    <t>31104290062022080303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</si>
  <si>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11</t>
    </r>
    <r>
      <rPr>
        <sz val="12"/>
        <rFont val="华文宋体"/>
        <charset val="134"/>
      </rPr>
      <t>鄂</t>
    </r>
    <r>
      <rPr>
        <sz val="12"/>
        <rFont val="Verdana"/>
        <charset val="0"/>
      </rPr>
      <t>R03483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22</t>
    </r>
    <r>
      <rPr>
        <sz val="12"/>
        <rFont val="华文宋体"/>
        <charset val="134"/>
      </rPr>
      <t>）</t>
    </r>
  </si>
  <si>
    <t>1.60m/s</t>
  </si>
  <si>
    <t>10062960-0010</t>
  </si>
  <si>
    <r>
      <t>1#</t>
    </r>
    <r>
      <rPr>
        <sz val="12"/>
        <rFont val="华文宋体"/>
        <charset val="134"/>
      </rPr>
      <t>楼</t>
    </r>
    <r>
      <rPr>
        <sz val="12"/>
        <rFont val="Verdana"/>
        <charset val="134"/>
      </rPr>
      <t>1#</t>
    </r>
    <r>
      <rPr>
        <sz val="12"/>
        <rFont val="华文宋体"/>
        <charset val="134"/>
      </rPr>
      <t>梯</t>
    </r>
  </si>
  <si>
    <r>
      <rPr>
        <sz val="12"/>
        <rFont val="华文宋体"/>
        <charset val="134"/>
      </rPr>
      <t>天门市锦锦服装厂</t>
    </r>
  </si>
  <si>
    <r>
      <rPr>
        <sz val="12"/>
        <rFont val="华文宋体"/>
        <charset val="134"/>
      </rPr>
      <t>马少芳私人厂房</t>
    </r>
  </si>
  <si>
    <t>31204290062023110017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</si>
  <si>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12</t>
    </r>
    <r>
      <rPr>
        <sz val="12"/>
        <rFont val="华文宋体"/>
        <charset val="134"/>
      </rPr>
      <t>鄂</t>
    </r>
    <r>
      <rPr>
        <sz val="12"/>
        <rFont val="Verdana"/>
        <charset val="134"/>
      </rPr>
      <t>R04045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23</t>
    </r>
    <r>
      <rPr>
        <sz val="12"/>
        <rFont val="华文宋体"/>
        <charset val="134"/>
      </rPr>
      <t>）</t>
    </r>
  </si>
  <si>
    <t>MHU110166.1</t>
  </si>
  <si>
    <t>31204290062023110016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</si>
  <si>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12</t>
    </r>
    <r>
      <rPr>
        <sz val="12"/>
        <rFont val="华文宋体"/>
        <charset val="134"/>
      </rPr>
      <t>鄂</t>
    </r>
    <r>
      <rPr>
        <sz val="12"/>
        <rFont val="Verdana"/>
        <charset val="134"/>
      </rPr>
      <t>R04044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23</t>
    </r>
    <r>
      <rPr>
        <sz val="12"/>
        <rFont val="华文宋体"/>
        <charset val="134"/>
      </rPr>
      <t>）</t>
    </r>
  </si>
  <si>
    <t>MHU110166.2</t>
  </si>
  <si>
    <r>
      <rPr>
        <sz val="12"/>
        <rFont val="华文宋体"/>
        <charset val="134"/>
      </rPr>
      <t>天门市岳口洪兴宾馆</t>
    </r>
  </si>
  <si>
    <t>31104290062020032767</t>
  </si>
  <si>
    <t>J100232</t>
  </si>
  <si>
    <r>
      <rPr>
        <sz val="12"/>
        <rFont val="华文宋体"/>
        <charset val="134"/>
      </rPr>
      <t>天门市家万福超市（个体工商户）</t>
    </r>
  </si>
  <si>
    <r>
      <rPr>
        <sz val="12"/>
        <rFont val="华文宋体"/>
        <charset val="134"/>
      </rPr>
      <t>原杨正在项目</t>
    </r>
  </si>
  <si>
    <t>33204290062021020001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</si>
  <si>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32</t>
    </r>
    <r>
      <rPr>
        <sz val="12"/>
        <rFont val="华文宋体"/>
        <charset val="134"/>
      </rPr>
      <t>鄂</t>
    </r>
    <r>
      <rPr>
        <sz val="12"/>
        <rFont val="Verdana"/>
        <charset val="134"/>
      </rPr>
      <t>R04416</t>
    </r>
    <r>
      <rPr>
        <sz val="12"/>
        <rFont val="华文宋体"/>
        <charset val="134"/>
      </rPr>
      <t>（</t>
    </r>
    <r>
      <rPr>
        <sz val="12"/>
        <rFont val="Verdana"/>
        <charset val="134"/>
      </rPr>
      <t>24</t>
    </r>
    <r>
      <rPr>
        <sz val="12"/>
        <rFont val="华文宋体"/>
        <charset val="134"/>
      </rPr>
      <t>）</t>
    </r>
  </si>
  <si>
    <t>20J43041/E1</t>
  </si>
  <si>
    <r>
      <t>1#</t>
    </r>
    <r>
      <rPr>
        <sz val="12"/>
        <rFont val="华文宋体"/>
        <charset val="134"/>
      </rPr>
      <t>人行道</t>
    </r>
  </si>
  <si>
    <t>33204290062021020002</t>
  </si>
  <si>
    <r>
      <rPr>
        <sz val="12"/>
        <rFont val="华文宋体"/>
        <charset val="134"/>
      </rPr>
      <t>梯</t>
    </r>
    <r>
      <rPr>
        <sz val="12"/>
        <rFont val="Verdana"/>
        <charset val="0"/>
      </rPr>
      <t>32</t>
    </r>
    <r>
      <rPr>
        <sz val="12"/>
        <rFont val="华文宋体"/>
        <charset val="134"/>
      </rPr>
      <t>鄂</t>
    </r>
    <r>
      <rPr>
        <sz val="12"/>
        <rFont val="Verdana"/>
        <charset val="134"/>
      </rPr>
      <t>R04417</t>
    </r>
    <r>
      <rPr>
        <sz val="12"/>
        <rFont val="华文宋体"/>
        <charset val="134"/>
      </rPr>
      <t>（</t>
    </r>
    <r>
      <rPr>
        <sz val="12"/>
        <rFont val="Verdana"/>
        <charset val="0"/>
      </rPr>
      <t>24</t>
    </r>
    <r>
      <rPr>
        <sz val="12"/>
        <rFont val="华文宋体"/>
        <charset val="134"/>
      </rPr>
      <t>）</t>
    </r>
  </si>
  <si>
    <t>20J43042/E2</t>
  </si>
  <si>
    <r>
      <t>2#</t>
    </r>
    <r>
      <rPr>
        <sz val="12"/>
        <rFont val="华文宋体"/>
        <charset val="134"/>
      </rPr>
      <t>人行道</t>
    </r>
  </si>
  <si>
    <r>
      <rPr>
        <sz val="12"/>
        <rFont val="华文宋体"/>
        <charset val="134"/>
      </rPr>
      <t>湖北金戈安物业服务有限公司</t>
    </r>
  </si>
  <si>
    <t>G·Wiz-N</t>
  </si>
  <si>
    <t>31101006820252125543</t>
  </si>
  <si>
    <t>25G64133001</t>
  </si>
  <si>
    <r>
      <t>A</t>
    </r>
    <r>
      <rPr>
        <sz val="12"/>
        <rFont val="华文宋体"/>
        <charset val="134"/>
      </rPr>
      <t>栋</t>
    </r>
  </si>
  <si>
    <r>
      <rPr>
        <sz val="12"/>
        <rFont val="华文宋体"/>
        <charset val="134"/>
      </rPr>
      <t>黄冈国融投资控股集团有限公司</t>
    </r>
  </si>
  <si>
    <t>31101006820252126141</t>
  </si>
  <si>
    <t>25G64133023</t>
  </si>
  <si>
    <t>6-1</t>
  </si>
  <si>
    <t xml:space="preserve"> 31101006820252126043</t>
  </si>
  <si>
    <t>25G64133024</t>
  </si>
  <si>
    <t>31101006820252125942</t>
  </si>
  <si>
    <t>25G64133025</t>
  </si>
  <si>
    <t>A-1</t>
  </si>
  <si>
    <t>31101006820252125844</t>
  </si>
  <si>
    <t>25G64133026</t>
  </si>
  <si>
    <t>A-2</t>
  </si>
  <si>
    <t>31101006820252125749</t>
  </si>
  <si>
    <t>25G64133027</t>
  </si>
  <si>
    <t>A-1-1</t>
  </si>
  <si>
    <t>31101006820252125641</t>
  </si>
  <si>
    <t>25G64133028</t>
  </si>
  <si>
    <t>A-1-2</t>
  </si>
  <si>
    <t>31101006820260028286</t>
  </si>
  <si>
    <t>25G64133002</t>
  </si>
  <si>
    <t>A-A</t>
  </si>
  <si>
    <t>31101006820260028371</t>
  </si>
  <si>
    <t>25G64133003</t>
  </si>
  <si>
    <t>A-B-1</t>
  </si>
  <si>
    <t>31101006820260028489</t>
  </si>
  <si>
    <t>25G64133004</t>
  </si>
  <si>
    <t>A-B-2</t>
  </si>
  <si>
    <t>31101006820260028587</t>
  </si>
  <si>
    <t>25G64133032</t>
  </si>
  <si>
    <t>1-1</t>
  </si>
  <si>
    <t>31101006820260590119</t>
  </si>
  <si>
    <t>31101006820260589813</t>
  </si>
  <si>
    <t>31101006820260589911</t>
  </si>
  <si>
    <t>31101006820260590011</t>
  </si>
  <si>
    <r>
      <rPr>
        <sz val="12"/>
        <rFont val="华文宋体"/>
        <charset val="134"/>
      </rPr>
      <t>中海联科技发展（武汉）有限公司</t>
    </r>
  </si>
  <si>
    <r>
      <rPr>
        <sz val="12"/>
        <rFont val="华文宋体"/>
        <charset val="134"/>
      </rPr>
      <t>民意街道多闻社区维善里小区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</si>
  <si>
    <r>
      <rPr>
        <sz val="12"/>
        <rFont val="华文宋体"/>
        <charset val="134"/>
      </rPr>
      <t>东湖生态风景区生态风景黄鹂小区</t>
    </r>
    <r>
      <rPr>
        <sz val="12"/>
        <rFont val="Verdana"/>
        <charset val="134"/>
      </rPr>
      <t>14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</si>
  <si>
    <r>
      <rPr>
        <sz val="12"/>
        <rFont val="华文宋体"/>
        <charset val="134"/>
      </rPr>
      <t>百步亭花园三居委会怡康苑北区</t>
    </r>
    <r>
      <rPr>
        <sz val="12"/>
        <rFont val="Verdana"/>
        <charset val="134"/>
      </rPr>
      <t>211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</si>
  <si>
    <r>
      <rPr>
        <sz val="12"/>
        <rFont val="华文宋体"/>
        <charset val="134"/>
      </rPr>
      <t>百步亭温馨苑</t>
    </r>
    <r>
      <rPr>
        <sz val="12"/>
        <rFont val="Verdana"/>
        <charset val="134"/>
      </rPr>
      <t>AB</t>
    </r>
    <r>
      <rPr>
        <sz val="12"/>
        <rFont val="华文宋体"/>
        <charset val="134"/>
      </rPr>
      <t>区</t>
    </r>
    <r>
      <rPr>
        <sz val="12"/>
        <rFont val="Verdana"/>
        <charset val="134"/>
      </rPr>
      <t>204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1</t>
    </r>
    <r>
      <rPr>
        <sz val="12"/>
        <rFont val="华文宋体"/>
        <charset val="134"/>
      </rPr>
      <t>单元</t>
    </r>
  </si>
  <si>
    <r>
      <rPr>
        <sz val="12"/>
        <rFont val="华文宋体"/>
        <charset val="134"/>
      </rPr>
      <t>武昌区首义路街</t>
    </r>
    <r>
      <rPr>
        <sz val="12"/>
        <rFont val="Verdana"/>
        <charset val="134"/>
      </rPr>
      <t>/</t>
    </r>
    <r>
      <rPr>
        <sz val="12"/>
        <rFont val="华文宋体"/>
        <charset val="134"/>
      </rPr>
      <t>武昌区首义路</t>
    </r>
    <r>
      <rPr>
        <sz val="12"/>
        <rFont val="Verdana"/>
        <charset val="134"/>
      </rPr>
      <t>252</t>
    </r>
    <r>
      <rPr>
        <sz val="12"/>
        <rFont val="华文宋体"/>
        <charset val="134"/>
      </rPr>
      <t>号</t>
    </r>
  </si>
  <si>
    <r>
      <rPr>
        <sz val="12"/>
        <rFont val="华文宋体"/>
        <charset val="134"/>
      </rPr>
      <t>百步亭温馨苑</t>
    </r>
    <r>
      <rPr>
        <sz val="12"/>
        <rFont val="Verdana"/>
        <charset val="134"/>
      </rPr>
      <t>AB</t>
    </r>
    <r>
      <rPr>
        <sz val="12"/>
        <rFont val="华文宋体"/>
        <charset val="134"/>
      </rPr>
      <t>区</t>
    </r>
    <r>
      <rPr>
        <sz val="12"/>
        <rFont val="Verdana"/>
        <charset val="134"/>
      </rPr>
      <t>115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4</t>
    </r>
    <r>
      <rPr>
        <sz val="12"/>
        <rFont val="华文宋体"/>
        <charset val="134"/>
      </rPr>
      <t>单元</t>
    </r>
  </si>
  <si>
    <r>
      <rPr>
        <sz val="12"/>
        <rFont val="华文宋体"/>
        <charset val="134"/>
      </rPr>
      <t>百步亭社区安居苑</t>
    </r>
    <r>
      <rPr>
        <sz val="12"/>
        <rFont val="Verdana"/>
        <charset val="134"/>
      </rPr>
      <t>A</t>
    </r>
    <r>
      <rPr>
        <sz val="12"/>
        <rFont val="华文宋体"/>
        <charset val="134"/>
      </rPr>
      <t>区</t>
    </r>
    <r>
      <rPr>
        <sz val="12"/>
        <rFont val="Verdana"/>
        <charset val="134"/>
      </rPr>
      <t>112</t>
    </r>
    <r>
      <rPr>
        <sz val="12"/>
        <rFont val="华文宋体"/>
        <charset val="134"/>
      </rPr>
      <t>栋</t>
    </r>
    <r>
      <rPr>
        <sz val="12"/>
        <rFont val="Verdana"/>
        <charset val="134"/>
      </rPr>
      <t>2</t>
    </r>
    <r>
      <rPr>
        <sz val="12"/>
        <rFont val="华文宋体"/>
        <charset val="134"/>
      </rPr>
      <t>单元</t>
    </r>
  </si>
  <si>
    <r>
      <rPr>
        <sz val="11"/>
        <color theme="1"/>
        <rFont val="华文宋体"/>
        <charset val="134"/>
      </rPr>
      <t>中海联科技发展（武汉）有限公司</t>
    </r>
  </si>
  <si>
    <r>
      <rPr>
        <sz val="11"/>
        <color theme="1"/>
        <rFont val="华文宋体"/>
        <charset val="134"/>
      </rPr>
      <t>武汉市江岸区后湖街道青青美庐西区</t>
    </r>
    <r>
      <rPr>
        <sz val="11"/>
        <color theme="1"/>
        <rFont val="Verdana"/>
        <charset val="134"/>
      </rPr>
      <t>3</t>
    </r>
    <r>
      <rPr>
        <sz val="11"/>
        <color theme="1"/>
        <rFont val="华文宋体"/>
        <charset val="134"/>
      </rPr>
      <t>栋</t>
    </r>
    <r>
      <rPr>
        <sz val="11"/>
        <color theme="1"/>
        <rFont val="Verdana"/>
        <charset val="134"/>
      </rPr>
      <t>2</t>
    </r>
    <r>
      <rPr>
        <sz val="11"/>
        <color theme="1"/>
        <rFont val="华文宋体"/>
        <charset val="134"/>
      </rPr>
      <t>单元</t>
    </r>
  </si>
  <si>
    <r>
      <rPr>
        <sz val="11"/>
        <color theme="1"/>
        <rFont val="华文宋体"/>
        <charset val="134"/>
      </rPr>
      <t>武汉中海联机电工程有限公司</t>
    </r>
  </si>
  <si>
    <r>
      <rPr>
        <sz val="11"/>
        <rFont val="华文宋体"/>
        <charset val="134"/>
      </rPr>
      <t>生态花园小区</t>
    </r>
    <r>
      <rPr>
        <sz val="11"/>
        <rFont val="Verdana"/>
        <charset val="134"/>
      </rPr>
      <t>18</t>
    </r>
    <r>
      <rPr>
        <sz val="11"/>
        <rFont val="华文宋体"/>
        <charset val="134"/>
      </rPr>
      <t>栋</t>
    </r>
    <r>
      <rPr>
        <sz val="11"/>
        <rFont val="Verdana"/>
        <charset val="134"/>
      </rPr>
      <t>1</t>
    </r>
    <r>
      <rPr>
        <sz val="11"/>
        <rFont val="华文宋体"/>
        <charset val="134"/>
      </rPr>
      <t>单元</t>
    </r>
  </si>
  <si>
    <r>
      <rPr>
        <sz val="11"/>
        <color theme="1"/>
        <rFont val="华文宋体"/>
        <charset val="134"/>
      </rPr>
      <t>武汉铭青物业管理有限公司</t>
    </r>
  </si>
  <si>
    <r>
      <rPr>
        <sz val="11"/>
        <rFont val="华文宋体"/>
        <charset val="134"/>
      </rPr>
      <t>湖北省武汉市江岸区劳动街</t>
    </r>
    <r>
      <rPr>
        <sz val="11"/>
        <rFont val="Verdana"/>
        <charset val="134"/>
      </rPr>
      <t>/</t>
    </r>
    <r>
      <rPr>
        <sz val="11"/>
        <rFont val="华文宋体"/>
        <charset val="134"/>
      </rPr>
      <t>小区</t>
    </r>
    <r>
      <rPr>
        <sz val="11"/>
        <rFont val="Verdana"/>
        <charset val="134"/>
      </rPr>
      <t>1#</t>
    </r>
    <r>
      <rPr>
        <sz val="11"/>
        <rFont val="华文宋体"/>
        <charset val="134"/>
      </rPr>
      <t>客</t>
    </r>
    <r>
      <rPr>
        <sz val="11"/>
        <rFont val="Verdana"/>
        <charset val="134"/>
      </rPr>
      <t>/</t>
    </r>
    <r>
      <rPr>
        <sz val="11"/>
        <rFont val="华文宋体"/>
        <charset val="134"/>
      </rPr>
      <t>惠济路</t>
    </r>
    <r>
      <rPr>
        <sz val="11"/>
        <rFont val="Verdana"/>
        <charset val="134"/>
      </rPr>
      <t>13</t>
    </r>
    <r>
      <rPr>
        <sz val="11"/>
        <rFont val="华文宋体"/>
        <charset val="134"/>
      </rPr>
      <t>号</t>
    </r>
    <r>
      <rPr>
        <sz val="11"/>
        <rFont val="Verdana"/>
        <charset val="134"/>
      </rPr>
      <t>2</t>
    </r>
    <r>
      <rPr>
        <sz val="11"/>
        <rFont val="华文宋体"/>
        <charset val="134"/>
      </rPr>
      <t>栋三单元</t>
    </r>
  </si>
  <si>
    <t>31104201022019090041</t>
  </si>
  <si>
    <r>
      <rPr>
        <sz val="9.75"/>
        <color rgb="FF303133"/>
        <rFont val="华文宋体"/>
        <charset val="134"/>
      </rPr>
      <t>沃克斯电梯（中国）</t>
    </r>
  </si>
  <si>
    <r>
      <rPr>
        <sz val="11"/>
        <color theme="1"/>
        <rFont val="黑体"/>
        <charset val="134"/>
      </rPr>
      <t>有</t>
    </r>
  </si>
  <si>
    <r>
      <rPr>
        <sz val="11"/>
        <color theme="1"/>
        <rFont val="黑体"/>
        <charset val="134"/>
      </rPr>
      <t>武汉恒美酒店管理有限公司</t>
    </r>
  </si>
  <si>
    <r>
      <rPr>
        <sz val="11"/>
        <color theme="1"/>
        <rFont val="黑体"/>
        <charset val="134"/>
      </rPr>
      <t>湖北省武汉市江汉区新华街取水楼社区新华路</t>
    </r>
    <r>
      <rPr>
        <sz val="11"/>
        <color theme="1"/>
        <rFont val="Verdana"/>
        <charset val="134"/>
      </rPr>
      <t>195</t>
    </r>
    <r>
      <rPr>
        <sz val="11"/>
        <color theme="1"/>
        <rFont val="黑体"/>
        <charset val="134"/>
      </rPr>
      <t>号邮政储蓄银行办公楼</t>
    </r>
    <r>
      <rPr>
        <sz val="11"/>
        <color theme="1"/>
        <rFont val="Verdana"/>
        <charset val="134"/>
      </rPr>
      <t>A</t>
    </r>
    <r>
      <rPr>
        <sz val="11"/>
        <color theme="1"/>
        <rFont val="黑体"/>
        <charset val="134"/>
      </rPr>
      <t>栋</t>
    </r>
    <r>
      <rPr>
        <sz val="11"/>
        <color theme="1"/>
        <rFont val="Verdana"/>
        <charset val="134"/>
      </rPr>
      <t>-1#</t>
    </r>
    <r>
      <rPr>
        <sz val="11"/>
        <color theme="1"/>
        <rFont val="黑体"/>
        <charset val="134"/>
      </rPr>
      <t>客</t>
    </r>
  </si>
  <si>
    <t>20260901</t>
  </si>
  <si>
    <t>OH5000MRL</t>
  </si>
  <si>
    <t>30104201032009120021</t>
  </si>
  <si>
    <r>
      <rPr>
        <sz val="9.75"/>
        <color rgb="FF303133"/>
        <rFont val="宋体"/>
        <charset val="134"/>
      </rPr>
      <t>西子奥的斯电梯</t>
    </r>
  </si>
  <si>
    <r>
      <t>1#</t>
    </r>
    <r>
      <rPr>
        <b/>
        <sz val="12"/>
        <color indexed="8"/>
        <rFont val="黑体"/>
        <charset val="134"/>
      </rPr>
      <t>客</t>
    </r>
  </si>
  <si>
    <r>
      <rPr>
        <sz val="11"/>
        <color theme="1"/>
        <rFont val="黑体"/>
        <charset val="134"/>
      </rPr>
      <t>湖北佰创酒店管理有限公司</t>
    </r>
  </si>
  <si>
    <r>
      <rPr>
        <sz val="11"/>
        <color theme="1"/>
        <rFont val="黑体"/>
        <charset val="134"/>
      </rPr>
      <t>湖北省武汉市江岸区百步亭社区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酒店内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客</t>
    </r>
  </si>
  <si>
    <t>30104201022013110002</t>
  </si>
  <si>
    <r>
      <rPr>
        <sz val="11"/>
        <color theme="1"/>
        <rFont val="黑体"/>
        <charset val="134"/>
      </rPr>
      <t>未排</t>
    </r>
  </si>
  <si>
    <r>
      <rPr>
        <sz val="11"/>
        <color theme="1"/>
        <rFont val="黑体"/>
        <charset val="134"/>
      </rPr>
      <t>武汉雅诗泊公寓管理有限公司</t>
    </r>
  </si>
  <si>
    <r>
      <rPr>
        <sz val="11"/>
        <color theme="1"/>
        <rFont val="黑体"/>
        <charset val="134"/>
      </rPr>
      <t>湖北省武汉市江岸区花桥街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天晖大厦</t>
    </r>
    <r>
      <rPr>
        <sz val="11"/>
        <color theme="1"/>
        <rFont val="Verdana"/>
        <charset val="134"/>
      </rPr>
      <t>1</t>
    </r>
    <r>
      <rPr>
        <sz val="11"/>
        <color theme="1"/>
        <rFont val="黑体"/>
        <charset val="134"/>
      </rPr>
      <t>栋</t>
    </r>
    <r>
      <rPr>
        <sz val="11"/>
        <color theme="1"/>
        <rFont val="Verdana"/>
        <charset val="134"/>
      </rPr>
      <t>C</t>
    </r>
    <r>
      <rPr>
        <sz val="11"/>
        <color theme="1"/>
        <rFont val="黑体"/>
        <charset val="134"/>
      </rPr>
      <t>单元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客</t>
    </r>
  </si>
  <si>
    <t>20260801</t>
  </si>
  <si>
    <t>31104201022024120030</t>
  </si>
  <si>
    <t>450kg</t>
  </si>
  <si>
    <r>
      <rPr>
        <sz val="11"/>
        <color theme="1"/>
        <rFont val="黑体"/>
        <charset val="134"/>
      </rPr>
      <t>蔡甸区橙子酒店</t>
    </r>
  </si>
  <si>
    <r>
      <rPr>
        <sz val="11"/>
        <color theme="1"/>
        <rFont val="黑体"/>
        <charset val="134"/>
      </rPr>
      <t>湖北省武汉市蔡甸区车站北路</t>
    </r>
    <r>
      <rPr>
        <sz val="11"/>
        <color theme="1"/>
        <rFont val="Verdana"/>
        <charset val="134"/>
      </rPr>
      <t>4</t>
    </r>
    <r>
      <rPr>
        <sz val="11"/>
        <color theme="1"/>
        <rFont val="黑体"/>
        <charset val="134"/>
      </rPr>
      <t>号</t>
    </r>
  </si>
  <si>
    <t>20260101</t>
  </si>
  <si>
    <t>31104201142022110013</t>
  </si>
  <si>
    <r>
      <rPr>
        <sz val="11"/>
        <color theme="1"/>
        <rFont val="黑体"/>
        <charset val="134"/>
      </rPr>
      <t>杨凯陆莹</t>
    </r>
  </si>
  <si>
    <r>
      <rPr>
        <sz val="11"/>
        <color theme="1"/>
        <rFont val="黑体"/>
        <charset val="134"/>
      </rPr>
      <t>武汉市蔡甸区瑞宜酒店</t>
    </r>
  </si>
  <si>
    <r>
      <rPr>
        <sz val="11"/>
        <color theme="1"/>
        <rFont val="黑体"/>
        <charset val="134"/>
      </rPr>
      <t>武汉市蔡甸区永安街安福路</t>
    </r>
    <r>
      <rPr>
        <sz val="11"/>
        <color theme="1"/>
        <rFont val="Verdana"/>
        <charset val="134"/>
      </rPr>
      <t>204</t>
    </r>
    <r>
      <rPr>
        <sz val="11"/>
        <color theme="1"/>
        <rFont val="黑体"/>
        <charset val="134"/>
      </rPr>
      <t>号</t>
    </r>
  </si>
  <si>
    <t>31104201142020070034</t>
  </si>
  <si>
    <r>
      <t>1#</t>
    </r>
    <r>
      <rPr>
        <sz val="11"/>
        <color theme="1"/>
        <rFont val="黑体"/>
        <charset val="134"/>
      </rPr>
      <t>客</t>
    </r>
  </si>
  <si>
    <r>
      <rPr>
        <sz val="11"/>
        <color theme="1"/>
        <rFont val="黑体"/>
        <charset val="134"/>
      </rPr>
      <t>蔡甸区瑞城宾馆</t>
    </r>
  </si>
  <si>
    <r>
      <rPr>
        <sz val="11"/>
        <color theme="1"/>
        <rFont val="黑体"/>
        <charset val="134"/>
      </rPr>
      <t>湖北省武汉市蔡甸区奓山街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宾馆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客</t>
    </r>
  </si>
  <si>
    <t>20260701</t>
  </si>
  <si>
    <t>DS-2021-1040</t>
  </si>
  <si>
    <t>31104201142021050020</t>
  </si>
  <si>
    <r>
      <rPr>
        <sz val="9.75"/>
        <color rgb="FF303133"/>
        <rFont val="宋体"/>
        <charset val="134"/>
      </rPr>
      <t>戴斯电梯</t>
    </r>
  </si>
  <si>
    <r>
      <rPr>
        <sz val="11"/>
        <color theme="1"/>
        <rFont val="黑体"/>
        <charset val="134"/>
      </rPr>
      <t>武汉忠实城市酒店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熊运安（个人）</t>
    </r>
  </si>
  <si>
    <r>
      <rPr>
        <sz val="11"/>
        <color theme="1"/>
        <rFont val="黑体"/>
        <charset val="134"/>
      </rPr>
      <t>武汉市蔡甸区奓山街道白鹤泉东路东街</t>
    </r>
    <r>
      <rPr>
        <sz val="11"/>
        <color theme="1"/>
        <rFont val="Verdana"/>
        <charset val="134"/>
      </rPr>
      <t>32</t>
    </r>
    <r>
      <rPr>
        <sz val="11"/>
        <color theme="1"/>
        <rFont val="黑体"/>
        <charset val="134"/>
      </rPr>
      <t>号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湖北省武汉市蔡甸区奓山街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酒店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客</t>
    </r>
  </si>
  <si>
    <t>31104201142018070020</t>
  </si>
  <si>
    <r>
      <rPr>
        <sz val="11"/>
        <color theme="1"/>
        <rFont val="黑体"/>
        <charset val="134"/>
      </rPr>
      <t>美迪斯电梯</t>
    </r>
  </si>
  <si>
    <t>31104201142021010054</t>
  </si>
  <si>
    <r>
      <rPr>
        <sz val="11"/>
        <color theme="1"/>
        <rFont val="黑体"/>
        <charset val="134"/>
      </rPr>
      <t>武汉市蔡甸区景枫宾馆</t>
    </r>
  </si>
  <si>
    <r>
      <rPr>
        <sz val="11"/>
        <color theme="1"/>
        <rFont val="黑体"/>
        <charset val="134"/>
      </rPr>
      <t>蔡甸区星月花园南大门</t>
    </r>
    <r>
      <rPr>
        <sz val="11"/>
        <color theme="1"/>
        <rFont val="Verdana"/>
        <charset val="134"/>
      </rPr>
      <t>2-5</t>
    </r>
    <r>
      <rPr>
        <sz val="11"/>
        <color theme="1"/>
        <rFont val="黑体"/>
        <charset val="134"/>
      </rPr>
      <t>号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湖北省武汉市蔡甸区奓山街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室内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客</t>
    </r>
  </si>
  <si>
    <t>20260301</t>
  </si>
  <si>
    <r>
      <rPr>
        <sz val="11"/>
        <color theme="1"/>
        <rFont val="黑体"/>
        <charset val="134"/>
      </rPr>
      <t>无</t>
    </r>
  </si>
  <si>
    <r>
      <rPr>
        <sz val="11"/>
        <color theme="1"/>
        <rFont val="黑体"/>
        <charset val="134"/>
      </rPr>
      <t>开科工业技术（武汉）有限公司</t>
    </r>
  </si>
  <si>
    <r>
      <rPr>
        <sz val="11"/>
        <color theme="1"/>
        <rFont val="黑体"/>
        <charset val="134"/>
      </rPr>
      <t>蔡甸区玛瑙四路与常绿大街交叉口西北</t>
    </r>
    <r>
      <rPr>
        <sz val="11"/>
        <color theme="1"/>
        <rFont val="Verdana"/>
        <charset val="134"/>
      </rPr>
      <t>60</t>
    </r>
    <r>
      <rPr>
        <sz val="11"/>
        <color theme="1"/>
        <rFont val="黑体"/>
        <charset val="134"/>
      </rPr>
      <t>米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湖北省武汉市蔡甸区奓山街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厂房楼</t>
    </r>
    <r>
      <rPr>
        <sz val="11"/>
        <color theme="1"/>
        <rFont val="Verdana"/>
        <charset val="134"/>
      </rPr>
      <t>2#</t>
    </r>
    <r>
      <rPr>
        <sz val="11"/>
        <color theme="1"/>
        <rFont val="黑体"/>
        <charset val="134"/>
      </rPr>
      <t>厂房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客</t>
    </r>
  </si>
  <si>
    <t>20251108</t>
  </si>
  <si>
    <t>31104201142020110002</t>
  </si>
  <si>
    <r>
      <rPr>
        <sz val="11"/>
        <color theme="1"/>
        <rFont val="黑体"/>
        <charset val="134"/>
      </rPr>
      <t>韦伯电梯</t>
    </r>
  </si>
  <si>
    <r>
      <t>1#</t>
    </r>
    <r>
      <rPr>
        <sz val="11"/>
        <color theme="1"/>
        <rFont val="黑体"/>
        <charset val="134"/>
      </rPr>
      <t>厂房</t>
    </r>
    <r>
      <rPr>
        <sz val="11"/>
        <color theme="1"/>
        <rFont val="Verdana"/>
        <charset val="134"/>
      </rPr>
      <t>1-2#</t>
    </r>
    <r>
      <rPr>
        <sz val="11"/>
        <color theme="1"/>
        <rFont val="黑体"/>
        <charset val="134"/>
      </rPr>
      <t>客</t>
    </r>
  </si>
  <si>
    <r>
      <rPr>
        <sz val="11"/>
        <color theme="1"/>
        <rFont val="黑体"/>
        <charset val="134"/>
      </rPr>
      <t>蔡甸区玛瑙四路与常绿大街交叉口西北</t>
    </r>
    <r>
      <rPr>
        <sz val="11"/>
        <color theme="1"/>
        <rFont val="Verdana"/>
        <charset val="134"/>
      </rPr>
      <t>60</t>
    </r>
    <r>
      <rPr>
        <sz val="11"/>
        <color theme="1"/>
        <rFont val="黑体"/>
        <charset val="134"/>
      </rPr>
      <t>米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湖北省武汉市蔡甸区奓山街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厂房楼倒班楼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客</t>
    </r>
  </si>
  <si>
    <t>31104201142020110003</t>
  </si>
  <si>
    <r>
      <t>1#</t>
    </r>
    <r>
      <rPr>
        <sz val="11"/>
        <color theme="1"/>
        <rFont val="黑体"/>
        <charset val="134"/>
      </rPr>
      <t>厂房</t>
    </r>
    <r>
      <rPr>
        <sz val="11"/>
        <color theme="1"/>
        <rFont val="Verdana"/>
        <charset val="134"/>
      </rPr>
      <t>1</t>
    </r>
    <r>
      <rPr>
        <sz val="11"/>
        <color theme="1"/>
        <rFont val="黑体"/>
        <charset val="134"/>
      </rPr>
      <t>货</t>
    </r>
  </si>
  <si>
    <r>
      <rPr>
        <sz val="11"/>
        <color theme="1"/>
        <rFont val="黑体"/>
        <charset val="134"/>
      </rPr>
      <t>蔡甸区玛瑙四路与常绿大街交叉口西北</t>
    </r>
    <r>
      <rPr>
        <sz val="11"/>
        <color theme="1"/>
        <rFont val="Verdana"/>
        <charset val="134"/>
      </rPr>
      <t>60</t>
    </r>
    <r>
      <rPr>
        <sz val="11"/>
        <color theme="1"/>
        <rFont val="黑体"/>
        <charset val="134"/>
      </rPr>
      <t>米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湖北省武汉市蔡甸区奓山街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厂房楼倒班楼</t>
    </r>
    <r>
      <rPr>
        <sz val="11"/>
        <color theme="1"/>
        <rFont val="Verdana"/>
        <charset val="134"/>
      </rPr>
      <t>2#</t>
    </r>
    <r>
      <rPr>
        <sz val="11"/>
        <color theme="1"/>
        <rFont val="黑体"/>
        <charset val="134"/>
      </rPr>
      <t>客</t>
    </r>
  </si>
  <si>
    <t>31104201142020110004</t>
  </si>
  <si>
    <r>
      <t>2#</t>
    </r>
    <r>
      <rPr>
        <sz val="11"/>
        <color theme="1"/>
        <rFont val="黑体"/>
        <charset val="134"/>
      </rPr>
      <t>厂房</t>
    </r>
    <r>
      <rPr>
        <sz val="11"/>
        <color theme="1"/>
        <rFont val="Verdana"/>
        <charset val="134"/>
      </rPr>
      <t>1-2#</t>
    </r>
    <r>
      <rPr>
        <sz val="11"/>
        <color theme="1"/>
        <rFont val="黑体"/>
        <charset val="134"/>
      </rPr>
      <t>客</t>
    </r>
  </si>
  <si>
    <r>
      <rPr>
        <sz val="11"/>
        <color theme="1"/>
        <rFont val="黑体"/>
        <charset val="134"/>
      </rPr>
      <t>蔡甸区玛瑙四路与常绿大街交叉口西北</t>
    </r>
    <r>
      <rPr>
        <sz val="11"/>
        <color theme="1"/>
        <rFont val="Verdana"/>
        <charset val="134"/>
      </rPr>
      <t>60</t>
    </r>
    <r>
      <rPr>
        <sz val="11"/>
        <color theme="1"/>
        <rFont val="黑体"/>
        <charset val="134"/>
      </rPr>
      <t>米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湖北省武汉市蔡甸区奓山街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厂房楼</t>
    </r>
    <r>
      <rPr>
        <sz val="11"/>
        <color theme="1"/>
        <rFont val="Verdana"/>
        <charset val="134"/>
      </rPr>
      <t>2#</t>
    </r>
    <r>
      <rPr>
        <sz val="11"/>
        <color theme="1"/>
        <rFont val="黑体"/>
        <charset val="134"/>
      </rPr>
      <t>厂房</t>
    </r>
    <r>
      <rPr>
        <sz val="11"/>
        <color theme="1"/>
        <rFont val="Verdana"/>
        <charset val="134"/>
      </rPr>
      <t>2#</t>
    </r>
    <r>
      <rPr>
        <sz val="11"/>
        <color theme="1"/>
        <rFont val="黑体"/>
        <charset val="134"/>
      </rPr>
      <t>客</t>
    </r>
  </si>
  <si>
    <t>31104201142020110005</t>
  </si>
  <si>
    <r>
      <rPr>
        <sz val="11"/>
        <color theme="1"/>
        <rFont val="黑体"/>
        <charset val="134"/>
      </rPr>
      <t>湖北省武汉市蔡甸区奓山街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厂房楼</t>
    </r>
    <r>
      <rPr>
        <sz val="11"/>
        <color theme="1"/>
        <rFont val="Verdana"/>
        <charset val="134"/>
      </rPr>
      <t>2#</t>
    </r>
    <r>
      <rPr>
        <sz val="11"/>
        <color theme="1"/>
        <rFont val="黑体"/>
        <charset val="134"/>
      </rPr>
      <t>厂房</t>
    </r>
    <r>
      <rPr>
        <sz val="11"/>
        <color theme="1"/>
        <rFont val="Verdana"/>
        <charset val="134"/>
      </rPr>
      <t>3#</t>
    </r>
    <r>
      <rPr>
        <sz val="11"/>
        <color theme="1"/>
        <rFont val="黑体"/>
        <charset val="134"/>
      </rPr>
      <t>货</t>
    </r>
  </si>
  <si>
    <t>31204201142020110005</t>
  </si>
  <si>
    <r>
      <rPr>
        <sz val="11"/>
        <color theme="1"/>
        <rFont val="黑体"/>
        <charset val="134"/>
      </rPr>
      <t>武汉义元安酒店管理有限公司</t>
    </r>
  </si>
  <si>
    <r>
      <rPr>
        <sz val="11"/>
        <color theme="1"/>
        <rFont val="黑体"/>
        <charset val="134"/>
      </rPr>
      <t>武汉市江岸区黄孝河路协昌花园特</t>
    </r>
    <r>
      <rPr>
        <sz val="11"/>
        <color theme="1"/>
        <rFont val="Verdana"/>
        <charset val="134"/>
      </rPr>
      <t>1</t>
    </r>
    <r>
      <rPr>
        <sz val="11"/>
        <color theme="1"/>
        <rFont val="黑体"/>
        <charset val="134"/>
      </rPr>
      <t>号</t>
    </r>
    <r>
      <rPr>
        <sz val="11"/>
        <color theme="1"/>
        <rFont val="Verdana"/>
        <charset val="134"/>
      </rPr>
      <t>1</t>
    </r>
    <r>
      <rPr>
        <sz val="11"/>
        <color theme="1"/>
        <rFont val="黑体"/>
        <charset val="134"/>
      </rPr>
      <t>、</t>
    </r>
    <r>
      <rPr>
        <sz val="11"/>
        <color theme="1"/>
        <rFont val="Verdana"/>
        <charset val="134"/>
      </rPr>
      <t>2</t>
    </r>
    <r>
      <rPr>
        <sz val="11"/>
        <color theme="1"/>
        <rFont val="黑体"/>
        <charset val="134"/>
      </rPr>
      <t>楼公区、</t>
    </r>
    <r>
      <rPr>
        <sz val="11"/>
        <color theme="1"/>
        <rFont val="Verdana"/>
        <charset val="134"/>
      </rPr>
      <t>3-13</t>
    </r>
    <r>
      <rPr>
        <sz val="11"/>
        <color theme="1"/>
        <rFont val="黑体"/>
        <charset val="134"/>
      </rPr>
      <t>层</t>
    </r>
  </si>
  <si>
    <r>
      <rPr>
        <sz val="11"/>
        <color theme="1"/>
        <rFont val="黑体"/>
        <charset val="134"/>
      </rPr>
      <t>武汉市华逸怡景酒店管理有限公司</t>
    </r>
  </si>
  <si>
    <r>
      <rPr>
        <sz val="11"/>
        <color rgb="FFFF0000"/>
        <rFont val="黑体"/>
        <charset val="134"/>
      </rPr>
      <t>合同未注明</t>
    </r>
  </si>
  <si>
    <t>31104201022018090001</t>
  </si>
  <si>
    <r>
      <rPr>
        <sz val="11"/>
        <color theme="1"/>
        <rFont val="黑体"/>
        <charset val="134"/>
      </rPr>
      <t>姚永华</t>
    </r>
    <r>
      <rPr>
        <sz val="11"/>
        <color theme="1"/>
        <rFont val="Verdana"/>
        <charset val="134"/>
      </rPr>
      <t xml:space="preserve">, </t>
    </r>
    <r>
      <rPr>
        <sz val="11"/>
        <color theme="1"/>
        <rFont val="黑体"/>
        <charset val="134"/>
      </rPr>
      <t>陈彪</t>
    </r>
  </si>
  <si>
    <r>
      <rPr>
        <sz val="11"/>
        <color theme="1"/>
        <rFont val="黑体"/>
        <charset val="134"/>
      </rPr>
      <t>武汉楚都龙机电工程有限公司</t>
    </r>
  </si>
  <si>
    <r>
      <rPr>
        <sz val="11"/>
        <color theme="1"/>
        <rFont val="黑体"/>
        <charset val="134"/>
      </rPr>
      <t>湖北省武汉市江岸区百步亭社区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住宅楼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客</t>
    </r>
  </si>
  <si>
    <t>20260601</t>
  </si>
  <si>
    <t>31104201022021050019</t>
  </si>
  <si>
    <r>
      <rPr>
        <sz val="10"/>
        <color rgb="FF303133"/>
        <rFont val="宋体"/>
        <charset val="134"/>
      </rPr>
      <t>通用电梯</t>
    </r>
  </si>
  <si>
    <r>
      <t>505-1</t>
    </r>
    <r>
      <rPr>
        <sz val="11"/>
        <color theme="1"/>
        <rFont val="黑体"/>
        <charset val="134"/>
      </rPr>
      <t>乘客电梯</t>
    </r>
  </si>
  <si>
    <r>
      <rPr>
        <sz val="11"/>
        <color theme="1"/>
        <rFont val="黑体"/>
        <charset val="134"/>
      </rPr>
      <t>湖北省武汉市江岸区百步亭社区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百步亭温馨苑</t>
    </r>
    <r>
      <rPr>
        <sz val="11"/>
        <color theme="1"/>
        <rFont val="Verdana"/>
        <charset val="134"/>
      </rPr>
      <t>AB</t>
    </r>
    <r>
      <rPr>
        <sz val="11"/>
        <color theme="1"/>
        <rFont val="黑体"/>
        <charset val="134"/>
      </rPr>
      <t>区</t>
    </r>
    <r>
      <rPr>
        <sz val="11"/>
        <color theme="1"/>
        <rFont val="Verdana"/>
        <charset val="134"/>
      </rPr>
      <t>305</t>
    </r>
    <r>
      <rPr>
        <sz val="11"/>
        <color theme="1"/>
        <rFont val="黑体"/>
        <charset val="134"/>
      </rPr>
      <t>栋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客</t>
    </r>
  </si>
  <si>
    <t>31104201022022050001</t>
  </si>
  <si>
    <r>
      <t>505-5</t>
    </r>
    <r>
      <rPr>
        <sz val="11"/>
        <color theme="1"/>
        <rFont val="黑体"/>
        <charset val="134"/>
      </rPr>
      <t>乘客电梯</t>
    </r>
  </si>
  <si>
    <r>
      <rPr>
        <sz val="11"/>
        <color theme="1"/>
        <rFont val="黑体"/>
        <charset val="134"/>
      </rPr>
      <t>湖北省武汉市江岸区后湖街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百步亭温馨苑</t>
    </r>
    <r>
      <rPr>
        <sz val="11"/>
        <color theme="1"/>
        <rFont val="Verdana"/>
        <charset val="134"/>
      </rPr>
      <t>CD</t>
    </r>
    <r>
      <rPr>
        <sz val="11"/>
        <color theme="1"/>
        <rFont val="黑体"/>
        <charset val="134"/>
      </rPr>
      <t>区</t>
    </r>
    <r>
      <rPr>
        <sz val="11"/>
        <color theme="1"/>
        <rFont val="Verdana"/>
        <charset val="134"/>
      </rPr>
      <t>505</t>
    </r>
    <r>
      <rPr>
        <sz val="11"/>
        <color theme="1"/>
        <rFont val="黑体"/>
        <charset val="134"/>
      </rPr>
      <t>栋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客</t>
    </r>
  </si>
  <si>
    <t>31104201022022090021</t>
  </si>
  <si>
    <r>
      <t>305-1</t>
    </r>
    <r>
      <rPr>
        <sz val="11"/>
        <color theme="1"/>
        <rFont val="黑体"/>
        <charset val="134"/>
      </rPr>
      <t>乘客电梯</t>
    </r>
  </si>
  <si>
    <r>
      <rPr>
        <sz val="11"/>
        <color theme="1"/>
        <rFont val="黑体"/>
        <charset val="134"/>
      </rPr>
      <t>武汉欣中泰产业运营服务有限公司</t>
    </r>
  </si>
  <si>
    <r>
      <rPr>
        <sz val="11"/>
        <color theme="1"/>
        <rFont val="黑体"/>
        <charset val="134"/>
      </rPr>
      <t>湖北省武汉市蔡甸区奓山街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丛林村双丰三路</t>
    </r>
    <r>
      <rPr>
        <sz val="11"/>
        <color theme="1"/>
        <rFont val="Verdana"/>
        <charset val="134"/>
      </rPr>
      <t>16</t>
    </r>
    <r>
      <rPr>
        <sz val="11"/>
        <color theme="1"/>
        <rFont val="黑体"/>
        <charset val="134"/>
      </rPr>
      <t>号</t>
    </r>
    <r>
      <rPr>
        <sz val="11"/>
        <color theme="1"/>
        <rFont val="Verdana"/>
        <charset val="134"/>
      </rPr>
      <t>2#</t>
    </r>
    <r>
      <rPr>
        <sz val="11"/>
        <color theme="1"/>
        <rFont val="黑体"/>
        <charset val="134"/>
      </rPr>
      <t>楼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货</t>
    </r>
  </si>
  <si>
    <t>20251201</t>
  </si>
  <si>
    <t>31204201142023110007</t>
  </si>
  <si>
    <r>
      <rPr>
        <sz val="10"/>
        <color rgb="FF303133"/>
        <rFont val="宋体"/>
        <charset val="134"/>
      </rPr>
      <t>杭州西奥</t>
    </r>
  </si>
  <si>
    <r>
      <rPr>
        <sz val="11"/>
        <color theme="1"/>
        <rFont val="黑体"/>
        <charset val="134"/>
      </rPr>
      <t>载货电梯</t>
    </r>
  </si>
  <si>
    <r>
      <rPr>
        <sz val="11"/>
        <color theme="1"/>
        <rFont val="黑体"/>
        <charset val="134"/>
      </rPr>
      <t>湖北省武汉市蔡甸区奓山街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丛林村双丰三路</t>
    </r>
    <r>
      <rPr>
        <sz val="11"/>
        <color theme="1"/>
        <rFont val="Verdana"/>
        <charset val="134"/>
      </rPr>
      <t>16</t>
    </r>
    <r>
      <rPr>
        <sz val="11"/>
        <color theme="1"/>
        <rFont val="黑体"/>
        <charset val="134"/>
      </rPr>
      <t>号</t>
    </r>
    <r>
      <rPr>
        <sz val="11"/>
        <color theme="1"/>
        <rFont val="Verdana"/>
        <charset val="134"/>
      </rPr>
      <t>2#</t>
    </r>
    <r>
      <rPr>
        <sz val="11"/>
        <color theme="1"/>
        <rFont val="黑体"/>
        <charset val="134"/>
      </rPr>
      <t>楼</t>
    </r>
    <r>
      <rPr>
        <sz val="11"/>
        <color theme="1"/>
        <rFont val="Verdana"/>
        <charset val="134"/>
      </rPr>
      <t>2#</t>
    </r>
    <r>
      <rPr>
        <sz val="11"/>
        <color theme="1"/>
        <rFont val="黑体"/>
        <charset val="134"/>
      </rPr>
      <t>货</t>
    </r>
  </si>
  <si>
    <t>31204201142023110008</t>
  </si>
  <si>
    <r>
      <rPr>
        <sz val="11"/>
        <color theme="1"/>
        <rFont val="黑体"/>
        <charset val="134"/>
      </rPr>
      <t>湖北省武汉市蔡甸区奓山街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丛林村双丰三路</t>
    </r>
    <r>
      <rPr>
        <sz val="11"/>
        <color theme="1"/>
        <rFont val="Verdana"/>
        <charset val="134"/>
      </rPr>
      <t>16</t>
    </r>
    <r>
      <rPr>
        <sz val="11"/>
        <color theme="1"/>
        <rFont val="黑体"/>
        <charset val="134"/>
      </rPr>
      <t>号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楼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货</t>
    </r>
  </si>
  <si>
    <t>31204201142023110009</t>
  </si>
  <si>
    <r>
      <rPr>
        <sz val="11"/>
        <color theme="1"/>
        <rFont val="黑体"/>
        <charset val="134"/>
      </rPr>
      <t>湖北省武汉市蔡甸区奓山街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丛林村双丰三路</t>
    </r>
    <r>
      <rPr>
        <sz val="11"/>
        <color theme="1"/>
        <rFont val="Verdana"/>
        <charset val="134"/>
      </rPr>
      <t>16</t>
    </r>
    <r>
      <rPr>
        <sz val="11"/>
        <color theme="1"/>
        <rFont val="黑体"/>
        <charset val="134"/>
      </rPr>
      <t>号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楼</t>
    </r>
    <r>
      <rPr>
        <sz val="11"/>
        <color theme="1"/>
        <rFont val="Verdana"/>
        <charset val="134"/>
      </rPr>
      <t>2#</t>
    </r>
    <r>
      <rPr>
        <sz val="11"/>
        <color theme="1"/>
        <rFont val="黑体"/>
        <charset val="134"/>
      </rPr>
      <t>货</t>
    </r>
  </si>
  <si>
    <t>31204201142023110010</t>
  </si>
  <si>
    <r>
      <rPr>
        <sz val="11"/>
        <color theme="1"/>
        <rFont val="黑体"/>
        <charset val="134"/>
      </rPr>
      <t>武汉市锦闻居餐饮管理有限公司</t>
    </r>
  </si>
  <si>
    <r>
      <rPr>
        <sz val="11"/>
        <color theme="1"/>
        <rFont val="黑体"/>
        <charset val="134"/>
      </rPr>
      <t>江岸区景福苑小区</t>
    </r>
    <r>
      <rPr>
        <sz val="11"/>
        <color theme="1"/>
        <rFont val="Verdana"/>
        <charset val="134"/>
      </rPr>
      <t>1</t>
    </r>
    <r>
      <rPr>
        <sz val="11"/>
        <color theme="1"/>
        <rFont val="黑体"/>
        <charset val="134"/>
      </rPr>
      <t>栋</t>
    </r>
    <r>
      <rPr>
        <sz val="11"/>
        <color theme="1"/>
        <rFont val="Verdana"/>
        <charset val="134"/>
      </rPr>
      <t>101</t>
    </r>
    <r>
      <rPr>
        <sz val="11"/>
        <color theme="1"/>
        <rFont val="黑体"/>
        <charset val="134"/>
      </rPr>
      <t>室锦闻居餐厅</t>
    </r>
  </si>
  <si>
    <t>20260427</t>
  </si>
  <si>
    <t>34304201022022010004</t>
  </si>
  <si>
    <r>
      <rPr>
        <sz val="11"/>
        <color theme="1"/>
        <rFont val="黑体"/>
        <charset val="134"/>
      </rPr>
      <t>杂物电梯</t>
    </r>
  </si>
  <si>
    <t>34304201022022010005</t>
  </si>
  <si>
    <r>
      <rPr>
        <sz val="11"/>
        <color theme="1"/>
        <rFont val="黑体"/>
        <charset val="134"/>
      </rPr>
      <t>姚永华</t>
    </r>
    <r>
      <rPr>
        <sz val="11"/>
        <color theme="1"/>
        <rFont val="Verdana"/>
        <charset val="134"/>
      </rPr>
      <t xml:space="preserve">, </t>
    </r>
    <r>
      <rPr>
        <sz val="11"/>
        <color theme="1"/>
        <rFont val="黑体"/>
        <charset val="134"/>
      </rPr>
      <t>梅思阳</t>
    </r>
  </si>
  <si>
    <r>
      <rPr>
        <sz val="11"/>
        <color theme="1"/>
        <rFont val="黑体"/>
        <charset val="134"/>
      </rPr>
      <t>武汉艺轩酒店</t>
    </r>
  </si>
  <si>
    <r>
      <rPr>
        <sz val="11"/>
        <color theme="1"/>
        <rFont val="黑体"/>
        <charset val="134"/>
      </rPr>
      <t>湖北省武汉市江汉区常青街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金家墩</t>
    </r>
    <r>
      <rPr>
        <sz val="11"/>
        <color theme="1"/>
        <rFont val="Verdana"/>
        <charset val="134"/>
      </rPr>
      <t>202</t>
    </r>
    <r>
      <rPr>
        <sz val="11"/>
        <color theme="1"/>
        <rFont val="黑体"/>
        <charset val="134"/>
      </rPr>
      <t>号酒店内</t>
    </r>
    <r>
      <rPr>
        <sz val="11"/>
        <color theme="1"/>
        <rFont val="Verdana"/>
        <charset val="134"/>
      </rPr>
      <t>2#</t>
    </r>
    <r>
      <rPr>
        <sz val="11"/>
        <color theme="1"/>
        <rFont val="黑体"/>
        <charset val="134"/>
      </rPr>
      <t>客</t>
    </r>
  </si>
  <si>
    <t>31104201032023090019</t>
  </si>
  <si>
    <r>
      <rPr>
        <sz val="11"/>
        <color theme="1"/>
        <rFont val="黑体"/>
        <charset val="134"/>
      </rPr>
      <t>武汉江夏惠明优益佳口腔门诊有限公司</t>
    </r>
  </si>
  <si>
    <r>
      <rPr>
        <sz val="11"/>
        <color theme="1"/>
        <rFont val="黑体"/>
        <charset val="134"/>
      </rPr>
      <t>优益佳口腔门诊（</t>
    </r>
    <r>
      <rPr>
        <sz val="11"/>
        <color rgb="FFFF0000"/>
        <rFont val="黑体"/>
        <charset val="134"/>
      </rPr>
      <t>未转过来，开了一张发票出去，款到账</t>
    </r>
    <r>
      <rPr>
        <sz val="11"/>
        <color theme="1"/>
        <rFont val="黑体"/>
        <charset val="134"/>
      </rPr>
      <t>。）</t>
    </r>
  </si>
  <si>
    <r>
      <rPr>
        <sz val="11"/>
        <color theme="1"/>
        <rFont val="黑体"/>
        <charset val="134"/>
      </rPr>
      <t>武汉可冰酒店管理有限公司</t>
    </r>
  </si>
  <si>
    <r>
      <rPr>
        <sz val="11"/>
        <color theme="1"/>
        <rFont val="黑体"/>
        <charset val="134"/>
      </rPr>
      <t>湖北省武汉市江岸区花桥街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黄孝河路燮昌花园特</t>
    </r>
    <r>
      <rPr>
        <sz val="11"/>
        <color theme="1"/>
        <rFont val="Verdana"/>
        <charset val="134"/>
      </rPr>
      <t>1</t>
    </r>
    <r>
      <rPr>
        <sz val="11"/>
        <color theme="1"/>
        <rFont val="黑体"/>
        <charset val="134"/>
      </rPr>
      <t>号</t>
    </r>
    <r>
      <rPr>
        <sz val="11"/>
        <color theme="1"/>
        <rFont val="Verdana"/>
        <charset val="134"/>
      </rPr>
      <t>-1-14</t>
    </r>
    <r>
      <rPr>
        <sz val="11"/>
        <color theme="1"/>
        <rFont val="黑体"/>
        <charset val="134"/>
      </rPr>
      <t>层</t>
    </r>
    <r>
      <rPr>
        <sz val="11"/>
        <color theme="1"/>
        <rFont val="Verdana"/>
        <charset val="134"/>
      </rPr>
      <t>1</t>
    </r>
    <r>
      <rPr>
        <sz val="11"/>
        <color theme="1"/>
        <rFont val="黑体"/>
        <charset val="134"/>
      </rPr>
      <t>室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客（汉庭酒店）</t>
    </r>
  </si>
  <si>
    <t>TKW003269</t>
  </si>
  <si>
    <t>31104201022024080016</t>
  </si>
  <si>
    <r>
      <rPr>
        <sz val="11"/>
        <color theme="1"/>
        <rFont val="黑体"/>
        <charset val="134"/>
      </rPr>
      <t>姚永华</t>
    </r>
    <r>
      <rPr>
        <sz val="11"/>
        <color theme="1"/>
        <rFont val="Verdana"/>
        <charset val="134"/>
      </rPr>
      <t xml:space="preserve">, </t>
    </r>
    <r>
      <rPr>
        <sz val="11"/>
        <color theme="1"/>
        <rFont val="黑体"/>
        <charset val="134"/>
      </rPr>
      <t>田超</t>
    </r>
  </si>
  <si>
    <r>
      <rPr>
        <sz val="11"/>
        <color theme="1"/>
        <rFont val="黑体"/>
        <charset val="134"/>
      </rPr>
      <t>武汉昱峡工贸有限公司</t>
    </r>
  </si>
  <si>
    <r>
      <rPr>
        <sz val="11"/>
        <color theme="1"/>
        <rFont val="黑体"/>
        <charset val="134"/>
      </rPr>
      <t>湖北省武汉市蔡甸区</t>
    </r>
    <r>
      <rPr>
        <sz val="11"/>
        <color theme="1"/>
        <rFont val="Verdana"/>
        <charset val="134"/>
      </rPr>
      <t>//</t>
    </r>
    <r>
      <rPr>
        <sz val="11"/>
        <color theme="1"/>
        <rFont val="黑体"/>
        <charset val="134"/>
      </rPr>
      <t>办公室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客</t>
    </r>
  </si>
  <si>
    <t>30104201142014090031</t>
  </si>
  <si>
    <r>
      <rPr>
        <sz val="9.75"/>
        <color rgb="FF303133"/>
        <rFont val="宋体"/>
        <charset val="134"/>
      </rPr>
      <t>北京优力维特电梯</t>
    </r>
  </si>
  <si>
    <t>2026.10.1</t>
  </si>
  <si>
    <r>
      <rPr>
        <sz val="11"/>
        <color theme="1"/>
        <rFont val="黑体"/>
        <charset val="134"/>
      </rPr>
      <t>半月</t>
    </r>
  </si>
  <si>
    <r>
      <rPr>
        <sz val="11"/>
        <color theme="1"/>
        <rFont val="黑体"/>
        <charset val="134"/>
      </rPr>
      <t>武汉奥诚商贸有限责任公司</t>
    </r>
  </si>
  <si>
    <r>
      <rPr>
        <sz val="11"/>
        <color theme="1"/>
        <rFont val="黑体"/>
        <charset val="134"/>
      </rPr>
      <t>湖北省武汉市汉阳区龙阳街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酒店内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客</t>
    </r>
  </si>
  <si>
    <t>DS-2020-1128</t>
  </si>
  <si>
    <t>31104201052020100061</t>
  </si>
  <si>
    <r>
      <rPr>
        <sz val="11"/>
        <color theme="1"/>
        <rFont val="黑体"/>
        <charset val="134"/>
      </rPr>
      <t>武汉建工项目投资管理有限公司</t>
    </r>
  </si>
  <si>
    <r>
      <rPr>
        <sz val="11"/>
        <color theme="1"/>
        <rFont val="黑体"/>
        <charset val="134"/>
      </rPr>
      <t>湖北省武汉市经开区（沌口）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武汉建工科技中心</t>
    </r>
    <r>
      <rPr>
        <sz val="11"/>
        <color theme="1"/>
        <rFont val="Verdana"/>
        <charset val="134"/>
      </rPr>
      <t>L12#</t>
    </r>
    <r>
      <rPr>
        <sz val="11"/>
        <color theme="1"/>
        <rFont val="黑体"/>
        <charset val="134"/>
      </rPr>
      <t>客</t>
    </r>
  </si>
  <si>
    <t>E/30046653.012</t>
  </si>
  <si>
    <t>31104201182017080019</t>
  </si>
  <si>
    <r>
      <rPr>
        <sz val="9.75"/>
        <color rgb="FF303133"/>
        <rFont val="宋体"/>
        <charset val="134"/>
      </rPr>
      <t>蒂森电梯</t>
    </r>
  </si>
  <si>
    <r>
      <rPr>
        <sz val="11"/>
        <color theme="1"/>
        <rFont val="黑体"/>
        <charset val="134"/>
      </rPr>
      <t>湖北省武汉市经开区（沌口）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武汉建工科技中心</t>
    </r>
    <r>
      <rPr>
        <sz val="11"/>
        <color theme="1"/>
        <rFont val="Verdana"/>
        <charset val="134"/>
      </rPr>
      <t>L11#</t>
    </r>
    <r>
      <rPr>
        <sz val="11"/>
        <color theme="1"/>
        <rFont val="黑体"/>
        <charset val="134"/>
      </rPr>
      <t>客</t>
    </r>
  </si>
  <si>
    <t>E/30046653.011</t>
  </si>
  <si>
    <t>31104201182017080018</t>
  </si>
  <si>
    <r>
      <rPr>
        <sz val="11"/>
        <color theme="1"/>
        <rFont val="黑体"/>
        <charset val="134"/>
      </rPr>
      <t>湖北省武汉市经开区（沌口）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武汉建工科技中心</t>
    </r>
    <r>
      <rPr>
        <sz val="11"/>
        <color theme="1"/>
        <rFont val="Verdana"/>
        <charset val="134"/>
      </rPr>
      <t>L13#</t>
    </r>
    <r>
      <rPr>
        <sz val="11"/>
        <color theme="1"/>
        <rFont val="黑体"/>
        <charset val="134"/>
      </rPr>
      <t>客</t>
    </r>
  </si>
  <si>
    <t>E/30046653.013</t>
  </si>
  <si>
    <t>31104201182017080020</t>
  </si>
  <si>
    <r>
      <rPr>
        <sz val="11"/>
        <color theme="1"/>
        <rFont val="黑体"/>
        <charset val="134"/>
      </rPr>
      <t>湖北省武汉市经开区（沌口）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武汉建工科技中心</t>
    </r>
    <r>
      <rPr>
        <sz val="11"/>
        <color theme="1"/>
        <rFont val="Verdana"/>
        <charset val="134"/>
      </rPr>
      <t>L14#</t>
    </r>
    <r>
      <rPr>
        <sz val="11"/>
        <color theme="1"/>
        <rFont val="黑体"/>
        <charset val="134"/>
      </rPr>
      <t>客</t>
    </r>
  </si>
  <si>
    <t>E/30046653.014</t>
  </si>
  <si>
    <t>31104201182017080021</t>
  </si>
  <si>
    <r>
      <rPr>
        <sz val="10"/>
        <color rgb="FF303133"/>
        <rFont val="宋体"/>
        <charset val="134"/>
      </rPr>
      <t>蒂森电梯</t>
    </r>
  </si>
  <si>
    <r>
      <rPr>
        <sz val="11"/>
        <color theme="1"/>
        <rFont val="黑体"/>
        <charset val="134"/>
      </rPr>
      <t>湖北云莲仙宿健康管理有限公司</t>
    </r>
  </si>
  <si>
    <r>
      <rPr>
        <sz val="11"/>
        <color theme="1"/>
        <rFont val="黑体"/>
        <charset val="134"/>
      </rPr>
      <t>湖北省武汉市经开区（沌口）沌口街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室内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客</t>
    </r>
  </si>
  <si>
    <t>FJ18-08171</t>
  </si>
  <si>
    <t>31104201222018110012</t>
  </si>
  <si>
    <r>
      <rPr>
        <sz val="11"/>
        <color theme="1"/>
        <rFont val="黑体"/>
        <charset val="134"/>
      </rPr>
      <t>武汉协众汽车空调有限公司</t>
    </r>
  </si>
  <si>
    <r>
      <rPr>
        <sz val="11"/>
        <color theme="1"/>
        <rFont val="黑体"/>
        <charset val="134"/>
      </rPr>
      <t>湖北省武汉市蔡甸区大集街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厂区内工厂</t>
    </r>
    <r>
      <rPr>
        <sz val="11"/>
        <color theme="1"/>
        <rFont val="Verdana"/>
        <charset val="134"/>
      </rPr>
      <t>3#</t>
    </r>
    <r>
      <rPr>
        <sz val="11"/>
        <color theme="1"/>
        <rFont val="黑体"/>
        <charset val="134"/>
      </rPr>
      <t>货</t>
    </r>
  </si>
  <si>
    <t>31204201142018100003</t>
  </si>
  <si>
    <r>
      <rPr>
        <sz val="10"/>
        <color rgb="FF303133"/>
        <rFont val="宋体"/>
        <charset val="134"/>
      </rPr>
      <t>菱王电梯</t>
    </r>
  </si>
  <si>
    <r>
      <rPr>
        <sz val="11"/>
        <color theme="1"/>
        <rFont val="黑体"/>
        <charset val="134"/>
      </rPr>
      <t>湖北省武汉市蔡甸区大集街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厂区内工厂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货</t>
    </r>
  </si>
  <si>
    <t>31204201142018100001</t>
  </si>
  <si>
    <r>
      <rPr>
        <sz val="11"/>
        <color theme="1"/>
        <rFont val="黑体"/>
        <charset val="134"/>
      </rPr>
      <t>湖北省武汉市蔡甸区大集街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厂区内工厂</t>
    </r>
    <r>
      <rPr>
        <sz val="11"/>
        <color theme="1"/>
        <rFont val="Verdana"/>
        <charset val="134"/>
      </rPr>
      <t>4#</t>
    </r>
    <r>
      <rPr>
        <sz val="11"/>
        <color theme="1"/>
        <rFont val="黑体"/>
        <charset val="134"/>
      </rPr>
      <t>货</t>
    </r>
  </si>
  <si>
    <t>31204201142018100004</t>
  </si>
  <si>
    <r>
      <rPr>
        <sz val="11"/>
        <color theme="1"/>
        <rFont val="黑体"/>
        <charset val="134"/>
      </rPr>
      <t>湖北省武汉市蔡甸区大集街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厂区内工厂</t>
    </r>
    <r>
      <rPr>
        <sz val="11"/>
        <color theme="1"/>
        <rFont val="Verdana"/>
        <charset val="134"/>
      </rPr>
      <t>2#</t>
    </r>
    <r>
      <rPr>
        <sz val="11"/>
        <color theme="1"/>
        <rFont val="黑体"/>
        <charset val="134"/>
      </rPr>
      <t>货</t>
    </r>
  </si>
  <si>
    <t>31204201142018100002</t>
  </si>
  <si>
    <r>
      <rPr>
        <sz val="11"/>
        <color theme="1"/>
        <rFont val="黑体"/>
        <charset val="134"/>
      </rPr>
      <t>武汉捷能新型建材有限公司</t>
    </r>
  </si>
  <si>
    <r>
      <rPr>
        <sz val="11"/>
        <color theme="1"/>
        <rFont val="黑体"/>
        <charset val="134"/>
      </rPr>
      <t>湖北省武汉市蔡甸区奓山街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双丰三路</t>
    </r>
    <r>
      <rPr>
        <sz val="11"/>
        <color theme="1"/>
        <rFont val="Verdana"/>
        <charset val="134"/>
      </rPr>
      <t>16</t>
    </r>
    <r>
      <rPr>
        <sz val="11"/>
        <color theme="1"/>
        <rFont val="黑体"/>
        <charset val="134"/>
      </rPr>
      <t>号倒班楼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客</t>
    </r>
  </si>
  <si>
    <t>31104201142023070023</t>
  </si>
  <si>
    <r>
      <rPr>
        <sz val="10"/>
        <color rgb="FF303133"/>
        <rFont val="宋体"/>
        <charset val="134"/>
      </rPr>
      <t>杭州西奥电梯</t>
    </r>
  </si>
  <si>
    <r>
      <rPr>
        <sz val="11"/>
        <color theme="1"/>
        <rFont val="黑体"/>
        <charset val="134"/>
      </rPr>
      <t>湖北省武汉市蔡甸区奓山街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双丰三路</t>
    </r>
    <r>
      <rPr>
        <sz val="11"/>
        <color theme="1"/>
        <rFont val="Verdana"/>
        <charset val="134"/>
      </rPr>
      <t>16</t>
    </r>
    <r>
      <rPr>
        <sz val="11"/>
        <color theme="1"/>
        <rFont val="黑体"/>
        <charset val="134"/>
      </rPr>
      <t>号</t>
    </r>
    <r>
      <rPr>
        <sz val="11"/>
        <color theme="1"/>
        <rFont val="Verdana"/>
        <charset val="134"/>
      </rPr>
      <t>3#</t>
    </r>
    <r>
      <rPr>
        <sz val="11"/>
        <color theme="1"/>
        <rFont val="黑体"/>
        <charset val="134"/>
      </rPr>
      <t>楼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客</t>
    </r>
  </si>
  <si>
    <t>31104201142023070024</t>
  </si>
  <si>
    <r>
      <rPr>
        <sz val="11"/>
        <color theme="1"/>
        <rFont val="黑体"/>
        <charset val="134"/>
      </rPr>
      <t>武汉鸿宜文工贸有限公司</t>
    </r>
  </si>
  <si>
    <r>
      <rPr>
        <sz val="11"/>
        <color theme="1"/>
        <rFont val="黑体"/>
        <charset val="134"/>
      </rPr>
      <t>湖北省武汉市经开区（沌口）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厂房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货</t>
    </r>
  </si>
  <si>
    <t>31204201182014100006</t>
  </si>
  <si>
    <r>
      <rPr>
        <sz val="10"/>
        <color rgb="FF303133"/>
        <rFont val="宋体"/>
        <charset val="134"/>
      </rPr>
      <t>武汉智能电梯</t>
    </r>
  </si>
  <si>
    <r>
      <rPr>
        <sz val="11"/>
        <color theme="1"/>
        <rFont val="黑体"/>
        <charset val="134"/>
      </rPr>
      <t>湖北省武汉市经开区（沌口）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办公楼</t>
    </r>
    <r>
      <rPr>
        <sz val="11"/>
        <color theme="1"/>
        <rFont val="Verdana"/>
        <charset val="134"/>
      </rPr>
      <t>L2#</t>
    </r>
    <r>
      <rPr>
        <sz val="11"/>
        <color theme="1"/>
        <rFont val="黑体"/>
        <charset val="134"/>
      </rPr>
      <t>货</t>
    </r>
  </si>
  <si>
    <t>31204201182014110001</t>
  </si>
  <si>
    <r>
      <rPr>
        <sz val="11"/>
        <color theme="1"/>
        <rFont val="黑体"/>
        <charset val="134"/>
      </rPr>
      <t>武汉黄陂金荣服装制造厂</t>
    </r>
  </si>
  <si>
    <r>
      <rPr>
        <sz val="11"/>
        <color theme="1"/>
        <rFont val="黑体"/>
        <charset val="134"/>
      </rPr>
      <t>湖北省武汉市黄陂区盘龙城管委会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盘龙城佳海都市工业城</t>
    </r>
    <r>
      <rPr>
        <sz val="11"/>
        <color theme="1"/>
        <rFont val="Verdana"/>
        <charset val="134"/>
      </rPr>
      <t>E</t>
    </r>
    <r>
      <rPr>
        <sz val="11"/>
        <color theme="1"/>
        <rFont val="黑体"/>
        <charset val="134"/>
      </rPr>
      <t>区</t>
    </r>
    <r>
      <rPr>
        <sz val="11"/>
        <color theme="1"/>
        <rFont val="Verdana"/>
        <charset val="134"/>
      </rPr>
      <t>18</t>
    </r>
    <r>
      <rPr>
        <sz val="11"/>
        <color theme="1"/>
        <rFont val="黑体"/>
        <charset val="134"/>
      </rPr>
      <t>栋</t>
    </r>
    <r>
      <rPr>
        <sz val="11"/>
        <color theme="1"/>
        <rFont val="Verdana"/>
        <charset val="134"/>
      </rPr>
      <t>1-2</t>
    </r>
    <r>
      <rPr>
        <sz val="11"/>
        <color theme="1"/>
        <rFont val="黑体"/>
        <charset val="134"/>
      </rPr>
      <t>层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货</t>
    </r>
  </si>
  <si>
    <t>31204201162024100001</t>
  </si>
  <si>
    <r>
      <rPr>
        <sz val="11"/>
        <color theme="1"/>
        <rFont val="黑体"/>
        <charset val="134"/>
      </rPr>
      <t>武汉宏晨鑫酒店管理有限公司</t>
    </r>
  </si>
  <si>
    <r>
      <rPr>
        <sz val="11"/>
        <color theme="1"/>
        <rFont val="黑体"/>
        <charset val="134"/>
      </rPr>
      <t>湖北省武汉市江汉区汉兴街红梅里社区红旗渠路</t>
    </r>
    <r>
      <rPr>
        <sz val="11"/>
        <color theme="1"/>
        <rFont val="Verdana"/>
        <charset val="134"/>
      </rPr>
      <t>92</t>
    </r>
    <r>
      <rPr>
        <sz val="11"/>
        <color theme="1"/>
        <rFont val="黑体"/>
        <charset val="134"/>
      </rPr>
      <t>号莱特大厦</t>
    </r>
    <r>
      <rPr>
        <sz val="11"/>
        <color theme="1"/>
        <rFont val="Verdana"/>
        <charset val="134"/>
      </rPr>
      <t>2#</t>
    </r>
    <r>
      <rPr>
        <sz val="11"/>
        <color theme="1"/>
        <rFont val="黑体"/>
        <charset val="134"/>
      </rPr>
      <t>客</t>
    </r>
  </si>
  <si>
    <t>30104201032001040266</t>
  </si>
  <si>
    <r>
      <rPr>
        <sz val="9.75"/>
        <color rgb="FF303133"/>
        <rFont val="宋体"/>
        <charset val="134"/>
      </rPr>
      <t>上海三菱电梯</t>
    </r>
  </si>
  <si>
    <r>
      <rPr>
        <sz val="11"/>
        <color theme="1"/>
        <rFont val="黑体"/>
        <charset val="134"/>
      </rPr>
      <t>湖北省武汉市江汉区汉兴街红梅里社区红旗渠路</t>
    </r>
    <r>
      <rPr>
        <sz val="11"/>
        <color theme="1"/>
        <rFont val="Verdana"/>
        <charset val="134"/>
      </rPr>
      <t>92</t>
    </r>
    <r>
      <rPr>
        <sz val="11"/>
        <color theme="1"/>
        <rFont val="黑体"/>
        <charset val="134"/>
      </rPr>
      <t>号莱特大厦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客</t>
    </r>
  </si>
  <si>
    <t>30104201032001040265</t>
  </si>
  <si>
    <r>
      <rPr>
        <sz val="11"/>
        <color theme="1"/>
        <rFont val="黑体"/>
        <charset val="134"/>
      </rPr>
      <t>湖北浩锦物业管理有限公司（维也纳酒店）</t>
    </r>
  </si>
  <si>
    <r>
      <rPr>
        <sz val="11"/>
        <color theme="1"/>
        <rFont val="黑体"/>
        <charset val="134"/>
      </rPr>
      <t>湖北省武汉市江汉区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酒店内</t>
    </r>
    <r>
      <rPr>
        <sz val="11"/>
        <color theme="1"/>
        <rFont val="Verdana"/>
        <charset val="134"/>
      </rPr>
      <t>L1#</t>
    </r>
    <r>
      <rPr>
        <sz val="11"/>
        <color theme="1"/>
        <rFont val="黑体"/>
        <charset val="134"/>
      </rPr>
      <t>客</t>
    </r>
  </si>
  <si>
    <t>31104201032017010008</t>
  </si>
  <si>
    <r>
      <rPr>
        <sz val="11"/>
        <color theme="1"/>
        <rFont val="黑体"/>
        <charset val="134"/>
      </rPr>
      <t>巨人通力电梯</t>
    </r>
  </si>
  <si>
    <r>
      <rPr>
        <sz val="11"/>
        <color theme="1"/>
        <rFont val="黑体"/>
        <charset val="134"/>
      </rPr>
      <t>武汉鑫七伍酒店管理有限公司</t>
    </r>
  </si>
  <si>
    <r>
      <rPr>
        <sz val="11"/>
        <color theme="1"/>
        <rFont val="黑体"/>
        <charset val="134"/>
      </rPr>
      <t>湖北省武汉市江岸区新村街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酒店内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货</t>
    </r>
  </si>
  <si>
    <t>OX-187</t>
  </si>
  <si>
    <t>31204201022015010001</t>
  </si>
  <si>
    <r>
      <rPr>
        <sz val="11"/>
        <color theme="1"/>
        <rFont val="黑体"/>
        <charset val="134"/>
      </rPr>
      <t>宁波奥德普</t>
    </r>
  </si>
  <si>
    <r>
      <rPr>
        <sz val="11"/>
        <color theme="1"/>
        <rFont val="黑体"/>
        <charset val="134"/>
      </rPr>
      <t>姚永华陈彪</t>
    </r>
  </si>
  <si>
    <r>
      <rPr>
        <sz val="11"/>
        <color theme="1"/>
        <rFont val="黑体"/>
        <charset val="134"/>
      </rPr>
      <t>武汉磊良民宿酒店管理有限公司</t>
    </r>
  </si>
  <si>
    <r>
      <rPr>
        <sz val="11"/>
        <color theme="1"/>
        <rFont val="黑体"/>
        <charset val="134"/>
      </rPr>
      <t>湖北省武汉市江岸区后湖街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淌湖二村</t>
    </r>
    <r>
      <rPr>
        <sz val="11"/>
        <color theme="1"/>
        <rFont val="Verdana"/>
        <charset val="134"/>
      </rPr>
      <t>360</t>
    </r>
    <r>
      <rPr>
        <sz val="11"/>
        <color theme="1"/>
        <rFont val="黑体"/>
        <charset val="134"/>
      </rPr>
      <t>号</t>
    </r>
    <r>
      <rPr>
        <sz val="11"/>
        <color theme="1"/>
        <rFont val="Verdana"/>
        <charset val="134"/>
      </rPr>
      <t xml:space="preserve"> </t>
    </r>
    <r>
      <rPr>
        <sz val="11"/>
        <color theme="1"/>
        <rFont val="黑体"/>
        <charset val="134"/>
      </rPr>
      <t>室内</t>
    </r>
    <r>
      <rPr>
        <sz val="11"/>
        <color theme="1"/>
        <rFont val="Verdana"/>
        <charset val="134"/>
      </rPr>
      <t>2#</t>
    </r>
    <r>
      <rPr>
        <sz val="11"/>
        <color theme="1"/>
        <rFont val="黑体"/>
        <charset val="134"/>
      </rPr>
      <t>客</t>
    </r>
  </si>
  <si>
    <t>31104201022023070034</t>
  </si>
  <si>
    <r>
      <rPr>
        <sz val="9.75"/>
        <color rgb="FF303133"/>
        <rFont val="宋体"/>
        <charset val="134"/>
      </rPr>
      <t>广东华菱电梯</t>
    </r>
  </si>
  <si>
    <r>
      <rPr>
        <sz val="11"/>
        <color theme="1"/>
        <rFont val="黑体"/>
        <charset val="134"/>
      </rPr>
      <t>湖北省武汉市江岸区后湖街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酒店内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客</t>
    </r>
  </si>
  <si>
    <t>31104201022019030039</t>
  </si>
  <si>
    <r>
      <rPr>
        <sz val="10"/>
        <color rgb="FF303133"/>
        <rFont val="宋体"/>
        <charset val="134"/>
      </rPr>
      <t>戴斯电梯（中国）</t>
    </r>
  </si>
  <si>
    <r>
      <rPr>
        <sz val="11"/>
        <color theme="1"/>
        <rFont val="黑体"/>
        <charset val="134"/>
      </rPr>
      <t>武汉市泽洲贸易有限公司</t>
    </r>
  </si>
  <si>
    <r>
      <rPr>
        <sz val="11"/>
        <color theme="1"/>
        <rFont val="黑体"/>
        <charset val="134"/>
      </rPr>
      <t>湖北省武汉市江汉区唐家墩街</t>
    </r>
    <r>
      <rPr>
        <sz val="11"/>
        <color theme="1"/>
        <rFont val="Verdana"/>
        <charset val="134"/>
      </rPr>
      <t>/</t>
    </r>
    <r>
      <rPr>
        <sz val="11"/>
        <color theme="1"/>
        <rFont val="黑体"/>
        <charset val="134"/>
      </rPr>
      <t>优家主题酒店</t>
    </r>
    <r>
      <rPr>
        <sz val="11"/>
        <color theme="1"/>
        <rFont val="Verdana"/>
        <charset val="134"/>
      </rPr>
      <t>1#</t>
    </r>
    <r>
      <rPr>
        <sz val="11"/>
        <color theme="1"/>
        <rFont val="黑体"/>
        <charset val="134"/>
      </rPr>
      <t>客</t>
    </r>
  </si>
  <si>
    <t>注意事项</t>
  </si>
  <si>
    <t>使用单位</t>
  </si>
  <si>
    <t>项目名称</t>
  </si>
  <si>
    <t>维保服务时间</t>
  </si>
  <si>
    <t>到期提醒</t>
  </si>
  <si>
    <t>签订单价
元/年</t>
  </si>
  <si>
    <t>合同台量</t>
  </si>
  <si>
    <t>合同
年限</t>
  </si>
  <si>
    <t>合同应收金额</t>
  </si>
  <si>
    <t>合同外维修费</t>
  </si>
  <si>
    <t>总应收</t>
  </si>
  <si>
    <t>开票日期</t>
  </si>
  <si>
    <t>开票金额</t>
  </si>
  <si>
    <t>收款日期</t>
  </si>
  <si>
    <t>收款金额</t>
  </si>
  <si>
    <t>收现金额</t>
  </si>
  <si>
    <t>开票应收额</t>
  </si>
  <si>
    <r>
      <rPr>
        <sz val="11"/>
        <color theme="1"/>
        <rFont val="黑体"/>
        <charset val="134"/>
      </rPr>
      <t>合同内型/</t>
    </r>
    <r>
      <rPr>
        <sz val="11"/>
        <color rgb="FFFF0000"/>
        <rFont val="黑体"/>
        <charset val="134"/>
      </rPr>
      <t>合同里看</t>
    </r>
  </si>
  <si>
    <t>维保性质</t>
  </si>
  <si>
    <t>税率</t>
  </si>
  <si>
    <t>应纳税额</t>
  </si>
  <si>
    <t>天门市汪场中心卫生院</t>
  </si>
  <si>
    <r>
      <rPr>
        <sz val="12"/>
        <rFont val="黑体"/>
        <charset val="134"/>
      </rPr>
      <t>天门市汪场镇汪场街</t>
    </r>
    <r>
      <rPr>
        <sz val="12"/>
        <rFont val="黑体"/>
        <charset val="0"/>
      </rPr>
      <t>8</t>
    </r>
    <r>
      <rPr>
        <sz val="12"/>
        <rFont val="黑体"/>
        <charset val="134"/>
      </rPr>
      <t>号</t>
    </r>
  </si>
  <si>
    <t>七日内付</t>
  </si>
  <si>
    <t>天门市锦锦服装厂</t>
  </si>
  <si>
    <t>马少芳私人厂房</t>
  </si>
  <si>
    <t>天门市世泰服饰加工厂</t>
  </si>
  <si>
    <t>世泰服饰（原陈磊私宒）</t>
  </si>
  <si>
    <t>中国邮政集团有限公司天门市分公司</t>
  </si>
  <si>
    <t>天门中国邮政</t>
  </si>
  <si>
    <t>半年付款</t>
  </si>
  <si>
    <t>天门市维佳物业服务有限责任公司</t>
  </si>
  <si>
    <t>天门宝安商业广场</t>
  </si>
  <si>
    <t>半年付</t>
  </si>
  <si>
    <t>天门市衣世界服装批发城</t>
  </si>
  <si>
    <t>天门市岳口洪兴宾馆</t>
  </si>
  <si>
    <t>天门岳口洪兴宾馆</t>
  </si>
  <si>
    <t>天门市鑫佳宜购物广场九真店</t>
  </si>
  <si>
    <t>九真鑫佳宜超市</t>
  </si>
  <si>
    <t>天门市家万福超市（个体工商户）</t>
  </si>
  <si>
    <t>原杨正在项目</t>
  </si>
  <si>
    <t>天门市珩隆超市有限公司</t>
  </si>
  <si>
    <t>九真客梯项目</t>
  </si>
  <si>
    <t>合同</t>
  </si>
  <si>
    <t>合同外维修费、检测费</t>
  </si>
  <si>
    <r>
      <rPr>
        <b/>
        <sz val="11"/>
        <color theme="1"/>
        <rFont val="Microsoft YaHei"/>
        <charset val="134"/>
      </rPr>
      <t>合同内型/</t>
    </r>
    <r>
      <rPr>
        <b/>
        <sz val="11"/>
        <color rgb="FFFF0000"/>
        <rFont val="Microsoft YaHei"/>
        <charset val="134"/>
      </rPr>
      <t>合同里看</t>
    </r>
  </si>
  <si>
    <t>湖北波罗金环保科技有限公司</t>
  </si>
  <si>
    <t xml:space="preserve"> （金澜湾）</t>
  </si>
  <si>
    <t>半年请款一次</t>
  </si>
  <si>
    <t>半包300</t>
  </si>
  <si>
    <t>湖北金腾物业有限公司</t>
  </si>
  <si>
    <t>（C23号楼电梯）2台</t>
  </si>
  <si>
    <t>（力托）2台</t>
  </si>
  <si>
    <t>（金澜湾工业园24号楼，彤明）1台</t>
  </si>
  <si>
    <t>9.16已送出</t>
  </si>
  <si>
    <t xml:space="preserve">武汉鑫承丰市政工程有限公司 </t>
  </si>
  <si>
    <t>（汉南薇湖路鑫承丰办公楼）</t>
  </si>
  <si>
    <t>半包200</t>
  </si>
  <si>
    <t>武汉鑫润塑业有限公司</t>
  </si>
  <si>
    <t>（汉南）纱帽街/幸福园路与解放河路交汇处)</t>
  </si>
  <si>
    <t>武汉光谷铁神新材料孵化器有限公司</t>
  </si>
  <si>
    <t xml:space="preserve"> （光谷铁神孵化器）</t>
  </si>
  <si>
    <t>武汉和颐旅馆有限责任公司</t>
  </si>
  <si>
    <t>铁神宜尚酒店</t>
  </si>
  <si>
    <t xml:space="preserve">武汉尊品益康意食品有限公司 </t>
  </si>
  <si>
    <t>（益康意）5台</t>
  </si>
  <si>
    <t>湖北海推智能装备有限公司</t>
  </si>
  <si>
    <t>（东西湖年产1000台工业园）2台</t>
  </si>
  <si>
    <t>（东西湖年产1000台工业园）1台</t>
  </si>
  <si>
    <t>湖北南远电缆科技有限公司 1台</t>
  </si>
  <si>
    <t>武汉亿斯源物业服务有限公司</t>
  </si>
  <si>
    <t>/武汉北方能源股份有限公司（项目名称北方能源）第一季度</t>
  </si>
  <si>
    <t>武汉亿斯源物业服务有限公司 第二季度</t>
  </si>
  <si>
    <t>武汉亿斯源物业服务有限公司 第三季度</t>
  </si>
  <si>
    <t>武汉亿斯源物业服务有限公司 第四季度</t>
  </si>
  <si>
    <t>湖北慧科检测有限公司</t>
  </si>
  <si>
    <t xml:space="preserve"> 武汉华略公信工程检测有限公司（江夏金地威新9-4栋）1台</t>
  </si>
  <si>
    <t xml:space="preserve"> 武汉君派创新科技有限公司（江夏金地威新9-3栋）1台</t>
  </si>
  <si>
    <t>智联新能电力科技有限公司</t>
  </si>
  <si>
    <t xml:space="preserve"> 武汉光谷卓越科技股份有限公司（武大科技园4路6号1#客   卓越）</t>
  </si>
  <si>
    <t>武汉三工光电社保制造有限公司</t>
  </si>
  <si>
    <t xml:space="preserve"> （武大园办公楼）</t>
  </si>
  <si>
    <t>武汉市黄陂区鑫捷惠超市</t>
  </si>
  <si>
    <t>（个体工商户） 雅迪</t>
  </si>
  <si>
    <t xml:space="preserve">武汉十三堡慈苑农业专业合作社 </t>
  </si>
  <si>
    <r>
      <rPr>
        <sz val="10"/>
        <color theme="1"/>
        <rFont val="Microsoft YaHei"/>
        <charset val="134"/>
      </rPr>
      <t xml:space="preserve">（原雄一风) </t>
    </r>
    <r>
      <rPr>
        <sz val="10"/>
        <color rgb="FFFF0000"/>
        <rFont val="Microsoft YaHei"/>
        <charset val="134"/>
      </rPr>
      <t>25.10月开始质保三年</t>
    </r>
  </si>
  <si>
    <t>湖北京通建材有限公司</t>
  </si>
  <si>
    <t xml:space="preserve"> 蔡甸水泥厂</t>
  </si>
  <si>
    <t>武汉盆景奇石根雕艺术馆</t>
  </si>
  <si>
    <t>武汉动物园（武汉市陆生野生动物收容救护中心） 汉阳区翠薇路61号</t>
  </si>
  <si>
    <t>好利来视频科技（武汉）有限公司</t>
  </si>
  <si>
    <t>江夏城明花园14栋2单元</t>
  </si>
  <si>
    <t xml:space="preserve">武汉汇缘住房租赁有限公司 </t>
  </si>
  <si>
    <t>武汉盛世阳光酒店有限公司 （五里新村盛世阳光酒店)</t>
  </si>
  <si>
    <t>东风阳光城荟景苑小区5幢(号)2单元</t>
  </si>
  <si>
    <t>东风阳光城荟景苑小区5幢(号)3单元</t>
  </si>
  <si>
    <t>合同备注</t>
  </si>
  <si>
    <t>合计</t>
  </si>
  <si>
    <t>武汉北港建工集团开发有限公司</t>
  </si>
  <si>
    <t xml:space="preserve"> 武汉诚浠物业管理有限公司（佳和云居)</t>
  </si>
  <si>
    <t>季度付款，半包200</t>
  </si>
  <si>
    <t>武汉市洪山区悟空星火休闲娱乐馆（个体工商户）</t>
  </si>
  <si>
    <t>（盛世大酒店佳和酒店）</t>
  </si>
  <si>
    <t>4000/年，清包</t>
  </si>
  <si>
    <t>金禧建设集团有限公司</t>
  </si>
  <si>
    <t>湖北省武汉市武昌区中南路街/中北路221号1#</t>
  </si>
  <si>
    <t>4000/年，半包200</t>
  </si>
  <si>
    <t>湖北长江人民艺术剧院有限责任公司</t>
  </si>
  <si>
    <t>湖北省武汉市武昌区粮道街昙华林社区武昌区长江人民剧院3#客</t>
  </si>
  <si>
    <t>3600元/台*2台=7200/年，半年请款一次</t>
  </si>
  <si>
    <t>湖北省武汉市武昌区首义路街/武昌区中山路376号1#</t>
  </si>
  <si>
    <t>湖北省武汉市武昌区首义路街/武昌区中山路376号2#</t>
  </si>
  <si>
    <t>武汉市武昌区水果湖街道党群服务中心（东一路26号）</t>
  </si>
  <si>
    <t>6000/年，清包</t>
  </si>
  <si>
    <t>中国农业科学院油料作物研究所 （油料所3号楼改造更新项目）</t>
  </si>
  <si>
    <t>武汉中海联机电工程有限公司</t>
  </si>
  <si>
    <t>湖北省武汉市洪山区洪山街/景江社区陆总花园5栋2单元5-2#梯</t>
  </si>
  <si>
    <t>湖北省武汉市洪山区洪山街/景江社区陆总花园小区7栋1单元1#客</t>
  </si>
  <si>
    <t xml:space="preserve">武汉市武昌区仙岛湖商务酒店 合同单位 </t>
  </si>
  <si>
    <t>3600/年</t>
  </si>
  <si>
    <t>滨江苑一期1栋2单元</t>
  </si>
  <si>
    <t>滨江苑一期3栋1（任侠）</t>
  </si>
  <si>
    <t>滨江苑一期4栋1（原龚翠红）</t>
  </si>
  <si>
    <t>滨江苑一期5栋</t>
  </si>
  <si>
    <t>滨江苑一期7号楼（汪益新）</t>
  </si>
  <si>
    <t>滨江苑一期9栋3单元</t>
  </si>
  <si>
    <t>滨江苑一期10栋4单元</t>
  </si>
  <si>
    <t>滨江苑一期10栋1、2单元</t>
  </si>
  <si>
    <t>滨江苑一期10栋3单元</t>
  </si>
  <si>
    <t>滨江苑一期11栋3单元</t>
  </si>
  <si>
    <t>滨江苑一期11栋1单元（陈俊群）</t>
  </si>
  <si>
    <t>滨江苑一期12栋1单元</t>
  </si>
  <si>
    <t>滨江苑14栋6单元</t>
  </si>
  <si>
    <t>花桥一村18-1（1台）（李青）</t>
  </si>
  <si>
    <t>花桥一村12号（1台）</t>
  </si>
  <si>
    <t>包300 6500/年 补贴款未签字办理，竣工验收因土建资质过期未办理</t>
  </si>
  <si>
    <t>花桥一村25号 （1台）(张锋)</t>
  </si>
  <si>
    <t>花桥一村20号 （1台）</t>
  </si>
  <si>
    <t>花桥一村16号 （1台）</t>
  </si>
  <si>
    <t>花桥一村17号 （1台）</t>
  </si>
  <si>
    <t>花桥惠济小区1栋4单元</t>
  </si>
  <si>
    <t>花桥街道育才三村26号1单元</t>
  </si>
  <si>
    <t>青青美庐东区5-1 （1台）</t>
  </si>
  <si>
    <t>青青美庐西区2栋1单元（姚征权）</t>
  </si>
  <si>
    <t>中海联科技发展（武汉）有限公司</t>
  </si>
  <si>
    <t>青青美庐西区3栋2单元</t>
  </si>
  <si>
    <t>青青美庐社区东区14栋3单元</t>
  </si>
  <si>
    <t>青青美庐东区8栋2单元</t>
  </si>
  <si>
    <t>青青美庐西区5栋2单元</t>
  </si>
  <si>
    <t>武铁社区武铁洪山住宅小区9栋</t>
  </si>
  <si>
    <t>武铁社区武铁洪山住宅小区15栋</t>
  </si>
  <si>
    <t xml:space="preserve">  花莲里156号3单元 （1台）（杨双英）</t>
  </si>
  <si>
    <t>签订一个月支付 4000元/年 清包 补贴款未签字办理</t>
  </si>
  <si>
    <t xml:space="preserve">武汉壹陆捌体育有限公司 </t>
  </si>
  <si>
    <t>（雷神电竞酒店六渡桥店）</t>
  </si>
  <si>
    <t>武汉明海定慧商业管理有限公司</t>
  </si>
  <si>
    <t xml:space="preserve"> （六渡桥）</t>
  </si>
  <si>
    <t xml:space="preserve">武汉意力物业管理有限责任公司 </t>
  </si>
  <si>
    <t>（中山大厦）雍景台1号</t>
  </si>
  <si>
    <t>武汉意力物业管理有限责任公司</t>
  </si>
  <si>
    <t xml:space="preserve"> （中山大厦）雍景台1号</t>
  </si>
  <si>
    <t xml:space="preserve">武汉华茂医院有限公司 </t>
  </si>
  <si>
    <t>（妇产医院）</t>
  </si>
  <si>
    <t>武汉中南标准件有限公司</t>
  </si>
  <si>
    <t>（六渡桥圣源酒店）</t>
  </si>
  <si>
    <t>武汉市宝嘉丽酒店管理有限公司</t>
  </si>
  <si>
    <t xml:space="preserve"> （纽宾凯拦江路店）</t>
  </si>
  <si>
    <t xml:space="preserve"> （武装部)2台</t>
  </si>
  <si>
    <t xml:space="preserve">武汉市江岸区法院宿舍1栋1、2单元 </t>
  </si>
  <si>
    <t>生态花园小区22栋1单元</t>
  </si>
  <si>
    <t>生态花园小区18栋1单元</t>
  </si>
  <si>
    <t>东方花都 1台</t>
  </si>
  <si>
    <t>东方花都A区13栋1单元 1台</t>
  </si>
  <si>
    <t>武汉兴达联置业有限公司  （金湖听语T17）</t>
  </si>
  <si>
    <t>安友花园小区A栋3单元</t>
  </si>
  <si>
    <t>台北教师公寓3-2</t>
  </si>
  <si>
    <t>台北街道和美社区台北公寓B栋2单元（有合同，无档案记录）</t>
  </si>
  <si>
    <t>如寿里小区2栋1单元</t>
  </si>
  <si>
    <t>幸乐村小区8幢（号）1单元</t>
  </si>
  <si>
    <t>武汉市孜泉酒店有限公司  胜利街122号大地音乐酒吧</t>
  </si>
  <si>
    <t>武汉博语文化传媒有限公司（吴家花园）</t>
  </si>
  <si>
    <t xml:space="preserve"> （安居苑206-1）1台</t>
  </si>
  <si>
    <t xml:space="preserve"> 安居苑D区405栋3单元 1台</t>
  </si>
  <si>
    <t xml:space="preserve"> 安居苑D区404栋3单元</t>
  </si>
  <si>
    <t xml:space="preserve"> 安居苑D区406栋4单元 </t>
  </si>
  <si>
    <t>百步亭社区安居苑A区112栋2单元</t>
  </si>
  <si>
    <t xml:space="preserve"> （百合苑501-1）1台</t>
  </si>
  <si>
    <t>有</t>
  </si>
  <si>
    <t xml:space="preserve"> 百合苑208栋1单元 1台</t>
  </si>
  <si>
    <t xml:space="preserve"> 百合苑303栋3单元 1台</t>
  </si>
  <si>
    <t>（温馨苑AB区116-1）1台</t>
  </si>
  <si>
    <t xml:space="preserve"> （温馨苑AB区112-2）1台</t>
  </si>
  <si>
    <t xml:space="preserve"> （温馨苑AB区306-1）1台</t>
  </si>
  <si>
    <t>百步亭温馨苑AB区204栋1单元</t>
  </si>
  <si>
    <t>百步亭温馨苑AB区115栋4单元</t>
  </si>
  <si>
    <t xml:space="preserve"> （温馨苑CD区409-1）1台</t>
  </si>
  <si>
    <t xml:space="preserve"> （怡和苑408-1）1台</t>
  </si>
  <si>
    <t xml:space="preserve"> （怡和苑北区407-2）1台</t>
  </si>
  <si>
    <t xml:space="preserve"> （怡和苑北区409-3）1台</t>
  </si>
  <si>
    <t xml:space="preserve"> 怡康南小区504号二单元  </t>
  </si>
  <si>
    <t xml:space="preserve"> 怡康苑北区214栋一单元</t>
  </si>
  <si>
    <t xml:space="preserve"> （怡康苑北区204-1）1台</t>
  </si>
  <si>
    <t>百步亭花园三居委会怡康苑北区211栋2单元</t>
  </si>
  <si>
    <t>后湖街秀泽园北区2栋2单元</t>
  </si>
  <si>
    <t>秀泽园北区1栋1单元</t>
  </si>
  <si>
    <t>江汉区富康小区4栋1单元</t>
  </si>
  <si>
    <t>鹏程花苑4栋2单元</t>
  </si>
  <si>
    <t>东湖生态旅游风景区黄鹂小区15栋1单元</t>
  </si>
  <si>
    <t>东湖生态旅游风景区黄鹂小区16栋1单元</t>
  </si>
  <si>
    <t>东湖生态风景区生态风景黄鹂小区14栋2单元</t>
  </si>
  <si>
    <t>七星四季花园4栋2单元</t>
  </si>
  <si>
    <t>柴林花园12-1</t>
  </si>
  <si>
    <t>铁机馨苑2-3</t>
  </si>
  <si>
    <t>丰竹园小区205栋2单元</t>
  </si>
  <si>
    <t>武汉市江汉区人民政府汉兴街道办事处</t>
  </si>
  <si>
    <t>（电建小区42-2）（刘正春）</t>
  </si>
  <si>
    <t xml:space="preserve"> （电建小区41-1）涂晓慧）</t>
  </si>
  <si>
    <t>民意街道多闻社区维善里小区1栋2单元</t>
  </si>
  <si>
    <t>武汉铭青物业管理有限公司</t>
  </si>
  <si>
    <t>湖北省武汉市江岸区劳动街/小区1#客/惠济路13号2栋三单元</t>
  </si>
  <si>
    <t>武汉市泽洲贸易有限公司</t>
  </si>
  <si>
    <t>湖北省武汉市江汉区唐家墩街/优家主题酒店1#客</t>
  </si>
  <si>
    <r>
      <rPr>
        <sz val="11"/>
        <color theme="1"/>
        <rFont val="宋体"/>
        <charset val="134"/>
        <scheme val="minor"/>
      </rPr>
      <t>合同内型/</t>
    </r>
    <r>
      <rPr>
        <sz val="11"/>
        <color rgb="FFFF0000"/>
        <rFont val="宋体"/>
        <charset val="134"/>
        <scheme val="minor"/>
      </rPr>
      <t>合同里看</t>
    </r>
  </si>
  <si>
    <t>有合同</t>
  </si>
  <si>
    <t>武汉恒美酒店管理有限公司</t>
  </si>
  <si>
    <t>湖北省武汉市江汉区新华街取水楼社区新华路195号邮政储蓄银行办公楼A栋-1#客</t>
  </si>
  <si>
    <t>湖北佰创酒店管理有限公司</t>
  </si>
  <si>
    <t>湖北省武汉市江岸区百步亭社区/酒店内1#客</t>
  </si>
  <si>
    <t>武汉雅诗泊公寓管理有限公司</t>
  </si>
  <si>
    <t>天晖大厦1栋C单元</t>
  </si>
  <si>
    <t>清包，200以内免费</t>
  </si>
  <si>
    <t>未注明</t>
  </si>
  <si>
    <t>蔡甸区橙子酒店</t>
  </si>
  <si>
    <t>湖北省武汉市蔡甸区车站北路4号</t>
  </si>
  <si>
    <t>武汉市蔡甸区瑞宜酒店</t>
  </si>
  <si>
    <t>武汉市蔡甸区永安街安福路204号</t>
  </si>
  <si>
    <t>蔡甸区瑞城宾馆</t>
  </si>
  <si>
    <t>湖北省武汉市蔡甸区奓山街/宾馆1#客</t>
  </si>
  <si>
    <t>武汉忠实城市酒店/熊运安（个人）</t>
  </si>
  <si>
    <t>武汉市蔡甸区奓山街道白鹤泉东路东街32号</t>
  </si>
  <si>
    <t>武汉市蔡甸区景枫宾馆</t>
  </si>
  <si>
    <t>蔡甸区星月花园南大门2-5号/湖北省武汉市蔡甸区奓山街/室内1#客</t>
  </si>
  <si>
    <t>东成广日合同</t>
  </si>
  <si>
    <t>开科工业技术（武汉）有限公司</t>
  </si>
  <si>
    <t>蔡甸区玛瑙四路与常绿大街交叉口西北60米</t>
  </si>
  <si>
    <t>武汉义元安酒店管理有限公司</t>
  </si>
  <si>
    <t>武汉市江岸区黄孝河路协昌花园特1号1、2楼公区、3-13层</t>
  </si>
  <si>
    <t>武汉市华逸怡景酒店管理有限公司</t>
  </si>
  <si>
    <t>武汉楚都龙机电工程有限公司</t>
  </si>
  <si>
    <t>武汉欣中泰产业运营服务有限公司</t>
  </si>
  <si>
    <t>湖北省武汉市蔡甸区奓山街/丛林村双丰三路16号2#楼1#货</t>
  </si>
  <si>
    <t>湖北省武汉市蔡甸区奓山街/丛林村双丰三路16号2#楼2#货</t>
  </si>
  <si>
    <t>湖北省武汉市蔡甸区奓山街/丛林村双丰三路16号1#楼1#货</t>
  </si>
  <si>
    <t>湖北省武汉市蔡甸区奓山街/丛林村双丰三路16号1#楼2#货</t>
  </si>
  <si>
    <t>武汉市锦闻居餐饮管理有限公司</t>
  </si>
  <si>
    <t>江岸区景福苑小区1栋101室锦闻居餐厅</t>
  </si>
  <si>
    <t>武汉艺轩酒店管理有限公司</t>
  </si>
  <si>
    <t>武汉艺轩酒店</t>
  </si>
  <si>
    <t>武汉江夏惠明优益佳口腔门诊有限公司</t>
  </si>
  <si>
    <r>
      <rPr>
        <sz val="11"/>
        <color theme="1"/>
        <rFont val="黑体"/>
        <charset val="134"/>
      </rPr>
      <t>优益佳口腔门诊/</t>
    </r>
    <r>
      <rPr>
        <sz val="11"/>
        <color rgb="FFFF0000"/>
        <rFont val="黑体"/>
        <charset val="134"/>
      </rPr>
      <t>维保未转中海联</t>
    </r>
  </si>
  <si>
    <t>未见合同</t>
  </si>
  <si>
    <t>武汉可冰酒店管理有限公司</t>
  </si>
  <si>
    <t>湖北省武汉市江岸区花桥街/黄孝河路燮昌花园
特1号-1-14层1室1#客（汉庭酒店）</t>
  </si>
  <si>
    <t>武汉昱峡工贸有限公司</t>
  </si>
  <si>
    <t>湖北省武汉市蔡甸区//办公室1#客</t>
  </si>
  <si>
    <t>武汉奥诚商贸有限责任公司</t>
  </si>
  <si>
    <t>湖北省武汉市汉阳区龙阳街/酒店内1#客</t>
  </si>
  <si>
    <t>武汉建工项目投资管理有限公司</t>
  </si>
  <si>
    <t>湖北省武汉市经开区（沌口）/武汉建工科技中心L12#客</t>
  </si>
  <si>
    <t>湖北省武汉市经开区（沌口）/武汉建工科技中心L11#客</t>
  </si>
  <si>
    <t>湖北省武汉市经开区（沌口）/武汉建工科技中心L13#客</t>
  </si>
  <si>
    <t>湖北省武汉市经开区（沌口）/武汉建工科技中心L14#客</t>
  </si>
  <si>
    <t>湖北云莲仙宿健康管理有限公司</t>
  </si>
  <si>
    <t>湖北省武汉市经开区（沌口）沌口街/室内1#客</t>
  </si>
  <si>
    <t>武汉协众汽车空调有限公司</t>
  </si>
  <si>
    <t>湖北省武汉市蔡甸区大集街/厂区内工厂3#货</t>
  </si>
  <si>
    <t>湖北省武汉市蔡甸区大集街/厂区内工厂1#货</t>
  </si>
  <si>
    <t>湖北省武汉市蔡甸区大集街/厂区内工厂4#货</t>
  </si>
  <si>
    <t>湖北省武汉市蔡甸区大集街/厂区内工厂2#货</t>
  </si>
  <si>
    <t>武汉捷能新型建材有限公司</t>
  </si>
  <si>
    <t>湖北省武汉市蔡甸区奓山街/双丰三路16号倒班楼1#客</t>
  </si>
  <si>
    <t>湖北省武汉市蔡甸区奓山街/双丰三路16号3#楼1#客</t>
  </si>
  <si>
    <t>武汉鸿宜文工贸有限公司</t>
  </si>
  <si>
    <t>湖北省武汉市经开区（沌口）/厂房1#货</t>
  </si>
  <si>
    <t>湖北省武汉市经开区（沌口）/办公楼L2#货</t>
  </si>
  <si>
    <t>武汉黄陂金荣服装制造厂</t>
  </si>
  <si>
    <t>湖北省武汉市黄陂区盘龙城管委会/盘龙城佳海都市工业城E区18栋1-2层1#货</t>
  </si>
  <si>
    <t>武汉宏晨鑫酒店管理有限公司</t>
  </si>
  <si>
    <t>湖北省武汉市江汉区汉兴街红梅里社区红旗渠路92号莱特大厦2#客</t>
  </si>
  <si>
    <t>湖北省武汉市江汉区汉兴街红梅里社区红旗渠路92号莱特大厦1#客</t>
  </si>
  <si>
    <t>湖北浩锦物业管理有限公司（维也纳酒店）</t>
  </si>
  <si>
    <t>湖北省武汉市江汉区/酒店内L1#客</t>
  </si>
  <si>
    <t>武汉鑫七伍酒店管理有限公司</t>
  </si>
  <si>
    <t>湖北省武汉市江岸区新村街/酒店内1#货</t>
  </si>
  <si>
    <t>武汉市水务集团蔡甸自来水</t>
  </si>
  <si>
    <t>湖北省武汉市江岸区后湖街/淌湖二村360号 室内2#客</t>
  </si>
  <si>
    <t>武汉磊良民宿酒店管理有限公司</t>
  </si>
  <si>
    <t>湖北省武汉市江岸区后湖街/酒店内1#客</t>
  </si>
  <si>
    <t>付款
约定方式</t>
  </si>
  <si>
    <t>站点</t>
  </si>
  <si>
    <t>维保
台量</t>
  </si>
  <si>
    <t xml:space="preserve">物业公司/项目地址 </t>
  </si>
  <si>
    <t>维保合同期限</t>
  </si>
  <si>
    <t>合同金额/应收金额</t>
  </si>
  <si>
    <t>合同外维修，报检</t>
  </si>
  <si>
    <t>发票金额</t>
  </si>
  <si>
    <t>收现</t>
  </si>
  <si>
    <t>应收金额</t>
  </si>
  <si>
    <t>发票备注</t>
  </si>
  <si>
    <t>6000/年 半包300 补贴款未签字办理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</si>
</sst>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_ "/>
    <numFmt numFmtId="178" formatCode="#,##0.00;[Red]#,##0.00"/>
    <numFmt numFmtId="179" formatCode="0&quot;kg&quot;\&#13;\&#10;"/>
    <numFmt numFmtId="180" formatCode="0.00&quot;m/s&quot;\&#13;\&#10;"/>
    <numFmt numFmtId="181" formatCode="yyyy&quot;年&quot;m&quot;月&quot;;@"/>
    <numFmt numFmtId="182" formatCode="0.0&quot;m/s&quot;\&#13;\&#10;"/>
  </numFmts>
  <fonts count="8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sz val="11"/>
      <color theme="1"/>
      <name val="黑体"/>
      <charset val="134"/>
    </font>
    <font>
      <sz val="11"/>
      <color rgb="FFFF0000"/>
      <name val="黑体"/>
      <charset val="134"/>
    </font>
    <font>
      <sz val="11"/>
      <name val="黑体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4"/>
      <color theme="1"/>
      <name val="宋体"/>
      <charset val="134"/>
    </font>
    <font>
      <sz val="14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</font>
    <font>
      <sz val="11"/>
      <name val="微软雅黑"/>
      <charset val="134"/>
    </font>
    <font>
      <b/>
      <sz val="11"/>
      <color rgb="FFFF0000"/>
      <name val="Microsoft YaHei"/>
      <charset val="134"/>
    </font>
    <font>
      <b/>
      <sz val="11"/>
      <name val="Microsoft YaHei"/>
      <charset val="134"/>
    </font>
    <font>
      <b/>
      <sz val="11"/>
      <color theme="1"/>
      <name val="Microsoft YaHei"/>
      <charset val="134"/>
    </font>
    <font>
      <sz val="10"/>
      <color rgb="FFFF0000"/>
      <name val="Microsoft YaHei"/>
      <charset val="134"/>
    </font>
    <font>
      <sz val="10"/>
      <color theme="1"/>
      <name val="Microsoft YaHei"/>
      <charset val="134"/>
    </font>
    <font>
      <sz val="9.75"/>
      <color rgb="FF303133"/>
      <name val="Helvetica"/>
      <charset val="134"/>
    </font>
    <font>
      <sz val="10"/>
      <name val="Microsoft YaHei"/>
      <charset val="134"/>
    </font>
    <font>
      <sz val="12"/>
      <name val="黑体"/>
      <charset val="134"/>
    </font>
    <font>
      <sz val="12"/>
      <name val="黑体"/>
      <charset val="0"/>
    </font>
    <font>
      <b/>
      <sz val="12"/>
      <name val="宋体"/>
      <charset val="134"/>
    </font>
    <font>
      <b/>
      <sz val="12"/>
      <color indexed="8"/>
      <name val="宋体"/>
      <charset val="134"/>
    </font>
    <font>
      <sz val="11"/>
      <color theme="1"/>
      <name val="Verdana"/>
      <charset val="134"/>
    </font>
    <font>
      <sz val="11"/>
      <name val="Verdana"/>
      <charset val="134"/>
    </font>
    <font>
      <sz val="11"/>
      <color theme="9"/>
      <name val="Verdana"/>
      <charset val="134"/>
    </font>
    <font>
      <sz val="20"/>
      <color theme="0"/>
      <name val="Verdana"/>
      <charset val="134"/>
    </font>
    <font>
      <sz val="22"/>
      <color theme="0"/>
      <name val="Verdana"/>
      <charset val="134"/>
    </font>
    <font>
      <sz val="16"/>
      <color theme="0"/>
      <name val="Verdana"/>
      <charset val="134"/>
    </font>
    <font>
      <sz val="16"/>
      <color theme="0"/>
      <name val="宋体"/>
      <charset val="134"/>
    </font>
    <font>
      <sz val="12"/>
      <name val="Verdana"/>
      <charset val="134"/>
    </font>
    <font>
      <sz val="12"/>
      <name val="Verdana"/>
      <charset val="0"/>
    </font>
    <font>
      <sz val="9"/>
      <name val="Verdana"/>
      <charset val="134"/>
    </font>
    <font>
      <sz val="14"/>
      <name val="Verdana"/>
      <charset val="0"/>
    </font>
    <font>
      <sz val="10"/>
      <name val="Verdana"/>
      <charset val="0"/>
    </font>
    <font>
      <sz val="11"/>
      <name val="Verdana"/>
      <charset val="0"/>
    </font>
    <font>
      <sz val="10.5"/>
      <name val="Verdana"/>
      <charset val="134"/>
    </font>
    <font>
      <sz val="9.75"/>
      <color rgb="FF303133"/>
      <name val="Verdana"/>
      <charset val="134"/>
    </font>
    <font>
      <sz val="10.5"/>
      <color rgb="FF606266"/>
      <name val="Verdana"/>
      <charset val="134"/>
    </font>
    <font>
      <b/>
      <sz val="12"/>
      <name val="Verdana"/>
      <charset val="0"/>
    </font>
    <font>
      <b/>
      <sz val="12"/>
      <color indexed="8"/>
      <name val="Verdana"/>
      <charset val="134"/>
    </font>
    <font>
      <b/>
      <sz val="12"/>
      <color indexed="10"/>
      <name val="Verdana"/>
      <charset val="0"/>
    </font>
    <font>
      <sz val="9.75"/>
      <color rgb="FF676A6C"/>
      <name val="Verdana"/>
      <charset val="134"/>
    </font>
    <font>
      <sz val="11"/>
      <color rgb="FFFF0000"/>
      <name val="Verdana"/>
      <charset val="134"/>
    </font>
    <font>
      <sz val="10"/>
      <color rgb="FF303133"/>
      <name val="Verdan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华文宋体"/>
      <charset val="134"/>
    </font>
    <font>
      <sz val="10.5"/>
      <name val="Verdana"/>
      <charset val="0"/>
    </font>
    <font>
      <sz val="10.5"/>
      <name val="华文宋体"/>
      <charset val="134"/>
    </font>
    <font>
      <sz val="11"/>
      <color theme="1"/>
      <name val="华文宋体"/>
      <charset val="134"/>
    </font>
    <font>
      <sz val="16"/>
      <color theme="0"/>
      <name val="华文宋体"/>
      <charset val="134"/>
    </font>
    <font>
      <b/>
      <sz val="12"/>
      <color indexed="8"/>
      <name val="黑体"/>
      <charset val="134"/>
    </font>
    <font>
      <sz val="12"/>
      <name val="华文宋体"/>
      <charset val="0"/>
    </font>
    <font>
      <sz val="10"/>
      <color rgb="FF303133"/>
      <name val="宋体"/>
      <charset val="134"/>
    </font>
    <font>
      <sz val="22"/>
      <color theme="0"/>
      <name val="华文宋体"/>
      <charset val="134"/>
    </font>
    <font>
      <sz val="9.75"/>
      <color rgb="FF303133"/>
      <name val="宋体"/>
      <charset val="134"/>
    </font>
    <font>
      <sz val="11"/>
      <name val="华文宋体"/>
      <charset val="134"/>
    </font>
    <font>
      <sz val="9.75"/>
      <color rgb="FF303133"/>
      <name val="华文宋体"/>
      <charset val="134"/>
    </font>
    <font>
      <sz val="16"/>
      <color theme="0"/>
      <name val="Verdana"/>
      <charset val="0"/>
    </font>
    <font>
      <sz val="11"/>
      <color theme="9"/>
      <name val="华文宋体"/>
      <charset val="134"/>
    </font>
    <font>
      <sz val="20"/>
      <color theme="0"/>
      <name val="华文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auto="1"/>
      </left>
      <right style="thick">
        <color theme="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auto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FF0000"/>
      </left>
      <right style="double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rgb="FFFF0000"/>
      </bottom>
      <diagonal/>
    </border>
    <border>
      <left style="double">
        <color rgb="FFFF0000"/>
      </left>
      <right style="double">
        <color rgb="FFFF0000"/>
      </right>
      <top style="thin">
        <color auto="1"/>
      </top>
      <bottom style="thick">
        <color rgb="FFFF0000"/>
      </bottom>
      <diagonal/>
    </border>
    <border>
      <left/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theme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rgb="FFFF0000"/>
      </left>
      <right style="double">
        <color rgb="FFFF0000"/>
      </right>
      <top/>
      <bottom style="thin">
        <color auto="1"/>
      </bottom>
      <diagonal/>
    </border>
    <border>
      <left/>
      <right style="thick">
        <color rgb="FFFF0000"/>
      </right>
      <top/>
      <bottom/>
      <diagonal/>
    </border>
    <border>
      <left style="thin">
        <color theme="1"/>
      </left>
      <right style="thick">
        <color rgb="FFFF0000"/>
      </right>
      <top/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rgb="FFFF0000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n">
        <color auto="1"/>
      </left>
      <right style="thick">
        <color rgb="FFFF0000"/>
      </right>
      <top/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8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theme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 style="thin">
        <color theme="1"/>
      </left>
      <right/>
      <top style="thin">
        <color auto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auto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7" fillId="0" borderId="0">
      <alignment vertical="center"/>
    </xf>
    <xf numFmtId="0" fontId="48" fillId="0" borderId="0">
      <alignment vertical="center"/>
    </xf>
    <xf numFmtId="0" fontId="0" fillId="8" borderId="66">
      <alignment vertical="center"/>
    </xf>
    <xf numFmtId="0" fontId="49" fillId="0" borderId="0">
      <alignment vertical="center"/>
    </xf>
    <xf numFmtId="0" fontId="50" fillId="0" borderId="0">
      <alignment vertical="center"/>
    </xf>
    <xf numFmtId="0" fontId="51" fillId="0" borderId="0">
      <alignment vertical="center"/>
    </xf>
    <xf numFmtId="0" fontId="52" fillId="0" borderId="67">
      <alignment vertical="center"/>
    </xf>
    <xf numFmtId="0" fontId="53" fillId="0" borderId="67">
      <alignment vertical="center"/>
    </xf>
    <xf numFmtId="0" fontId="54" fillId="0" borderId="68">
      <alignment vertical="center"/>
    </xf>
    <xf numFmtId="0" fontId="54" fillId="0" borderId="0">
      <alignment vertical="center"/>
    </xf>
    <xf numFmtId="0" fontId="55" fillId="9" borderId="69">
      <alignment vertical="center"/>
    </xf>
    <xf numFmtId="0" fontId="56" fillId="10" borderId="70">
      <alignment vertical="center"/>
    </xf>
    <xf numFmtId="0" fontId="57" fillId="10" borderId="69">
      <alignment vertical="center"/>
    </xf>
    <xf numFmtId="0" fontId="58" fillId="11" borderId="71">
      <alignment vertical="center"/>
    </xf>
    <xf numFmtId="0" fontId="59" fillId="0" borderId="72">
      <alignment vertical="center"/>
    </xf>
    <xf numFmtId="0" fontId="60" fillId="0" borderId="73">
      <alignment vertical="center"/>
    </xf>
    <xf numFmtId="0" fontId="61" fillId="12" borderId="0">
      <alignment vertical="center"/>
    </xf>
    <xf numFmtId="0" fontId="62" fillId="13" borderId="0">
      <alignment vertical="center"/>
    </xf>
    <xf numFmtId="0" fontId="63" fillId="14" borderId="0">
      <alignment vertical="center"/>
    </xf>
    <xf numFmtId="0" fontId="64" fillId="15" borderId="0">
      <alignment vertical="center"/>
    </xf>
    <xf numFmtId="0" fontId="65" fillId="16" borderId="0">
      <alignment vertical="center"/>
    </xf>
    <xf numFmtId="0" fontId="65" fillId="17" borderId="0">
      <alignment vertical="center"/>
    </xf>
    <xf numFmtId="0" fontId="64" fillId="18" borderId="0">
      <alignment vertical="center"/>
    </xf>
    <xf numFmtId="0" fontId="64" fillId="6" borderId="0">
      <alignment vertical="center"/>
    </xf>
    <xf numFmtId="0" fontId="65" fillId="19" borderId="0">
      <alignment vertical="center"/>
    </xf>
    <xf numFmtId="0" fontId="65" fillId="20" borderId="0">
      <alignment vertical="center"/>
    </xf>
    <xf numFmtId="0" fontId="64" fillId="21" borderId="0">
      <alignment vertical="center"/>
    </xf>
    <xf numFmtId="0" fontId="64" fillId="22" borderId="0">
      <alignment vertical="center"/>
    </xf>
    <xf numFmtId="0" fontId="65" fillId="23" borderId="0">
      <alignment vertical="center"/>
    </xf>
    <xf numFmtId="0" fontId="65" fillId="24" borderId="0">
      <alignment vertical="center"/>
    </xf>
    <xf numFmtId="0" fontId="64" fillId="25" borderId="0">
      <alignment vertical="center"/>
    </xf>
    <xf numFmtId="0" fontId="64" fillId="26" borderId="0">
      <alignment vertical="center"/>
    </xf>
    <xf numFmtId="0" fontId="65" fillId="27" borderId="0">
      <alignment vertical="center"/>
    </xf>
    <xf numFmtId="0" fontId="65" fillId="28" borderId="0">
      <alignment vertical="center"/>
    </xf>
    <xf numFmtId="0" fontId="64" fillId="29" borderId="0">
      <alignment vertical="center"/>
    </xf>
    <xf numFmtId="0" fontId="64" fillId="2" borderId="0">
      <alignment vertical="center"/>
    </xf>
    <xf numFmtId="0" fontId="65" fillId="30" borderId="0">
      <alignment vertical="center"/>
    </xf>
    <xf numFmtId="0" fontId="65" fillId="31" borderId="0">
      <alignment vertical="center"/>
    </xf>
    <xf numFmtId="0" fontId="64" fillId="32" borderId="0">
      <alignment vertical="center"/>
    </xf>
    <xf numFmtId="0" fontId="64" fillId="33" borderId="0">
      <alignment vertical="center"/>
    </xf>
    <xf numFmtId="0" fontId="65" fillId="34" borderId="0">
      <alignment vertical="center"/>
    </xf>
    <xf numFmtId="0" fontId="65" fillId="35" borderId="0">
      <alignment vertical="center"/>
    </xf>
    <xf numFmtId="0" fontId="64" fillId="36" borderId="0">
      <alignment vertical="center"/>
    </xf>
  </cellStyleXfs>
  <cellXfs count="394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left" vertical="center" wrapText="1"/>
    </xf>
    <xf numFmtId="176" fontId="1" fillId="2" borderId="3" xfId="0" applyNumberFormat="1" applyFont="1" applyFill="1" applyBorder="1" applyAlignment="1">
      <alignment horizontal="left" vertical="center" shrinkToFit="1"/>
    </xf>
    <xf numFmtId="0" fontId="1" fillId="2" borderId="4" xfId="0" applyFont="1" applyFill="1" applyBorder="1" applyAlignment="1">
      <alignment horizontal="centerContinuous" vertical="center" shrinkToFit="1"/>
    </xf>
    <xf numFmtId="176" fontId="1" fillId="2" borderId="4" xfId="0" applyNumberFormat="1" applyFont="1" applyFill="1" applyBorder="1" applyAlignment="1">
      <alignment horizontal="centerContinuous" vertical="center" shrinkToFit="1"/>
    </xf>
    <xf numFmtId="43" fontId="1" fillId="2" borderId="5" xfId="0" applyNumberFormat="1" applyFont="1" applyFill="1" applyBorder="1" applyAlignment="1">
      <alignment horizontal="left" vertical="center" wrapText="1"/>
    </xf>
    <xf numFmtId="176" fontId="1" fillId="2" borderId="5" xfId="0" applyNumberFormat="1" applyFont="1" applyFill="1" applyBorder="1" applyAlignment="1">
      <alignment horizontal="left" vertical="center"/>
    </xf>
    <xf numFmtId="43" fontId="1" fillId="2" borderId="5" xfId="0" applyNumberFormat="1" applyFont="1" applyFill="1" applyBorder="1" applyAlignment="1">
      <alignment horizontal="left" vertical="center"/>
    </xf>
    <xf numFmtId="43" fontId="1" fillId="2" borderId="6" xfId="0" applyNumberFormat="1" applyFont="1" applyFill="1" applyBorder="1" applyAlignment="1">
      <alignment horizontal="left" vertical="center"/>
    </xf>
    <xf numFmtId="43" fontId="1" fillId="2" borderId="7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shrinkToFit="1"/>
    </xf>
    <xf numFmtId="0" fontId="2" fillId="0" borderId="9" xfId="0" applyFont="1" applyFill="1" applyBorder="1" applyAlignment="1">
      <alignment vertical="center" shrinkToFit="1"/>
    </xf>
    <xf numFmtId="176" fontId="1" fillId="0" borderId="4" xfId="0" applyNumberFormat="1" applyFont="1" applyFill="1" applyBorder="1" applyAlignment="1">
      <alignment horizontal="left" vertical="center" shrinkToFit="1"/>
    </xf>
    <xf numFmtId="176" fontId="1" fillId="0" borderId="4" xfId="0" applyNumberFormat="1" applyFont="1" applyFill="1" applyBorder="1" applyAlignment="1">
      <alignment horizontal="center" vertical="center" shrinkToFit="1"/>
    </xf>
    <xf numFmtId="43" fontId="1" fillId="0" borderId="1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176" fontId="4" fillId="3" borderId="11" xfId="0" applyNumberFormat="1" applyFont="1" applyFill="1" applyBorder="1" applyAlignment="1">
      <alignment horizontal="center" vertical="center" shrinkToFit="1"/>
    </xf>
    <xf numFmtId="176" fontId="5" fillId="3" borderId="11" xfId="0" applyNumberFormat="1" applyFont="1" applyFill="1" applyBorder="1" applyAlignment="1">
      <alignment horizontal="left" vertical="center" shrinkToFit="1"/>
    </xf>
    <xf numFmtId="176" fontId="5" fillId="3" borderId="11" xfId="0" applyNumberFormat="1" applyFont="1" applyFill="1" applyBorder="1" applyAlignment="1">
      <alignment horizontal="center" vertical="center" wrapText="1" shrinkToFit="1"/>
    </xf>
    <xf numFmtId="176" fontId="5" fillId="3" borderId="12" xfId="0" applyNumberFormat="1" applyFont="1" applyFill="1" applyBorder="1" applyAlignment="1">
      <alignment horizontal="centerContinuous" vertical="center" shrinkToFit="1"/>
    </xf>
    <xf numFmtId="176" fontId="5" fillId="3" borderId="13" xfId="0" applyNumberFormat="1" applyFont="1" applyFill="1" applyBorder="1" applyAlignment="1">
      <alignment horizontal="centerContinuous" vertical="center" shrinkToFit="1"/>
    </xf>
    <xf numFmtId="176" fontId="5" fillId="3" borderId="14" xfId="0" applyNumberFormat="1" applyFont="1" applyFill="1" applyBorder="1" applyAlignment="1">
      <alignment horizontal="center" vertical="center" shrinkToFit="1"/>
    </xf>
    <xf numFmtId="43" fontId="3" fillId="3" borderId="4" xfId="0" applyNumberFormat="1" applyFont="1" applyFill="1" applyBorder="1" applyAlignment="1">
      <alignment horizontal="left" vertical="center" wrapText="1"/>
    </xf>
    <xf numFmtId="0" fontId="3" fillId="3" borderId="4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43" fontId="3" fillId="3" borderId="4" xfId="0" applyNumberFormat="1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/>
    </xf>
    <xf numFmtId="176" fontId="5" fillId="3" borderId="4" xfId="0" applyNumberFormat="1" applyFont="1" applyFill="1" applyBorder="1" applyAlignment="1">
      <alignment vertical="center" shrinkToFit="1"/>
    </xf>
    <xf numFmtId="43" fontId="5" fillId="3" borderId="4" xfId="0" applyNumberFormat="1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 wrapText="1"/>
    </xf>
    <xf numFmtId="9" fontId="3" fillId="3" borderId="4" xfId="0" applyNumberFormat="1" applyFont="1" applyFill="1" applyBorder="1" applyAlignment="1">
      <alignment horizontal="center" vertical="center" wrapText="1"/>
    </xf>
    <xf numFmtId="176" fontId="4" fillId="3" borderId="15" xfId="0" applyNumberFormat="1" applyFont="1" applyFill="1" applyBorder="1" applyAlignment="1">
      <alignment horizontal="center" vertical="center" shrinkToFit="1"/>
    </xf>
    <xf numFmtId="176" fontId="5" fillId="3" borderId="15" xfId="0" applyNumberFormat="1" applyFont="1" applyFill="1" applyBorder="1" applyAlignment="1">
      <alignment horizontal="left" vertical="center" shrinkToFit="1"/>
    </xf>
    <xf numFmtId="176" fontId="5" fillId="3" borderId="15" xfId="0" applyNumberFormat="1" applyFont="1" applyFill="1" applyBorder="1" applyAlignment="1">
      <alignment horizontal="center" vertical="center" wrapText="1" shrinkToFit="1"/>
    </xf>
    <xf numFmtId="43" fontId="3" fillId="3" borderId="16" xfId="0" applyNumberFormat="1" applyFont="1" applyFill="1" applyBorder="1" applyAlignment="1">
      <alignment horizontal="left" vertical="center" wrapText="1"/>
    </xf>
    <xf numFmtId="43" fontId="4" fillId="3" borderId="16" xfId="0" applyNumberFormat="1" applyFont="1" applyFill="1" applyBorder="1" applyAlignment="1">
      <alignment horizontal="left" vertical="center" wrapText="1"/>
    </xf>
    <xf numFmtId="43" fontId="4" fillId="3" borderId="16" xfId="0" applyNumberFormat="1" applyFont="1" applyFill="1" applyBorder="1" applyAlignment="1">
      <alignment horizontal="center" vertical="center" wrapText="1"/>
    </xf>
    <xf numFmtId="43" fontId="4" fillId="3" borderId="16" xfId="0" applyNumberFormat="1" applyFont="1" applyFill="1" applyBorder="1" applyAlignment="1">
      <alignment horizontal="center" vertical="center" shrinkToFit="1"/>
    </xf>
    <xf numFmtId="176" fontId="6" fillId="0" borderId="4" xfId="0" applyNumberFormat="1" applyFont="1" applyBorder="1" applyAlignment="1">
      <alignment vertical="center" shrinkToFit="1"/>
    </xf>
    <xf numFmtId="176" fontId="1" fillId="0" borderId="4" xfId="0" applyNumberFormat="1" applyFont="1" applyBorder="1" applyAlignment="1">
      <alignment vertical="center" shrinkToFi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43" fontId="0" fillId="0" borderId="4" xfId="0" applyNumberFormat="1" applyBorder="1" applyAlignment="1">
      <alignment horizontal="left" vertical="center"/>
    </xf>
    <xf numFmtId="0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3" fontId="0" fillId="0" borderId="4" xfId="0" applyNumberFormat="1" applyBorder="1" applyAlignment="1">
      <alignment vertical="center"/>
    </xf>
    <xf numFmtId="43" fontId="0" fillId="0" borderId="17" xfId="0" applyNumberFormat="1" applyBorder="1" applyAlignment="1">
      <alignment vertical="center"/>
    </xf>
    <xf numFmtId="0" fontId="0" fillId="0" borderId="18" xfId="0" applyBorder="1" applyAlignment="1">
      <alignment vertical="center"/>
    </xf>
    <xf numFmtId="176" fontId="1" fillId="0" borderId="8" xfId="0" applyNumberFormat="1" applyFont="1" applyBorder="1" applyAlignment="1">
      <alignment vertical="center" shrinkToFit="1"/>
    </xf>
    <xf numFmtId="43" fontId="1" fillId="0" borderId="4" xfId="0" applyNumberFormat="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9" fontId="0" fillId="0" borderId="4" xfId="0" applyNumberFormat="1" applyBorder="1" applyAlignment="1">
      <alignment horizontal="center" vertical="center"/>
    </xf>
    <xf numFmtId="43" fontId="6" fillId="0" borderId="4" xfId="0" applyNumberFormat="1" applyFont="1" applyBorder="1" applyAlignment="1">
      <alignment vertical="center"/>
    </xf>
    <xf numFmtId="176" fontId="6" fillId="3" borderId="11" xfId="0" applyNumberFormat="1" applyFont="1" applyFill="1" applyBorder="1" applyAlignment="1">
      <alignment horizontal="center" vertical="center" shrinkToFit="1"/>
    </xf>
    <xf numFmtId="176" fontId="1" fillId="3" borderId="11" xfId="0" applyNumberFormat="1" applyFont="1" applyFill="1" applyBorder="1" applyAlignment="1">
      <alignment horizontal="center" vertical="center" shrinkToFit="1"/>
    </xf>
    <xf numFmtId="176" fontId="1" fillId="3" borderId="11" xfId="0" applyNumberFormat="1" applyFont="1" applyFill="1" applyBorder="1" applyAlignment="1">
      <alignment horizontal="center" vertical="center" wrapText="1" shrinkToFit="1"/>
    </xf>
    <xf numFmtId="176" fontId="1" fillId="3" borderId="12" xfId="0" applyNumberFormat="1" applyFont="1" applyFill="1" applyBorder="1" applyAlignment="1">
      <alignment horizontal="centerContinuous" vertical="center" shrinkToFit="1"/>
    </xf>
    <xf numFmtId="176" fontId="1" fillId="3" borderId="13" xfId="0" applyNumberFormat="1" applyFont="1" applyFill="1" applyBorder="1" applyAlignment="1">
      <alignment horizontal="centerContinuous" vertical="center" shrinkToFit="1"/>
    </xf>
    <xf numFmtId="176" fontId="1" fillId="3" borderId="14" xfId="0" applyNumberFormat="1" applyFont="1" applyFill="1" applyBorder="1" applyAlignment="1">
      <alignment horizontal="center" vertical="center" shrinkToFit="1"/>
    </xf>
    <xf numFmtId="43" fontId="0" fillId="3" borderId="4" xfId="0" applyNumberFormat="1" applyFill="1" applyBorder="1" applyAlignment="1">
      <alignment horizontal="left" vertical="center" wrapText="1"/>
    </xf>
    <xf numFmtId="0" fontId="0" fillId="3" borderId="4" xfId="0" applyNumberForma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43" fontId="0" fillId="3" borderId="4" xfId="0" applyNumberFormat="1" applyFill="1" applyBorder="1" applyAlignment="1">
      <alignment vertical="center" wrapText="1"/>
    </xf>
    <xf numFmtId="43" fontId="0" fillId="3" borderId="17" xfId="0" applyNumberFormat="1" applyFill="1" applyBorder="1" applyAlignment="1">
      <alignment vertical="center" wrapText="1"/>
    </xf>
    <xf numFmtId="0" fontId="0" fillId="3" borderId="18" xfId="0" applyFill="1" applyBorder="1" applyAlignment="1">
      <alignment horizontal="center" vertical="center"/>
    </xf>
    <xf numFmtId="176" fontId="1" fillId="3" borderId="8" xfId="0" applyNumberFormat="1" applyFont="1" applyFill="1" applyBorder="1" applyAlignment="1">
      <alignment vertical="center" shrinkToFit="1"/>
    </xf>
    <xf numFmtId="43" fontId="1" fillId="3" borderId="4" xfId="0" applyNumberFormat="1" applyFont="1" applyFill="1" applyBorder="1" applyAlignment="1">
      <alignment vertical="center"/>
    </xf>
    <xf numFmtId="176" fontId="1" fillId="3" borderId="4" xfId="0" applyNumberFormat="1" applyFont="1" applyFill="1" applyBorder="1" applyAlignment="1">
      <alignment vertical="center" shrinkToFit="1"/>
    </xf>
    <xf numFmtId="0" fontId="1" fillId="3" borderId="4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vertical="center"/>
    </xf>
    <xf numFmtId="9" fontId="0" fillId="3" borderId="4" xfId="0" applyNumberFormat="1" applyFill="1" applyBorder="1" applyAlignment="1">
      <alignment horizontal="center" vertical="center" wrapText="1"/>
    </xf>
    <xf numFmtId="176" fontId="6" fillId="3" borderId="15" xfId="0" applyNumberFormat="1" applyFont="1" applyFill="1" applyBorder="1" applyAlignment="1">
      <alignment horizontal="center" vertical="center" shrinkToFit="1"/>
    </xf>
    <xf numFmtId="176" fontId="1" fillId="3" borderId="15" xfId="0" applyNumberFormat="1" applyFont="1" applyFill="1" applyBorder="1" applyAlignment="1">
      <alignment horizontal="center" vertical="center" shrinkToFit="1"/>
    </xf>
    <xf numFmtId="176" fontId="1" fillId="3" borderId="15" xfId="0" applyNumberFormat="1" applyFont="1" applyFill="1" applyBorder="1" applyAlignment="1">
      <alignment horizontal="center" vertical="center" wrapText="1" shrinkToFit="1"/>
    </xf>
    <xf numFmtId="43" fontId="0" fillId="3" borderId="16" xfId="0" applyNumberFormat="1" applyFill="1" applyBorder="1" applyAlignment="1">
      <alignment horizontal="left" vertical="center" wrapText="1"/>
    </xf>
    <xf numFmtId="177" fontId="7" fillId="3" borderId="16" xfId="0" applyNumberFormat="1" applyFont="1" applyFill="1" applyBorder="1" applyAlignment="1">
      <alignment horizontal="center" vertical="center" wrapText="1"/>
    </xf>
    <xf numFmtId="43" fontId="7" fillId="3" borderId="16" xfId="0" applyNumberFormat="1" applyFont="1" applyFill="1" applyBorder="1" applyAlignment="1">
      <alignment horizontal="center" vertical="center" wrapText="1"/>
    </xf>
    <xf numFmtId="43" fontId="7" fillId="3" borderId="19" xfId="0" applyNumberFormat="1" applyFont="1" applyFill="1" applyBorder="1" applyAlignment="1">
      <alignment horizontal="center" vertical="center" wrapText="1"/>
    </xf>
    <xf numFmtId="43" fontId="7" fillId="3" borderId="20" xfId="0" applyNumberFormat="1" applyFont="1" applyFill="1" applyBorder="1" applyAlignment="1">
      <alignment horizontal="center" vertical="center" wrapText="1"/>
    </xf>
    <xf numFmtId="43" fontId="7" fillId="3" borderId="21" xfId="0" applyNumberFormat="1" applyFont="1" applyFill="1" applyBorder="1" applyAlignment="1">
      <alignment horizontal="center" vertical="center" shrinkToFit="1"/>
    </xf>
    <xf numFmtId="43" fontId="7" fillId="3" borderId="16" xfId="0" applyNumberFormat="1" applyFont="1" applyFill="1" applyBorder="1" applyAlignment="1">
      <alignment horizontal="center" vertical="center" shrinkToFit="1"/>
    </xf>
    <xf numFmtId="176" fontId="6" fillId="0" borderId="22" xfId="0" applyNumberFormat="1" applyFont="1" applyBorder="1" applyAlignment="1">
      <alignment vertical="center" shrinkToFit="1"/>
    </xf>
    <xf numFmtId="0" fontId="3" fillId="0" borderId="4" xfId="0" applyFont="1" applyFill="1" applyBorder="1" applyAlignment="1">
      <alignment vertical="center"/>
    </xf>
    <xf numFmtId="176" fontId="3" fillId="0" borderId="4" xfId="0" applyNumberFormat="1" applyFont="1" applyBorder="1" applyAlignment="1">
      <alignment vertical="center"/>
    </xf>
    <xf numFmtId="176" fontId="3" fillId="0" borderId="17" xfId="0" applyNumberFormat="1" applyFont="1" applyBorder="1" applyAlignment="1">
      <alignment vertical="center"/>
    </xf>
    <xf numFmtId="0" fontId="3" fillId="0" borderId="23" xfId="0" applyFont="1" applyFill="1" applyBorder="1" applyAlignment="1">
      <alignment vertical="center" wrapText="1"/>
    </xf>
    <xf numFmtId="43" fontId="0" fillId="0" borderId="24" xfId="0" applyNumberFormat="1" applyBorder="1" applyAlignment="1">
      <alignment horizontal="left" vertical="center"/>
    </xf>
    <xf numFmtId="0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3" fontId="0" fillId="0" borderId="22" xfId="0" applyNumberFormat="1" applyBorder="1" applyAlignment="1">
      <alignment vertical="center"/>
    </xf>
    <xf numFmtId="43" fontId="0" fillId="0" borderId="25" xfId="0" applyNumberFormat="1" applyBorder="1" applyAlignment="1">
      <alignment vertical="center"/>
    </xf>
    <xf numFmtId="43" fontId="0" fillId="0" borderId="26" xfId="0" applyNumberFormat="1" applyBorder="1" applyAlignment="1">
      <alignment vertical="center"/>
    </xf>
    <xf numFmtId="176" fontId="1" fillId="0" borderId="24" xfId="0" applyNumberFormat="1" applyFont="1" applyBorder="1" applyAlignment="1">
      <alignment vertical="center" shrinkToFit="1"/>
    </xf>
    <xf numFmtId="43" fontId="1" fillId="0" borderId="22" xfId="0" applyNumberFormat="1" applyFont="1" applyBorder="1" applyAlignment="1">
      <alignment vertical="center"/>
    </xf>
    <xf numFmtId="176" fontId="1" fillId="0" borderId="22" xfId="0" applyNumberFormat="1" applyFont="1" applyBorder="1" applyAlignment="1">
      <alignment vertical="center" shrinkToFit="1"/>
    </xf>
    <xf numFmtId="43" fontId="0" fillId="0" borderId="22" xfId="0" applyNumberFormat="1" applyBorder="1" applyAlignment="1">
      <alignment horizontal="left" vertical="center"/>
    </xf>
    <xf numFmtId="0" fontId="3" fillId="0" borderId="22" xfId="0" applyFont="1" applyFill="1" applyBorder="1" applyAlignment="1">
      <alignment vertical="center" wrapText="1"/>
    </xf>
    <xf numFmtId="43" fontId="0" fillId="0" borderId="18" xfId="0" applyNumberForma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176" fontId="3" fillId="0" borderId="4" xfId="0" applyNumberFormat="1" applyFont="1" applyFill="1" applyBorder="1" applyAlignment="1">
      <alignment vertical="center"/>
    </xf>
    <xf numFmtId="176" fontId="3" fillId="0" borderId="17" xfId="0" applyNumberFormat="1" applyFont="1" applyFill="1" applyBorder="1" applyAlignment="1">
      <alignment vertical="center"/>
    </xf>
    <xf numFmtId="0" fontId="3" fillId="0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176" fontId="1" fillId="0" borderId="4" xfId="0" applyNumberFormat="1" applyFont="1" applyFill="1" applyBorder="1" applyAlignment="1">
      <alignment vertical="center" shrinkToFit="1"/>
    </xf>
    <xf numFmtId="0" fontId="8" fillId="0" borderId="0" xfId="0" applyFont="1" applyAlignment="1">
      <alignment horizontal="left" vertical="center"/>
    </xf>
    <xf numFmtId="176" fontId="0" fillId="0" borderId="0" xfId="0" applyNumberFormat="1" applyAlignment="1">
      <alignment vertical="center"/>
    </xf>
    <xf numFmtId="0" fontId="0" fillId="0" borderId="27" xfId="0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0" xfId="0" applyNumberFormat="1" applyAlignment="1">
      <alignment horizontal="center" vertical="center"/>
    </xf>
    <xf numFmtId="176" fontId="9" fillId="3" borderId="11" xfId="0" applyNumberFormat="1" applyFont="1" applyFill="1" applyBorder="1" applyAlignment="1">
      <alignment horizontal="center" vertical="center" wrapText="1" shrinkToFit="1"/>
    </xf>
    <xf numFmtId="176" fontId="5" fillId="3" borderId="28" xfId="0" applyNumberFormat="1" applyFont="1" applyFill="1" applyBorder="1" applyAlignment="1">
      <alignment horizontal="center" vertical="center" shrinkToFit="1"/>
    </xf>
    <xf numFmtId="176" fontId="5" fillId="3" borderId="29" xfId="0" applyNumberFormat="1" applyFont="1" applyFill="1" applyBorder="1" applyAlignment="1">
      <alignment horizontal="center" vertical="center" shrinkToFit="1"/>
    </xf>
    <xf numFmtId="43" fontId="3" fillId="3" borderId="8" xfId="0" applyNumberFormat="1" applyFont="1" applyFill="1" applyBorder="1" applyAlignment="1">
      <alignment horizontal="left" vertical="center" wrapText="1"/>
    </xf>
    <xf numFmtId="43" fontId="3" fillId="3" borderId="4" xfId="0" applyNumberFormat="1" applyFont="1" applyFill="1" applyBorder="1" applyAlignment="1">
      <alignment horizontal="center" vertical="center"/>
    </xf>
    <xf numFmtId="176" fontId="4" fillId="3" borderId="30" xfId="0" applyNumberFormat="1" applyFont="1" applyFill="1" applyBorder="1" applyAlignment="1">
      <alignment horizontal="center" vertical="center" shrinkToFit="1"/>
    </xf>
    <xf numFmtId="176" fontId="5" fillId="3" borderId="30" xfId="0" applyNumberFormat="1" applyFont="1" applyFill="1" applyBorder="1" applyAlignment="1">
      <alignment horizontal="left" vertical="center" shrinkToFit="1"/>
    </xf>
    <xf numFmtId="176" fontId="9" fillId="3" borderId="30" xfId="0" applyNumberFormat="1" applyFont="1" applyFill="1" applyBorder="1" applyAlignment="1">
      <alignment horizontal="center" vertical="center" wrapText="1" shrinkToFit="1"/>
    </xf>
    <xf numFmtId="176" fontId="3" fillId="3" borderId="11" xfId="0" applyNumberFormat="1" applyFont="1" applyFill="1" applyBorder="1" applyAlignment="1">
      <alignment horizontal="left" vertical="center" wrapText="1"/>
    </xf>
    <xf numFmtId="43" fontId="3" fillId="3" borderId="31" xfId="0" applyNumberFormat="1" applyFont="1" applyFill="1" applyBorder="1" applyAlignment="1">
      <alignment horizontal="left" vertical="center" wrapText="1"/>
    </xf>
    <xf numFmtId="43" fontId="3" fillId="3" borderId="32" xfId="0" applyNumberFormat="1" applyFont="1" applyFill="1" applyBorder="1" applyAlignment="1">
      <alignment horizontal="left" vertical="center" wrapText="1"/>
    </xf>
    <xf numFmtId="43" fontId="3" fillId="3" borderId="33" xfId="0" applyNumberFormat="1" applyFont="1" applyFill="1" applyBorder="1" applyAlignment="1">
      <alignment horizontal="left" vertical="center" wrapText="1"/>
    </xf>
    <xf numFmtId="0" fontId="4" fillId="3" borderId="11" xfId="0" applyNumberFormat="1" applyFont="1" applyFill="1" applyBorder="1" applyAlignment="1">
      <alignment horizontal="center" vertical="center" wrapText="1"/>
    </xf>
    <xf numFmtId="43" fontId="4" fillId="3" borderId="11" xfId="0" applyNumberFormat="1" applyFont="1" applyFill="1" applyBorder="1" applyAlignment="1">
      <alignment horizontal="center" vertical="center" wrapText="1"/>
    </xf>
    <xf numFmtId="43" fontId="4" fillId="3" borderId="11" xfId="0" applyNumberFormat="1" applyFont="1" applyFill="1" applyBorder="1" applyAlignment="1">
      <alignment horizontal="center" vertical="center" shrinkToFit="1"/>
    </xf>
    <xf numFmtId="0" fontId="9" fillId="0" borderId="4" xfId="0" applyFont="1" applyFill="1" applyBorder="1" applyAlignment="1">
      <alignment horizontal="left" vertical="center" shrinkToFit="1"/>
    </xf>
    <xf numFmtId="176" fontId="0" fillId="0" borderId="4" xfId="0" applyNumberFormat="1" applyBorder="1" applyAlignment="1">
      <alignment vertic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43" fontId="0" fillId="0" borderId="8" xfId="0" applyNumberFormat="1" applyBorder="1" applyAlignment="1">
      <alignment vertical="center"/>
    </xf>
    <xf numFmtId="0" fontId="9" fillId="0" borderId="4" xfId="0" applyFont="1" applyFill="1" applyBorder="1" applyAlignment="1">
      <alignment horizontal="left" vertical="center"/>
    </xf>
    <xf numFmtId="0" fontId="9" fillId="0" borderId="36" xfId="0" applyFont="1" applyFill="1" applyBorder="1" applyAlignment="1">
      <alignment horizontal="left" vertical="center" shrinkToFit="1"/>
    </xf>
    <xf numFmtId="176" fontId="1" fillId="0" borderId="4" xfId="0" applyNumberFormat="1" applyFont="1" applyFill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3" fontId="0" fillId="0" borderId="8" xfId="0" applyNumberForma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3" fillId="0" borderId="4" xfId="0" applyFont="1" applyFill="1" applyBorder="1" applyAlignment="1">
      <alignment vertical="center" shrinkToFit="1"/>
    </xf>
    <xf numFmtId="0" fontId="9" fillId="0" borderId="4" xfId="0" applyFont="1" applyFill="1" applyBorder="1" applyAlignment="1">
      <alignment vertical="center" shrinkToFit="1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vertical="center"/>
    </xf>
    <xf numFmtId="176" fontId="14" fillId="3" borderId="11" xfId="0" applyNumberFormat="1" applyFont="1" applyFill="1" applyBorder="1" applyAlignment="1">
      <alignment horizontal="center" vertical="center" wrapText="1" shrinkToFit="1"/>
    </xf>
    <xf numFmtId="176" fontId="15" fillId="3" borderId="11" xfId="0" applyNumberFormat="1" applyFont="1" applyFill="1" applyBorder="1" applyAlignment="1">
      <alignment horizontal="left" vertical="center" wrapText="1" shrinkToFit="1"/>
    </xf>
    <xf numFmtId="176" fontId="15" fillId="3" borderId="11" xfId="0" applyNumberFormat="1" applyFont="1" applyFill="1" applyBorder="1" applyAlignment="1">
      <alignment vertical="center" wrapText="1" shrinkToFit="1"/>
    </xf>
    <xf numFmtId="176" fontId="15" fillId="3" borderId="37" xfId="0" applyNumberFormat="1" applyFont="1" applyFill="1" applyBorder="1" applyAlignment="1">
      <alignment horizontal="center" vertical="center" wrapText="1" shrinkToFit="1"/>
    </xf>
    <xf numFmtId="176" fontId="15" fillId="3" borderId="32" xfId="0" applyNumberFormat="1" applyFont="1" applyFill="1" applyBorder="1" applyAlignment="1">
      <alignment horizontal="center" vertical="center" wrapText="1" shrinkToFit="1"/>
    </xf>
    <xf numFmtId="176" fontId="15" fillId="3" borderId="11" xfId="0" applyNumberFormat="1" applyFont="1" applyFill="1" applyBorder="1" applyAlignment="1">
      <alignment horizontal="center" vertical="center" wrapText="1" shrinkToFit="1"/>
    </xf>
    <xf numFmtId="0" fontId="16" fillId="3" borderId="8" xfId="0" applyFont="1" applyFill="1" applyBorder="1" applyAlignment="1">
      <alignment horizontal="left" vertical="center" wrapText="1"/>
    </xf>
    <xf numFmtId="43" fontId="16" fillId="3" borderId="8" xfId="0" applyNumberFormat="1" applyFont="1" applyFill="1" applyBorder="1" applyAlignment="1">
      <alignment horizontal="center" vertical="center" wrapText="1"/>
    </xf>
    <xf numFmtId="0" fontId="16" fillId="3" borderId="4" xfId="0" applyNumberFormat="1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43" fontId="16" fillId="3" borderId="4" xfId="0" applyNumberFormat="1" applyFont="1" applyFill="1" applyBorder="1" applyAlignment="1">
      <alignment horizontal="center" vertical="center" wrapText="1"/>
    </xf>
    <xf numFmtId="176" fontId="15" fillId="3" borderId="4" xfId="0" applyNumberFormat="1" applyFont="1" applyFill="1" applyBorder="1" applyAlignment="1">
      <alignment horizontal="center" vertical="center" wrapText="1" shrinkToFit="1"/>
    </xf>
    <xf numFmtId="43" fontId="15" fillId="3" borderId="4" xfId="0" applyNumberFormat="1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9" fontId="16" fillId="3" borderId="4" xfId="0" applyNumberFormat="1" applyFont="1" applyFill="1" applyBorder="1" applyAlignment="1">
      <alignment horizontal="center" vertical="center" wrapText="1"/>
    </xf>
    <xf numFmtId="176" fontId="14" fillId="3" borderId="30" xfId="0" applyNumberFormat="1" applyFont="1" applyFill="1" applyBorder="1" applyAlignment="1">
      <alignment horizontal="center" vertical="center" wrapText="1" shrinkToFit="1"/>
    </xf>
    <xf numFmtId="176" fontId="15" fillId="3" borderId="30" xfId="0" applyNumberFormat="1" applyFont="1" applyFill="1" applyBorder="1" applyAlignment="1">
      <alignment horizontal="left" vertical="center" wrapText="1" shrinkToFit="1"/>
    </xf>
    <xf numFmtId="176" fontId="14" fillId="3" borderId="15" xfId="0" applyNumberFormat="1" applyFont="1" applyFill="1" applyBorder="1" applyAlignment="1">
      <alignment horizontal="right" vertical="center" wrapText="1" shrinkToFit="1"/>
    </xf>
    <xf numFmtId="176" fontId="15" fillId="3" borderId="38" xfId="0" applyNumberFormat="1" applyFont="1" applyFill="1" applyBorder="1" applyAlignment="1">
      <alignment horizontal="center" vertical="center" wrapText="1" shrinkToFit="1"/>
    </xf>
    <xf numFmtId="176" fontId="15" fillId="3" borderId="39" xfId="0" applyNumberFormat="1" applyFont="1" applyFill="1" applyBorder="1" applyAlignment="1">
      <alignment horizontal="center" vertical="center" wrapText="1" shrinkToFit="1"/>
    </xf>
    <xf numFmtId="176" fontId="15" fillId="3" borderId="15" xfId="0" applyNumberFormat="1" applyFont="1" applyFill="1" applyBorder="1" applyAlignment="1">
      <alignment horizontal="center" vertical="center" wrapText="1" shrinkToFit="1"/>
    </xf>
    <xf numFmtId="43" fontId="17" fillId="3" borderId="21" xfId="0" applyNumberFormat="1" applyFont="1" applyFill="1" applyBorder="1" applyAlignment="1">
      <alignment horizontal="left" vertical="center" wrapText="1"/>
    </xf>
    <xf numFmtId="43" fontId="18" fillId="3" borderId="21" xfId="0" applyNumberFormat="1" applyFont="1" applyFill="1" applyBorder="1" applyAlignment="1">
      <alignment horizontal="center" vertical="center" wrapText="1"/>
    </xf>
    <xf numFmtId="0" fontId="17" fillId="3" borderId="16" xfId="0" applyNumberFormat="1" applyFont="1" applyFill="1" applyBorder="1" applyAlignment="1">
      <alignment horizontal="center" vertical="center" wrapText="1"/>
    </xf>
    <xf numFmtId="43" fontId="17" fillId="3" borderId="16" xfId="0" applyNumberFormat="1" applyFont="1" applyFill="1" applyBorder="1" applyAlignment="1">
      <alignment horizontal="center" vertical="center" wrapText="1"/>
    </xf>
    <xf numFmtId="43" fontId="17" fillId="3" borderId="16" xfId="0" applyNumberFormat="1" applyFont="1" applyFill="1" applyBorder="1" applyAlignment="1">
      <alignment horizontal="center" vertical="center" wrapText="1" shrinkToFit="1"/>
    </xf>
    <xf numFmtId="0" fontId="18" fillId="0" borderId="4" xfId="0" applyFont="1" applyBorder="1" applyAlignment="1">
      <alignment horizontal="center" vertical="center" wrapText="1"/>
    </xf>
    <xf numFmtId="0" fontId="19" fillId="0" borderId="0" xfId="0" applyFont="1">
      <alignment vertical="center"/>
    </xf>
    <xf numFmtId="0" fontId="18" fillId="0" borderId="4" xfId="0" applyFont="1" applyFill="1" applyBorder="1" applyAlignment="1">
      <alignment horizontal="left" vertical="center" wrapText="1"/>
    </xf>
    <xf numFmtId="176" fontId="18" fillId="0" borderId="22" xfId="0" applyNumberFormat="1" applyFont="1" applyBorder="1" applyAlignment="1">
      <alignment horizontal="center" vertical="center" wrapText="1"/>
    </xf>
    <xf numFmtId="176" fontId="0" fillId="0" borderId="22" xfId="0" applyNumberFormat="1" applyBorder="1" applyAlignment="1">
      <alignment vertical="center"/>
    </xf>
    <xf numFmtId="0" fontId="18" fillId="0" borderId="40" xfId="0" applyFont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left" vertical="center" wrapText="1"/>
    </xf>
    <xf numFmtId="43" fontId="18" fillId="0" borderId="22" xfId="0" applyNumberFormat="1" applyFont="1" applyBorder="1" applyAlignment="1">
      <alignment horizontal="center" vertical="center" wrapText="1"/>
    </xf>
    <xf numFmtId="0" fontId="18" fillId="0" borderId="22" xfId="0" applyNumberFormat="1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vertical="center"/>
    </xf>
    <xf numFmtId="0" fontId="18" fillId="0" borderId="4" xfId="0" applyFont="1" applyBorder="1" applyAlignment="1">
      <alignment horizontal="left" vertical="center" wrapText="1"/>
    </xf>
    <xf numFmtId="176" fontId="18" fillId="0" borderId="4" xfId="0" applyNumberFormat="1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43" fontId="18" fillId="0" borderId="4" xfId="0" applyNumberFormat="1" applyFont="1" applyBorder="1" applyAlignment="1">
      <alignment horizontal="center" vertical="center" wrapText="1"/>
    </xf>
    <xf numFmtId="0" fontId="18" fillId="0" borderId="4" xfId="0" applyNumberFormat="1" applyFont="1" applyBorder="1" applyAlignment="1">
      <alignment horizontal="center" vertical="center" wrapText="1"/>
    </xf>
    <xf numFmtId="0" fontId="19" fillId="0" borderId="4" xfId="0" applyFont="1" applyBorder="1">
      <alignment vertical="center"/>
    </xf>
    <xf numFmtId="0" fontId="20" fillId="0" borderId="4" xfId="0" applyFont="1" applyFill="1" applyBorder="1" applyAlignment="1">
      <alignment horizontal="left" vertical="center" wrapText="1"/>
    </xf>
    <xf numFmtId="43" fontId="0" fillId="0" borderId="0" xfId="0" applyNumberFormat="1" applyAlignment="1">
      <alignment horizontal="left" vertical="center"/>
    </xf>
    <xf numFmtId="176" fontId="15" fillId="3" borderId="12" xfId="0" applyNumberFormat="1" applyFont="1" applyFill="1" applyBorder="1" applyAlignment="1">
      <alignment horizontal="center" vertical="center" wrapText="1" shrinkToFit="1"/>
    </xf>
    <xf numFmtId="176" fontId="15" fillId="3" borderId="13" xfId="0" applyNumberFormat="1" applyFont="1" applyFill="1" applyBorder="1" applyAlignment="1">
      <alignment horizontal="center" vertical="center" wrapText="1" shrinkToFit="1"/>
    </xf>
    <xf numFmtId="176" fontId="15" fillId="3" borderId="28" xfId="0" applyNumberFormat="1" applyFont="1" applyFill="1" applyBorder="1" applyAlignment="1">
      <alignment horizontal="center" vertical="center" wrapText="1" shrinkToFit="1"/>
    </xf>
    <xf numFmtId="43" fontId="16" fillId="3" borderId="8" xfId="0" applyNumberFormat="1" applyFont="1" applyFill="1" applyBorder="1" applyAlignment="1">
      <alignment horizontal="left" vertical="center" wrapText="1"/>
    </xf>
    <xf numFmtId="176" fontId="14" fillId="3" borderId="15" xfId="0" applyNumberFormat="1" applyFont="1" applyFill="1" applyBorder="1" applyAlignment="1">
      <alignment horizontal="center" vertical="center" wrapText="1" shrinkToFit="1"/>
    </xf>
    <xf numFmtId="176" fontId="15" fillId="3" borderId="15" xfId="0" applyNumberFormat="1" applyFont="1" applyFill="1" applyBorder="1" applyAlignment="1">
      <alignment horizontal="left" vertical="center" wrapText="1" shrinkToFit="1"/>
    </xf>
    <xf numFmtId="43" fontId="16" fillId="3" borderId="16" xfId="0" applyNumberFormat="1" applyFont="1" applyFill="1" applyBorder="1" applyAlignment="1">
      <alignment horizontal="center" vertical="center" wrapText="1"/>
    </xf>
    <xf numFmtId="43" fontId="16" fillId="3" borderId="41" xfId="0" applyNumberFormat="1" applyFont="1" applyFill="1" applyBorder="1" applyAlignment="1">
      <alignment horizontal="center" vertical="center" wrapText="1"/>
    </xf>
    <xf numFmtId="43" fontId="16" fillId="3" borderId="21" xfId="0" applyNumberFormat="1" applyFont="1" applyFill="1" applyBorder="1" applyAlignment="1">
      <alignment horizontal="center" vertical="center" wrapText="1"/>
    </xf>
    <xf numFmtId="0" fontId="14" fillId="3" borderId="16" xfId="0" applyNumberFormat="1" applyFont="1" applyFill="1" applyBorder="1" applyAlignment="1">
      <alignment horizontal="center" vertical="center" wrapText="1"/>
    </xf>
    <xf numFmtId="43" fontId="14" fillId="3" borderId="16" xfId="0" applyNumberFormat="1" applyFont="1" applyFill="1" applyBorder="1" applyAlignment="1">
      <alignment horizontal="center" vertical="center" wrapText="1"/>
    </xf>
    <xf numFmtId="43" fontId="16" fillId="3" borderId="21" xfId="0" applyNumberFormat="1" applyFont="1" applyFill="1" applyBorder="1" applyAlignment="1">
      <alignment horizontal="left" vertical="center" wrapText="1"/>
    </xf>
    <xf numFmtId="43" fontId="14" fillId="3" borderId="16" xfId="0" applyNumberFormat="1" applyFont="1" applyFill="1" applyBorder="1" applyAlignment="1">
      <alignment horizontal="center" vertical="center" wrapText="1" shrinkToFit="1"/>
    </xf>
    <xf numFmtId="0" fontId="18" fillId="0" borderId="0" xfId="0" applyFont="1" applyAlignment="1">
      <alignment horizontal="center" vertical="center" wrapText="1"/>
    </xf>
    <xf numFmtId="176" fontId="18" fillId="0" borderId="11" xfId="0" applyNumberFormat="1" applyFont="1" applyBorder="1" applyAlignment="1">
      <alignment horizontal="center" vertical="center" wrapText="1"/>
    </xf>
    <xf numFmtId="0" fontId="3" fillId="0" borderId="40" xfId="0" applyFont="1" applyFill="1" applyBorder="1" applyAlignment="1">
      <alignment vertical="center" wrapText="1"/>
    </xf>
    <xf numFmtId="43" fontId="18" fillId="0" borderId="0" xfId="0" applyNumberFormat="1" applyFont="1" applyAlignment="1">
      <alignment horizontal="center" vertical="center" wrapText="1"/>
    </xf>
    <xf numFmtId="0" fontId="18" fillId="0" borderId="0" xfId="0" applyNumberFormat="1" applyFont="1" applyAlignment="1">
      <alignment horizontal="center" vertical="center" wrapText="1"/>
    </xf>
    <xf numFmtId="43" fontId="18" fillId="0" borderId="0" xfId="0" applyNumberFormat="1" applyFont="1" applyAlignment="1">
      <alignment horizontal="left" vertical="center" wrapText="1"/>
    </xf>
    <xf numFmtId="43" fontId="1" fillId="0" borderId="4" xfId="0" applyNumberFormat="1" applyFont="1" applyFill="1" applyBorder="1" applyAlignment="1">
      <alignment horizontal="left" vertical="center"/>
    </xf>
    <xf numFmtId="0" fontId="18" fillId="0" borderId="13" xfId="0" applyFont="1" applyBorder="1" applyAlignment="1">
      <alignment horizontal="center" vertical="center" wrapText="1"/>
    </xf>
    <xf numFmtId="43" fontId="18" fillId="0" borderId="8" xfId="0" applyNumberFormat="1" applyFont="1" applyBorder="1" applyAlignment="1">
      <alignment horizontal="center" vertical="center" wrapText="1"/>
    </xf>
    <xf numFmtId="43" fontId="18" fillId="0" borderId="8" xfId="0" applyNumberFormat="1" applyFont="1" applyBorder="1" applyAlignment="1">
      <alignment horizontal="left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0" fillId="0" borderId="4" xfId="0" applyNumberFormat="1" applyBorder="1" applyAlignment="1">
      <alignment vertical="center"/>
    </xf>
    <xf numFmtId="43" fontId="0" fillId="0" borderId="8" xfId="0" applyNumberForma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27" xfId="0" applyFont="1" applyBorder="1" applyAlignment="1">
      <alignment vertical="center"/>
    </xf>
    <xf numFmtId="43" fontId="3" fillId="3" borderId="41" xfId="0" applyNumberFormat="1" applyFont="1" applyFill="1" applyBorder="1" applyAlignment="1">
      <alignment horizontal="left" vertical="center" wrapText="1"/>
    </xf>
    <xf numFmtId="43" fontId="3" fillId="3" borderId="21" xfId="0" applyNumberFormat="1" applyFont="1" applyFill="1" applyBorder="1" applyAlignment="1">
      <alignment horizontal="left" vertical="center" wrapText="1"/>
    </xf>
    <xf numFmtId="0" fontId="21" fillId="0" borderId="42" xfId="0" applyFont="1" applyFill="1" applyBorder="1" applyAlignment="1">
      <alignment horizontal="left" vertical="center" shrinkToFit="1"/>
    </xf>
    <xf numFmtId="176" fontId="3" fillId="0" borderId="22" xfId="0" applyNumberFormat="1" applyFont="1" applyBorder="1" applyAlignment="1">
      <alignment horizontal="center" vertical="center"/>
    </xf>
    <xf numFmtId="178" fontId="22" fillId="0" borderId="43" xfId="0" applyNumberFormat="1" applyFont="1" applyFill="1" applyBorder="1" applyAlignment="1">
      <alignment horizontal="center" vertical="center" shrinkToFit="1"/>
    </xf>
    <xf numFmtId="0" fontId="3" fillId="0" borderId="22" xfId="0" applyFont="1" applyBorder="1" applyAlignment="1">
      <alignment vertical="center"/>
    </xf>
    <xf numFmtId="178" fontId="22" fillId="0" borderId="44" xfId="0" applyNumberFormat="1" applyFont="1" applyFill="1" applyBorder="1" applyAlignment="1">
      <alignment horizontal="center" vertical="center" shrinkToFit="1"/>
    </xf>
    <xf numFmtId="178" fontId="3" fillId="0" borderId="22" xfId="0" applyNumberFormat="1" applyFont="1" applyBorder="1" applyAlignment="1">
      <alignment vertical="center"/>
    </xf>
    <xf numFmtId="0" fontId="23" fillId="0" borderId="44" xfId="0" applyFont="1" applyFill="1" applyBorder="1" applyAlignment="1">
      <alignment horizontal="center" vertical="center" shrinkToFit="1"/>
    </xf>
    <xf numFmtId="0" fontId="3" fillId="0" borderId="45" xfId="0" applyFont="1" applyBorder="1" applyAlignment="1">
      <alignment vertical="center"/>
    </xf>
    <xf numFmtId="0" fontId="3" fillId="0" borderId="34" xfId="0" applyFont="1" applyFill="1" applyBorder="1" applyAlignment="1">
      <alignment vertical="center" wrapText="1"/>
    </xf>
    <xf numFmtId="178" fontId="22" fillId="0" borderId="46" xfId="0" applyNumberFormat="1" applyFont="1" applyFill="1" applyBorder="1" applyAlignment="1">
      <alignment horizontal="center" vertical="center" shrinkToFit="1"/>
    </xf>
    <xf numFmtId="178" fontId="22" fillId="0" borderId="42" xfId="0" applyNumberFormat="1" applyFont="1" applyFill="1" applyBorder="1" applyAlignment="1">
      <alignment horizontal="center" vertical="center" shrinkToFit="1"/>
    </xf>
    <xf numFmtId="178" fontId="3" fillId="0" borderId="4" xfId="0" applyNumberFormat="1" applyFont="1" applyBorder="1" applyAlignment="1">
      <alignment vertical="center"/>
    </xf>
    <xf numFmtId="0" fontId="23" fillId="0" borderId="42" xfId="0" applyFont="1" applyFill="1" applyBorder="1" applyAlignment="1">
      <alignment horizontal="center" vertical="center" shrinkToFit="1"/>
    </xf>
    <xf numFmtId="176" fontId="3" fillId="0" borderId="4" xfId="0" applyNumberFormat="1" applyFont="1" applyFill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176" fontId="3" fillId="0" borderId="11" xfId="0" applyNumberFormat="1" applyFont="1" applyFill="1" applyBorder="1" applyAlignment="1">
      <alignment vertical="center"/>
    </xf>
    <xf numFmtId="0" fontId="24" fillId="0" borderId="42" xfId="0" applyFont="1" applyFill="1" applyBorder="1" applyAlignment="1">
      <alignment horizontal="center" vertical="center" shrinkToFit="1"/>
    </xf>
    <xf numFmtId="176" fontId="5" fillId="0" borderId="4" xfId="0" applyNumberFormat="1" applyFont="1" applyBorder="1" applyAlignment="1">
      <alignment horizontal="left" vertical="center"/>
    </xf>
    <xf numFmtId="176" fontId="5" fillId="0" borderId="0" xfId="0" applyNumberFormat="1" applyFont="1" applyBorder="1" applyAlignment="1">
      <alignment horizontal="left" vertical="center"/>
    </xf>
    <xf numFmtId="0" fontId="25" fillId="4" borderId="0" xfId="0" applyFont="1" applyFill="1" applyAlignment="1">
      <alignment vertical="center"/>
    </xf>
    <xf numFmtId="0" fontId="25" fillId="4" borderId="0" xfId="0" applyFont="1" applyFill="1" applyAlignment="1">
      <alignment vertical="center"/>
    </xf>
    <xf numFmtId="0" fontId="26" fillId="4" borderId="0" xfId="0" applyFont="1" applyFill="1" applyAlignment="1">
      <alignment vertical="center"/>
    </xf>
    <xf numFmtId="0" fontId="26" fillId="4" borderId="0" xfId="0" applyFont="1" applyFill="1" applyAlignment="1">
      <alignment horizontal="left" vertical="center"/>
    </xf>
    <xf numFmtId="179" fontId="26" fillId="4" borderId="0" xfId="0" applyNumberFormat="1" applyFont="1" applyFill="1" applyAlignment="1">
      <alignment horizontal="left" vertical="center"/>
    </xf>
    <xf numFmtId="180" fontId="26" fillId="4" borderId="0" xfId="0" applyNumberFormat="1" applyFont="1" applyFill="1" applyAlignment="1">
      <alignment vertical="center"/>
    </xf>
    <xf numFmtId="181" fontId="25" fillId="4" borderId="0" xfId="0" applyNumberFormat="1" applyFont="1" applyFill="1" applyAlignment="1">
      <alignment vertical="center"/>
    </xf>
    <xf numFmtId="0" fontId="27" fillId="5" borderId="4" xfId="0" applyFont="1" applyFill="1" applyBorder="1" applyAlignment="1">
      <alignment horizontal="center" vertical="center" wrapText="1"/>
    </xf>
    <xf numFmtId="0" fontId="28" fillId="6" borderId="4" xfId="0" applyFont="1" applyFill="1" applyBorder="1" applyAlignment="1">
      <alignment horizontal="left" vertical="center"/>
    </xf>
    <xf numFmtId="0" fontId="29" fillId="6" borderId="4" xfId="0" applyFont="1" applyFill="1" applyBorder="1" applyAlignment="1">
      <alignment horizontal="left" vertical="center"/>
    </xf>
    <xf numFmtId="0" fontId="30" fillId="7" borderId="8" xfId="0" applyFont="1" applyFill="1" applyBorder="1" applyAlignment="1">
      <alignment horizontal="left" vertical="center"/>
    </xf>
    <xf numFmtId="0" fontId="30" fillId="7" borderId="4" xfId="0" applyFont="1" applyFill="1" applyBorder="1" applyAlignment="1">
      <alignment horizontal="left" vertical="center"/>
    </xf>
    <xf numFmtId="0" fontId="30" fillId="7" borderId="4" xfId="0" applyFont="1" applyFill="1" applyBorder="1" applyAlignment="1">
      <alignment horizontal="left" vertical="center" wrapText="1"/>
    </xf>
    <xf numFmtId="0" fontId="30" fillId="7" borderId="4" xfId="0" applyFont="1" applyFill="1" applyBorder="1" applyAlignment="1">
      <alignment vertical="center"/>
    </xf>
    <xf numFmtId="179" fontId="30" fillId="7" borderId="4" xfId="0" applyNumberFormat="1" applyFont="1" applyFill="1" applyBorder="1" applyAlignment="1">
      <alignment horizontal="left" vertical="center" shrinkToFit="1"/>
    </xf>
    <xf numFmtId="180" fontId="30" fillId="7" borderId="4" xfId="0" applyNumberFormat="1" applyFont="1" applyFill="1" applyBorder="1" applyAlignment="1">
      <alignment vertical="center" wrapText="1" shrinkToFit="1"/>
    </xf>
    <xf numFmtId="0" fontId="30" fillId="7" borderId="4" xfId="0" applyNumberFormat="1" applyFont="1" applyFill="1" applyBorder="1" applyAlignment="1">
      <alignment horizontal="left" vertical="center"/>
    </xf>
    <xf numFmtId="0" fontId="30" fillId="7" borderId="4" xfId="0" applyFont="1" applyFill="1" applyBorder="1" applyAlignment="1">
      <alignment vertical="center" wrapText="1"/>
    </xf>
    <xf numFmtId="181" fontId="30" fillId="7" borderId="4" xfId="0" applyNumberFormat="1" applyFont="1" applyFill="1" applyBorder="1" applyAlignment="1">
      <alignment vertical="center" wrapText="1"/>
    </xf>
    <xf numFmtId="0" fontId="30" fillId="7" borderId="4" xfId="0" applyFont="1" applyFill="1" applyBorder="1" applyAlignment="1">
      <alignment horizontal="center" vertical="center" wrapText="1"/>
    </xf>
    <xf numFmtId="0" fontId="31" fillId="7" borderId="4" xfId="0" applyFont="1" applyFill="1" applyBorder="1" applyAlignment="1">
      <alignment horizontal="center" vertical="center" wrapText="1"/>
    </xf>
    <xf numFmtId="0" fontId="32" fillId="4" borderId="42" xfId="0" applyFont="1" applyFill="1" applyBorder="1" applyAlignment="1">
      <alignment horizontal="left" vertical="center" shrinkToFit="1"/>
    </xf>
    <xf numFmtId="0" fontId="33" fillId="4" borderId="42" xfId="0" applyFont="1" applyFill="1" applyBorder="1" applyAlignment="1">
      <alignment horizontal="left" vertical="center" shrinkToFit="1"/>
    </xf>
    <xf numFmtId="49" fontId="33" fillId="4" borderId="42" xfId="0" applyNumberFormat="1" applyFont="1" applyFill="1" applyBorder="1" applyAlignment="1">
      <alignment horizontal="left" vertical="center" shrinkToFit="1"/>
    </xf>
    <xf numFmtId="0" fontId="32" fillId="4" borderId="42" xfId="0" applyFont="1" applyFill="1" applyBorder="1" applyAlignment="1">
      <alignment horizontal="center" vertical="center"/>
    </xf>
    <xf numFmtId="179" fontId="33" fillId="4" borderId="42" xfId="0" applyNumberFormat="1" applyFont="1" applyFill="1" applyBorder="1" applyAlignment="1">
      <alignment horizontal="left" vertical="center" shrinkToFit="1"/>
    </xf>
    <xf numFmtId="180" fontId="33" fillId="4" borderId="42" xfId="0" applyNumberFormat="1" applyFont="1" applyFill="1" applyBorder="1" applyAlignment="1">
      <alignment horizontal="center" vertical="center" shrinkToFit="1"/>
    </xf>
    <xf numFmtId="49" fontId="32" fillId="4" borderId="42" xfId="0" applyNumberFormat="1" applyFont="1" applyFill="1" applyBorder="1" applyAlignment="1">
      <alignment horizontal="center" vertical="center" shrinkToFit="1"/>
    </xf>
    <xf numFmtId="49" fontId="32" fillId="4" borderId="47" xfId="0" applyNumberFormat="1" applyFont="1" applyFill="1" applyBorder="1" applyAlignment="1">
      <alignment horizontal="left" vertical="center" shrinkToFit="1"/>
    </xf>
    <xf numFmtId="0" fontId="25" fillId="4" borderId="4" xfId="0" applyFont="1" applyFill="1" applyBorder="1" applyAlignment="1">
      <alignment vertical="center"/>
    </xf>
    <xf numFmtId="181" fontId="25" fillId="4" borderId="4" xfId="0" applyNumberFormat="1" applyFont="1" applyFill="1" applyBorder="1" applyAlignment="1">
      <alignment vertical="center"/>
    </xf>
    <xf numFmtId="0" fontId="33" fillId="4" borderId="42" xfId="0" applyFont="1" applyFill="1" applyBorder="1" applyAlignment="1">
      <alignment horizontal="center" vertical="center"/>
    </xf>
    <xf numFmtId="0" fontId="33" fillId="4" borderId="42" xfId="0" applyFont="1" applyFill="1" applyBorder="1" applyAlignment="1">
      <alignment horizontal="left" vertical="center"/>
    </xf>
    <xf numFmtId="49" fontId="33" fillId="4" borderId="42" xfId="0" applyNumberFormat="1" applyFont="1" applyFill="1" applyBorder="1" applyAlignment="1">
      <alignment horizontal="center" vertical="center" shrinkToFit="1"/>
    </xf>
    <xf numFmtId="0" fontId="34" fillId="4" borderId="0" xfId="0" applyFont="1" applyFill="1" applyBorder="1" applyAlignment="1">
      <alignment horizontal="left"/>
    </xf>
    <xf numFmtId="0" fontId="33" fillId="4" borderId="42" xfId="0" applyFont="1" applyFill="1" applyBorder="1" applyAlignment="1">
      <alignment horizontal="center" vertical="center" shrinkToFit="1"/>
    </xf>
    <xf numFmtId="0" fontId="32" fillId="4" borderId="47" xfId="0" applyFont="1" applyFill="1" applyBorder="1" applyAlignment="1">
      <alignment horizontal="left" vertical="center" shrinkToFit="1"/>
    </xf>
    <xf numFmtId="49" fontId="33" fillId="4" borderId="47" xfId="0" applyNumberFormat="1" applyFont="1" applyFill="1" applyBorder="1" applyAlignment="1">
      <alignment horizontal="left" vertical="center" shrinkToFit="1"/>
    </xf>
    <xf numFmtId="49" fontId="32" fillId="4" borderId="48" xfId="0" applyNumberFormat="1" applyFont="1" applyFill="1" applyBorder="1" applyAlignment="1">
      <alignment horizontal="left" vertical="center" shrinkToFit="1"/>
    </xf>
    <xf numFmtId="0" fontId="32" fillId="4" borderId="46" xfId="0" applyFont="1" applyFill="1" applyBorder="1" applyAlignment="1">
      <alignment horizontal="left" vertical="center" shrinkToFit="1"/>
    </xf>
    <xf numFmtId="49" fontId="35" fillId="4" borderId="42" xfId="0" applyNumberFormat="1" applyFont="1" applyFill="1" applyBorder="1" applyAlignment="1">
      <alignment horizontal="left" vertical="center" shrinkToFit="1"/>
    </xf>
    <xf numFmtId="49" fontId="32" fillId="4" borderId="49" xfId="0" applyNumberFormat="1" applyFont="1" applyFill="1" applyBorder="1" applyAlignment="1">
      <alignment horizontal="left" vertical="center" shrinkToFit="1"/>
    </xf>
    <xf numFmtId="49" fontId="36" fillId="4" borderId="42" xfId="0" applyNumberFormat="1" applyFont="1" applyFill="1" applyBorder="1" applyAlignment="1">
      <alignment horizontal="left" vertical="center" wrapText="1" shrinkToFit="1"/>
    </xf>
    <xf numFmtId="49" fontId="37" fillId="4" borderId="42" xfId="0" applyNumberFormat="1" applyFont="1" applyFill="1" applyBorder="1" applyAlignment="1">
      <alignment horizontal="left" vertical="center"/>
    </xf>
    <xf numFmtId="0" fontId="38" fillId="4" borderId="0" xfId="0" applyFont="1" applyFill="1" applyBorder="1" applyAlignment="1">
      <alignment horizontal="left" vertical="center" shrinkToFit="1"/>
    </xf>
    <xf numFmtId="179" fontId="32" fillId="4" borderId="42" xfId="0" applyNumberFormat="1" applyFont="1" applyFill="1" applyBorder="1" applyAlignment="1">
      <alignment horizontal="left" vertical="center" shrinkToFit="1"/>
    </xf>
    <xf numFmtId="180" fontId="32" fillId="4" borderId="42" xfId="0" applyNumberFormat="1" applyFont="1" applyFill="1" applyBorder="1" applyAlignment="1">
      <alignment horizontal="left" vertical="center" shrinkToFit="1"/>
    </xf>
    <xf numFmtId="0" fontId="32" fillId="4" borderId="4" xfId="0" applyFont="1" applyFill="1" applyBorder="1" applyAlignment="1">
      <alignment horizontal="left" vertical="center" shrinkToFit="1"/>
    </xf>
    <xf numFmtId="0" fontId="25" fillId="4" borderId="4" xfId="0" applyFont="1" applyFill="1" applyBorder="1" applyAlignment="1">
      <alignment vertical="center"/>
    </xf>
    <xf numFmtId="181" fontId="25" fillId="4" borderId="4" xfId="0" applyNumberFormat="1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181" fontId="26" fillId="4" borderId="4" xfId="0" applyNumberFormat="1" applyFont="1" applyFill="1" applyBorder="1" applyAlignment="1">
      <alignment vertical="center"/>
    </xf>
    <xf numFmtId="0" fontId="26" fillId="4" borderId="50" xfId="0" applyFont="1" applyFill="1" applyBorder="1" applyAlignment="1">
      <alignment horizontal="left" vertical="center"/>
    </xf>
    <xf numFmtId="0" fontId="26" fillId="4" borderId="50" xfId="0" applyFont="1" applyFill="1" applyBorder="1" applyAlignment="1">
      <alignment vertical="center"/>
    </xf>
    <xf numFmtId="179" fontId="26" fillId="4" borderId="50" xfId="0" applyNumberFormat="1" applyFont="1" applyFill="1" applyBorder="1" applyAlignment="1">
      <alignment horizontal="left" vertical="center"/>
    </xf>
    <xf numFmtId="180" fontId="26" fillId="4" borderId="50" xfId="0" applyNumberFormat="1" applyFont="1" applyFill="1" applyBorder="1" applyAlignment="1">
      <alignment vertical="center"/>
    </xf>
    <xf numFmtId="0" fontId="32" fillId="4" borderId="50" xfId="0" applyFont="1" applyFill="1" applyBorder="1" applyAlignment="1">
      <alignment horizontal="left" vertical="center" shrinkToFit="1"/>
    </xf>
    <xf numFmtId="0" fontId="26" fillId="4" borderId="51" xfId="0" applyFont="1" applyFill="1" applyBorder="1" applyAlignment="1">
      <alignment horizontal="left" vertical="center"/>
    </xf>
    <xf numFmtId="0" fontId="25" fillId="4" borderId="4" xfId="0" applyFont="1" applyFill="1" applyBorder="1" applyAlignment="1">
      <alignment horizontal="left" vertical="center"/>
    </xf>
    <xf numFmtId="0" fontId="26" fillId="4" borderId="4" xfId="0" applyFont="1" applyFill="1" applyBorder="1" applyAlignment="1">
      <alignment vertical="center" shrinkToFit="1"/>
    </xf>
    <xf numFmtId="0" fontId="26" fillId="4" borderId="4" xfId="0" applyFont="1" applyFill="1" applyBorder="1" applyAlignment="1">
      <alignment horizontal="left" vertical="center"/>
    </xf>
    <xf numFmtId="179" fontId="26" fillId="4" borderId="4" xfId="0" applyNumberFormat="1" applyFont="1" applyFill="1" applyBorder="1" applyAlignment="1">
      <alignment horizontal="left" vertical="center"/>
    </xf>
    <xf numFmtId="180" fontId="26" fillId="4" borderId="4" xfId="0" applyNumberFormat="1" applyFont="1" applyFill="1" applyBorder="1" applyAlignment="1">
      <alignment vertical="center"/>
    </xf>
    <xf numFmtId="0" fontId="26" fillId="4" borderId="17" xfId="0" applyFont="1" applyFill="1" applyBorder="1" applyAlignment="1">
      <alignment horizontal="left" vertical="center"/>
    </xf>
    <xf numFmtId="0" fontId="25" fillId="4" borderId="39" xfId="0" applyFont="1" applyFill="1" applyBorder="1" applyAlignment="1">
      <alignment vertical="center"/>
    </xf>
    <xf numFmtId="0" fontId="25" fillId="4" borderId="16" xfId="0" applyFont="1" applyFill="1" applyBorder="1" applyAlignment="1">
      <alignment horizontal="left" vertical="center"/>
    </xf>
    <xf numFmtId="0" fontId="26" fillId="4" borderId="16" xfId="0" applyFont="1" applyFill="1" applyBorder="1" applyAlignment="1">
      <alignment vertical="center" shrinkToFit="1"/>
    </xf>
    <xf numFmtId="0" fontId="26" fillId="4" borderId="16" xfId="0" applyFont="1" applyFill="1" applyBorder="1" applyAlignment="1">
      <alignment horizontal="left" vertical="center"/>
    </xf>
    <xf numFmtId="0" fontId="25" fillId="4" borderId="16" xfId="0" applyFont="1" applyFill="1" applyBorder="1" applyAlignment="1">
      <alignment vertical="center"/>
    </xf>
    <xf numFmtId="0" fontId="39" fillId="4" borderId="16" xfId="0" applyFont="1" applyFill="1" applyBorder="1">
      <alignment vertical="center"/>
    </xf>
    <xf numFmtId="0" fontId="26" fillId="4" borderId="16" xfId="0" applyFont="1" applyFill="1" applyBorder="1" applyAlignment="1">
      <alignment vertical="center"/>
    </xf>
    <xf numFmtId="179" fontId="26" fillId="4" borderId="16" xfId="0" applyNumberFormat="1" applyFont="1" applyFill="1" applyBorder="1" applyAlignment="1">
      <alignment horizontal="left" vertical="center"/>
    </xf>
    <xf numFmtId="180" fontId="26" fillId="4" borderId="16" xfId="0" applyNumberFormat="1" applyFont="1" applyFill="1" applyBorder="1" applyAlignment="1">
      <alignment vertical="center"/>
    </xf>
    <xf numFmtId="0" fontId="26" fillId="4" borderId="19" xfId="0" applyFont="1" applyFill="1" applyBorder="1" applyAlignment="1">
      <alignment horizontal="left" vertical="center"/>
    </xf>
    <xf numFmtId="181" fontId="40" fillId="4" borderId="16" xfId="0" applyNumberFormat="1" applyFont="1" applyFill="1" applyBorder="1">
      <alignment vertical="center"/>
    </xf>
    <xf numFmtId="0" fontId="25" fillId="4" borderId="22" xfId="0" applyFont="1" applyFill="1" applyBorder="1" applyAlignment="1">
      <alignment horizontal="center" vertical="center"/>
    </xf>
    <xf numFmtId="0" fontId="25" fillId="4" borderId="22" xfId="0" applyFont="1" applyFill="1" applyBorder="1" applyAlignment="1">
      <alignment vertical="center"/>
    </xf>
    <xf numFmtId="49" fontId="25" fillId="4" borderId="22" xfId="0" applyNumberFormat="1" applyFont="1" applyFill="1" applyBorder="1" applyAlignment="1">
      <alignment vertical="center"/>
    </xf>
    <xf numFmtId="0" fontId="41" fillId="4" borderId="44" xfId="0" applyFont="1" applyFill="1" applyBorder="1" applyAlignment="1">
      <alignment horizontal="center" vertical="center" shrinkToFit="1"/>
    </xf>
    <xf numFmtId="49" fontId="33" fillId="4" borderId="44" xfId="0" applyNumberFormat="1" applyFont="1" applyFill="1" applyBorder="1" applyAlignment="1">
      <alignment horizontal="left" vertical="center" shrinkToFit="1"/>
    </xf>
    <xf numFmtId="0" fontId="39" fillId="4" borderId="0" xfId="0" applyFont="1" applyFill="1">
      <alignment vertical="center"/>
    </xf>
    <xf numFmtId="182" fontId="25" fillId="4" borderId="13" xfId="0" applyNumberFormat="1" applyFont="1" applyFill="1" applyBorder="1" applyAlignment="1">
      <alignment vertical="center"/>
    </xf>
    <xf numFmtId="0" fontId="32" fillId="4" borderId="44" xfId="0" applyFont="1" applyFill="1" applyBorder="1" applyAlignment="1">
      <alignment horizontal="center" vertical="center" shrinkToFit="1"/>
    </xf>
    <xf numFmtId="0" fontId="25" fillId="4" borderId="13" xfId="0" applyFont="1" applyFill="1" applyBorder="1" applyAlignment="1">
      <alignment vertical="center"/>
    </xf>
    <xf numFmtId="0" fontId="42" fillId="4" borderId="13" xfId="0" applyFont="1" applyFill="1" applyBorder="1" applyAlignment="1">
      <alignment vertical="center"/>
    </xf>
    <xf numFmtId="179" fontId="25" fillId="4" borderId="1" xfId="0" applyNumberFormat="1" applyFont="1" applyFill="1" applyBorder="1" applyAlignment="1">
      <alignment horizontal="left" vertical="center"/>
    </xf>
    <xf numFmtId="0" fontId="42" fillId="4" borderId="52" xfId="0" applyFont="1" applyFill="1" applyBorder="1" applyAlignment="1">
      <alignment horizontal="left" vertical="center"/>
    </xf>
    <xf numFmtId="49" fontId="32" fillId="4" borderId="22" xfId="0" applyNumberFormat="1" applyFont="1" applyFill="1" applyBorder="1" applyAlignment="1">
      <alignment horizontal="left" vertical="center" shrinkToFit="1"/>
    </xf>
    <xf numFmtId="0" fontId="25" fillId="4" borderId="4" xfId="0" applyFont="1" applyFill="1" applyBorder="1" applyAlignment="1">
      <alignment horizontal="center" vertical="center"/>
    </xf>
    <xf numFmtId="49" fontId="25" fillId="4" borderId="4" xfId="0" applyNumberFormat="1" applyFont="1" applyFill="1" applyBorder="1" applyAlignment="1">
      <alignment vertical="center"/>
    </xf>
    <xf numFmtId="0" fontId="43" fillId="4" borderId="8" xfId="0" applyFont="1" applyFill="1" applyBorder="1" applyAlignment="1">
      <alignment horizontal="center" vertical="center" shrinkToFit="1"/>
    </xf>
    <xf numFmtId="0" fontId="25" fillId="4" borderId="36" xfId="0" applyFont="1" applyFill="1" applyBorder="1" applyAlignment="1">
      <alignment vertical="center"/>
    </xf>
    <xf numFmtId="0" fontId="32" fillId="4" borderId="8" xfId="0" applyFont="1" applyFill="1" applyBorder="1" applyAlignment="1">
      <alignment horizontal="center" vertical="center" shrinkToFit="1"/>
    </xf>
    <xf numFmtId="0" fontId="25" fillId="4" borderId="1" xfId="0" applyFont="1" applyFill="1" applyBorder="1" applyAlignment="1">
      <alignment vertical="center"/>
    </xf>
    <xf numFmtId="0" fontId="42" fillId="4" borderId="1" xfId="0" applyFont="1" applyFill="1" applyBorder="1" applyAlignment="1">
      <alignment vertical="center"/>
    </xf>
    <xf numFmtId="182" fontId="25" fillId="4" borderId="1" xfId="0" applyNumberFormat="1" applyFont="1" applyFill="1" applyBorder="1" applyAlignment="1">
      <alignment vertical="center"/>
    </xf>
    <xf numFmtId="0" fontId="42" fillId="4" borderId="36" xfId="0" applyFont="1" applyFill="1" applyBorder="1" applyAlignment="1">
      <alignment horizontal="left" vertical="center"/>
    </xf>
    <xf numFmtId="49" fontId="32" fillId="4" borderId="4" xfId="0" applyNumberFormat="1" applyFont="1" applyFill="1" applyBorder="1" applyAlignment="1">
      <alignment horizontal="left" vertical="center" shrinkToFit="1"/>
    </xf>
    <xf numFmtId="0" fontId="25" fillId="4" borderId="53" xfId="0" applyFont="1" applyFill="1" applyBorder="1" applyAlignment="1">
      <alignment vertical="center"/>
    </xf>
    <xf numFmtId="182" fontId="42" fillId="4" borderId="1" xfId="0" applyNumberFormat="1" applyFont="1" applyFill="1" applyBorder="1" applyAlignment="1">
      <alignment vertical="center" wrapText="1" shrinkToFit="1"/>
    </xf>
    <xf numFmtId="0" fontId="25" fillId="4" borderId="36" xfId="0" applyFont="1" applyFill="1" applyBorder="1" applyAlignment="1">
      <alignment horizontal="left" vertical="center"/>
    </xf>
    <xf numFmtId="0" fontId="44" fillId="4" borderId="0" xfId="0" applyFont="1" applyFill="1">
      <alignment vertical="center"/>
    </xf>
    <xf numFmtId="49" fontId="25" fillId="4" borderId="4" xfId="0" applyNumberFormat="1" applyFont="1" applyFill="1" applyBorder="1" applyAlignment="1">
      <alignment vertical="center"/>
    </xf>
    <xf numFmtId="0" fontId="25" fillId="4" borderId="4" xfId="0" applyFont="1" applyFill="1" applyBorder="1" applyAlignment="1">
      <alignment horizontal="center" vertical="center"/>
    </xf>
    <xf numFmtId="0" fontId="25" fillId="4" borderId="53" xfId="0" applyFont="1" applyFill="1" applyBorder="1" applyAlignment="1">
      <alignment vertical="center"/>
    </xf>
    <xf numFmtId="0" fontId="25" fillId="4" borderId="36" xfId="0" applyFont="1" applyFill="1" applyBorder="1" applyAlignment="1">
      <alignment vertical="center"/>
    </xf>
    <xf numFmtId="0" fontId="25" fillId="4" borderId="1" xfId="0" applyFont="1" applyFill="1" applyBorder="1" applyAlignment="1">
      <alignment vertical="center"/>
    </xf>
    <xf numFmtId="182" fontId="25" fillId="4" borderId="1" xfId="0" applyNumberFormat="1" applyFont="1" applyFill="1" applyBorder="1" applyAlignment="1">
      <alignment vertical="center"/>
    </xf>
    <xf numFmtId="0" fontId="25" fillId="4" borderId="36" xfId="0" applyFont="1" applyFill="1" applyBorder="1" applyAlignment="1">
      <alignment horizontal="left" vertical="center"/>
    </xf>
    <xf numFmtId="0" fontId="25" fillId="4" borderId="4" xfId="0" applyFont="1" applyFill="1" applyBorder="1" applyAlignment="1">
      <alignment horizontal="left" vertical="center"/>
    </xf>
    <xf numFmtId="179" fontId="25" fillId="4" borderId="1" xfId="0" applyNumberFormat="1" applyFont="1" applyFill="1" applyBorder="1" applyAlignment="1">
      <alignment horizontal="left" vertical="center"/>
    </xf>
    <xf numFmtId="49" fontId="25" fillId="4" borderId="0" xfId="0" applyNumberFormat="1" applyFont="1" applyFill="1" applyBorder="1" applyAlignment="1">
      <alignment vertical="center"/>
    </xf>
    <xf numFmtId="0" fontId="25" fillId="5" borderId="4" xfId="0" applyFont="1" applyFill="1" applyBorder="1" applyAlignment="1">
      <alignment vertical="center"/>
    </xf>
    <xf numFmtId="0" fontId="45" fillId="4" borderId="4" xfId="0" applyFont="1" applyFill="1" applyBorder="1" applyAlignment="1">
      <alignment vertical="center"/>
    </xf>
    <xf numFmtId="0" fontId="38" fillId="4" borderId="54" xfId="0" applyFont="1" applyFill="1" applyBorder="1">
      <alignment vertical="center"/>
    </xf>
    <xf numFmtId="49" fontId="26" fillId="4" borderId="55" xfId="0" applyNumberFormat="1" applyFont="1" applyFill="1" applyBorder="1" applyAlignment="1">
      <alignment vertical="center"/>
    </xf>
    <xf numFmtId="0" fontId="46" fillId="4" borderId="56" xfId="0" applyFont="1" applyFill="1" applyBorder="1" applyAlignment="1">
      <alignment vertical="center"/>
    </xf>
    <xf numFmtId="0" fontId="46" fillId="4" borderId="9" xfId="0" applyFont="1" applyFill="1" applyBorder="1" applyAlignment="1">
      <alignment vertical="center"/>
    </xf>
    <xf numFmtId="0" fontId="46" fillId="4" borderId="23" xfId="0" applyFont="1" applyFill="1" applyBorder="1" applyAlignment="1">
      <alignment vertical="center"/>
    </xf>
    <xf numFmtId="0" fontId="38" fillId="4" borderId="55" xfId="0" applyFont="1" applyFill="1" applyBorder="1">
      <alignment vertical="center"/>
    </xf>
    <xf numFmtId="0" fontId="38" fillId="4" borderId="57" xfId="0" applyFont="1" applyFill="1" applyBorder="1">
      <alignment vertical="center"/>
    </xf>
    <xf numFmtId="0" fontId="39" fillId="4" borderId="23" xfId="0" applyFont="1" applyFill="1" applyBorder="1">
      <alignment vertical="center"/>
    </xf>
    <xf numFmtId="17" fontId="40" fillId="4" borderId="4" xfId="0" applyNumberFormat="1" applyFont="1" applyFill="1" applyBorder="1">
      <alignment vertical="center"/>
    </xf>
    <xf numFmtId="0" fontId="39" fillId="4" borderId="58" xfId="0" applyFont="1" applyFill="1" applyBorder="1">
      <alignment vertical="center"/>
    </xf>
    <xf numFmtId="0" fontId="39" fillId="4" borderId="17" xfId="0" applyFont="1" applyFill="1" applyBorder="1">
      <alignment vertical="center"/>
    </xf>
    <xf numFmtId="0" fontId="46" fillId="4" borderId="17" xfId="0" applyFont="1" applyFill="1" applyBorder="1">
      <alignment vertical="center"/>
    </xf>
    <xf numFmtId="0" fontId="25" fillId="4" borderId="59" xfId="0" applyFont="1" applyFill="1" applyBorder="1" applyAlignment="1">
      <alignment vertical="center"/>
    </xf>
    <xf numFmtId="0" fontId="46" fillId="4" borderId="56" xfId="0" applyFont="1" applyFill="1" applyBorder="1" applyAlignment="1">
      <alignment vertical="center"/>
    </xf>
    <xf numFmtId="0" fontId="46" fillId="4" borderId="9" xfId="0" applyFont="1" applyFill="1" applyBorder="1" applyAlignment="1">
      <alignment vertical="center"/>
    </xf>
    <xf numFmtId="0" fontId="46" fillId="4" borderId="60" xfId="0" applyFont="1" applyFill="1" applyBorder="1" applyAlignment="1">
      <alignment vertical="center"/>
    </xf>
    <xf numFmtId="0" fontId="25" fillId="4" borderId="61" xfId="0" applyFont="1" applyFill="1" applyBorder="1" applyAlignment="1">
      <alignment vertical="center"/>
    </xf>
    <xf numFmtId="0" fontId="25" fillId="4" borderId="62" xfId="0" applyFont="1" applyFill="1" applyBorder="1" applyAlignment="1">
      <alignment vertical="center"/>
    </xf>
    <xf numFmtId="182" fontId="25" fillId="4" borderId="62" xfId="0" applyNumberFormat="1" applyFont="1" applyFill="1" applyBorder="1" applyAlignment="1">
      <alignment vertical="center"/>
    </xf>
    <xf numFmtId="0" fontId="25" fillId="4" borderId="63" xfId="0" applyFont="1" applyFill="1" applyBorder="1" applyAlignment="1">
      <alignment horizontal="left" vertical="center"/>
    </xf>
    <xf numFmtId="0" fontId="25" fillId="4" borderId="9" xfId="0" applyFont="1" applyFill="1" applyBorder="1" applyAlignment="1">
      <alignment vertical="center"/>
    </xf>
    <xf numFmtId="0" fontId="25" fillId="4" borderId="8" xfId="0" applyFont="1" applyFill="1" applyBorder="1" applyAlignment="1">
      <alignment vertical="center"/>
    </xf>
    <xf numFmtId="182" fontId="25" fillId="4" borderId="4" xfId="0" applyNumberFormat="1" applyFont="1" applyFill="1" applyBorder="1" applyAlignment="1">
      <alignment vertical="center"/>
    </xf>
    <xf numFmtId="0" fontId="25" fillId="4" borderId="17" xfId="0" applyFont="1" applyFill="1" applyBorder="1" applyAlignment="1">
      <alignment horizontal="left" vertical="center"/>
    </xf>
    <xf numFmtId="0" fontId="39" fillId="4" borderId="64" xfId="0" applyFont="1" applyFill="1" applyBorder="1">
      <alignment vertical="center"/>
    </xf>
    <xf numFmtId="0" fontId="25" fillId="4" borderId="65" xfId="0" applyFont="1" applyFill="1" applyBorder="1" applyAlignment="1">
      <alignment vertical="center"/>
    </xf>
    <xf numFmtId="0" fontId="25" fillId="4" borderId="52" xfId="0" applyFont="1" applyFill="1" applyBorder="1" applyAlignment="1">
      <alignment horizontal="left" vertical="center"/>
    </xf>
    <xf numFmtId="0" fontId="39" fillId="4" borderId="9" xfId="0" applyFont="1" applyFill="1" applyBorder="1">
      <alignment vertical="center"/>
    </xf>
    <xf numFmtId="49" fontId="25" fillId="4" borderId="17" xfId="0" applyNumberFormat="1" applyFont="1" applyFill="1" applyBorder="1" applyAlignment="1">
      <alignment vertical="center"/>
    </xf>
    <xf numFmtId="0" fontId="40" fillId="4" borderId="0" xfId="0" applyFont="1" applyFill="1">
      <alignment vertical="center"/>
    </xf>
    <xf numFmtId="0" fontId="46" fillId="4" borderId="23" xfId="0" applyFont="1" applyFill="1" applyBorder="1">
      <alignment vertical="center"/>
    </xf>
    <xf numFmtId="0" fontId="26" fillId="4" borderId="16" xfId="0" applyFont="1" applyFill="1" applyBorder="1" applyAlignment="1" quotePrefix="1">
      <alignment horizontal="left" vertical="center"/>
    </xf>
    <xf numFmtId="49" fontId="33" fillId="4" borderId="42" xfId="0" applyNumberFormat="1" applyFont="1" applyFill="1" applyBorder="1" applyAlignment="1" quotePrefix="1">
      <alignment horizontal="left" vertical="center" shrinkToFit="1"/>
    </xf>
    <xf numFmtId="49" fontId="25" fillId="4" borderId="4" xfId="0" applyNumberFormat="1" applyFont="1" applyFill="1" applyBorder="1" applyAlignment="1" quotePrefix="1">
      <alignment vertical="center"/>
    </xf>
    <xf numFmtId="0" fontId="25" fillId="4" borderId="4" xfId="0" applyFont="1" applyFill="1" applyBorder="1" applyAlignment="1" quotePrefix="1">
      <alignment horizontal="center" vertical="center"/>
    </xf>
    <xf numFmtId="0" fontId="38" fillId="4" borderId="54" xfId="0" applyFont="1" applyFill="1" applyBorder="1" quotePrefix="1">
      <alignment vertical="center"/>
    </xf>
    <xf numFmtId="0" fontId="38" fillId="4" borderId="55" xfId="0" applyFont="1" applyFill="1" applyBorder="1" quotePrefix="1">
      <alignment vertical="center"/>
    </xf>
    <xf numFmtId="0" fontId="25" fillId="4" borderId="1" xfId="0" applyFont="1" applyFill="1" applyBorder="1" applyAlignment="1" quotePrefix="1">
      <alignment vertical="center"/>
    </xf>
    <xf numFmtId="49" fontId="25" fillId="4" borderId="4" xfId="0" applyNumberFormat="1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04"/>
  <sheetViews>
    <sheetView workbookViewId="0">
      <pane xSplit="3" ySplit="1" topLeftCell="P2" activePane="bottomRight" state="frozen"/>
      <selection/>
      <selection pane="topRight"/>
      <selection pane="bottomLeft"/>
      <selection pane="bottomRight" activeCell="X1" sqref="X1"/>
    </sheetView>
  </sheetViews>
  <sheetFormatPr defaultColWidth="9" defaultRowHeight="14.25"/>
  <cols>
    <col min="1" max="1" width="3" style="249" customWidth="1"/>
    <col min="2" max="2" width="35.125" style="252" customWidth="1"/>
    <col min="3" max="3" width="31.875" style="251" customWidth="1"/>
    <col min="4" max="4" width="15.625" style="252" customWidth="1"/>
    <col min="5" max="5" width="23.375" style="252" customWidth="1"/>
    <col min="6" max="6" width="21" style="252" customWidth="1"/>
    <col min="7" max="7" width="21.125" style="252" customWidth="1"/>
    <col min="8" max="8" width="9" style="252"/>
    <col min="9" max="9" width="5.125" style="251" customWidth="1"/>
    <col min="10" max="10" width="5.25" style="251" customWidth="1"/>
    <col min="11" max="11" width="3.875" style="251" customWidth="1"/>
    <col min="12" max="12" width="9" style="253"/>
    <col min="13" max="13" width="9" style="254"/>
    <col min="14" max="14" width="6.125" style="252" customWidth="1"/>
    <col min="15" max="15" width="9" style="251"/>
    <col min="16" max="16" width="17.5" style="252" customWidth="1"/>
    <col min="17" max="17" width="9.125" style="249"/>
    <col min="18" max="18" width="9" style="249"/>
    <col min="19" max="19" width="15" style="255"/>
    <col min="20" max="20" width="10.375" style="249"/>
    <col min="21" max="21" width="9" style="249"/>
    <col min="22" max="22" width="16" style="249" customWidth="1"/>
    <col min="23" max="16384" width="9" style="249"/>
  </cols>
  <sheetData>
    <row r="1" s="249" customFormat="1" ht="39" customHeight="1" spans="1:25">
      <c r="A1" s="256" t="s">
        <v>0</v>
      </c>
      <c r="B1" s="257" t="s">
        <v>1</v>
      </c>
      <c r="C1" s="258" t="s">
        <v>2</v>
      </c>
      <c r="D1" s="259" t="s">
        <v>3</v>
      </c>
      <c r="E1" s="260" t="s">
        <v>4</v>
      </c>
      <c r="F1" s="261" t="s">
        <v>5</v>
      </c>
      <c r="G1" s="260" t="s">
        <v>6</v>
      </c>
      <c r="H1" s="260" t="s">
        <v>7</v>
      </c>
      <c r="I1" s="262" t="s">
        <v>8</v>
      </c>
      <c r="J1" s="262" t="s">
        <v>9</v>
      </c>
      <c r="K1" s="262" t="s">
        <v>10</v>
      </c>
      <c r="L1" s="263" t="s">
        <v>11</v>
      </c>
      <c r="M1" s="264" t="s">
        <v>12</v>
      </c>
      <c r="N1" s="265" t="s">
        <v>13</v>
      </c>
      <c r="O1" s="262" t="s">
        <v>14</v>
      </c>
      <c r="P1" s="260" t="s">
        <v>15</v>
      </c>
      <c r="Q1" s="266" t="s">
        <v>16</v>
      </c>
      <c r="R1" s="266" t="s">
        <v>17</v>
      </c>
      <c r="S1" s="267" t="s">
        <v>18</v>
      </c>
      <c r="T1" s="266" t="s">
        <v>19</v>
      </c>
      <c r="U1" s="266" t="s">
        <v>20</v>
      </c>
      <c r="V1" s="268" t="s">
        <v>21</v>
      </c>
      <c r="W1" s="269" t="s">
        <v>22</v>
      </c>
      <c r="X1" s="268"/>
      <c r="Y1" s="268"/>
    </row>
    <row r="2" s="249" customFormat="1" ht="17.25" spans="1:25">
      <c r="B2" s="270" t="s">
        <v>23</v>
      </c>
      <c r="C2" s="270" t="s">
        <v>24</v>
      </c>
      <c r="D2" s="271" t="s">
        <v>25</v>
      </c>
      <c r="E2" s="272" t="s">
        <v>26</v>
      </c>
      <c r="F2" s="270" t="s">
        <v>27</v>
      </c>
      <c r="G2" s="270" t="s">
        <v>28</v>
      </c>
      <c r="H2" s="270" t="s">
        <v>29</v>
      </c>
      <c r="I2" s="273">
        <v>8</v>
      </c>
      <c r="J2" s="273">
        <v>8</v>
      </c>
      <c r="K2" s="273"/>
      <c r="L2" s="274" t="s">
        <v>30</v>
      </c>
      <c r="M2" s="275" t="s">
        <v>31</v>
      </c>
      <c r="N2" s="271">
        <v>1</v>
      </c>
      <c r="O2" s="276" t="s">
        <v>32</v>
      </c>
      <c r="P2" s="277" t="s">
        <v>33</v>
      </c>
      <c r="Q2" s="278"/>
      <c r="R2" s="278"/>
      <c r="S2" s="279"/>
      <c r="T2" s="278"/>
      <c r="U2" s="278"/>
      <c r="V2" s="278"/>
      <c r="W2" s="278"/>
      <c r="X2" s="278"/>
      <c r="Y2" s="278"/>
    </row>
    <row r="3" s="249" customFormat="1" ht="17.25" spans="1:25">
      <c r="B3" s="270" t="s">
        <v>34</v>
      </c>
      <c r="C3" s="270" t="s">
        <v>35</v>
      </c>
      <c r="D3" s="271" t="s">
        <v>36</v>
      </c>
      <c r="E3" s="272" t="s">
        <v>37</v>
      </c>
      <c r="F3" s="270" t="s">
        <v>38</v>
      </c>
      <c r="G3" s="270" t="s">
        <v>39</v>
      </c>
      <c r="H3" s="270" t="s">
        <v>29</v>
      </c>
      <c r="I3" s="280">
        <v>10</v>
      </c>
      <c r="J3" s="280">
        <v>7</v>
      </c>
      <c r="K3" s="280">
        <v>7</v>
      </c>
      <c r="L3" s="274" t="s">
        <v>30</v>
      </c>
      <c r="M3" s="275" t="s">
        <v>40</v>
      </c>
      <c r="N3" s="281">
        <v>1</v>
      </c>
      <c r="O3" s="282" t="s">
        <v>41</v>
      </c>
      <c r="P3" s="277" t="s">
        <v>42</v>
      </c>
      <c r="Q3" s="278"/>
      <c r="R3" s="278"/>
      <c r="S3" s="279"/>
      <c r="T3" s="278"/>
      <c r="U3" s="278"/>
      <c r="V3" s="278"/>
      <c r="W3" s="278"/>
      <c r="X3" s="278"/>
      <c r="Y3" s="278"/>
    </row>
    <row r="4" s="249" customFormat="1" ht="17.25" spans="1:25">
      <c r="B4" s="270" t="s">
        <v>43</v>
      </c>
      <c r="C4" s="270" t="s">
        <v>44</v>
      </c>
      <c r="D4" s="271" t="s">
        <v>45</v>
      </c>
      <c r="E4" s="283" t="s">
        <v>46</v>
      </c>
      <c r="F4" s="270" t="s">
        <v>47</v>
      </c>
      <c r="G4" s="270" t="s">
        <v>48</v>
      </c>
      <c r="H4" s="270" t="s">
        <v>29</v>
      </c>
      <c r="I4" s="280">
        <v>4</v>
      </c>
      <c r="J4" s="280">
        <v>4</v>
      </c>
      <c r="K4" s="280">
        <v>4</v>
      </c>
      <c r="L4" s="274" t="s">
        <v>49</v>
      </c>
      <c r="M4" s="275" t="s">
        <v>31</v>
      </c>
      <c r="N4" s="281">
        <v>1</v>
      </c>
      <c r="O4" s="282" t="s">
        <v>50</v>
      </c>
      <c r="P4" s="277" t="s">
        <v>51</v>
      </c>
      <c r="Q4" s="278"/>
      <c r="R4" s="278"/>
      <c r="S4" s="279"/>
      <c r="T4" s="278"/>
      <c r="U4" s="278"/>
      <c r="V4" s="278"/>
      <c r="W4" s="278"/>
      <c r="X4" s="278"/>
      <c r="Y4" s="278"/>
    </row>
    <row r="5" s="249" customFormat="1" ht="17.25" spans="1:25">
      <c r="B5" s="270" t="s">
        <v>43</v>
      </c>
      <c r="C5" s="270" t="s">
        <v>44</v>
      </c>
      <c r="D5" s="271" t="s">
        <v>45</v>
      </c>
      <c r="E5" s="272" t="s">
        <v>52</v>
      </c>
      <c r="F5" s="270" t="s">
        <v>53</v>
      </c>
      <c r="G5" s="270" t="s">
        <v>48</v>
      </c>
      <c r="H5" s="270" t="s">
        <v>29</v>
      </c>
      <c r="I5" s="280">
        <v>4</v>
      </c>
      <c r="J5" s="280">
        <v>4</v>
      </c>
      <c r="K5" s="280">
        <v>4</v>
      </c>
      <c r="L5" s="274" t="s">
        <v>49</v>
      </c>
      <c r="M5" s="275" t="s">
        <v>31</v>
      </c>
      <c r="N5" s="281">
        <v>1</v>
      </c>
      <c r="O5" s="282" t="s">
        <v>54</v>
      </c>
      <c r="P5" s="277" t="s">
        <v>55</v>
      </c>
      <c r="Q5" s="278"/>
      <c r="R5" s="278"/>
      <c r="S5" s="279"/>
      <c r="T5" s="278"/>
      <c r="U5" s="278"/>
      <c r="V5" s="278"/>
      <c r="W5" s="278"/>
      <c r="X5" s="278"/>
      <c r="Y5" s="278"/>
    </row>
    <row r="6" s="249" customFormat="1" ht="17.25" spans="1:25">
      <c r="B6" s="270" t="s">
        <v>56</v>
      </c>
      <c r="C6" s="270" t="s">
        <v>57</v>
      </c>
      <c r="D6" s="271" t="s">
        <v>58</v>
      </c>
      <c r="E6" s="272" t="s">
        <v>59</v>
      </c>
      <c r="F6" s="270"/>
      <c r="G6" s="270" t="s">
        <v>60</v>
      </c>
      <c r="H6" s="270" t="s">
        <v>29</v>
      </c>
      <c r="I6" s="284">
        <v>8</v>
      </c>
      <c r="J6" s="284">
        <v>8</v>
      </c>
      <c r="K6" s="284">
        <v>8</v>
      </c>
      <c r="L6" s="274" t="s">
        <v>61</v>
      </c>
      <c r="M6" s="275" t="s">
        <v>40</v>
      </c>
      <c r="N6" s="271">
        <v>1</v>
      </c>
      <c r="O6" s="284" t="s">
        <v>62</v>
      </c>
      <c r="P6" s="285" t="s">
        <v>63</v>
      </c>
      <c r="Q6" s="278"/>
      <c r="R6" s="278"/>
      <c r="S6" s="279"/>
      <c r="T6" s="278"/>
      <c r="U6" s="278"/>
      <c r="V6" s="278"/>
      <c r="W6" s="278"/>
      <c r="X6" s="278"/>
      <c r="Y6" s="278"/>
    </row>
    <row r="7" s="249" customFormat="1" ht="17.25" spans="1:25">
      <c r="B7" s="270" t="s">
        <v>56</v>
      </c>
      <c r="C7" s="270" t="s">
        <v>64</v>
      </c>
      <c r="D7" s="271" t="s">
        <v>65</v>
      </c>
      <c r="E7" s="272" t="s">
        <v>66</v>
      </c>
      <c r="F7" s="270"/>
      <c r="G7" s="270" t="s">
        <v>67</v>
      </c>
      <c r="H7" s="270" t="s">
        <v>68</v>
      </c>
      <c r="I7" s="284">
        <v>7</v>
      </c>
      <c r="J7" s="284">
        <v>7</v>
      </c>
      <c r="K7" s="284"/>
      <c r="L7" s="274" t="s">
        <v>69</v>
      </c>
      <c r="M7" s="275" t="s">
        <v>31</v>
      </c>
      <c r="N7" s="271">
        <v>1</v>
      </c>
      <c r="O7" s="284">
        <v>908133</v>
      </c>
      <c r="P7" s="285" t="s">
        <v>33</v>
      </c>
      <c r="Q7" s="278"/>
      <c r="R7" s="278"/>
      <c r="S7" s="279"/>
      <c r="T7" s="278"/>
      <c r="U7" s="278"/>
      <c r="V7" s="278"/>
      <c r="W7" s="278"/>
      <c r="X7" s="278"/>
      <c r="Y7" s="278"/>
    </row>
    <row r="8" s="249" customFormat="1" ht="17.25" spans="1:25">
      <c r="B8" s="270" t="s">
        <v>56</v>
      </c>
      <c r="C8" s="270" t="s">
        <v>64</v>
      </c>
      <c r="D8" s="271" t="s">
        <v>65</v>
      </c>
      <c r="E8" s="272" t="s">
        <v>70</v>
      </c>
      <c r="F8" s="270"/>
      <c r="G8" s="270" t="s">
        <v>67</v>
      </c>
      <c r="H8" s="270" t="s">
        <v>68</v>
      </c>
      <c r="I8" s="284">
        <v>7</v>
      </c>
      <c r="J8" s="284">
        <v>7</v>
      </c>
      <c r="K8" s="284"/>
      <c r="L8" s="274" t="s">
        <v>69</v>
      </c>
      <c r="M8" s="275" t="s">
        <v>31</v>
      </c>
      <c r="N8" s="271">
        <v>1</v>
      </c>
      <c r="O8" s="284">
        <v>908134</v>
      </c>
      <c r="P8" s="285" t="s">
        <v>71</v>
      </c>
      <c r="Q8" s="278"/>
      <c r="R8" s="278"/>
      <c r="S8" s="279"/>
      <c r="T8" s="278"/>
      <c r="U8" s="278"/>
      <c r="V8" s="278"/>
      <c r="W8" s="278"/>
      <c r="X8" s="278"/>
      <c r="Y8" s="278"/>
    </row>
    <row r="9" s="249" customFormat="1" ht="17.25" spans="1:25">
      <c r="B9" s="270" t="s">
        <v>72</v>
      </c>
      <c r="C9" s="270" t="s">
        <v>73</v>
      </c>
      <c r="D9" s="271" t="s">
        <v>74</v>
      </c>
      <c r="E9" s="272" t="s">
        <v>75</v>
      </c>
      <c r="F9" s="270" t="s">
        <v>76</v>
      </c>
      <c r="G9" s="270" t="s">
        <v>77</v>
      </c>
      <c r="H9" s="270" t="s">
        <v>29</v>
      </c>
      <c r="I9" s="280">
        <v>11</v>
      </c>
      <c r="J9" s="280">
        <v>11</v>
      </c>
      <c r="K9" s="280"/>
      <c r="L9" s="274" t="s">
        <v>69</v>
      </c>
      <c r="M9" s="275" t="s">
        <v>78</v>
      </c>
      <c r="N9" s="271">
        <v>1</v>
      </c>
      <c r="O9" s="282" t="s">
        <v>79</v>
      </c>
      <c r="P9" s="286" t="s">
        <v>80</v>
      </c>
      <c r="Q9" s="278"/>
      <c r="R9" s="278"/>
      <c r="S9" s="279"/>
      <c r="T9" s="278"/>
      <c r="U9" s="278"/>
      <c r="V9" s="278"/>
      <c r="W9" s="278"/>
      <c r="X9" s="278"/>
      <c r="Y9" s="278"/>
    </row>
    <row r="10" s="249" customFormat="1" ht="17.25" spans="1:25">
      <c r="B10" s="270" t="s">
        <v>81</v>
      </c>
      <c r="C10" s="270" t="s">
        <v>82</v>
      </c>
      <c r="D10" s="271" t="s">
        <v>83</v>
      </c>
      <c r="E10" s="272" t="s">
        <v>84</v>
      </c>
      <c r="F10" s="270" t="s">
        <v>85</v>
      </c>
      <c r="G10" s="270" t="s">
        <v>86</v>
      </c>
      <c r="H10" s="270" t="s">
        <v>87</v>
      </c>
      <c r="I10" s="280">
        <v>4</v>
      </c>
      <c r="J10" s="280">
        <v>4</v>
      </c>
      <c r="K10" s="280"/>
      <c r="L10" s="274" t="s">
        <v>88</v>
      </c>
      <c r="M10" s="275" t="s">
        <v>89</v>
      </c>
      <c r="N10" s="281">
        <v>1</v>
      </c>
      <c r="O10" s="282" t="s">
        <v>90</v>
      </c>
      <c r="P10" s="277" t="s">
        <v>91</v>
      </c>
      <c r="Q10" s="278"/>
      <c r="R10" s="278"/>
      <c r="S10" s="279"/>
      <c r="T10" s="278"/>
      <c r="U10" s="278"/>
      <c r="V10" s="278"/>
      <c r="W10" s="278"/>
      <c r="X10" s="278"/>
      <c r="Y10" s="278"/>
    </row>
    <row r="11" s="249" customFormat="1" ht="17.25" spans="1:25">
      <c r="B11" s="270" t="s">
        <v>81</v>
      </c>
      <c r="C11" s="270" t="s">
        <v>82</v>
      </c>
      <c r="D11" s="271" t="s">
        <v>92</v>
      </c>
      <c r="E11" s="272" t="s">
        <v>93</v>
      </c>
      <c r="F11" s="270"/>
      <c r="G11" s="270" t="s">
        <v>94</v>
      </c>
      <c r="H11" s="270" t="s">
        <v>29</v>
      </c>
      <c r="I11" s="280">
        <v>6</v>
      </c>
      <c r="J11" s="280">
        <v>6</v>
      </c>
      <c r="K11" s="280">
        <v>6</v>
      </c>
      <c r="L11" s="274" t="s">
        <v>49</v>
      </c>
      <c r="M11" s="275" t="s">
        <v>31</v>
      </c>
      <c r="N11" s="281">
        <v>1</v>
      </c>
      <c r="O11" s="282" t="s">
        <v>95</v>
      </c>
      <c r="P11" s="277" t="s">
        <v>96</v>
      </c>
      <c r="Q11" s="278"/>
      <c r="R11" s="278"/>
      <c r="S11" s="279"/>
      <c r="T11" s="278"/>
      <c r="U11" s="278"/>
      <c r="V11" s="278"/>
      <c r="W11" s="278"/>
      <c r="X11" s="278"/>
      <c r="Y11" s="278"/>
    </row>
    <row r="12" s="249" customFormat="1" ht="17.25" spans="1:25">
      <c r="B12" s="270" t="s">
        <v>97</v>
      </c>
      <c r="C12" s="270" t="s">
        <v>98</v>
      </c>
      <c r="D12" s="271" t="s">
        <v>99</v>
      </c>
      <c r="E12" s="272" t="s">
        <v>100</v>
      </c>
      <c r="F12" s="270" t="s">
        <v>101</v>
      </c>
      <c r="G12" s="270" t="s">
        <v>102</v>
      </c>
      <c r="H12" s="270" t="s">
        <v>87</v>
      </c>
      <c r="I12" s="284">
        <v>4</v>
      </c>
      <c r="J12" s="284">
        <v>4</v>
      </c>
      <c r="K12" s="284"/>
      <c r="L12" s="274" t="s">
        <v>88</v>
      </c>
      <c r="M12" s="275" t="s">
        <v>89</v>
      </c>
      <c r="N12" s="271">
        <v>1</v>
      </c>
      <c r="O12" s="284" t="s">
        <v>103</v>
      </c>
      <c r="P12" s="285" t="s">
        <v>104</v>
      </c>
      <c r="Q12" s="278"/>
      <c r="R12" s="278"/>
      <c r="S12" s="279"/>
      <c r="T12" s="278"/>
      <c r="U12" s="278"/>
      <c r="V12" s="278"/>
      <c r="W12" s="278"/>
      <c r="X12" s="278"/>
      <c r="Y12" s="278"/>
    </row>
    <row r="13" s="249" customFormat="1" ht="17.25" spans="1:25">
      <c r="B13" s="270" t="s">
        <v>105</v>
      </c>
      <c r="C13" s="270" t="s">
        <v>106</v>
      </c>
      <c r="D13" s="271" t="s">
        <v>107</v>
      </c>
      <c r="E13" s="272" t="s">
        <v>108</v>
      </c>
      <c r="F13" s="270" t="s">
        <v>109</v>
      </c>
      <c r="G13" s="270" t="s">
        <v>86</v>
      </c>
      <c r="H13" s="270" t="s">
        <v>87</v>
      </c>
      <c r="I13" s="273">
        <v>5</v>
      </c>
      <c r="J13" s="273">
        <v>5</v>
      </c>
      <c r="K13" s="273"/>
      <c r="L13" s="274" t="s">
        <v>88</v>
      </c>
      <c r="M13" s="275" t="s">
        <v>89</v>
      </c>
      <c r="N13" s="271">
        <v>1</v>
      </c>
      <c r="O13" s="282" t="s">
        <v>110</v>
      </c>
      <c r="P13" s="277" t="s">
        <v>104</v>
      </c>
      <c r="Q13" s="278"/>
      <c r="R13" s="278"/>
      <c r="S13" s="279"/>
      <c r="T13" s="278"/>
      <c r="U13" s="278"/>
      <c r="V13" s="278"/>
      <c r="W13" s="278"/>
      <c r="X13" s="278"/>
      <c r="Y13" s="278"/>
    </row>
    <row r="14" s="249" customFormat="1" ht="17.25" spans="1:25">
      <c r="B14" s="270" t="s">
        <v>105</v>
      </c>
      <c r="C14" s="270" t="s">
        <v>106</v>
      </c>
      <c r="D14" s="271" t="s">
        <v>107</v>
      </c>
      <c r="E14" s="272" t="s">
        <v>111</v>
      </c>
      <c r="F14" s="270" t="s">
        <v>112</v>
      </c>
      <c r="G14" s="270" t="s">
        <v>86</v>
      </c>
      <c r="H14" s="270" t="s">
        <v>87</v>
      </c>
      <c r="I14" s="273">
        <v>5</v>
      </c>
      <c r="J14" s="273">
        <v>5</v>
      </c>
      <c r="K14" s="273"/>
      <c r="L14" s="274" t="s">
        <v>88</v>
      </c>
      <c r="M14" s="275" t="s">
        <v>89</v>
      </c>
      <c r="N14" s="271">
        <v>1</v>
      </c>
      <c r="O14" s="282" t="s">
        <v>113</v>
      </c>
      <c r="P14" s="277" t="s">
        <v>114</v>
      </c>
      <c r="Q14" s="278"/>
      <c r="R14" s="278"/>
      <c r="S14" s="279"/>
      <c r="T14" s="278"/>
      <c r="U14" s="278"/>
      <c r="V14" s="278"/>
      <c r="W14" s="278"/>
      <c r="X14" s="278"/>
      <c r="Y14" s="278"/>
    </row>
    <row r="15" s="249" customFormat="1" ht="17.25" spans="1:25">
      <c r="B15" s="270" t="s">
        <v>105</v>
      </c>
      <c r="C15" s="270" t="s">
        <v>106</v>
      </c>
      <c r="D15" s="271" t="s">
        <v>107</v>
      </c>
      <c r="E15" s="272" t="s">
        <v>115</v>
      </c>
      <c r="F15" s="270" t="s">
        <v>116</v>
      </c>
      <c r="G15" s="270" t="s">
        <v>86</v>
      </c>
      <c r="H15" s="270" t="s">
        <v>87</v>
      </c>
      <c r="I15" s="273">
        <v>5</v>
      </c>
      <c r="J15" s="273">
        <v>5</v>
      </c>
      <c r="K15" s="273"/>
      <c r="L15" s="274" t="s">
        <v>88</v>
      </c>
      <c r="M15" s="275" t="s">
        <v>89</v>
      </c>
      <c r="N15" s="271">
        <v>1</v>
      </c>
      <c r="O15" s="282" t="s">
        <v>117</v>
      </c>
      <c r="P15" s="277" t="s">
        <v>118</v>
      </c>
      <c r="Q15" s="278"/>
      <c r="R15" s="278"/>
      <c r="S15" s="279"/>
      <c r="T15" s="278"/>
      <c r="U15" s="278"/>
      <c r="V15" s="278"/>
      <c r="W15" s="278"/>
      <c r="X15" s="278"/>
      <c r="Y15" s="278"/>
    </row>
    <row r="16" s="249" customFormat="1" ht="17.25" spans="1:25">
      <c r="B16" s="270" t="s">
        <v>105</v>
      </c>
      <c r="C16" s="270" t="s">
        <v>106</v>
      </c>
      <c r="D16" s="271" t="s">
        <v>107</v>
      </c>
      <c r="E16" s="272" t="s">
        <v>119</v>
      </c>
      <c r="F16" s="270" t="s">
        <v>120</v>
      </c>
      <c r="G16" s="270" t="s">
        <v>86</v>
      </c>
      <c r="H16" s="270" t="s">
        <v>87</v>
      </c>
      <c r="I16" s="273">
        <v>6</v>
      </c>
      <c r="J16" s="273">
        <v>6</v>
      </c>
      <c r="K16" s="273"/>
      <c r="L16" s="274" t="s">
        <v>88</v>
      </c>
      <c r="M16" s="275" t="s">
        <v>89</v>
      </c>
      <c r="N16" s="271">
        <v>1</v>
      </c>
      <c r="O16" s="282" t="s">
        <v>121</v>
      </c>
      <c r="P16" s="277" t="s">
        <v>122</v>
      </c>
      <c r="Q16" s="278"/>
      <c r="R16" s="278"/>
      <c r="S16" s="279"/>
      <c r="T16" s="278"/>
      <c r="U16" s="278"/>
      <c r="V16" s="278"/>
      <c r="W16" s="278"/>
      <c r="X16" s="278"/>
      <c r="Y16" s="278"/>
    </row>
    <row r="17" s="249" customFormat="1" ht="17.25" spans="2:25">
      <c r="B17" s="270" t="s">
        <v>105</v>
      </c>
      <c r="C17" s="270" t="s">
        <v>106</v>
      </c>
      <c r="D17" s="271" t="s">
        <v>123</v>
      </c>
      <c r="E17" s="272" t="s">
        <v>124</v>
      </c>
      <c r="F17" s="270" t="s">
        <v>125</v>
      </c>
      <c r="G17" s="270" t="s">
        <v>86</v>
      </c>
      <c r="H17" s="270" t="s">
        <v>29</v>
      </c>
      <c r="I17" s="273">
        <v>6</v>
      </c>
      <c r="J17" s="273">
        <v>6</v>
      </c>
      <c r="K17" s="273"/>
      <c r="L17" s="274" t="s">
        <v>126</v>
      </c>
      <c r="M17" s="275" t="s">
        <v>31</v>
      </c>
      <c r="N17" s="271">
        <v>1</v>
      </c>
      <c r="O17" s="282" t="s">
        <v>127</v>
      </c>
      <c r="P17" s="277" t="s">
        <v>33</v>
      </c>
      <c r="Q17" s="278"/>
      <c r="R17" s="278"/>
      <c r="S17" s="279"/>
      <c r="T17" s="278"/>
      <c r="U17" s="278"/>
      <c r="V17" s="278"/>
      <c r="W17" s="278"/>
      <c r="X17" s="278"/>
      <c r="Y17" s="278"/>
    </row>
    <row r="18" s="249" customFormat="1" ht="17.25" spans="2:25">
      <c r="B18" s="270" t="s">
        <v>128</v>
      </c>
      <c r="C18" s="270" t="s">
        <v>129</v>
      </c>
      <c r="D18" s="271" t="s">
        <v>130</v>
      </c>
      <c r="E18" s="272" t="s">
        <v>131</v>
      </c>
      <c r="F18" s="270" t="s">
        <v>132</v>
      </c>
      <c r="G18" s="270" t="s">
        <v>133</v>
      </c>
      <c r="H18" s="270" t="s">
        <v>29</v>
      </c>
      <c r="I18" s="280">
        <v>17</v>
      </c>
      <c r="J18" s="280">
        <v>17</v>
      </c>
      <c r="K18" s="280">
        <v>17</v>
      </c>
      <c r="L18" s="274" t="s">
        <v>126</v>
      </c>
      <c r="M18" s="275" t="s">
        <v>78</v>
      </c>
      <c r="N18" s="281">
        <v>1</v>
      </c>
      <c r="O18" s="282" t="s">
        <v>134</v>
      </c>
      <c r="P18" s="277" t="s">
        <v>135</v>
      </c>
      <c r="Q18" s="278"/>
      <c r="R18" s="278"/>
      <c r="S18" s="279"/>
      <c r="T18" s="278"/>
      <c r="U18" s="278"/>
      <c r="V18" s="278"/>
      <c r="W18" s="278"/>
      <c r="X18" s="278"/>
      <c r="Y18" s="278"/>
    </row>
    <row r="19" s="249" customFormat="1" ht="17.25" spans="2:25">
      <c r="B19" s="270" t="s">
        <v>128</v>
      </c>
      <c r="C19" s="270" t="s">
        <v>129</v>
      </c>
      <c r="D19" s="271" t="s">
        <v>130</v>
      </c>
      <c r="E19" s="272" t="s">
        <v>136</v>
      </c>
      <c r="F19" s="270" t="s">
        <v>137</v>
      </c>
      <c r="G19" s="270" t="s">
        <v>133</v>
      </c>
      <c r="H19" s="270" t="s">
        <v>29</v>
      </c>
      <c r="I19" s="280">
        <v>16</v>
      </c>
      <c r="J19" s="280">
        <v>16</v>
      </c>
      <c r="K19" s="280">
        <v>16</v>
      </c>
      <c r="L19" s="274" t="s">
        <v>126</v>
      </c>
      <c r="M19" s="275" t="s">
        <v>78</v>
      </c>
      <c r="N19" s="281">
        <v>1</v>
      </c>
      <c r="O19" s="282" t="s">
        <v>138</v>
      </c>
      <c r="P19" s="277" t="s">
        <v>139</v>
      </c>
      <c r="Q19" s="278"/>
      <c r="R19" s="278"/>
      <c r="S19" s="279"/>
      <c r="T19" s="278"/>
      <c r="U19" s="278"/>
      <c r="V19" s="278"/>
      <c r="W19" s="278"/>
      <c r="X19" s="278"/>
      <c r="Y19" s="278"/>
    </row>
    <row r="20" s="249" customFormat="1" ht="17.25" spans="2:25">
      <c r="B20" s="270" t="s">
        <v>128</v>
      </c>
      <c r="C20" s="270" t="s">
        <v>129</v>
      </c>
      <c r="D20" s="271" t="s">
        <v>130</v>
      </c>
      <c r="E20" s="272" t="s">
        <v>140</v>
      </c>
      <c r="F20" s="270" t="s">
        <v>141</v>
      </c>
      <c r="G20" s="270" t="s">
        <v>133</v>
      </c>
      <c r="H20" s="270" t="s">
        <v>29</v>
      </c>
      <c r="I20" s="280">
        <v>14</v>
      </c>
      <c r="J20" s="280">
        <v>14</v>
      </c>
      <c r="K20" s="280">
        <v>14</v>
      </c>
      <c r="L20" s="274" t="s">
        <v>126</v>
      </c>
      <c r="M20" s="275" t="s">
        <v>78</v>
      </c>
      <c r="N20" s="281">
        <v>1</v>
      </c>
      <c r="O20" s="282" t="s">
        <v>142</v>
      </c>
      <c r="P20" s="277" t="s">
        <v>143</v>
      </c>
      <c r="Q20" s="278"/>
      <c r="R20" s="278"/>
      <c r="S20" s="279"/>
      <c r="T20" s="278"/>
      <c r="U20" s="278"/>
      <c r="V20" s="278"/>
      <c r="W20" s="278"/>
      <c r="X20" s="278"/>
      <c r="Y20" s="278"/>
    </row>
    <row r="21" s="249" customFormat="1" ht="17.25" spans="2:25">
      <c r="B21" s="270" t="s">
        <v>128</v>
      </c>
      <c r="C21" s="270" t="s">
        <v>129</v>
      </c>
      <c r="D21" s="271" t="s">
        <v>130</v>
      </c>
      <c r="E21" s="272" t="s">
        <v>144</v>
      </c>
      <c r="F21" s="270" t="s">
        <v>145</v>
      </c>
      <c r="G21" s="270" t="s">
        <v>133</v>
      </c>
      <c r="H21" s="270" t="s">
        <v>29</v>
      </c>
      <c r="I21" s="280">
        <v>14</v>
      </c>
      <c r="J21" s="280">
        <v>14</v>
      </c>
      <c r="K21" s="280">
        <v>14</v>
      </c>
      <c r="L21" s="274" t="s">
        <v>126</v>
      </c>
      <c r="M21" s="275" t="s">
        <v>78</v>
      </c>
      <c r="N21" s="281">
        <v>1</v>
      </c>
      <c r="O21" s="282" t="s">
        <v>146</v>
      </c>
      <c r="P21" s="277" t="s">
        <v>147</v>
      </c>
      <c r="Q21" s="278"/>
      <c r="R21" s="278"/>
      <c r="S21" s="279"/>
      <c r="T21" s="278"/>
      <c r="U21" s="278"/>
      <c r="V21" s="278"/>
      <c r="W21" s="278"/>
      <c r="X21" s="278"/>
      <c r="Y21" s="278"/>
    </row>
    <row r="22" s="249" customFormat="1" ht="17.25" spans="2:25">
      <c r="B22" s="270" t="s">
        <v>128</v>
      </c>
      <c r="C22" s="270" t="s">
        <v>129</v>
      </c>
      <c r="D22" s="271" t="s">
        <v>130</v>
      </c>
      <c r="E22" s="272" t="s">
        <v>148</v>
      </c>
      <c r="F22" s="270" t="s">
        <v>149</v>
      </c>
      <c r="G22" s="270" t="s">
        <v>133</v>
      </c>
      <c r="H22" s="270" t="s">
        <v>29</v>
      </c>
      <c r="I22" s="280">
        <v>13</v>
      </c>
      <c r="J22" s="280">
        <v>13</v>
      </c>
      <c r="K22" s="280">
        <v>13</v>
      </c>
      <c r="L22" s="274" t="s">
        <v>126</v>
      </c>
      <c r="M22" s="275" t="s">
        <v>78</v>
      </c>
      <c r="N22" s="281">
        <v>1</v>
      </c>
      <c r="O22" s="282" t="s">
        <v>150</v>
      </c>
      <c r="P22" s="277" t="s">
        <v>151</v>
      </c>
      <c r="Q22" s="278"/>
      <c r="R22" s="278"/>
      <c r="S22" s="279"/>
      <c r="T22" s="278"/>
      <c r="U22" s="278"/>
      <c r="V22" s="278"/>
      <c r="W22" s="278"/>
      <c r="X22" s="278"/>
      <c r="Y22" s="278"/>
    </row>
    <row r="23" s="249" customFormat="1" ht="17.25" spans="2:25">
      <c r="B23" s="270" t="s">
        <v>128</v>
      </c>
      <c r="C23" s="270" t="s">
        <v>129</v>
      </c>
      <c r="D23" s="271" t="s">
        <v>130</v>
      </c>
      <c r="E23" s="272" t="s">
        <v>152</v>
      </c>
      <c r="F23" s="270" t="s">
        <v>153</v>
      </c>
      <c r="G23" s="270" t="s">
        <v>133</v>
      </c>
      <c r="H23" s="270" t="s">
        <v>29</v>
      </c>
      <c r="I23" s="280">
        <v>13</v>
      </c>
      <c r="J23" s="280">
        <v>13</v>
      </c>
      <c r="K23" s="280">
        <v>13</v>
      </c>
      <c r="L23" s="274" t="s">
        <v>126</v>
      </c>
      <c r="M23" s="275" t="s">
        <v>78</v>
      </c>
      <c r="N23" s="281">
        <v>1</v>
      </c>
      <c r="O23" s="282" t="s">
        <v>154</v>
      </c>
      <c r="P23" s="277" t="s">
        <v>155</v>
      </c>
      <c r="Q23" s="278"/>
      <c r="R23" s="278"/>
      <c r="S23" s="279"/>
      <c r="T23" s="278"/>
      <c r="U23" s="278"/>
      <c r="V23" s="278"/>
      <c r="W23" s="278"/>
      <c r="X23" s="278"/>
      <c r="Y23" s="278"/>
    </row>
    <row r="24" s="249" customFormat="1" ht="17.25" spans="2:25">
      <c r="B24" s="270" t="s">
        <v>156</v>
      </c>
      <c r="C24" s="270" t="s">
        <v>157</v>
      </c>
      <c r="D24" s="271" t="s">
        <v>158</v>
      </c>
      <c r="E24" s="272" t="s">
        <v>159</v>
      </c>
      <c r="F24" s="270"/>
      <c r="G24" s="270" t="s">
        <v>160</v>
      </c>
      <c r="H24" s="270" t="s">
        <v>29</v>
      </c>
      <c r="I24" s="280">
        <v>5</v>
      </c>
      <c r="J24" s="280">
        <v>5</v>
      </c>
      <c r="K24" s="280"/>
      <c r="L24" s="274" t="s">
        <v>126</v>
      </c>
      <c r="M24" s="275" t="s">
        <v>31</v>
      </c>
      <c r="N24" s="271">
        <v>1</v>
      </c>
      <c r="O24" s="282" t="s">
        <v>161</v>
      </c>
      <c r="P24" s="277" t="s">
        <v>162</v>
      </c>
      <c r="Q24" s="278"/>
      <c r="R24" s="278"/>
      <c r="S24" s="279"/>
      <c r="T24" s="278"/>
      <c r="U24" s="278"/>
      <c r="V24" s="278"/>
      <c r="W24" s="278"/>
      <c r="X24" s="278"/>
      <c r="Y24" s="278"/>
    </row>
    <row r="25" s="249" customFormat="1" ht="17.25" spans="2:25">
      <c r="B25" s="270" t="s">
        <v>163</v>
      </c>
      <c r="C25" s="270" t="s">
        <v>164</v>
      </c>
      <c r="D25" s="271" t="s">
        <v>165</v>
      </c>
      <c r="E25" s="272" t="s">
        <v>166</v>
      </c>
      <c r="F25" s="270" t="s">
        <v>167</v>
      </c>
      <c r="G25" s="270" t="s">
        <v>168</v>
      </c>
      <c r="H25" s="270" t="s">
        <v>87</v>
      </c>
      <c r="I25" s="280">
        <v>5</v>
      </c>
      <c r="J25" s="280">
        <v>5</v>
      </c>
      <c r="K25" s="280">
        <v>5</v>
      </c>
      <c r="L25" s="274" t="s">
        <v>88</v>
      </c>
      <c r="M25" s="275" t="s">
        <v>31</v>
      </c>
      <c r="N25" s="271">
        <v>1</v>
      </c>
      <c r="O25" s="282" t="s">
        <v>169</v>
      </c>
      <c r="P25" s="277" t="s">
        <v>104</v>
      </c>
      <c r="Q25" s="278"/>
      <c r="R25" s="278"/>
      <c r="S25" s="279"/>
      <c r="T25" s="278"/>
      <c r="U25" s="278"/>
      <c r="V25" s="278"/>
      <c r="W25" s="278"/>
      <c r="X25" s="278"/>
      <c r="Y25" s="278"/>
    </row>
    <row r="26" s="249" customFormat="1" ht="17.25" spans="2:25">
      <c r="B26" s="270" t="s">
        <v>163</v>
      </c>
      <c r="C26" s="270" t="s">
        <v>164</v>
      </c>
      <c r="D26" s="271" t="s">
        <v>170</v>
      </c>
      <c r="E26" s="272" t="s">
        <v>171</v>
      </c>
      <c r="F26" s="270" t="s">
        <v>172</v>
      </c>
      <c r="G26" s="270" t="s">
        <v>168</v>
      </c>
      <c r="H26" s="270" t="s">
        <v>29</v>
      </c>
      <c r="I26" s="280">
        <v>5</v>
      </c>
      <c r="J26" s="280">
        <v>5</v>
      </c>
      <c r="K26" s="280">
        <v>5</v>
      </c>
      <c r="L26" s="274" t="s">
        <v>69</v>
      </c>
      <c r="M26" s="275" t="s">
        <v>31</v>
      </c>
      <c r="N26" s="271">
        <v>1</v>
      </c>
      <c r="O26" s="282" t="s">
        <v>173</v>
      </c>
      <c r="P26" s="277" t="s">
        <v>33</v>
      </c>
      <c r="Q26" s="278"/>
      <c r="R26" s="278"/>
      <c r="S26" s="279"/>
      <c r="T26" s="278"/>
      <c r="U26" s="278"/>
      <c r="V26" s="278"/>
      <c r="W26" s="278"/>
      <c r="X26" s="278"/>
      <c r="Y26" s="278"/>
    </row>
    <row r="27" s="249" customFormat="1" ht="17.25" spans="2:25">
      <c r="B27" s="270" t="s">
        <v>163</v>
      </c>
      <c r="C27" s="270" t="s">
        <v>164</v>
      </c>
      <c r="D27" s="271" t="s">
        <v>170</v>
      </c>
      <c r="E27" s="272" t="s">
        <v>174</v>
      </c>
      <c r="F27" s="270" t="s">
        <v>175</v>
      </c>
      <c r="G27" s="270" t="s">
        <v>168</v>
      </c>
      <c r="H27" s="270" t="s">
        <v>29</v>
      </c>
      <c r="I27" s="280">
        <v>5</v>
      </c>
      <c r="J27" s="280">
        <v>5</v>
      </c>
      <c r="K27" s="280">
        <v>5</v>
      </c>
      <c r="L27" s="274" t="s">
        <v>69</v>
      </c>
      <c r="M27" s="275" t="s">
        <v>31</v>
      </c>
      <c r="N27" s="271">
        <v>1</v>
      </c>
      <c r="O27" s="282" t="s">
        <v>176</v>
      </c>
      <c r="P27" s="277" t="s">
        <v>71</v>
      </c>
      <c r="Q27" s="278"/>
      <c r="R27" s="278"/>
      <c r="S27" s="279"/>
      <c r="T27" s="278"/>
      <c r="U27" s="278"/>
      <c r="V27" s="278"/>
      <c r="W27" s="278"/>
      <c r="X27" s="278"/>
      <c r="Y27" s="278"/>
    </row>
    <row r="28" s="249" customFormat="1" ht="17.25" spans="2:25">
      <c r="B28" s="270" t="s">
        <v>177</v>
      </c>
      <c r="C28" s="270" t="s">
        <v>178</v>
      </c>
      <c r="D28" s="271" t="s">
        <v>179</v>
      </c>
      <c r="E28" s="272" t="s">
        <v>180</v>
      </c>
      <c r="F28" s="270" t="s">
        <v>181</v>
      </c>
      <c r="G28" s="270" t="s">
        <v>160</v>
      </c>
      <c r="H28" s="270" t="s">
        <v>29</v>
      </c>
      <c r="I28" s="280">
        <v>5</v>
      </c>
      <c r="J28" s="280">
        <v>5</v>
      </c>
      <c r="K28" s="280">
        <v>5</v>
      </c>
      <c r="L28" s="274" t="s">
        <v>126</v>
      </c>
      <c r="M28" s="275" t="s">
        <v>31</v>
      </c>
      <c r="N28" s="271">
        <v>1</v>
      </c>
      <c r="O28" s="282" t="s">
        <v>182</v>
      </c>
      <c r="P28" s="277" t="s">
        <v>33</v>
      </c>
      <c r="Q28" s="278"/>
      <c r="R28" s="278"/>
      <c r="S28" s="279"/>
      <c r="T28" s="278"/>
      <c r="U28" s="278"/>
      <c r="V28" s="278"/>
      <c r="W28" s="278"/>
      <c r="X28" s="278"/>
      <c r="Y28" s="278"/>
    </row>
    <row r="29" s="249" customFormat="1" ht="17.25" spans="2:25">
      <c r="B29" s="270" t="s">
        <v>183</v>
      </c>
      <c r="C29" s="270" t="s">
        <v>184</v>
      </c>
      <c r="D29" s="271" t="s">
        <v>185</v>
      </c>
      <c r="E29" s="272" t="s">
        <v>186</v>
      </c>
      <c r="F29" s="270" t="s">
        <v>187</v>
      </c>
      <c r="G29" s="270" t="s">
        <v>48</v>
      </c>
      <c r="H29" s="270" t="s">
        <v>29</v>
      </c>
      <c r="I29" s="280">
        <v>2</v>
      </c>
      <c r="J29" s="280">
        <v>2</v>
      </c>
      <c r="K29" s="280">
        <v>2</v>
      </c>
      <c r="L29" s="274" t="s">
        <v>30</v>
      </c>
      <c r="M29" s="275" t="s">
        <v>31</v>
      </c>
      <c r="N29" s="271">
        <v>1</v>
      </c>
      <c r="O29" s="282" t="s">
        <v>188</v>
      </c>
      <c r="P29" s="277" t="s">
        <v>162</v>
      </c>
      <c r="Q29" s="278"/>
      <c r="R29" s="278"/>
      <c r="S29" s="279"/>
      <c r="T29" s="278"/>
      <c r="U29" s="278"/>
      <c r="V29" s="278"/>
      <c r="W29" s="278"/>
      <c r="X29" s="278"/>
      <c r="Y29" s="278"/>
    </row>
    <row r="30" s="249" customFormat="1" ht="17.25" spans="2:25">
      <c r="B30" s="270" t="s">
        <v>189</v>
      </c>
      <c r="C30" s="270" t="s">
        <v>190</v>
      </c>
      <c r="D30" s="271" t="s">
        <v>191</v>
      </c>
      <c r="E30" s="272" t="s">
        <v>192</v>
      </c>
      <c r="F30" s="270" t="s">
        <v>193</v>
      </c>
      <c r="G30" s="270" t="s">
        <v>48</v>
      </c>
      <c r="H30" s="270" t="s">
        <v>29</v>
      </c>
      <c r="I30" s="280">
        <v>6</v>
      </c>
      <c r="J30" s="280">
        <v>6</v>
      </c>
      <c r="K30" s="280">
        <v>6</v>
      </c>
      <c r="L30" s="274" t="s">
        <v>69</v>
      </c>
      <c r="M30" s="275" t="s">
        <v>31</v>
      </c>
      <c r="N30" s="271">
        <v>1</v>
      </c>
      <c r="O30" s="282" t="s">
        <v>194</v>
      </c>
      <c r="P30" s="277" t="s">
        <v>195</v>
      </c>
      <c r="Q30" s="278"/>
      <c r="R30" s="278"/>
      <c r="S30" s="279"/>
      <c r="T30" s="278"/>
      <c r="U30" s="278"/>
      <c r="V30" s="278"/>
      <c r="W30" s="278"/>
      <c r="X30" s="278"/>
      <c r="Y30" s="278"/>
    </row>
    <row r="31" s="249" customFormat="1" ht="17.25" spans="2:25">
      <c r="B31" s="270" t="s">
        <v>23</v>
      </c>
      <c r="C31" s="270" t="s">
        <v>196</v>
      </c>
      <c r="D31" s="271" t="s">
        <v>25</v>
      </c>
      <c r="E31" s="272" t="s">
        <v>197</v>
      </c>
      <c r="F31" s="270" t="s">
        <v>198</v>
      </c>
      <c r="G31" s="270" t="s">
        <v>28</v>
      </c>
      <c r="H31" s="270" t="s">
        <v>29</v>
      </c>
      <c r="I31" s="280">
        <v>7</v>
      </c>
      <c r="J31" s="280">
        <v>7</v>
      </c>
      <c r="K31" s="280">
        <v>7</v>
      </c>
      <c r="L31" s="274" t="s">
        <v>30</v>
      </c>
      <c r="M31" s="275" t="s">
        <v>31</v>
      </c>
      <c r="N31" s="271">
        <v>1</v>
      </c>
      <c r="O31" s="282" t="s">
        <v>199</v>
      </c>
      <c r="P31" s="287" t="s">
        <v>200</v>
      </c>
      <c r="Q31" s="278"/>
      <c r="R31" s="278"/>
      <c r="S31" s="279"/>
      <c r="T31" s="278"/>
      <c r="U31" s="278"/>
      <c r="V31" s="278"/>
      <c r="W31" s="278"/>
      <c r="X31" s="278"/>
      <c r="Y31" s="278"/>
    </row>
    <row r="32" s="249" customFormat="1" ht="17.25" spans="2:25">
      <c r="B32" s="270" t="s">
        <v>189</v>
      </c>
      <c r="C32" s="288" t="s">
        <v>190</v>
      </c>
      <c r="D32" s="271" t="s">
        <v>201</v>
      </c>
      <c r="E32" s="272" t="s">
        <v>202</v>
      </c>
      <c r="F32" s="270" t="s">
        <v>203</v>
      </c>
      <c r="G32" s="270" t="s">
        <v>48</v>
      </c>
      <c r="H32" s="270" t="s">
        <v>87</v>
      </c>
      <c r="I32" s="280">
        <v>5</v>
      </c>
      <c r="J32" s="280">
        <v>5</v>
      </c>
      <c r="K32" s="280">
        <v>6</v>
      </c>
      <c r="L32" s="274" t="s">
        <v>204</v>
      </c>
      <c r="M32" s="275" t="s">
        <v>89</v>
      </c>
      <c r="N32" s="271">
        <v>1</v>
      </c>
      <c r="O32" s="282" t="s">
        <v>205</v>
      </c>
      <c r="P32" s="287" t="s">
        <v>104</v>
      </c>
      <c r="Q32" s="278"/>
      <c r="R32" s="278"/>
      <c r="S32" s="279"/>
      <c r="T32" s="278"/>
      <c r="U32" s="278"/>
      <c r="V32" s="278"/>
      <c r="W32" s="278"/>
      <c r="X32" s="278"/>
      <c r="Y32" s="278"/>
    </row>
    <row r="33" s="249" customFormat="1" ht="17.25" spans="2:25">
      <c r="B33" s="270" t="s">
        <v>189</v>
      </c>
      <c r="C33" s="288" t="s">
        <v>190</v>
      </c>
      <c r="D33" s="271" t="s">
        <v>201</v>
      </c>
      <c r="E33" s="272" t="s">
        <v>206</v>
      </c>
      <c r="F33" s="270" t="s">
        <v>207</v>
      </c>
      <c r="G33" s="270" t="s">
        <v>48</v>
      </c>
      <c r="H33" s="270" t="s">
        <v>87</v>
      </c>
      <c r="I33" s="280">
        <v>5</v>
      </c>
      <c r="J33" s="280">
        <v>5</v>
      </c>
      <c r="K33" s="280">
        <v>6</v>
      </c>
      <c r="L33" s="274" t="s">
        <v>204</v>
      </c>
      <c r="M33" s="275" t="s">
        <v>89</v>
      </c>
      <c r="N33" s="271">
        <v>1</v>
      </c>
      <c r="O33" s="282" t="s">
        <v>208</v>
      </c>
      <c r="P33" s="277" t="s">
        <v>122</v>
      </c>
      <c r="Q33" s="278"/>
      <c r="R33" s="278"/>
      <c r="S33" s="279"/>
      <c r="T33" s="278"/>
      <c r="U33" s="278"/>
      <c r="V33" s="278"/>
      <c r="W33" s="278"/>
      <c r="X33" s="278"/>
      <c r="Y33" s="278"/>
    </row>
    <row r="34" s="249" customFormat="1" ht="17.25" spans="2:25">
      <c r="B34" s="270" t="s">
        <v>189</v>
      </c>
      <c r="C34" s="288" t="s">
        <v>190</v>
      </c>
      <c r="D34" s="271" t="s">
        <v>201</v>
      </c>
      <c r="E34" s="272" t="s">
        <v>209</v>
      </c>
      <c r="F34" s="270" t="s">
        <v>210</v>
      </c>
      <c r="G34" s="270" t="s">
        <v>48</v>
      </c>
      <c r="H34" s="270" t="s">
        <v>87</v>
      </c>
      <c r="I34" s="280">
        <v>5</v>
      </c>
      <c r="J34" s="280">
        <v>5</v>
      </c>
      <c r="K34" s="280">
        <v>6</v>
      </c>
      <c r="L34" s="274" t="s">
        <v>204</v>
      </c>
      <c r="M34" s="275" t="s">
        <v>89</v>
      </c>
      <c r="N34" s="271">
        <v>1</v>
      </c>
      <c r="O34" s="282" t="s">
        <v>211</v>
      </c>
      <c r="P34" s="277" t="s">
        <v>114</v>
      </c>
      <c r="Q34" s="278"/>
      <c r="R34" s="278"/>
      <c r="S34" s="279"/>
      <c r="T34" s="278"/>
      <c r="U34" s="278"/>
      <c r="V34" s="278"/>
      <c r="W34" s="278"/>
      <c r="X34" s="278"/>
      <c r="Y34" s="278"/>
    </row>
    <row r="35" s="249" customFormat="1" ht="17.25" spans="2:25">
      <c r="B35" s="270" t="s">
        <v>189</v>
      </c>
      <c r="C35" s="288" t="s">
        <v>190</v>
      </c>
      <c r="D35" s="271" t="s">
        <v>201</v>
      </c>
      <c r="E35" s="272" t="s">
        <v>212</v>
      </c>
      <c r="F35" s="270" t="s">
        <v>213</v>
      </c>
      <c r="G35" s="270" t="s">
        <v>48</v>
      </c>
      <c r="H35" s="270" t="s">
        <v>87</v>
      </c>
      <c r="I35" s="280">
        <v>5</v>
      </c>
      <c r="J35" s="280">
        <v>5</v>
      </c>
      <c r="K35" s="280">
        <v>6</v>
      </c>
      <c r="L35" s="274" t="s">
        <v>204</v>
      </c>
      <c r="M35" s="275" t="s">
        <v>89</v>
      </c>
      <c r="N35" s="271">
        <v>1</v>
      </c>
      <c r="O35" s="282" t="s">
        <v>214</v>
      </c>
      <c r="P35" s="277" t="s">
        <v>118</v>
      </c>
      <c r="Q35" s="278"/>
      <c r="R35" s="278"/>
      <c r="S35" s="279"/>
      <c r="T35" s="278"/>
      <c r="U35" s="278"/>
      <c r="V35" s="278"/>
      <c r="W35" s="278"/>
      <c r="X35" s="278"/>
      <c r="Y35" s="278"/>
    </row>
    <row r="36" s="249" customFormat="1" ht="18" spans="2:25">
      <c r="B36" s="270" t="s">
        <v>215</v>
      </c>
      <c r="C36" s="270" t="s">
        <v>216</v>
      </c>
      <c r="D36" s="271" t="s">
        <v>217</v>
      </c>
      <c r="E36" s="289" t="s">
        <v>218</v>
      </c>
      <c r="F36" s="270" t="s">
        <v>219</v>
      </c>
      <c r="G36" s="270" t="s">
        <v>48</v>
      </c>
      <c r="H36" s="270" t="s">
        <v>29</v>
      </c>
      <c r="I36" s="280">
        <v>5</v>
      </c>
      <c r="J36" s="280">
        <v>5</v>
      </c>
      <c r="K36" s="280">
        <v>5</v>
      </c>
      <c r="L36" s="274" t="s">
        <v>69</v>
      </c>
      <c r="M36" s="275" t="s">
        <v>31</v>
      </c>
      <c r="N36" s="271">
        <v>1</v>
      </c>
      <c r="O36" s="282" t="s">
        <v>220</v>
      </c>
      <c r="P36" s="290" t="s">
        <v>221</v>
      </c>
      <c r="Q36" s="278"/>
      <c r="R36" s="278"/>
      <c r="S36" s="279"/>
      <c r="T36" s="278"/>
      <c r="U36" s="278"/>
      <c r="V36" s="278"/>
      <c r="W36" s="278"/>
      <c r="X36" s="278"/>
      <c r="Y36" s="278"/>
    </row>
    <row r="37" s="249" customFormat="1" ht="18" spans="2:25">
      <c r="B37" s="270" t="s">
        <v>215</v>
      </c>
      <c r="C37" s="270" t="s">
        <v>216</v>
      </c>
      <c r="D37" s="271" t="s">
        <v>217</v>
      </c>
      <c r="E37" s="289" t="s">
        <v>222</v>
      </c>
      <c r="F37" s="270" t="s">
        <v>223</v>
      </c>
      <c r="G37" s="270" t="s">
        <v>48</v>
      </c>
      <c r="H37" s="270" t="s">
        <v>29</v>
      </c>
      <c r="I37" s="280">
        <v>5</v>
      </c>
      <c r="J37" s="280">
        <v>5</v>
      </c>
      <c r="K37" s="280">
        <v>5</v>
      </c>
      <c r="L37" s="274" t="s">
        <v>69</v>
      </c>
      <c r="M37" s="275" t="s">
        <v>31</v>
      </c>
      <c r="N37" s="271">
        <v>1</v>
      </c>
      <c r="O37" s="282" t="s">
        <v>224</v>
      </c>
      <c r="P37" s="277" t="s">
        <v>225</v>
      </c>
      <c r="Q37" s="278"/>
      <c r="R37" s="278"/>
      <c r="S37" s="279"/>
      <c r="T37" s="278"/>
      <c r="U37" s="278"/>
      <c r="V37" s="278"/>
      <c r="W37" s="278"/>
      <c r="X37" s="278"/>
      <c r="Y37" s="278"/>
    </row>
    <row r="38" s="249" customFormat="1" ht="18" spans="2:25">
      <c r="B38" s="270" t="s">
        <v>215</v>
      </c>
      <c r="C38" s="270" t="s">
        <v>216</v>
      </c>
      <c r="D38" s="271" t="s">
        <v>201</v>
      </c>
      <c r="E38" s="289" t="s">
        <v>226</v>
      </c>
      <c r="F38" s="270" t="s">
        <v>227</v>
      </c>
      <c r="G38" s="270" t="s">
        <v>48</v>
      </c>
      <c r="H38" s="270" t="s">
        <v>87</v>
      </c>
      <c r="I38" s="280">
        <v>5</v>
      </c>
      <c r="J38" s="280">
        <v>5</v>
      </c>
      <c r="K38" s="280">
        <v>5</v>
      </c>
      <c r="L38" s="274" t="s">
        <v>204</v>
      </c>
      <c r="M38" s="275" t="s">
        <v>89</v>
      </c>
      <c r="N38" s="271">
        <v>1</v>
      </c>
      <c r="O38" s="282" t="s">
        <v>228</v>
      </c>
      <c r="P38" s="277" t="s">
        <v>229</v>
      </c>
      <c r="Q38" s="278"/>
      <c r="R38" s="278"/>
      <c r="S38" s="279"/>
      <c r="T38" s="278"/>
      <c r="U38" s="278"/>
      <c r="V38" s="278"/>
      <c r="W38" s="278"/>
      <c r="X38" s="278"/>
      <c r="Y38" s="278"/>
    </row>
    <row r="39" s="249" customFormat="1" ht="18" spans="2:25">
      <c r="B39" s="270" t="s">
        <v>215</v>
      </c>
      <c r="C39" s="270" t="s">
        <v>216</v>
      </c>
      <c r="D39" s="271" t="s">
        <v>201</v>
      </c>
      <c r="E39" s="289" t="s">
        <v>192</v>
      </c>
      <c r="F39" s="270" t="s">
        <v>230</v>
      </c>
      <c r="G39" s="270" t="s">
        <v>48</v>
      </c>
      <c r="H39" s="270" t="s">
        <v>87</v>
      </c>
      <c r="I39" s="280">
        <v>5</v>
      </c>
      <c r="J39" s="280">
        <v>5</v>
      </c>
      <c r="K39" s="280">
        <v>5</v>
      </c>
      <c r="L39" s="274" t="s">
        <v>204</v>
      </c>
      <c r="M39" s="275" t="s">
        <v>89</v>
      </c>
      <c r="N39" s="271">
        <v>1</v>
      </c>
      <c r="O39" s="282" t="s">
        <v>231</v>
      </c>
      <c r="P39" s="277" t="s">
        <v>232</v>
      </c>
      <c r="Q39" s="278"/>
      <c r="R39" s="278"/>
      <c r="S39" s="279"/>
      <c r="T39" s="278"/>
      <c r="U39" s="278"/>
      <c r="V39" s="278"/>
      <c r="W39" s="278"/>
      <c r="X39" s="278"/>
      <c r="Y39" s="278"/>
    </row>
    <row r="40" s="249" customFormat="1" ht="18" spans="2:25">
      <c r="B40" s="270" t="s">
        <v>215</v>
      </c>
      <c r="C40" s="270" t="s">
        <v>216</v>
      </c>
      <c r="D40" s="271" t="s">
        <v>233</v>
      </c>
      <c r="E40" s="289" t="s">
        <v>234</v>
      </c>
      <c r="F40" s="270"/>
      <c r="G40" s="270" t="s">
        <v>235</v>
      </c>
      <c r="H40" s="270" t="s">
        <v>87</v>
      </c>
      <c r="I40" s="280">
        <v>5</v>
      </c>
      <c r="J40" s="280">
        <v>5</v>
      </c>
      <c r="K40" s="280"/>
      <c r="L40" s="274" t="s">
        <v>204</v>
      </c>
      <c r="M40" s="275" t="s">
        <v>89</v>
      </c>
      <c r="N40" s="271">
        <v>1</v>
      </c>
      <c r="O40" s="282" t="s">
        <v>236</v>
      </c>
      <c r="P40" s="277" t="s">
        <v>237</v>
      </c>
      <c r="Q40" s="278"/>
      <c r="R40" s="278"/>
      <c r="S40" s="279"/>
      <c r="T40" s="278"/>
      <c r="U40" s="278"/>
      <c r="V40" s="278"/>
      <c r="W40" s="278"/>
      <c r="X40" s="278"/>
      <c r="Y40" s="278"/>
    </row>
    <row r="41" s="249" customFormat="1" ht="18" spans="2:25">
      <c r="B41" s="270" t="s">
        <v>215</v>
      </c>
      <c r="C41" s="270" t="s">
        <v>216</v>
      </c>
      <c r="D41" s="271" t="s">
        <v>233</v>
      </c>
      <c r="E41" s="289" t="s">
        <v>238</v>
      </c>
      <c r="F41" s="270"/>
      <c r="G41" s="270" t="s">
        <v>235</v>
      </c>
      <c r="H41" s="270" t="s">
        <v>87</v>
      </c>
      <c r="I41" s="280">
        <v>5</v>
      </c>
      <c r="J41" s="280">
        <v>5</v>
      </c>
      <c r="K41" s="280"/>
      <c r="L41" s="274" t="s">
        <v>204</v>
      </c>
      <c r="M41" s="275" t="s">
        <v>89</v>
      </c>
      <c r="N41" s="271">
        <v>1</v>
      </c>
      <c r="O41" s="282" t="s">
        <v>239</v>
      </c>
      <c r="P41" s="277" t="s">
        <v>240</v>
      </c>
      <c r="Q41" s="278"/>
      <c r="R41" s="278"/>
      <c r="S41" s="279"/>
      <c r="T41" s="278"/>
      <c r="U41" s="278"/>
      <c r="V41" s="278"/>
      <c r="W41" s="278"/>
      <c r="X41" s="278"/>
      <c r="Y41" s="278"/>
    </row>
    <row r="42" s="249" customFormat="1" ht="18" spans="2:25">
      <c r="B42" s="270" t="s">
        <v>215</v>
      </c>
      <c r="C42" s="270" t="s">
        <v>216</v>
      </c>
      <c r="D42" s="271" t="s">
        <v>241</v>
      </c>
      <c r="E42" s="289" t="s">
        <v>242</v>
      </c>
      <c r="F42" s="270"/>
      <c r="G42" s="270" t="s">
        <v>235</v>
      </c>
      <c r="H42" s="270" t="s">
        <v>29</v>
      </c>
      <c r="I42" s="280">
        <v>5</v>
      </c>
      <c r="J42" s="280">
        <v>5</v>
      </c>
      <c r="K42" s="280">
        <v>5</v>
      </c>
      <c r="L42" s="274" t="s">
        <v>69</v>
      </c>
      <c r="M42" s="275" t="s">
        <v>40</v>
      </c>
      <c r="N42" s="271">
        <v>1</v>
      </c>
      <c r="O42" s="282" t="s">
        <v>243</v>
      </c>
      <c r="P42" s="277" t="s">
        <v>244</v>
      </c>
      <c r="Q42" s="278"/>
      <c r="R42" s="278"/>
      <c r="S42" s="279"/>
      <c r="T42" s="278"/>
      <c r="U42" s="278"/>
      <c r="V42" s="278"/>
      <c r="W42" s="278"/>
      <c r="X42" s="278"/>
      <c r="Y42" s="278"/>
    </row>
    <row r="43" s="249" customFormat="1" ht="18" spans="2:25">
      <c r="B43" s="270" t="s">
        <v>215</v>
      </c>
      <c r="C43" s="270" t="s">
        <v>216</v>
      </c>
      <c r="D43" s="271" t="s">
        <v>241</v>
      </c>
      <c r="E43" s="289" t="s">
        <v>245</v>
      </c>
      <c r="F43" s="270"/>
      <c r="G43" s="270" t="s">
        <v>235</v>
      </c>
      <c r="H43" s="270" t="s">
        <v>29</v>
      </c>
      <c r="I43" s="280">
        <v>5</v>
      </c>
      <c r="J43" s="280">
        <v>5</v>
      </c>
      <c r="K43" s="280">
        <v>5</v>
      </c>
      <c r="L43" s="274" t="s">
        <v>69</v>
      </c>
      <c r="M43" s="275" t="s">
        <v>40</v>
      </c>
      <c r="N43" s="271">
        <v>1</v>
      </c>
      <c r="O43" s="282" t="s">
        <v>246</v>
      </c>
      <c r="P43" s="277" t="s">
        <v>247</v>
      </c>
      <c r="Q43" s="278"/>
      <c r="R43" s="278"/>
      <c r="S43" s="279"/>
      <c r="T43" s="278"/>
      <c r="U43" s="278"/>
      <c r="V43" s="278"/>
      <c r="W43" s="278"/>
      <c r="X43" s="278"/>
      <c r="Y43" s="278"/>
    </row>
    <row r="44" s="249" customFormat="1" ht="18" spans="2:25">
      <c r="B44" s="270" t="s">
        <v>215</v>
      </c>
      <c r="C44" s="270" t="s">
        <v>216</v>
      </c>
      <c r="D44" s="271" t="s">
        <v>248</v>
      </c>
      <c r="E44" s="289" t="s">
        <v>249</v>
      </c>
      <c r="F44" s="270"/>
      <c r="G44" s="270" t="s">
        <v>250</v>
      </c>
      <c r="H44" s="270" t="s">
        <v>68</v>
      </c>
      <c r="I44" s="280">
        <v>11</v>
      </c>
      <c r="J44" s="280">
        <v>11</v>
      </c>
      <c r="K44" s="280">
        <v>11</v>
      </c>
      <c r="L44" s="274" t="s">
        <v>126</v>
      </c>
      <c r="M44" s="275" t="s">
        <v>78</v>
      </c>
      <c r="N44" s="271">
        <v>1</v>
      </c>
      <c r="O44" s="282" t="s">
        <v>251</v>
      </c>
      <c r="P44" s="277" t="s">
        <v>252</v>
      </c>
      <c r="Q44" s="278"/>
      <c r="R44" s="278"/>
      <c r="S44" s="279"/>
      <c r="T44" s="278"/>
      <c r="U44" s="278"/>
      <c r="V44" s="278"/>
      <c r="W44" s="278"/>
      <c r="X44" s="278"/>
      <c r="Y44" s="278"/>
    </row>
    <row r="45" s="249" customFormat="1" ht="18" spans="2:25">
      <c r="B45" s="270" t="s">
        <v>215</v>
      </c>
      <c r="C45" s="270" t="s">
        <v>216</v>
      </c>
      <c r="D45" s="271" t="s">
        <v>248</v>
      </c>
      <c r="E45" s="289" t="s">
        <v>253</v>
      </c>
      <c r="F45" s="270"/>
      <c r="G45" s="270" t="s">
        <v>250</v>
      </c>
      <c r="H45" s="270" t="s">
        <v>68</v>
      </c>
      <c r="I45" s="280">
        <v>11</v>
      </c>
      <c r="J45" s="280">
        <v>11</v>
      </c>
      <c r="K45" s="280">
        <v>11</v>
      </c>
      <c r="L45" s="274" t="s">
        <v>126</v>
      </c>
      <c r="M45" s="275" t="s">
        <v>78</v>
      </c>
      <c r="N45" s="271">
        <v>1</v>
      </c>
      <c r="O45" s="282" t="s">
        <v>254</v>
      </c>
      <c r="P45" s="277" t="s">
        <v>255</v>
      </c>
      <c r="Q45" s="278"/>
      <c r="R45" s="278"/>
      <c r="S45" s="279"/>
      <c r="T45" s="278"/>
      <c r="U45" s="278"/>
      <c r="V45" s="278"/>
      <c r="W45" s="278"/>
      <c r="X45" s="278"/>
      <c r="Y45" s="278"/>
    </row>
    <row r="46" s="249" customFormat="1" ht="17.25" spans="2:25">
      <c r="B46" s="270" t="s">
        <v>256</v>
      </c>
      <c r="C46" s="270" t="s">
        <v>257</v>
      </c>
      <c r="D46" s="271" t="s">
        <v>258</v>
      </c>
      <c r="E46" s="272" t="s">
        <v>259</v>
      </c>
      <c r="F46" s="270" t="s">
        <v>259</v>
      </c>
      <c r="G46" s="270" t="s">
        <v>260</v>
      </c>
      <c r="H46" s="270" t="s">
        <v>29</v>
      </c>
      <c r="I46" s="280">
        <v>3</v>
      </c>
      <c r="J46" s="280">
        <v>3</v>
      </c>
      <c r="K46" s="280">
        <v>3</v>
      </c>
      <c r="L46" s="274" t="s">
        <v>261</v>
      </c>
      <c r="M46" s="275" t="s">
        <v>262</v>
      </c>
      <c r="N46" s="271">
        <v>1</v>
      </c>
      <c r="O46" s="282" t="s">
        <v>263</v>
      </c>
      <c r="P46" s="277" t="s">
        <v>264</v>
      </c>
      <c r="Q46" s="278"/>
      <c r="R46" s="278"/>
      <c r="S46" s="279"/>
      <c r="T46" s="278"/>
      <c r="U46" s="278"/>
      <c r="V46" s="278"/>
      <c r="W46" s="278"/>
      <c r="X46" s="278"/>
      <c r="Y46" s="278"/>
    </row>
    <row r="47" s="249" customFormat="1" ht="17.25" spans="2:25">
      <c r="B47" s="270" t="s">
        <v>265</v>
      </c>
      <c r="C47" s="270" t="s">
        <v>266</v>
      </c>
      <c r="D47" s="271" t="s">
        <v>92</v>
      </c>
      <c r="E47" s="272" t="s">
        <v>267</v>
      </c>
      <c r="F47" s="270" t="s">
        <v>268</v>
      </c>
      <c r="G47" s="270" t="s">
        <v>94</v>
      </c>
      <c r="H47" s="270" t="s">
        <v>29</v>
      </c>
      <c r="I47" s="280">
        <v>5</v>
      </c>
      <c r="J47" s="280">
        <v>5</v>
      </c>
      <c r="K47" s="280">
        <v>5</v>
      </c>
      <c r="L47" s="274" t="s">
        <v>69</v>
      </c>
      <c r="M47" s="275" t="s">
        <v>31</v>
      </c>
      <c r="N47" s="271">
        <v>1</v>
      </c>
      <c r="O47" s="282" t="s">
        <v>269</v>
      </c>
      <c r="P47" s="277" t="s">
        <v>33</v>
      </c>
      <c r="Q47" s="278"/>
      <c r="R47" s="278"/>
      <c r="S47" s="279"/>
      <c r="T47" s="278"/>
      <c r="U47" s="278"/>
      <c r="V47" s="278"/>
      <c r="W47" s="278"/>
      <c r="X47" s="278"/>
      <c r="Y47" s="278"/>
    </row>
    <row r="48" s="249" customFormat="1" ht="17.25" spans="2:25">
      <c r="B48" s="270" t="s">
        <v>265</v>
      </c>
      <c r="C48" s="270" t="s">
        <v>266</v>
      </c>
      <c r="D48" s="271" t="s">
        <v>92</v>
      </c>
      <c r="E48" s="272" t="s">
        <v>270</v>
      </c>
      <c r="F48" s="270" t="s">
        <v>271</v>
      </c>
      <c r="G48" s="270" t="s">
        <v>94</v>
      </c>
      <c r="H48" s="270" t="s">
        <v>29</v>
      </c>
      <c r="I48" s="280">
        <v>5</v>
      </c>
      <c r="J48" s="280">
        <v>5</v>
      </c>
      <c r="K48" s="280">
        <v>5</v>
      </c>
      <c r="L48" s="274" t="s">
        <v>69</v>
      </c>
      <c r="M48" s="275" t="s">
        <v>31</v>
      </c>
      <c r="N48" s="271">
        <v>1</v>
      </c>
      <c r="O48" s="282" t="s">
        <v>272</v>
      </c>
      <c r="P48" s="277" t="s">
        <v>71</v>
      </c>
      <c r="Q48" s="278"/>
      <c r="R48" s="278"/>
      <c r="S48" s="279"/>
      <c r="T48" s="278"/>
      <c r="U48" s="278"/>
      <c r="V48" s="278"/>
      <c r="W48" s="278"/>
      <c r="X48" s="278"/>
      <c r="Y48" s="278"/>
    </row>
    <row r="49" s="249" customFormat="1" ht="17.25" spans="2:25">
      <c r="B49" s="270" t="s">
        <v>273</v>
      </c>
      <c r="C49" s="270" t="s">
        <v>274</v>
      </c>
      <c r="D49" s="271" t="s">
        <v>92</v>
      </c>
      <c r="E49" s="272" t="s">
        <v>275</v>
      </c>
      <c r="F49" s="270" t="s">
        <v>276</v>
      </c>
      <c r="G49" s="270" t="s">
        <v>94</v>
      </c>
      <c r="H49" s="270" t="s">
        <v>29</v>
      </c>
      <c r="I49" s="280">
        <v>7</v>
      </c>
      <c r="J49" s="280">
        <v>7</v>
      </c>
      <c r="K49" s="280">
        <v>7</v>
      </c>
      <c r="L49" s="274" t="s">
        <v>69</v>
      </c>
      <c r="M49" s="275" t="s">
        <v>31</v>
      </c>
      <c r="N49" s="271">
        <v>1</v>
      </c>
      <c r="O49" s="282" t="s">
        <v>277</v>
      </c>
      <c r="P49" s="277" t="s">
        <v>278</v>
      </c>
      <c r="Q49" s="278"/>
      <c r="R49" s="278"/>
      <c r="S49" s="279"/>
      <c r="T49" s="278"/>
      <c r="U49" s="278"/>
      <c r="V49" s="278"/>
      <c r="W49" s="278"/>
      <c r="X49" s="278"/>
      <c r="Y49" s="278"/>
    </row>
    <row r="50" s="249" customFormat="1" ht="17.25" spans="2:25">
      <c r="B50" s="270" t="s">
        <v>273</v>
      </c>
      <c r="C50" s="270" t="s">
        <v>274</v>
      </c>
      <c r="D50" s="271" t="s">
        <v>92</v>
      </c>
      <c r="E50" s="272" t="s">
        <v>279</v>
      </c>
      <c r="F50" s="270" t="s">
        <v>280</v>
      </c>
      <c r="G50" s="270" t="s">
        <v>94</v>
      </c>
      <c r="H50" s="270" t="s">
        <v>29</v>
      </c>
      <c r="I50" s="280">
        <v>7</v>
      </c>
      <c r="J50" s="280">
        <v>7</v>
      </c>
      <c r="K50" s="280">
        <v>7</v>
      </c>
      <c r="L50" s="274" t="s">
        <v>69</v>
      </c>
      <c r="M50" s="275" t="s">
        <v>31</v>
      </c>
      <c r="N50" s="271">
        <v>1</v>
      </c>
      <c r="O50" s="282" t="s">
        <v>281</v>
      </c>
      <c r="P50" s="277" t="s">
        <v>282</v>
      </c>
      <c r="Q50" s="278"/>
      <c r="R50" s="278"/>
      <c r="S50" s="279"/>
      <c r="T50" s="278"/>
      <c r="U50" s="278"/>
      <c r="V50" s="278"/>
      <c r="W50" s="278"/>
      <c r="X50" s="278"/>
      <c r="Y50" s="278"/>
    </row>
    <row r="51" s="249" customFormat="1" ht="17.25" spans="2:25">
      <c r="B51" s="270" t="s">
        <v>283</v>
      </c>
      <c r="C51" s="270" t="s">
        <v>284</v>
      </c>
      <c r="D51" s="271" t="s">
        <v>65</v>
      </c>
      <c r="E51" s="272" t="s">
        <v>285</v>
      </c>
      <c r="F51" s="270" t="s">
        <v>286</v>
      </c>
      <c r="G51" s="270" t="s">
        <v>67</v>
      </c>
      <c r="H51" s="270" t="s">
        <v>68</v>
      </c>
      <c r="I51" s="280">
        <v>5</v>
      </c>
      <c r="J51" s="280">
        <v>5</v>
      </c>
      <c r="K51" s="280">
        <v>5</v>
      </c>
      <c r="L51" s="274" t="s">
        <v>49</v>
      </c>
      <c r="M51" s="275" t="s">
        <v>31</v>
      </c>
      <c r="N51" s="271">
        <v>1</v>
      </c>
      <c r="O51" s="282" t="s">
        <v>287</v>
      </c>
      <c r="P51" s="277" t="s">
        <v>33</v>
      </c>
      <c r="Q51" s="278"/>
      <c r="R51" s="278"/>
      <c r="S51" s="279"/>
      <c r="T51" s="278"/>
      <c r="U51" s="278"/>
      <c r="V51" s="278"/>
      <c r="W51" s="278"/>
      <c r="X51" s="278"/>
      <c r="Y51" s="278"/>
    </row>
    <row r="52" s="249" customFormat="1" ht="17.25" spans="2:25">
      <c r="B52" s="270" t="s">
        <v>23</v>
      </c>
      <c r="C52" s="270" t="s">
        <v>288</v>
      </c>
      <c r="D52" s="271" t="s">
        <v>289</v>
      </c>
      <c r="E52" s="272" t="s">
        <v>290</v>
      </c>
      <c r="F52" s="270" t="s">
        <v>291</v>
      </c>
      <c r="G52" s="270" t="s">
        <v>292</v>
      </c>
      <c r="H52" s="270" t="s">
        <v>293</v>
      </c>
      <c r="I52" s="280">
        <v>9</v>
      </c>
      <c r="J52" s="280">
        <v>9</v>
      </c>
      <c r="K52" s="280">
        <v>9</v>
      </c>
      <c r="L52" s="274" t="s">
        <v>30</v>
      </c>
      <c r="M52" s="275" t="s">
        <v>31</v>
      </c>
      <c r="N52" s="271">
        <v>1</v>
      </c>
      <c r="O52" s="282" t="s">
        <v>294</v>
      </c>
      <c r="P52" s="277" t="s">
        <v>162</v>
      </c>
      <c r="Q52" s="278"/>
      <c r="R52" s="278"/>
      <c r="S52" s="279"/>
      <c r="T52" s="278"/>
      <c r="U52" s="278"/>
      <c r="V52" s="278"/>
      <c r="W52" s="278"/>
      <c r="X52" s="278"/>
      <c r="Y52" s="278"/>
    </row>
    <row r="53" s="249" customFormat="1" ht="17.25" spans="2:25">
      <c r="B53" s="270" t="s">
        <v>295</v>
      </c>
      <c r="C53" s="270" t="s">
        <v>296</v>
      </c>
      <c r="D53" s="271" t="s">
        <v>289</v>
      </c>
      <c r="E53" s="291" t="s">
        <v>297</v>
      </c>
      <c r="F53" s="270" t="s">
        <v>298</v>
      </c>
      <c r="G53" s="270" t="s">
        <v>292</v>
      </c>
      <c r="H53" s="270" t="s">
        <v>293</v>
      </c>
      <c r="I53" s="280">
        <v>7</v>
      </c>
      <c r="J53" s="280">
        <v>7</v>
      </c>
      <c r="K53" s="280">
        <v>7</v>
      </c>
      <c r="L53" s="274" t="s">
        <v>69</v>
      </c>
      <c r="M53" s="275" t="s">
        <v>31</v>
      </c>
      <c r="N53" s="271">
        <v>1</v>
      </c>
      <c r="O53" s="282" t="s">
        <v>299</v>
      </c>
      <c r="P53" s="277" t="s">
        <v>162</v>
      </c>
      <c r="Q53" s="278"/>
      <c r="R53" s="278"/>
      <c r="S53" s="279"/>
      <c r="T53" s="278"/>
      <c r="U53" s="278"/>
      <c r="V53" s="278"/>
      <c r="W53" s="278"/>
      <c r="X53" s="278"/>
      <c r="Y53" s="278"/>
    </row>
    <row r="54" s="249" customFormat="1" ht="17.25" spans="2:25">
      <c r="B54" s="270" t="s">
        <v>300</v>
      </c>
      <c r="C54" s="270" t="s">
        <v>301</v>
      </c>
      <c r="D54" s="271" t="s">
        <v>302</v>
      </c>
      <c r="E54" s="272" t="s">
        <v>303</v>
      </c>
      <c r="F54" s="270" t="s">
        <v>304</v>
      </c>
      <c r="G54" s="270" t="s">
        <v>305</v>
      </c>
      <c r="H54" s="270" t="s">
        <v>29</v>
      </c>
      <c r="I54" s="280">
        <v>18</v>
      </c>
      <c r="J54" s="280">
        <v>18</v>
      </c>
      <c r="K54" s="280">
        <v>18</v>
      </c>
      <c r="L54" s="274" t="s">
        <v>30</v>
      </c>
      <c r="M54" s="275" t="s">
        <v>78</v>
      </c>
      <c r="N54" s="271">
        <v>1</v>
      </c>
      <c r="O54" s="282" t="s">
        <v>306</v>
      </c>
      <c r="P54" s="277" t="s">
        <v>307</v>
      </c>
      <c r="Q54" s="278"/>
      <c r="R54" s="278"/>
      <c r="S54" s="279"/>
      <c r="T54" s="278"/>
      <c r="U54" s="278"/>
      <c r="V54" s="278"/>
      <c r="W54" s="278"/>
      <c r="X54" s="278"/>
      <c r="Y54" s="278"/>
    </row>
    <row r="55" s="249" customFormat="1" ht="17.25" spans="2:25">
      <c r="B55" s="270" t="s">
        <v>300</v>
      </c>
      <c r="C55" s="270" t="s">
        <v>301</v>
      </c>
      <c r="D55" s="271" t="s">
        <v>302</v>
      </c>
      <c r="E55" s="272" t="s">
        <v>308</v>
      </c>
      <c r="F55" s="270" t="s">
        <v>309</v>
      </c>
      <c r="G55" s="270" t="s">
        <v>305</v>
      </c>
      <c r="H55" s="270" t="s">
        <v>29</v>
      </c>
      <c r="I55" s="280">
        <v>19</v>
      </c>
      <c r="J55" s="280">
        <v>19</v>
      </c>
      <c r="K55" s="280">
        <v>19</v>
      </c>
      <c r="L55" s="274" t="s">
        <v>30</v>
      </c>
      <c r="M55" s="275" t="s">
        <v>78</v>
      </c>
      <c r="N55" s="271">
        <v>1</v>
      </c>
      <c r="O55" s="282" t="s">
        <v>310</v>
      </c>
      <c r="P55" s="277" t="s">
        <v>311</v>
      </c>
      <c r="Q55" s="278"/>
      <c r="R55" s="278"/>
      <c r="S55" s="279"/>
      <c r="T55" s="278"/>
      <c r="U55" s="278"/>
      <c r="V55" s="278"/>
      <c r="W55" s="278"/>
      <c r="X55" s="278"/>
      <c r="Y55" s="278"/>
    </row>
    <row r="56" s="249" customFormat="1" ht="17.25" spans="2:25">
      <c r="B56" s="270" t="s">
        <v>300</v>
      </c>
      <c r="C56" s="270" t="s">
        <v>301</v>
      </c>
      <c r="D56" s="271" t="s">
        <v>302</v>
      </c>
      <c r="E56" s="272" t="s">
        <v>312</v>
      </c>
      <c r="F56" s="270" t="s">
        <v>313</v>
      </c>
      <c r="G56" s="270" t="s">
        <v>305</v>
      </c>
      <c r="H56" s="270" t="s">
        <v>29</v>
      </c>
      <c r="I56" s="280">
        <v>18</v>
      </c>
      <c r="J56" s="280">
        <v>18</v>
      </c>
      <c r="K56" s="280">
        <v>18</v>
      </c>
      <c r="L56" s="274" t="s">
        <v>30</v>
      </c>
      <c r="M56" s="275" t="s">
        <v>78</v>
      </c>
      <c r="N56" s="271">
        <v>1</v>
      </c>
      <c r="O56" s="282" t="s">
        <v>314</v>
      </c>
      <c r="P56" s="277" t="s">
        <v>315</v>
      </c>
      <c r="Q56" s="278"/>
      <c r="R56" s="278"/>
      <c r="S56" s="279"/>
      <c r="T56" s="278"/>
      <c r="U56" s="278"/>
      <c r="V56" s="278"/>
      <c r="W56" s="278"/>
      <c r="X56" s="278"/>
      <c r="Y56" s="278"/>
    </row>
    <row r="57" s="249" customFormat="1" ht="17.25" spans="2:25">
      <c r="B57" s="270" t="s">
        <v>300</v>
      </c>
      <c r="C57" s="270" t="s">
        <v>301</v>
      </c>
      <c r="D57" s="271" t="s">
        <v>302</v>
      </c>
      <c r="E57" s="272" t="s">
        <v>316</v>
      </c>
      <c r="F57" s="270" t="s">
        <v>317</v>
      </c>
      <c r="G57" s="270" t="s">
        <v>305</v>
      </c>
      <c r="H57" s="270" t="s">
        <v>29</v>
      </c>
      <c r="I57" s="280">
        <v>19</v>
      </c>
      <c r="J57" s="280">
        <v>19</v>
      </c>
      <c r="K57" s="280">
        <v>19</v>
      </c>
      <c r="L57" s="274" t="s">
        <v>30</v>
      </c>
      <c r="M57" s="275" t="s">
        <v>78</v>
      </c>
      <c r="N57" s="271">
        <v>1</v>
      </c>
      <c r="O57" s="282" t="s">
        <v>318</v>
      </c>
      <c r="P57" s="277" t="s">
        <v>319</v>
      </c>
      <c r="Q57" s="278"/>
      <c r="R57" s="278"/>
      <c r="S57" s="279"/>
      <c r="T57" s="278"/>
      <c r="U57" s="278"/>
      <c r="V57" s="278"/>
      <c r="W57" s="278"/>
      <c r="X57" s="278"/>
      <c r="Y57" s="278"/>
    </row>
    <row r="58" s="249" customFormat="1" ht="17.25" spans="2:25">
      <c r="B58" s="270" t="s">
        <v>300</v>
      </c>
      <c r="C58" s="270" t="s">
        <v>301</v>
      </c>
      <c r="D58" s="271" t="s">
        <v>302</v>
      </c>
      <c r="E58" s="272" t="s">
        <v>320</v>
      </c>
      <c r="F58" s="270" t="s">
        <v>321</v>
      </c>
      <c r="G58" s="270" t="s">
        <v>305</v>
      </c>
      <c r="H58" s="270" t="s">
        <v>29</v>
      </c>
      <c r="I58" s="280">
        <v>18</v>
      </c>
      <c r="J58" s="280">
        <v>18</v>
      </c>
      <c r="K58" s="280">
        <v>18</v>
      </c>
      <c r="L58" s="274" t="s">
        <v>30</v>
      </c>
      <c r="M58" s="275" t="s">
        <v>78</v>
      </c>
      <c r="N58" s="271">
        <v>1</v>
      </c>
      <c r="O58" s="282" t="s">
        <v>322</v>
      </c>
      <c r="P58" s="277" t="s">
        <v>323</v>
      </c>
      <c r="Q58" s="278"/>
      <c r="R58" s="278"/>
      <c r="S58" s="279"/>
      <c r="T58" s="278"/>
      <c r="U58" s="278"/>
      <c r="V58" s="278"/>
      <c r="W58" s="278"/>
      <c r="X58" s="278"/>
      <c r="Y58" s="278"/>
    </row>
    <row r="59" s="249" customFormat="1" ht="17.25" spans="2:25">
      <c r="B59" s="270" t="s">
        <v>300</v>
      </c>
      <c r="C59" s="270" t="s">
        <v>301</v>
      </c>
      <c r="D59" s="271" t="s">
        <v>302</v>
      </c>
      <c r="E59" s="272" t="s">
        <v>324</v>
      </c>
      <c r="F59" s="270" t="s">
        <v>325</v>
      </c>
      <c r="G59" s="270" t="s">
        <v>305</v>
      </c>
      <c r="H59" s="270" t="s">
        <v>29</v>
      </c>
      <c r="I59" s="280">
        <v>18</v>
      </c>
      <c r="J59" s="280">
        <v>18</v>
      </c>
      <c r="K59" s="280">
        <v>18</v>
      </c>
      <c r="L59" s="274" t="s">
        <v>30</v>
      </c>
      <c r="M59" s="275" t="s">
        <v>78</v>
      </c>
      <c r="N59" s="271">
        <v>1</v>
      </c>
      <c r="O59" s="282" t="s">
        <v>326</v>
      </c>
      <c r="P59" s="277" t="s">
        <v>327</v>
      </c>
      <c r="Q59" s="278"/>
      <c r="R59" s="278"/>
      <c r="S59" s="279"/>
      <c r="T59" s="278"/>
      <c r="U59" s="278"/>
      <c r="V59" s="278"/>
      <c r="W59" s="278"/>
      <c r="X59" s="278"/>
      <c r="Y59" s="278"/>
    </row>
    <row r="60" s="249" customFormat="1" ht="17.25" spans="2:25">
      <c r="B60" s="270" t="s">
        <v>300</v>
      </c>
      <c r="C60" s="270" t="s">
        <v>301</v>
      </c>
      <c r="D60" s="271" t="s">
        <v>302</v>
      </c>
      <c r="E60" s="272" t="s">
        <v>328</v>
      </c>
      <c r="F60" s="270" t="s">
        <v>329</v>
      </c>
      <c r="G60" s="270" t="s">
        <v>305</v>
      </c>
      <c r="H60" s="270" t="s">
        <v>29</v>
      </c>
      <c r="I60" s="280">
        <v>18</v>
      </c>
      <c r="J60" s="280">
        <v>18</v>
      </c>
      <c r="K60" s="280">
        <v>18</v>
      </c>
      <c r="L60" s="274" t="s">
        <v>30</v>
      </c>
      <c r="M60" s="275" t="s">
        <v>78</v>
      </c>
      <c r="N60" s="271">
        <v>1</v>
      </c>
      <c r="O60" s="282" t="s">
        <v>330</v>
      </c>
      <c r="P60" s="277" t="s">
        <v>331</v>
      </c>
      <c r="Q60" s="278"/>
      <c r="R60" s="278"/>
      <c r="S60" s="279"/>
      <c r="T60" s="278"/>
      <c r="U60" s="278"/>
      <c r="V60" s="278"/>
      <c r="W60" s="278"/>
      <c r="X60" s="278"/>
      <c r="Y60" s="278"/>
    </row>
    <row r="61" s="249" customFormat="1" ht="17.25" spans="2:25">
      <c r="B61" s="270" t="s">
        <v>300</v>
      </c>
      <c r="C61" s="270" t="s">
        <v>301</v>
      </c>
      <c r="D61" s="271" t="s">
        <v>302</v>
      </c>
      <c r="E61" s="272" t="s">
        <v>332</v>
      </c>
      <c r="F61" s="270" t="s">
        <v>333</v>
      </c>
      <c r="G61" s="270" t="s">
        <v>305</v>
      </c>
      <c r="H61" s="270" t="s">
        <v>29</v>
      </c>
      <c r="I61" s="280">
        <v>18</v>
      </c>
      <c r="J61" s="280">
        <v>18</v>
      </c>
      <c r="K61" s="280">
        <v>18</v>
      </c>
      <c r="L61" s="274" t="s">
        <v>30</v>
      </c>
      <c r="M61" s="275" t="s">
        <v>78</v>
      </c>
      <c r="N61" s="271">
        <v>1</v>
      </c>
      <c r="O61" s="282" t="s">
        <v>334</v>
      </c>
      <c r="P61" s="277" t="s">
        <v>335</v>
      </c>
      <c r="Q61" s="278"/>
      <c r="R61" s="278"/>
      <c r="S61" s="279"/>
      <c r="T61" s="278"/>
      <c r="U61" s="278"/>
      <c r="V61" s="278"/>
      <c r="W61" s="278"/>
      <c r="X61" s="278"/>
      <c r="Y61" s="278"/>
    </row>
    <row r="62" s="249" customFormat="1" ht="17.25" spans="2:25">
      <c r="B62" s="270" t="s">
        <v>300</v>
      </c>
      <c r="C62" s="270" t="s">
        <v>301</v>
      </c>
      <c r="D62" s="271" t="s">
        <v>302</v>
      </c>
      <c r="E62" s="272" t="s">
        <v>336</v>
      </c>
      <c r="F62" s="270" t="s">
        <v>337</v>
      </c>
      <c r="G62" s="270" t="s">
        <v>305</v>
      </c>
      <c r="H62" s="270" t="s">
        <v>29</v>
      </c>
      <c r="I62" s="280">
        <v>24</v>
      </c>
      <c r="J62" s="280">
        <v>24</v>
      </c>
      <c r="K62" s="280">
        <v>24</v>
      </c>
      <c r="L62" s="274" t="s">
        <v>30</v>
      </c>
      <c r="M62" s="275" t="s">
        <v>78</v>
      </c>
      <c r="N62" s="271">
        <v>1</v>
      </c>
      <c r="O62" s="282" t="s">
        <v>338</v>
      </c>
      <c r="P62" s="277" t="s">
        <v>339</v>
      </c>
      <c r="Q62" s="278"/>
      <c r="R62" s="278"/>
      <c r="S62" s="279"/>
      <c r="T62" s="278"/>
      <c r="U62" s="278"/>
      <c r="V62" s="278"/>
      <c r="W62" s="278"/>
      <c r="X62" s="278"/>
      <c r="Y62" s="278"/>
    </row>
    <row r="63" s="249" customFormat="1" ht="17.25" spans="2:25">
      <c r="B63" s="270" t="s">
        <v>300</v>
      </c>
      <c r="C63" s="270" t="s">
        <v>301</v>
      </c>
      <c r="D63" s="271" t="s">
        <v>302</v>
      </c>
      <c r="E63" s="272" t="s">
        <v>340</v>
      </c>
      <c r="F63" s="270" t="s">
        <v>341</v>
      </c>
      <c r="G63" s="270" t="s">
        <v>305</v>
      </c>
      <c r="H63" s="270" t="s">
        <v>29</v>
      </c>
      <c r="I63" s="280">
        <v>24</v>
      </c>
      <c r="J63" s="280">
        <v>24</v>
      </c>
      <c r="K63" s="280">
        <v>24</v>
      </c>
      <c r="L63" s="274" t="s">
        <v>30</v>
      </c>
      <c r="M63" s="275" t="s">
        <v>78</v>
      </c>
      <c r="N63" s="271">
        <v>1</v>
      </c>
      <c r="O63" s="282" t="s">
        <v>342</v>
      </c>
      <c r="P63" s="277" t="s">
        <v>343</v>
      </c>
      <c r="Q63" s="278"/>
      <c r="R63" s="278"/>
      <c r="S63" s="279"/>
      <c r="T63" s="278"/>
      <c r="U63" s="278"/>
      <c r="V63" s="278"/>
      <c r="W63" s="278"/>
      <c r="X63" s="278"/>
      <c r="Y63" s="278"/>
    </row>
    <row r="64" s="249" customFormat="1" ht="17.25" spans="2:25">
      <c r="B64" s="270" t="s">
        <v>300</v>
      </c>
      <c r="C64" s="270" t="s">
        <v>301</v>
      </c>
      <c r="D64" s="271" t="s">
        <v>302</v>
      </c>
      <c r="E64" s="272" t="s">
        <v>344</v>
      </c>
      <c r="F64" s="270" t="s">
        <v>345</v>
      </c>
      <c r="G64" s="270" t="s">
        <v>305</v>
      </c>
      <c r="H64" s="270" t="s">
        <v>29</v>
      </c>
      <c r="I64" s="280">
        <v>19</v>
      </c>
      <c r="J64" s="280">
        <v>19</v>
      </c>
      <c r="K64" s="280">
        <v>19</v>
      </c>
      <c r="L64" s="274" t="s">
        <v>30</v>
      </c>
      <c r="M64" s="275" t="s">
        <v>78</v>
      </c>
      <c r="N64" s="271">
        <v>1</v>
      </c>
      <c r="O64" s="282" t="s">
        <v>346</v>
      </c>
      <c r="P64" s="277" t="s">
        <v>347</v>
      </c>
      <c r="Q64" s="278"/>
      <c r="R64" s="278"/>
      <c r="S64" s="279"/>
      <c r="T64" s="278"/>
      <c r="U64" s="278"/>
      <c r="V64" s="278"/>
      <c r="W64" s="278"/>
      <c r="X64" s="278"/>
      <c r="Y64" s="278"/>
    </row>
    <row r="65" s="249" customFormat="1" ht="17.25" spans="2:25">
      <c r="B65" s="270" t="s">
        <v>300</v>
      </c>
      <c r="C65" s="270" t="s">
        <v>301</v>
      </c>
      <c r="D65" s="271" t="s">
        <v>302</v>
      </c>
      <c r="E65" s="272" t="s">
        <v>348</v>
      </c>
      <c r="F65" s="270" t="s">
        <v>349</v>
      </c>
      <c r="G65" s="270" t="s">
        <v>305</v>
      </c>
      <c r="H65" s="270" t="s">
        <v>29</v>
      </c>
      <c r="I65" s="280">
        <v>18</v>
      </c>
      <c r="J65" s="280">
        <v>18</v>
      </c>
      <c r="K65" s="280">
        <v>18</v>
      </c>
      <c r="L65" s="274" t="s">
        <v>30</v>
      </c>
      <c r="M65" s="275" t="s">
        <v>78</v>
      </c>
      <c r="N65" s="271">
        <v>1</v>
      </c>
      <c r="O65" s="282" t="s">
        <v>350</v>
      </c>
      <c r="P65" s="277" t="s">
        <v>351</v>
      </c>
      <c r="Q65" s="278"/>
      <c r="R65" s="278"/>
      <c r="S65" s="279"/>
      <c r="T65" s="278"/>
      <c r="U65" s="278"/>
      <c r="V65" s="278"/>
      <c r="W65" s="278"/>
      <c r="X65" s="278"/>
      <c r="Y65" s="278"/>
    </row>
    <row r="66" s="249" customFormat="1" ht="17.25" spans="2:25">
      <c r="B66" s="270" t="s">
        <v>300</v>
      </c>
      <c r="C66" s="270" t="s">
        <v>301</v>
      </c>
      <c r="D66" s="271" t="s">
        <v>302</v>
      </c>
      <c r="E66" s="272" t="s">
        <v>352</v>
      </c>
      <c r="F66" s="270" t="s">
        <v>353</v>
      </c>
      <c r="G66" s="270" t="s">
        <v>305</v>
      </c>
      <c r="H66" s="270" t="s">
        <v>29</v>
      </c>
      <c r="I66" s="280">
        <v>18</v>
      </c>
      <c r="J66" s="280">
        <v>18</v>
      </c>
      <c r="K66" s="280">
        <v>18</v>
      </c>
      <c r="L66" s="274" t="s">
        <v>30</v>
      </c>
      <c r="M66" s="275" t="s">
        <v>78</v>
      </c>
      <c r="N66" s="271">
        <v>1</v>
      </c>
      <c r="O66" s="282" t="s">
        <v>354</v>
      </c>
      <c r="P66" s="277" t="s">
        <v>355</v>
      </c>
      <c r="Q66" s="278"/>
      <c r="R66" s="278"/>
      <c r="S66" s="279"/>
      <c r="T66" s="278"/>
      <c r="U66" s="278"/>
      <c r="V66" s="278"/>
      <c r="W66" s="278"/>
      <c r="X66" s="278"/>
      <c r="Y66" s="278"/>
    </row>
    <row r="67" s="249" customFormat="1" ht="17.25" spans="2:25">
      <c r="B67" s="270" t="s">
        <v>300</v>
      </c>
      <c r="C67" s="270" t="s">
        <v>301</v>
      </c>
      <c r="D67" s="271" t="s">
        <v>302</v>
      </c>
      <c r="E67" s="272" t="s">
        <v>356</v>
      </c>
      <c r="F67" s="270" t="s">
        <v>357</v>
      </c>
      <c r="G67" s="270" t="s">
        <v>305</v>
      </c>
      <c r="H67" s="270" t="s">
        <v>29</v>
      </c>
      <c r="I67" s="280">
        <v>19</v>
      </c>
      <c r="J67" s="280">
        <v>19</v>
      </c>
      <c r="K67" s="280">
        <v>19</v>
      </c>
      <c r="L67" s="274" t="s">
        <v>30</v>
      </c>
      <c r="M67" s="275" t="s">
        <v>78</v>
      </c>
      <c r="N67" s="271">
        <v>1</v>
      </c>
      <c r="O67" s="282" t="s">
        <v>358</v>
      </c>
      <c r="P67" s="277" t="s">
        <v>359</v>
      </c>
      <c r="Q67" s="278"/>
      <c r="R67" s="278"/>
      <c r="S67" s="279"/>
      <c r="T67" s="278"/>
      <c r="U67" s="278"/>
      <c r="V67" s="278"/>
      <c r="W67" s="278"/>
      <c r="X67" s="278"/>
      <c r="Y67" s="278"/>
    </row>
    <row r="68" s="249" customFormat="1" ht="17.25" spans="2:25">
      <c r="B68" s="270" t="s">
        <v>300</v>
      </c>
      <c r="C68" s="270" t="s">
        <v>301</v>
      </c>
      <c r="D68" s="271" t="s">
        <v>302</v>
      </c>
      <c r="E68" s="272" t="s">
        <v>360</v>
      </c>
      <c r="F68" s="270" t="s">
        <v>361</v>
      </c>
      <c r="G68" s="270" t="s">
        <v>305</v>
      </c>
      <c r="H68" s="270" t="s">
        <v>29</v>
      </c>
      <c r="I68" s="280">
        <v>18</v>
      </c>
      <c r="J68" s="280">
        <v>18</v>
      </c>
      <c r="K68" s="280">
        <v>18</v>
      </c>
      <c r="L68" s="274" t="s">
        <v>30</v>
      </c>
      <c r="M68" s="275" t="s">
        <v>78</v>
      </c>
      <c r="N68" s="271">
        <v>1</v>
      </c>
      <c r="O68" s="282" t="s">
        <v>362</v>
      </c>
      <c r="P68" s="277" t="s">
        <v>363</v>
      </c>
      <c r="Q68" s="278"/>
      <c r="R68" s="278"/>
      <c r="S68" s="279"/>
      <c r="T68" s="278"/>
      <c r="U68" s="278"/>
      <c r="V68" s="278"/>
      <c r="W68" s="278"/>
      <c r="X68" s="278"/>
      <c r="Y68" s="278"/>
    </row>
    <row r="69" s="249" customFormat="1" ht="17.25" spans="2:25">
      <c r="B69" s="270" t="s">
        <v>23</v>
      </c>
      <c r="C69" s="270" t="s">
        <v>364</v>
      </c>
      <c r="D69" s="271" t="s">
        <v>365</v>
      </c>
      <c r="E69" s="272" t="s">
        <v>366</v>
      </c>
      <c r="F69" s="270" t="s">
        <v>367</v>
      </c>
      <c r="G69" s="270" t="s">
        <v>28</v>
      </c>
      <c r="H69" s="270" t="s">
        <v>68</v>
      </c>
      <c r="I69" s="280">
        <v>6</v>
      </c>
      <c r="J69" s="280">
        <v>6</v>
      </c>
      <c r="K69" s="280">
        <v>6</v>
      </c>
      <c r="L69" s="274" t="s">
        <v>126</v>
      </c>
      <c r="M69" s="275" t="s">
        <v>31</v>
      </c>
      <c r="N69" s="271">
        <v>1</v>
      </c>
      <c r="O69" s="282" t="s">
        <v>368</v>
      </c>
      <c r="P69" s="277" t="s">
        <v>33</v>
      </c>
      <c r="Q69" s="278"/>
      <c r="R69" s="278"/>
      <c r="S69" s="279"/>
      <c r="T69" s="278"/>
      <c r="U69" s="278"/>
      <c r="V69" s="278"/>
      <c r="W69" s="278"/>
      <c r="X69" s="278"/>
      <c r="Y69" s="278"/>
    </row>
    <row r="70" s="249" customFormat="1" ht="17.25" spans="2:25">
      <c r="B70" s="270" t="s">
        <v>369</v>
      </c>
      <c r="C70" s="270" t="s">
        <v>370</v>
      </c>
      <c r="D70" s="271" t="s">
        <v>371</v>
      </c>
      <c r="E70" s="272" t="s">
        <v>372</v>
      </c>
      <c r="F70" s="270" t="s">
        <v>373</v>
      </c>
      <c r="G70" s="270" t="s">
        <v>305</v>
      </c>
      <c r="H70" s="270" t="s">
        <v>68</v>
      </c>
      <c r="I70" s="280">
        <v>6</v>
      </c>
      <c r="J70" s="280">
        <v>5</v>
      </c>
      <c r="K70" s="280">
        <v>5</v>
      </c>
      <c r="L70" s="274" t="s">
        <v>30</v>
      </c>
      <c r="M70" s="275" t="s">
        <v>31</v>
      </c>
      <c r="N70" s="271">
        <v>1</v>
      </c>
      <c r="O70" s="282" t="s">
        <v>374</v>
      </c>
      <c r="P70" s="277" t="s">
        <v>33</v>
      </c>
      <c r="Q70" s="278"/>
      <c r="R70" s="278"/>
      <c r="S70" s="279"/>
      <c r="T70" s="278"/>
      <c r="U70" s="278"/>
      <c r="V70" s="278"/>
      <c r="W70" s="278"/>
      <c r="X70" s="278"/>
      <c r="Y70" s="278"/>
    </row>
    <row r="71" s="249" customFormat="1" ht="17.25" spans="2:25">
      <c r="B71" s="270" t="s">
        <v>375</v>
      </c>
      <c r="C71" s="270" t="s">
        <v>376</v>
      </c>
      <c r="D71" s="271" t="s">
        <v>377</v>
      </c>
      <c r="E71" s="272" t="s">
        <v>378</v>
      </c>
      <c r="F71" s="270" t="s">
        <v>379</v>
      </c>
      <c r="G71" s="270" t="s">
        <v>380</v>
      </c>
      <c r="H71" s="270" t="s">
        <v>68</v>
      </c>
      <c r="I71" s="280">
        <v>5</v>
      </c>
      <c r="J71" s="280">
        <v>5</v>
      </c>
      <c r="K71" s="280">
        <v>5</v>
      </c>
      <c r="L71" s="274" t="s">
        <v>126</v>
      </c>
      <c r="M71" s="275" t="s">
        <v>31</v>
      </c>
      <c r="N71" s="271">
        <v>1</v>
      </c>
      <c r="O71" s="282" t="s">
        <v>381</v>
      </c>
      <c r="P71" s="277" t="s">
        <v>33</v>
      </c>
      <c r="Q71" s="278"/>
      <c r="R71" s="278"/>
      <c r="S71" s="279"/>
      <c r="T71" s="278"/>
      <c r="U71" s="278"/>
      <c r="V71" s="278"/>
      <c r="W71" s="278"/>
      <c r="X71" s="278"/>
      <c r="Y71" s="278"/>
    </row>
    <row r="72" s="249" customFormat="1" ht="17.25" spans="2:25">
      <c r="B72" s="270" t="s">
        <v>382</v>
      </c>
      <c r="C72" s="270" t="s">
        <v>383</v>
      </c>
      <c r="D72" s="271" t="s">
        <v>384</v>
      </c>
      <c r="E72" s="272" t="s">
        <v>385</v>
      </c>
      <c r="F72" s="270" t="s">
        <v>386</v>
      </c>
      <c r="G72" s="270" t="s">
        <v>387</v>
      </c>
      <c r="H72" s="270" t="s">
        <v>68</v>
      </c>
      <c r="I72" s="280">
        <v>6</v>
      </c>
      <c r="J72" s="280">
        <v>6</v>
      </c>
      <c r="K72" s="280">
        <v>6</v>
      </c>
      <c r="L72" s="274" t="s">
        <v>69</v>
      </c>
      <c r="M72" s="275" t="s">
        <v>31</v>
      </c>
      <c r="N72" s="271">
        <v>1</v>
      </c>
      <c r="O72" s="282" t="s">
        <v>388</v>
      </c>
      <c r="P72" s="277" t="s">
        <v>33</v>
      </c>
      <c r="Q72" s="278"/>
      <c r="R72" s="278"/>
      <c r="S72" s="279"/>
      <c r="T72" s="278"/>
      <c r="U72" s="278"/>
      <c r="V72" s="278"/>
      <c r="W72" s="278"/>
      <c r="X72" s="278"/>
      <c r="Y72" s="278"/>
    </row>
    <row r="73" s="249" customFormat="1" ht="17.25" spans="2:25">
      <c r="B73" s="270" t="s">
        <v>300</v>
      </c>
      <c r="C73" s="270" t="s">
        <v>301</v>
      </c>
      <c r="D73" s="271" t="s">
        <v>302</v>
      </c>
      <c r="E73" s="272" t="s">
        <v>389</v>
      </c>
      <c r="F73" s="270" t="s">
        <v>390</v>
      </c>
      <c r="G73" s="270" t="s">
        <v>305</v>
      </c>
      <c r="H73" s="270" t="s">
        <v>29</v>
      </c>
      <c r="I73" s="280">
        <v>18</v>
      </c>
      <c r="J73" s="280">
        <v>18</v>
      </c>
      <c r="K73" s="280">
        <v>18</v>
      </c>
      <c r="L73" s="274" t="s">
        <v>30</v>
      </c>
      <c r="M73" s="275" t="s">
        <v>78</v>
      </c>
      <c r="N73" s="271">
        <v>1</v>
      </c>
      <c r="O73" s="282" t="s">
        <v>391</v>
      </c>
      <c r="P73" s="277" t="s">
        <v>392</v>
      </c>
      <c r="Q73" s="278"/>
      <c r="R73" s="278"/>
      <c r="S73" s="279"/>
      <c r="T73" s="278"/>
      <c r="U73" s="278"/>
      <c r="V73" s="278"/>
      <c r="W73" s="278"/>
      <c r="X73" s="278"/>
      <c r="Y73" s="278"/>
    </row>
    <row r="74" s="249" customFormat="1" ht="17.25" spans="2:25">
      <c r="B74" s="270" t="s">
        <v>300</v>
      </c>
      <c r="C74" s="270" t="s">
        <v>301</v>
      </c>
      <c r="D74" s="271" t="s">
        <v>302</v>
      </c>
      <c r="E74" s="272" t="s">
        <v>393</v>
      </c>
      <c r="F74" s="270" t="s">
        <v>394</v>
      </c>
      <c r="G74" s="270" t="s">
        <v>305</v>
      </c>
      <c r="H74" s="270" t="s">
        <v>29</v>
      </c>
      <c r="I74" s="280">
        <v>18</v>
      </c>
      <c r="J74" s="280">
        <v>18</v>
      </c>
      <c r="K74" s="280">
        <v>18</v>
      </c>
      <c r="L74" s="274" t="s">
        <v>30</v>
      </c>
      <c r="M74" s="275" t="s">
        <v>78</v>
      </c>
      <c r="N74" s="271">
        <v>1</v>
      </c>
      <c r="O74" s="282" t="s">
        <v>395</v>
      </c>
      <c r="P74" s="277" t="s">
        <v>396</v>
      </c>
      <c r="Q74" s="278"/>
      <c r="R74" s="278"/>
      <c r="S74" s="279"/>
      <c r="T74" s="278"/>
      <c r="U74" s="278"/>
      <c r="V74" s="278"/>
      <c r="W74" s="278"/>
      <c r="X74" s="278"/>
      <c r="Y74" s="278"/>
    </row>
    <row r="75" s="249" customFormat="1" ht="17.25" spans="2:25">
      <c r="B75" s="270" t="s">
        <v>300</v>
      </c>
      <c r="C75" s="270" t="s">
        <v>301</v>
      </c>
      <c r="D75" s="271" t="s">
        <v>302</v>
      </c>
      <c r="E75" s="272" t="s">
        <v>397</v>
      </c>
      <c r="F75" s="270" t="s">
        <v>398</v>
      </c>
      <c r="G75" s="270" t="s">
        <v>305</v>
      </c>
      <c r="H75" s="270" t="s">
        <v>29</v>
      </c>
      <c r="I75" s="280">
        <v>18</v>
      </c>
      <c r="J75" s="280">
        <v>18</v>
      </c>
      <c r="K75" s="280">
        <v>18</v>
      </c>
      <c r="L75" s="274" t="s">
        <v>30</v>
      </c>
      <c r="M75" s="275" t="s">
        <v>78</v>
      </c>
      <c r="N75" s="271">
        <v>1</v>
      </c>
      <c r="O75" s="282" t="s">
        <v>399</v>
      </c>
      <c r="P75" s="277" t="s">
        <v>400</v>
      </c>
      <c r="Q75" s="278"/>
      <c r="R75" s="278"/>
      <c r="S75" s="279"/>
      <c r="T75" s="278"/>
      <c r="U75" s="278"/>
      <c r="V75" s="278"/>
      <c r="W75" s="278"/>
      <c r="X75" s="278"/>
      <c r="Y75" s="278"/>
    </row>
    <row r="76" s="249" customFormat="1" ht="17.25" spans="2:25">
      <c r="B76" s="270" t="s">
        <v>300</v>
      </c>
      <c r="C76" s="270" t="s">
        <v>301</v>
      </c>
      <c r="D76" s="271" t="s">
        <v>302</v>
      </c>
      <c r="E76" s="272" t="s">
        <v>401</v>
      </c>
      <c r="F76" s="270" t="s">
        <v>402</v>
      </c>
      <c r="G76" s="270" t="s">
        <v>305</v>
      </c>
      <c r="H76" s="270" t="s">
        <v>29</v>
      </c>
      <c r="I76" s="280">
        <v>24</v>
      </c>
      <c r="J76" s="280">
        <v>24</v>
      </c>
      <c r="K76" s="280">
        <v>24</v>
      </c>
      <c r="L76" s="274" t="s">
        <v>30</v>
      </c>
      <c r="M76" s="275" t="s">
        <v>78</v>
      </c>
      <c r="N76" s="271">
        <v>1</v>
      </c>
      <c r="O76" s="282" t="s">
        <v>403</v>
      </c>
      <c r="P76" s="277" t="s">
        <v>404</v>
      </c>
      <c r="Q76" s="278"/>
      <c r="R76" s="278"/>
      <c r="S76" s="279"/>
      <c r="T76" s="278"/>
      <c r="U76" s="278"/>
      <c r="V76" s="278"/>
      <c r="W76" s="278"/>
      <c r="X76" s="278"/>
      <c r="Y76" s="278"/>
    </row>
    <row r="77" s="249" customFormat="1" ht="17.25" spans="2:25">
      <c r="B77" s="270" t="s">
        <v>300</v>
      </c>
      <c r="C77" s="270" t="s">
        <v>301</v>
      </c>
      <c r="D77" s="271" t="s">
        <v>302</v>
      </c>
      <c r="E77" s="272" t="s">
        <v>405</v>
      </c>
      <c r="F77" s="270" t="s">
        <v>406</v>
      </c>
      <c r="G77" s="270" t="s">
        <v>305</v>
      </c>
      <c r="H77" s="270" t="s">
        <v>29</v>
      </c>
      <c r="I77" s="280">
        <v>24</v>
      </c>
      <c r="J77" s="280">
        <v>24</v>
      </c>
      <c r="K77" s="280">
        <v>24</v>
      </c>
      <c r="L77" s="274" t="s">
        <v>30</v>
      </c>
      <c r="M77" s="275" t="s">
        <v>78</v>
      </c>
      <c r="N77" s="271">
        <v>1</v>
      </c>
      <c r="O77" s="282" t="s">
        <v>407</v>
      </c>
      <c r="P77" s="277" t="s">
        <v>408</v>
      </c>
      <c r="Q77" s="278"/>
      <c r="R77" s="278"/>
      <c r="S77" s="279"/>
      <c r="T77" s="278"/>
      <c r="U77" s="278"/>
      <c r="V77" s="278"/>
      <c r="W77" s="278"/>
      <c r="X77" s="278"/>
      <c r="Y77" s="278"/>
    </row>
    <row r="78" s="249" customFormat="1" ht="17.25" spans="2:25">
      <c r="B78" s="270" t="s">
        <v>300</v>
      </c>
      <c r="C78" s="270" t="s">
        <v>301</v>
      </c>
      <c r="D78" s="271" t="s">
        <v>302</v>
      </c>
      <c r="E78" s="272" t="s">
        <v>409</v>
      </c>
      <c r="F78" s="270" t="s">
        <v>410</v>
      </c>
      <c r="G78" s="270" t="s">
        <v>305</v>
      </c>
      <c r="H78" s="270" t="s">
        <v>29</v>
      </c>
      <c r="I78" s="280">
        <v>18</v>
      </c>
      <c r="J78" s="280">
        <v>18</v>
      </c>
      <c r="K78" s="280">
        <v>18</v>
      </c>
      <c r="L78" s="274" t="s">
        <v>30</v>
      </c>
      <c r="M78" s="275" t="s">
        <v>78</v>
      </c>
      <c r="N78" s="271">
        <v>1</v>
      </c>
      <c r="O78" s="282" t="s">
        <v>411</v>
      </c>
      <c r="P78" s="277" t="s">
        <v>412</v>
      </c>
      <c r="Q78" s="278"/>
      <c r="R78" s="278"/>
      <c r="S78" s="279"/>
      <c r="T78" s="278"/>
      <c r="U78" s="278"/>
      <c r="V78" s="278"/>
      <c r="W78" s="278"/>
      <c r="X78" s="278"/>
      <c r="Y78" s="278"/>
    </row>
    <row r="79" s="249" customFormat="1" ht="17.25" spans="2:25">
      <c r="B79" s="270" t="s">
        <v>300</v>
      </c>
      <c r="C79" s="270" t="s">
        <v>301</v>
      </c>
      <c r="D79" s="271" t="s">
        <v>302</v>
      </c>
      <c r="E79" s="272" t="s">
        <v>413</v>
      </c>
      <c r="F79" s="270" t="s">
        <v>414</v>
      </c>
      <c r="G79" s="270" t="s">
        <v>305</v>
      </c>
      <c r="H79" s="270" t="s">
        <v>29</v>
      </c>
      <c r="I79" s="280">
        <v>18</v>
      </c>
      <c r="J79" s="280">
        <v>18</v>
      </c>
      <c r="K79" s="280">
        <v>18</v>
      </c>
      <c r="L79" s="274" t="s">
        <v>30</v>
      </c>
      <c r="M79" s="275" t="s">
        <v>78</v>
      </c>
      <c r="N79" s="271">
        <v>1</v>
      </c>
      <c r="O79" s="282" t="s">
        <v>415</v>
      </c>
      <c r="P79" s="277" t="s">
        <v>416</v>
      </c>
      <c r="Q79" s="278"/>
      <c r="R79" s="278"/>
      <c r="S79" s="279"/>
      <c r="T79" s="278"/>
      <c r="U79" s="278"/>
      <c r="V79" s="278"/>
      <c r="W79" s="278"/>
      <c r="X79" s="278"/>
      <c r="Y79" s="278"/>
    </row>
    <row r="80" s="249" customFormat="1" ht="17.25" spans="2:25">
      <c r="B80" s="270" t="s">
        <v>417</v>
      </c>
      <c r="C80" s="270" t="s">
        <v>418</v>
      </c>
      <c r="D80" s="271" t="s">
        <v>419</v>
      </c>
      <c r="E80" s="272" t="s">
        <v>420</v>
      </c>
      <c r="F80" s="270" t="s">
        <v>421</v>
      </c>
      <c r="G80" s="270" t="s">
        <v>28</v>
      </c>
      <c r="H80" s="270" t="s">
        <v>29</v>
      </c>
      <c r="I80" s="280">
        <v>6</v>
      </c>
      <c r="J80" s="280">
        <v>6</v>
      </c>
      <c r="K80" s="280">
        <v>6</v>
      </c>
      <c r="L80" s="274" t="s">
        <v>422</v>
      </c>
      <c r="M80" s="275" t="s">
        <v>423</v>
      </c>
      <c r="N80" s="271">
        <v>1</v>
      </c>
      <c r="O80" s="282" t="s">
        <v>424</v>
      </c>
      <c r="P80" s="277" t="s">
        <v>425</v>
      </c>
      <c r="Q80" s="278"/>
      <c r="R80" s="278"/>
      <c r="S80" s="279"/>
      <c r="T80" s="278"/>
      <c r="U80" s="278"/>
      <c r="V80" s="278"/>
      <c r="W80" s="278"/>
      <c r="X80" s="278"/>
      <c r="Y80" s="278"/>
    </row>
    <row r="81" s="249" customFormat="1" ht="17.25" spans="2:25">
      <c r="B81" s="270" t="s">
        <v>417</v>
      </c>
      <c r="C81" s="270" t="s">
        <v>418</v>
      </c>
      <c r="D81" s="271" t="s">
        <v>419</v>
      </c>
      <c r="E81" s="272" t="s">
        <v>426</v>
      </c>
      <c r="F81" s="270" t="s">
        <v>427</v>
      </c>
      <c r="G81" s="270" t="s">
        <v>28</v>
      </c>
      <c r="H81" s="270" t="s">
        <v>29</v>
      </c>
      <c r="I81" s="280">
        <v>6</v>
      </c>
      <c r="J81" s="280">
        <v>6</v>
      </c>
      <c r="K81" s="280">
        <v>6</v>
      </c>
      <c r="L81" s="274" t="s">
        <v>422</v>
      </c>
      <c r="M81" s="275" t="s">
        <v>423</v>
      </c>
      <c r="N81" s="271">
        <v>1</v>
      </c>
      <c r="O81" s="282" t="s">
        <v>428</v>
      </c>
      <c r="P81" s="277" t="s">
        <v>429</v>
      </c>
      <c r="Q81" s="278"/>
      <c r="R81" s="278"/>
      <c r="S81" s="279"/>
      <c r="T81" s="278"/>
      <c r="U81" s="278"/>
      <c r="V81" s="278"/>
      <c r="W81" s="278"/>
      <c r="X81" s="278"/>
      <c r="Y81" s="278"/>
    </row>
    <row r="82" s="249" customFormat="1" ht="17.25" spans="2:25">
      <c r="B82" s="270" t="s">
        <v>417</v>
      </c>
      <c r="C82" s="270" t="s">
        <v>418</v>
      </c>
      <c r="D82" s="271" t="s">
        <v>419</v>
      </c>
      <c r="E82" s="272" t="s">
        <v>430</v>
      </c>
      <c r="F82" s="270" t="s">
        <v>431</v>
      </c>
      <c r="G82" s="270" t="s">
        <v>28</v>
      </c>
      <c r="H82" s="270" t="s">
        <v>29</v>
      </c>
      <c r="I82" s="280">
        <v>6</v>
      </c>
      <c r="J82" s="280">
        <v>6</v>
      </c>
      <c r="K82" s="280">
        <v>6</v>
      </c>
      <c r="L82" s="274" t="s">
        <v>422</v>
      </c>
      <c r="M82" s="275" t="s">
        <v>423</v>
      </c>
      <c r="N82" s="271">
        <v>1</v>
      </c>
      <c r="O82" s="282" t="s">
        <v>432</v>
      </c>
      <c r="P82" s="277" t="s">
        <v>433</v>
      </c>
      <c r="Q82" s="278"/>
      <c r="R82" s="278"/>
      <c r="S82" s="279"/>
      <c r="T82" s="278"/>
      <c r="U82" s="278"/>
      <c r="V82" s="278"/>
      <c r="W82" s="278"/>
      <c r="X82" s="278"/>
      <c r="Y82" s="278"/>
    </row>
    <row r="83" s="249" customFormat="1" ht="17.25" spans="2:25">
      <c r="B83" s="270" t="s">
        <v>417</v>
      </c>
      <c r="C83" s="270" t="s">
        <v>418</v>
      </c>
      <c r="D83" s="271" t="s">
        <v>419</v>
      </c>
      <c r="E83" s="272" t="s">
        <v>434</v>
      </c>
      <c r="F83" s="270" t="s">
        <v>435</v>
      </c>
      <c r="G83" s="270" t="s">
        <v>28</v>
      </c>
      <c r="H83" s="270" t="s">
        <v>29</v>
      </c>
      <c r="I83" s="280">
        <v>6</v>
      </c>
      <c r="J83" s="280">
        <v>6</v>
      </c>
      <c r="K83" s="280">
        <v>6</v>
      </c>
      <c r="L83" s="274" t="s">
        <v>422</v>
      </c>
      <c r="M83" s="275" t="s">
        <v>423</v>
      </c>
      <c r="N83" s="271">
        <v>1</v>
      </c>
      <c r="O83" s="282" t="s">
        <v>436</v>
      </c>
      <c r="P83" s="277" t="s">
        <v>437</v>
      </c>
      <c r="Q83" s="278"/>
      <c r="R83" s="278"/>
      <c r="S83" s="279"/>
      <c r="T83" s="278"/>
      <c r="U83" s="278"/>
      <c r="V83" s="278"/>
      <c r="W83" s="278"/>
      <c r="X83" s="278"/>
      <c r="Y83" s="278"/>
    </row>
    <row r="84" s="249" customFormat="1" ht="17.25" spans="2:25">
      <c r="B84" s="270" t="s">
        <v>23</v>
      </c>
      <c r="C84" s="270" t="s">
        <v>438</v>
      </c>
      <c r="D84" s="271" t="s">
        <v>439</v>
      </c>
      <c r="E84" s="272" t="s">
        <v>440</v>
      </c>
      <c r="F84" s="270" t="s">
        <v>441</v>
      </c>
      <c r="G84" s="270" t="s">
        <v>250</v>
      </c>
      <c r="H84" s="270" t="s">
        <v>68</v>
      </c>
      <c r="I84" s="280">
        <v>8</v>
      </c>
      <c r="J84" s="280">
        <v>7</v>
      </c>
      <c r="K84" s="280">
        <v>7</v>
      </c>
      <c r="L84" s="274" t="s">
        <v>442</v>
      </c>
      <c r="M84" s="275" t="s">
        <v>31</v>
      </c>
      <c r="N84" s="271">
        <v>1</v>
      </c>
      <c r="O84" s="282" t="s">
        <v>443</v>
      </c>
      <c r="P84" s="277" t="s">
        <v>162</v>
      </c>
      <c r="Q84" s="278"/>
      <c r="R84" s="278"/>
      <c r="S84" s="279"/>
      <c r="T84" s="278"/>
      <c r="U84" s="278"/>
      <c r="V84" s="278"/>
      <c r="W84" s="278"/>
      <c r="X84" s="278"/>
      <c r="Y84" s="278"/>
    </row>
    <row r="85" s="249" customFormat="1" ht="17.25" spans="2:25">
      <c r="B85" s="270" t="s">
        <v>23</v>
      </c>
      <c r="C85" s="270" t="s">
        <v>444</v>
      </c>
      <c r="D85" s="271" t="s">
        <v>289</v>
      </c>
      <c r="E85" s="272" t="s">
        <v>445</v>
      </c>
      <c r="F85" s="270" t="s">
        <v>446</v>
      </c>
      <c r="G85" s="270" t="s">
        <v>292</v>
      </c>
      <c r="H85" s="270" t="s">
        <v>68</v>
      </c>
      <c r="I85" s="280">
        <v>9</v>
      </c>
      <c r="J85" s="280">
        <v>9</v>
      </c>
      <c r="K85" s="280">
        <v>9</v>
      </c>
      <c r="L85" s="274" t="s">
        <v>30</v>
      </c>
      <c r="M85" s="275" t="s">
        <v>31</v>
      </c>
      <c r="N85" s="271">
        <v>1</v>
      </c>
      <c r="O85" s="282" t="s">
        <v>447</v>
      </c>
      <c r="P85" s="277" t="s">
        <v>162</v>
      </c>
      <c r="Q85" s="278"/>
      <c r="R85" s="278"/>
      <c r="S85" s="279"/>
      <c r="T85" s="278"/>
      <c r="U85" s="278"/>
      <c r="V85" s="278"/>
      <c r="W85" s="278"/>
      <c r="X85" s="278"/>
      <c r="Y85" s="278"/>
    </row>
    <row r="86" s="249" customFormat="1" ht="17.25" spans="2:25">
      <c r="B86" s="270" t="s">
        <v>300</v>
      </c>
      <c r="C86" s="270" t="s">
        <v>301</v>
      </c>
      <c r="D86" s="271" t="s">
        <v>302</v>
      </c>
      <c r="E86" s="272" t="s">
        <v>448</v>
      </c>
      <c r="F86" s="270" t="s">
        <v>449</v>
      </c>
      <c r="G86" s="270" t="s">
        <v>305</v>
      </c>
      <c r="H86" s="270" t="s">
        <v>29</v>
      </c>
      <c r="I86" s="280">
        <v>18</v>
      </c>
      <c r="J86" s="280">
        <v>18</v>
      </c>
      <c r="K86" s="280">
        <v>18</v>
      </c>
      <c r="L86" s="274" t="s">
        <v>30</v>
      </c>
      <c r="M86" s="275" t="s">
        <v>78</v>
      </c>
      <c r="N86" s="271">
        <v>1</v>
      </c>
      <c r="O86" s="282" t="s">
        <v>450</v>
      </c>
      <c r="P86" s="277" t="s">
        <v>451</v>
      </c>
      <c r="Q86" s="278"/>
      <c r="R86" s="278"/>
      <c r="S86" s="279"/>
      <c r="T86" s="278"/>
      <c r="U86" s="278"/>
      <c r="V86" s="278"/>
      <c r="W86" s="278"/>
      <c r="X86" s="278"/>
      <c r="Y86" s="278"/>
    </row>
    <row r="87" s="249" customFormat="1" ht="17.25" spans="2:25">
      <c r="B87" s="270" t="s">
        <v>300</v>
      </c>
      <c r="C87" s="270" t="s">
        <v>301</v>
      </c>
      <c r="D87" s="271" t="s">
        <v>302</v>
      </c>
      <c r="E87" s="272" t="s">
        <v>452</v>
      </c>
      <c r="F87" s="270" t="s">
        <v>453</v>
      </c>
      <c r="G87" s="270" t="s">
        <v>305</v>
      </c>
      <c r="H87" s="270" t="s">
        <v>29</v>
      </c>
      <c r="I87" s="280">
        <v>18</v>
      </c>
      <c r="J87" s="280">
        <v>18</v>
      </c>
      <c r="K87" s="280">
        <v>18</v>
      </c>
      <c r="L87" s="274" t="s">
        <v>30</v>
      </c>
      <c r="M87" s="275" t="s">
        <v>78</v>
      </c>
      <c r="N87" s="271">
        <v>1</v>
      </c>
      <c r="O87" s="282" t="s">
        <v>454</v>
      </c>
      <c r="P87" s="277" t="s">
        <v>455</v>
      </c>
      <c r="Q87" s="278"/>
      <c r="R87" s="278"/>
      <c r="S87" s="279"/>
      <c r="T87" s="278"/>
      <c r="U87" s="278"/>
      <c r="V87" s="278"/>
      <c r="W87" s="278"/>
      <c r="X87" s="278"/>
      <c r="Y87" s="278"/>
    </row>
    <row r="88" s="249" customFormat="1" ht="17.25" spans="2:25">
      <c r="B88" s="270" t="s">
        <v>300</v>
      </c>
      <c r="C88" s="270" t="s">
        <v>301</v>
      </c>
      <c r="D88" s="271" t="s">
        <v>302</v>
      </c>
      <c r="E88" s="272" t="s">
        <v>456</v>
      </c>
      <c r="F88" s="270" t="s">
        <v>457</v>
      </c>
      <c r="G88" s="270" t="s">
        <v>305</v>
      </c>
      <c r="H88" s="270" t="s">
        <v>29</v>
      </c>
      <c r="I88" s="280">
        <v>24</v>
      </c>
      <c r="J88" s="280">
        <v>24</v>
      </c>
      <c r="K88" s="280">
        <v>24</v>
      </c>
      <c r="L88" s="274" t="s">
        <v>30</v>
      </c>
      <c r="M88" s="275" t="s">
        <v>78</v>
      </c>
      <c r="N88" s="271">
        <v>1</v>
      </c>
      <c r="O88" s="282" t="s">
        <v>458</v>
      </c>
      <c r="P88" s="277" t="s">
        <v>459</v>
      </c>
      <c r="Q88" s="278"/>
      <c r="R88" s="278"/>
      <c r="S88" s="279"/>
      <c r="T88" s="278"/>
      <c r="U88" s="278"/>
      <c r="V88" s="278"/>
      <c r="W88" s="278"/>
      <c r="X88" s="278"/>
      <c r="Y88" s="278"/>
    </row>
    <row r="89" s="249" customFormat="1" ht="17.25" spans="2:25">
      <c r="B89" s="270" t="s">
        <v>300</v>
      </c>
      <c r="C89" s="270" t="s">
        <v>301</v>
      </c>
      <c r="D89" s="271" t="s">
        <v>302</v>
      </c>
      <c r="E89" s="272" t="s">
        <v>460</v>
      </c>
      <c r="F89" s="270" t="s">
        <v>461</v>
      </c>
      <c r="G89" s="270" t="s">
        <v>305</v>
      </c>
      <c r="H89" s="270" t="s">
        <v>29</v>
      </c>
      <c r="I89" s="280">
        <v>24</v>
      </c>
      <c r="J89" s="280">
        <v>24</v>
      </c>
      <c r="K89" s="280">
        <v>24</v>
      </c>
      <c r="L89" s="274" t="s">
        <v>30</v>
      </c>
      <c r="M89" s="275" t="s">
        <v>78</v>
      </c>
      <c r="N89" s="271">
        <v>1</v>
      </c>
      <c r="O89" s="282" t="s">
        <v>462</v>
      </c>
      <c r="P89" s="277" t="s">
        <v>463</v>
      </c>
      <c r="Q89" s="278"/>
      <c r="R89" s="278"/>
      <c r="S89" s="279"/>
      <c r="T89" s="278"/>
      <c r="U89" s="278"/>
      <c r="V89" s="278"/>
      <c r="W89" s="278"/>
      <c r="X89" s="278"/>
      <c r="Y89" s="278"/>
    </row>
    <row r="90" s="249" customFormat="1" ht="17.25" spans="2:25">
      <c r="B90" s="270" t="s">
        <v>300</v>
      </c>
      <c r="C90" s="270" t="s">
        <v>301</v>
      </c>
      <c r="D90" s="271" t="s">
        <v>302</v>
      </c>
      <c r="E90" s="272" t="s">
        <v>464</v>
      </c>
      <c r="F90" s="270" t="s">
        <v>465</v>
      </c>
      <c r="G90" s="270" t="s">
        <v>305</v>
      </c>
      <c r="H90" s="270" t="s">
        <v>29</v>
      </c>
      <c r="I90" s="280">
        <v>18</v>
      </c>
      <c r="J90" s="280">
        <v>18</v>
      </c>
      <c r="K90" s="280">
        <v>18</v>
      </c>
      <c r="L90" s="274" t="s">
        <v>30</v>
      </c>
      <c r="M90" s="275" t="s">
        <v>78</v>
      </c>
      <c r="N90" s="271">
        <v>1</v>
      </c>
      <c r="O90" s="282" t="s">
        <v>466</v>
      </c>
      <c r="P90" s="277" t="s">
        <v>467</v>
      </c>
      <c r="Q90" s="278"/>
      <c r="R90" s="278"/>
      <c r="S90" s="279"/>
      <c r="T90" s="278"/>
      <c r="U90" s="278"/>
      <c r="V90" s="278"/>
      <c r="W90" s="278"/>
      <c r="X90" s="278"/>
      <c r="Y90" s="278"/>
    </row>
    <row r="91" s="249" customFormat="1" ht="17.25" spans="2:25">
      <c r="B91" s="270" t="s">
        <v>300</v>
      </c>
      <c r="C91" s="270" t="s">
        <v>301</v>
      </c>
      <c r="D91" s="271" t="s">
        <v>302</v>
      </c>
      <c r="E91" s="272" t="s">
        <v>468</v>
      </c>
      <c r="F91" s="270" t="s">
        <v>469</v>
      </c>
      <c r="G91" s="270" t="s">
        <v>305</v>
      </c>
      <c r="H91" s="270" t="s">
        <v>29</v>
      </c>
      <c r="I91" s="280">
        <v>18</v>
      </c>
      <c r="J91" s="280">
        <v>18</v>
      </c>
      <c r="K91" s="280">
        <v>18</v>
      </c>
      <c r="L91" s="274" t="s">
        <v>30</v>
      </c>
      <c r="M91" s="275" t="s">
        <v>78</v>
      </c>
      <c r="N91" s="271">
        <v>1</v>
      </c>
      <c r="O91" s="282" t="s">
        <v>470</v>
      </c>
      <c r="P91" s="277" t="s">
        <v>471</v>
      </c>
      <c r="Q91" s="278"/>
      <c r="R91" s="278"/>
      <c r="S91" s="279"/>
      <c r="T91" s="278"/>
      <c r="U91" s="278"/>
      <c r="V91" s="278"/>
      <c r="W91" s="278"/>
      <c r="X91" s="278"/>
      <c r="Y91" s="278"/>
    </row>
    <row r="92" s="249" customFormat="1" ht="17.25" spans="2:25">
      <c r="B92" s="270" t="s">
        <v>300</v>
      </c>
      <c r="C92" s="270" t="s">
        <v>301</v>
      </c>
      <c r="D92" s="271" t="s">
        <v>302</v>
      </c>
      <c r="E92" s="272" t="s">
        <v>472</v>
      </c>
      <c r="F92" s="270" t="s">
        <v>473</v>
      </c>
      <c r="G92" s="270" t="s">
        <v>305</v>
      </c>
      <c r="H92" s="270" t="s">
        <v>29</v>
      </c>
      <c r="I92" s="280">
        <v>18</v>
      </c>
      <c r="J92" s="280">
        <v>18</v>
      </c>
      <c r="K92" s="280">
        <v>18</v>
      </c>
      <c r="L92" s="274" t="s">
        <v>30</v>
      </c>
      <c r="M92" s="275" t="s">
        <v>78</v>
      </c>
      <c r="N92" s="271">
        <v>1</v>
      </c>
      <c r="O92" s="282" t="s">
        <v>474</v>
      </c>
      <c r="P92" s="277" t="s">
        <v>475</v>
      </c>
      <c r="Q92" s="278"/>
      <c r="R92" s="278"/>
      <c r="S92" s="279"/>
      <c r="T92" s="278"/>
      <c r="U92" s="278"/>
      <c r="V92" s="278"/>
      <c r="W92" s="278"/>
      <c r="X92" s="278"/>
      <c r="Y92" s="278"/>
    </row>
    <row r="93" s="249" customFormat="1" ht="17.25" spans="2:25">
      <c r="B93" s="270" t="s">
        <v>300</v>
      </c>
      <c r="C93" s="270" t="s">
        <v>301</v>
      </c>
      <c r="D93" s="271" t="s">
        <v>302</v>
      </c>
      <c r="E93" s="272" t="s">
        <v>476</v>
      </c>
      <c r="F93" s="270" t="s">
        <v>477</v>
      </c>
      <c r="G93" s="270" t="s">
        <v>305</v>
      </c>
      <c r="H93" s="270" t="s">
        <v>29</v>
      </c>
      <c r="I93" s="280">
        <v>18</v>
      </c>
      <c r="J93" s="280">
        <v>18</v>
      </c>
      <c r="K93" s="280">
        <v>18</v>
      </c>
      <c r="L93" s="274" t="s">
        <v>30</v>
      </c>
      <c r="M93" s="275" t="s">
        <v>78</v>
      </c>
      <c r="N93" s="271">
        <v>1</v>
      </c>
      <c r="O93" s="282" t="s">
        <v>478</v>
      </c>
      <c r="P93" s="277" t="s">
        <v>479</v>
      </c>
      <c r="Q93" s="278"/>
      <c r="R93" s="278"/>
      <c r="S93" s="279"/>
      <c r="T93" s="278"/>
      <c r="U93" s="278"/>
      <c r="V93" s="278"/>
      <c r="W93" s="278"/>
      <c r="X93" s="278"/>
      <c r="Y93" s="278"/>
    </row>
    <row r="94" s="249" customFormat="1" ht="17.25" spans="2:25">
      <c r="B94" s="270" t="s">
        <v>300</v>
      </c>
      <c r="C94" s="270" t="s">
        <v>301</v>
      </c>
      <c r="D94" s="271" t="s">
        <v>302</v>
      </c>
      <c r="E94" s="272" t="s">
        <v>480</v>
      </c>
      <c r="F94" s="270" t="s">
        <v>481</v>
      </c>
      <c r="G94" s="270" t="s">
        <v>305</v>
      </c>
      <c r="H94" s="270" t="s">
        <v>29</v>
      </c>
      <c r="I94" s="280">
        <v>18</v>
      </c>
      <c r="J94" s="280">
        <v>18</v>
      </c>
      <c r="K94" s="280">
        <v>18</v>
      </c>
      <c r="L94" s="274" t="s">
        <v>30</v>
      </c>
      <c r="M94" s="275" t="s">
        <v>78</v>
      </c>
      <c r="N94" s="271">
        <v>1</v>
      </c>
      <c r="O94" s="282" t="s">
        <v>482</v>
      </c>
      <c r="P94" s="277" t="s">
        <v>483</v>
      </c>
      <c r="Q94" s="278"/>
      <c r="R94" s="278"/>
      <c r="S94" s="279"/>
      <c r="T94" s="278"/>
      <c r="U94" s="278"/>
      <c r="V94" s="278"/>
      <c r="W94" s="278"/>
      <c r="X94" s="278"/>
      <c r="Y94" s="278"/>
    </row>
    <row r="95" s="249" customFormat="1" ht="17.25" spans="2:25">
      <c r="B95" s="270" t="s">
        <v>300</v>
      </c>
      <c r="C95" s="270" t="s">
        <v>301</v>
      </c>
      <c r="D95" s="271" t="s">
        <v>302</v>
      </c>
      <c r="E95" s="272" t="s">
        <v>484</v>
      </c>
      <c r="F95" s="270" t="s">
        <v>485</v>
      </c>
      <c r="G95" s="270" t="s">
        <v>305</v>
      </c>
      <c r="H95" s="270" t="s">
        <v>29</v>
      </c>
      <c r="I95" s="280">
        <v>18</v>
      </c>
      <c r="J95" s="280">
        <v>18</v>
      </c>
      <c r="K95" s="280">
        <v>18</v>
      </c>
      <c r="L95" s="274" t="s">
        <v>30</v>
      </c>
      <c r="M95" s="275" t="s">
        <v>78</v>
      </c>
      <c r="N95" s="271">
        <v>1</v>
      </c>
      <c r="O95" s="282" t="s">
        <v>486</v>
      </c>
      <c r="P95" s="277" t="s">
        <v>487</v>
      </c>
      <c r="Q95" s="278"/>
      <c r="R95" s="278"/>
      <c r="S95" s="279"/>
      <c r="T95" s="278"/>
      <c r="U95" s="278"/>
      <c r="V95" s="278"/>
      <c r="W95" s="278"/>
      <c r="X95" s="278"/>
      <c r="Y95" s="278"/>
    </row>
    <row r="96" s="249" customFormat="1" ht="17.25" spans="2:25">
      <c r="B96" s="270" t="s">
        <v>300</v>
      </c>
      <c r="C96" s="270" t="s">
        <v>301</v>
      </c>
      <c r="D96" s="271" t="s">
        <v>302</v>
      </c>
      <c r="E96" s="272" t="s">
        <v>488</v>
      </c>
      <c r="F96" s="270" t="s">
        <v>489</v>
      </c>
      <c r="G96" s="270" t="s">
        <v>305</v>
      </c>
      <c r="H96" s="270" t="s">
        <v>29</v>
      </c>
      <c r="I96" s="280">
        <v>19</v>
      </c>
      <c r="J96" s="280">
        <v>16</v>
      </c>
      <c r="K96" s="280">
        <v>16</v>
      </c>
      <c r="L96" s="274" t="s">
        <v>30</v>
      </c>
      <c r="M96" s="275" t="s">
        <v>78</v>
      </c>
      <c r="N96" s="271">
        <v>1</v>
      </c>
      <c r="O96" s="282" t="s">
        <v>490</v>
      </c>
      <c r="P96" s="277" t="s">
        <v>491</v>
      </c>
      <c r="Q96" s="278"/>
      <c r="R96" s="278"/>
      <c r="S96" s="279"/>
      <c r="T96" s="278"/>
      <c r="U96" s="278"/>
      <c r="V96" s="278"/>
      <c r="W96" s="278"/>
      <c r="X96" s="278"/>
      <c r="Y96" s="278"/>
    </row>
    <row r="97" s="249" customFormat="1" ht="17.25" spans="2:25">
      <c r="B97" s="270" t="s">
        <v>300</v>
      </c>
      <c r="C97" s="270" t="s">
        <v>301</v>
      </c>
      <c r="D97" s="271" t="s">
        <v>302</v>
      </c>
      <c r="E97" s="272" t="s">
        <v>492</v>
      </c>
      <c r="F97" s="270" t="s">
        <v>493</v>
      </c>
      <c r="G97" s="270" t="s">
        <v>305</v>
      </c>
      <c r="H97" s="270" t="s">
        <v>29</v>
      </c>
      <c r="I97" s="280">
        <v>18</v>
      </c>
      <c r="J97" s="280">
        <v>18</v>
      </c>
      <c r="K97" s="280">
        <v>18</v>
      </c>
      <c r="L97" s="274" t="s">
        <v>30</v>
      </c>
      <c r="M97" s="275" t="s">
        <v>78</v>
      </c>
      <c r="N97" s="271">
        <v>1</v>
      </c>
      <c r="O97" s="282" t="s">
        <v>494</v>
      </c>
      <c r="P97" s="277" t="s">
        <v>495</v>
      </c>
      <c r="Q97" s="278"/>
      <c r="R97" s="278"/>
      <c r="S97" s="279"/>
      <c r="T97" s="278"/>
      <c r="U97" s="278"/>
      <c r="V97" s="278"/>
      <c r="W97" s="278"/>
      <c r="X97" s="278"/>
      <c r="Y97" s="278"/>
    </row>
    <row r="98" s="249" customFormat="1" ht="17.25" spans="2:25">
      <c r="B98" s="270" t="s">
        <v>300</v>
      </c>
      <c r="C98" s="270" t="s">
        <v>301</v>
      </c>
      <c r="D98" s="271" t="s">
        <v>302</v>
      </c>
      <c r="E98" s="272" t="s">
        <v>496</v>
      </c>
      <c r="F98" s="270" t="s">
        <v>497</v>
      </c>
      <c r="G98" s="270" t="s">
        <v>305</v>
      </c>
      <c r="H98" s="270" t="s">
        <v>29</v>
      </c>
      <c r="I98" s="280">
        <v>18</v>
      </c>
      <c r="J98" s="280">
        <v>18</v>
      </c>
      <c r="K98" s="280">
        <v>18</v>
      </c>
      <c r="L98" s="274" t="s">
        <v>30</v>
      </c>
      <c r="M98" s="275" t="s">
        <v>78</v>
      </c>
      <c r="N98" s="271">
        <v>1</v>
      </c>
      <c r="O98" s="282" t="s">
        <v>498</v>
      </c>
      <c r="P98" s="277" t="s">
        <v>499</v>
      </c>
      <c r="Q98" s="278"/>
      <c r="R98" s="278"/>
      <c r="S98" s="279"/>
      <c r="T98" s="278"/>
      <c r="U98" s="278"/>
      <c r="V98" s="278"/>
      <c r="W98" s="278"/>
      <c r="X98" s="278"/>
      <c r="Y98" s="278"/>
    </row>
    <row r="99" s="249" customFormat="1" ht="17.25" spans="2:25">
      <c r="B99" s="270" t="s">
        <v>300</v>
      </c>
      <c r="C99" s="270" t="s">
        <v>301</v>
      </c>
      <c r="D99" s="271" t="s">
        <v>302</v>
      </c>
      <c r="E99" s="272" t="s">
        <v>500</v>
      </c>
      <c r="F99" s="270" t="s">
        <v>501</v>
      </c>
      <c r="G99" s="270" t="s">
        <v>305</v>
      </c>
      <c r="H99" s="270" t="s">
        <v>29</v>
      </c>
      <c r="I99" s="280">
        <v>19</v>
      </c>
      <c r="J99" s="280">
        <v>16</v>
      </c>
      <c r="K99" s="280">
        <v>16</v>
      </c>
      <c r="L99" s="274" t="s">
        <v>30</v>
      </c>
      <c r="M99" s="275" t="s">
        <v>78</v>
      </c>
      <c r="N99" s="271">
        <v>1</v>
      </c>
      <c r="O99" s="282" t="s">
        <v>502</v>
      </c>
      <c r="P99" s="277" t="s">
        <v>503</v>
      </c>
      <c r="Q99" s="278"/>
      <c r="R99" s="278"/>
      <c r="S99" s="279"/>
      <c r="T99" s="278"/>
      <c r="U99" s="278"/>
      <c r="V99" s="278"/>
      <c r="W99" s="278"/>
      <c r="X99" s="278"/>
      <c r="Y99" s="278"/>
    </row>
    <row r="100" s="249" customFormat="1" ht="17.25" spans="2:25">
      <c r="B100" s="270" t="s">
        <v>300</v>
      </c>
      <c r="C100" s="270" t="s">
        <v>301</v>
      </c>
      <c r="D100" s="271" t="s">
        <v>302</v>
      </c>
      <c r="E100" s="272" t="s">
        <v>504</v>
      </c>
      <c r="F100" s="270" t="s">
        <v>505</v>
      </c>
      <c r="G100" s="270" t="s">
        <v>305</v>
      </c>
      <c r="H100" s="270" t="s">
        <v>29</v>
      </c>
      <c r="I100" s="280">
        <v>19</v>
      </c>
      <c r="J100" s="280">
        <v>16</v>
      </c>
      <c r="K100" s="280">
        <v>16</v>
      </c>
      <c r="L100" s="274" t="s">
        <v>30</v>
      </c>
      <c r="M100" s="275" t="s">
        <v>78</v>
      </c>
      <c r="N100" s="271">
        <v>1</v>
      </c>
      <c r="O100" s="282" t="s">
        <v>506</v>
      </c>
      <c r="P100" s="277" t="s">
        <v>507</v>
      </c>
      <c r="Q100" s="278"/>
      <c r="R100" s="278"/>
      <c r="S100" s="279"/>
      <c r="T100" s="278"/>
      <c r="U100" s="278"/>
      <c r="V100" s="278"/>
      <c r="W100" s="278"/>
      <c r="X100" s="278"/>
      <c r="Y100" s="278"/>
    </row>
    <row r="101" s="249" customFormat="1" ht="17.25" spans="2:25">
      <c r="B101" s="270" t="s">
        <v>300</v>
      </c>
      <c r="C101" s="270" t="s">
        <v>301</v>
      </c>
      <c r="D101" s="271" t="s">
        <v>302</v>
      </c>
      <c r="E101" s="272" t="s">
        <v>508</v>
      </c>
      <c r="F101" s="270" t="s">
        <v>509</v>
      </c>
      <c r="G101" s="270" t="s">
        <v>305</v>
      </c>
      <c r="H101" s="270" t="s">
        <v>29</v>
      </c>
      <c r="I101" s="280">
        <v>24</v>
      </c>
      <c r="J101" s="280">
        <v>24</v>
      </c>
      <c r="K101" s="280">
        <v>24</v>
      </c>
      <c r="L101" s="274" t="s">
        <v>30</v>
      </c>
      <c r="M101" s="275" t="s">
        <v>78</v>
      </c>
      <c r="N101" s="271">
        <v>1</v>
      </c>
      <c r="O101" s="282" t="s">
        <v>510</v>
      </c>
      <c r="P101" s="277" t="s">
        <v>511</v>
      </c>
      <c r="Q101" s="278"/>
      <c r="R101" s="278"/>
      <c r="S101" s="279"/>
      <c r="T101" s="278"/>
      <c r="U101" s="278"/>
      <c r="V101" s="278"/>
      <c r="W101" s="278"/>
      <c r="X101" s="278"/>
      <c r="Y101" s="278"/>
    </row>
    <row r="102" s="249" customFormat="1" ht="17.25" spans="2:25">
      <c r="B102" s="270" t="s">
        <v>300</v>
      </c>
      <c r="C102" s="270" t="s">
        <v>301</v>
      </c>
      <c r="D102" s="271" t="s">
        <v>302</v>
      </c>
      <c r="E102" s="272" t="s">
        <v>512</v>
      </c>
      <c r="F102" s="270" t="s">
        <v>513</v>
      </c>
      <c r="G102" s="270" t="s">
        <v>305</v>
      </c>
      <c r="H102" s="270" t="s">
        <v>29</v>
      </c>
      <c r="I102" s="280">
        <v>19</v>
      </c>
      <c r="J102" s="280">
        <v>16</v>
      </c>
      <c r="K102" s="280">
        <v>16</v>
      </c>
      <c r="L102" s="274" t="s">
        <v>30</v>
      </c>
      <c r="M102" s="275" t="s">
        <v>78</v>
      </c>
      <c r="N102" s="271">
        <v>1</v>
      </c>
      <c r="O102" s="282" t="s">
        <v>514</v>
      </c>
      <c r="P102" s="277" t="s">
        <v>515</v>
      </c>
      <c r="Q102" s="278"/>
      <c r="R102" s="278"/>
      <c r="S102" s="279"/>
      <c r="T102" s="278"/>
      <c r="U102" s="278"/>
      <c r="V102" s="278"/>
      <c r="W102" s="278"/>
      <c r="X102" s="278"/>
      <c r="Y102" s="278"/>
    </row>
    <row r="103" s="249" customFormat="1" ht="17.25" spans="2:25">
      <c r="B103" s="270" t="s">
        <v>300</v>
      </c>
      <c r="C103" s="270" t="s">
        <v>301</v>
      </c>
      <c r="D103" s="271" t="s">
        <v>302</v>
      </c>
      <c r="E103" s="272" t="s">
        <v>516</v>
      </c>
      <c r="F103" s="270" t="s">
        <v>517</v>
      </c>
      <c r="G103" s="270" t="s">
        <v>305</v>
      </c>
      <c r="H103" s="270" t="s">
        <v>29</v>
      </c>
      <c r="I103" s="280">
        <v>24</v>
      </c>
      <c r="J103" s="280">
        <v>24</v>
      </c>
      <c r="K103" s="280">
        <v>24</v>
      </c>
      <c r="L103" s="274" t="s">
        <v>30</v>
      </c>
      <c r="M103" s="275" t="s">
        <v>78</v>
      </c>
      <c r="N103" s="271">
        <v>1</v>
      </c>
      <c r="O103" s="282" t="s">
        <v>518</v>
      </c>
      <c r="P103" s="277" t="s">
        <v>519</v>
      </c>
      <c r="Q103" s="278"/>
      <c r="R103" s="278"/>
      <c r="S103" s="279"/>
      <c r="T103" s="278"/>
      <c r="U103" s="278"/>
      <c r="V103" s="278"/>
      <c r="W103" s="278"/>
      <c r="X103" s="278"/>
      <c r="Y103" s="278"/>
    </row>
    <row r="104" s="249" customFormat="1" ht="17.25" spans="2:25">
      <c r="B104" s="270" t="s">
        <v>300</v>
      </c>
      <c r="C104" s="270" t="s">
        <v>301</v>
      </c>
      <c r="D104" s="271" t="s">
        <v>302</v>
      </c>
      <c r="E104" s="272" t="s">
        <v>520</v>
      </c>
      <c r="F104" s="270" t="s">
        <v>521</v>
      </c>
      <c r="G104" s="270" t="s">
        <v>305</v>
      </c>
      <c r="H104" s="270" t="s">
        <v>29</v>
      </c>
      <c r="I104" s="280">
        <v>18</v>
      </c>
      <c r="J104" s="280">
        <v>18</v>
      </c>
      <c r="K104" s="280">
        <v>18</v>
      </c>
      <c r="L104" s="274" t="s">
        <v>30</v>
      </c>
      <c r="M104" s="275" t="s">
        <v>78</v>
      </c>
      <c r="N104" s="271">
        <v>1</v>
      </c>
      <c r="O104" s="282" t="s">
        <v>522</v>
      </c>
      <c r="P104" s="277" t="s">
        <v>523</v>
      </c>
      <c r="Q104" s="278"/>
      <c r="R104" s="278"/>
      <c r="S104" s="279"/>
      <c r="T104" s="278"/>
      <c r="U104" s="278"/>
      <c r="V104" s="278"/>
      <c r="W104" s="278"/>
      <c r="X104" s="278"/>
      <c r="Y104" s="278"/>
    </row>
    <row r="105" s="249" customFormat="1" ht="17.25" spans="2:25">
      <c r="B105" s="270" t="s">
        <v>300</v>
      </c>
      <c r="C105" s="270" t="s">
        <v>301</v>
      </c>
      <c r="D105" s="271" t="s">
        <v>302</v>
      </c>
      <c r="E105" s="272" t="s">
        <v>524</v>
      </c>
      <c r="F105" s="270" t="s">
        <v>525</v>
      </c>
      <c r="G105" s="270" t="s">
        <v>305</v>
      </c>
      <c r="H105" s="270" t="s">
        <v>29</v>
      </c>
      <c r="I105" s="280">
        <v>18</v>
      </c>
      <c r="J105" s="280">
        <v>18</v>
      </c>
      <c r="K105" s="280">
        <v>18</v>
      </c>
      <c r="L105" s="274" t="s">
        <v>30</v>
      </c>
      <c r="M105" s="275" t="s">
        <v>78</v>
      </c>
      <c r="N105" s="271">
        <v>1</v>
      </c>
      <c r="O105" s="282" t="s">
        <v>526</v>
      </c>
      <c r="P105" s="277" t="s">
        <v>527</v>
      </c>
      <c r="Q105" s="278"/>
      <c r="R105" s="278"/>
      <c r="S105" s="279"/>
      <c r="T105" s="278"/>
      <c r="U105" s="278"/>
      <c r="V105" s="278"/>
      <c r="W105" s="278"/>
      <c r="X105" s="278"/>
      <c r="Y105" s="278"/>
    </row>
    <row r="106" s="249" customFormat="1" ht="17.25" spans="2:25">
      <c r="B106" s="270" t="s">
        <v>300</v>
      </c>
      <c r="C106" s="270" t="s">
        <v>301</v>
      </c>
      <c r="D106" s="271" t="s">
        <v>302</v>
      </c>
      <c r="E106" s="272" t="s">
        <v>528</v>
      </c>
      <c r="F106" s="270" t="s">
        <v>529</v>
      </c>
      <c r="G106" s="270" t="s">
        <v>305</v>
      </c>
      <c r="H106" s="270" t="s">
        <v>29</v>
      </c>
      <c r="I106" s="280">
        <v>18</v>
      </c>
      <c r="J106" s="280">
        <v>18</v>
      </c>
      <c r="K106" s="280">
        <v>18</v>
      </c>
      <c r="L106" s="274" t="s">
        <v>30</v>
      </c>
      <c r="M106" s="275" t="s">
        <v>78</v>
      </c>
      <c r="N106" s="271">
        <v>1</v>
      </c>
      <c r="O106" s="282" t="s">
        <v>530</v>
      </c>
      <c r="P106" s="277" t="s">
        <v>531</v>
      </c>
      <c r="Q106" s="278"/>
      <c r="R106" s="278"/>
      <c r="S106" s="279"/>
      <c r="T106" s="278"/>
      <c r="U106" s="278"/>
      <c r="V106" s="278"/>
      <c r="W106" s="278"/>
      <c r="X106" s="278"/>
      <c r="Y106" s="278"/>
    </row>
    <row r="107" s="249" customFormat="1" ht="17.25" spans="2:25">
      <c r="B107" s="270" t="s">
        <v>300</v>
      </c>
      <c r="C107" s="270" t="s">
        <v>301</v>
      </c>
      <c r="D107" s="271" t="s">
        <v>302</v>
      </c>
      <c r="E107" s="272" t="s">
        <v>532</v>
      </c>
      <c r="F107" s="270" t="s">
        <v>533</v>
      </c>
      <c r="G107" s="270" t="s">
        <v>305</v>
      </c>
      <c r="H107" s="270" t="s">
        <v>29</v>
      </c>
      <c r="I107" s="280">
        <v>18</v>
      </c>
      <c r="J107" s="280">
        <v>18</v>
      </c>
      <c r="K107" s="280">
        <v>18</v>
      </c>
      <c r="L107" s="274" t="s">
        <v>30</v>
      </c>
      <c r="M107" s="275" t="s">
        <v>78</v>
      </c>
      <c r="N107" s="271">
        <v>1</v>
      </c>
      <c r="O107" s="282" t="s">
        <v>534</v>
      </c>
      <c r="P107" s="277" t="s">
        <v>535</v>
      </c>
      <c r="Q107" s="278"/>
      <c r="R107" s="278"/>
      <c r="S107" s="279"/>
      <c r="T107" s="278"/>
      <c r="U107" s="278"/>
      <c r="V107" s="278"/>
      <c r="W107" s="278"/>
      <c r="X107" s="278"/>
      <c r="Y107" s="278"/>
    </row>
    <row r="108" s="249" customFormat="1" ht="17.25" spans="2:25">
      <c r="B108" s="270" t="s">
        <v>536</v>
      </c>
      <c r="C108" s="270" t="s">
        <v>537</v>
      </c>
      <c r="D108" s="271" t="s">
        <v>538</v>
      </c>
      <c r="E108" s="272" t="s">
        <v>539</v>
      </c>
      <c r="F108" s="270" t="s">
        <v>540</v>
      </c>
      <c r="G108" s="270" t="s">
        <v>541</v>
      </c>
      <c r="H108" s="270" t="s">
        <v>87</v>
      </c>
      <c r="I108" s="280">
        <v>3</v>
      </c>
      <c r="J108" s="280">
        <v>3</v>
      </c>
      <c r="K108" s="280">
        <v>3</v>
      </c>
      <c r="L108" s="274" t="s">
        <v>204</v>
      </c>
      <c r="M108" s="275" t="s">
        <v>89</v>
      </c>
      <c r="N108" s="271">
        <v>1</v>
      </c>
      <c r="O108" s="282" t="s">
        <v>542</v>
      </c>
      <c r="P108" s="277" t="s">
        <v>543</v>
      </c>
      <c r="Q108" s="278"/>
      <c r="R108" s="278"/>
      <c r="S108" s="279"/>
      <c r="T108" s="278"/>
      <c r="U108" s="278"/>
      <c r="V108" s="278"/>
      <c r="W108" s="278"/>
      <c r="X108" s="278"/>
      <c r="Y108" s="278"/>
    </row>
    <row r="109" s="249" customFormat="1" ht="17.25" spans="2:25">
      <c r="B109" s="270" t="s">
        <v>536</v>
      </c>
      <c r="C109" s="270" t="s">
        <v>537</v>
      </c>
      <c r="D109" s="271" t="s">
        <v>538</v>
      </c>
      <c r="E109" s="272" t="s">
        <v>544</v>
      </c>
      <c r="F109" s="270" t="s">
        <v>545</v>
      </c>
      <c r="G109" s="270" t="s">
        <v>541</v>
      </c>
      <c r="H109" s="270" t="s">
        <v>87</v>
      </c>
      <c r="I109" s="280">
        <v>3</v>
      </c>
      <c r="J109" s="280">
        <v>3</v>
      </c>
      <c r="K109" s="280">
        <v>3</v>
      </c>
      <c r="L109" s="274" t="s">
        <v>204</v>
      </c>
      <c r="M109" s="275" t="s">
        <v>89</v>
      </c>
      <c r="N109" s="271">
        <v>1</v>
      </c>
      <c r="O109" s="282" t="s">
        <v>546</v>
      </c>
      <c r="P109" s="277" t="s">
        <v>547</v>
      </c>
      <c r="Q109" s="278"/>
      <c r="R109" s="278"/>
      <c r="S109" s="279"/>
      <c r="T109" s="278"/>
      <c r="U109" s="278"/>
      <c r="V109" s="278"/>
      <c r="W109" s="278"/>
      <c r="X109" s="278"/>
      <c r="Y109" s="278"/>
    </row>
    <row r="110" s="249" customFormat="1" ht="17.25" spans="2:25">
      <c r="B110" s="270" t="s">
        <v>536</v>
      </c>
      <c r="C110" s="270" t="s">
        <v>537</v>
      </c>
      <c r="D110" s="271" t="s">
        <v>538</v>
      </c>
      <c r="E110" s="272" t="s">
        <v>548</v>
      </c>
      <c r="F110" s="270" t="s">
        <v>549</v>
      </c>
      <c r="G110" s="270" t="s">
        <v>541</v>
      </c>
      <c r="H110" s="270" t="s">
        <v>87</v>
      </c>
      <c r="I110" s="280">
        <v>3</v>
      </c>
      <c r="J110" s="280">
        <v>3</v>
      </c>
      <c r="K110" s="280">
        <v>3</v>
      </c>
      <c r="L110" s="274" t="s">
        <v>204</v>
      </c>
      <c r="M110" s="275" t="s">
        <v>89</v>
      </c>
      <c r="N110" s="271">
        <v>1</v>
      </c>
      <c r="O110" s="282" t="s">
        <v>550</v>
      </c>
      <c r="P110" s="277" t="s">
        <v>551</v>
      </c>
      <c r="Q110" s="278"/>
      <c r="R110" s="278"/>
      <c r="S110" s="279"/>
      <c r="T110" s="278"/>
      <c r="U110" s="278"/>
      <c r="V110" s="278"/>
      <c r="W110" s="278"/>
      <c r="X110" s="278"/>
      <c r="Y110" s="278"/>
    </row>
    <row r="111" s="249" customFormat="1" ht="17.25" spans="2:25">
      <c r="B111" s="270" t="s">
        <v>536</v>
      </c>
      <c r="C111" s="270" t="s">
        <v>537</v>
      </c>
      <c r="D111" s="271" t="s">
        <v>552</v>
      </c>
      <c r="E111" s="272" t="s">
        <v>553</v>
      </c>
      <c r="F111" s="270" t="s">
        <v>554</v>
      </c>
      <c r="G111" s="270" t="s">
        <v>541</v>
      </c>
      <c r="H111" s="270" t="s">
        <v>87</v>
      </c>
      <c r="I111" s="280">
        <v>3</v>
      </c>
      <c r="J111" s="280">
        <v>3</v>
      </c>
      <c r="K111" s="280">
        <v>3</v>
      </c>
      <c r="L111" s="274" t="s">
        <v>204</v>
      </c>
      <c r="M111" s="275" t="s">
        <v>89</v>
      </c>
      <c r="N111" s="271">
        <v>1</v>
      </c>
      <c r="O111" s="282" t="s">
        <v>555</v>
      </c>
      <c r="P111" s="277" t="s">
        <v>556</v>
      </c>
      <c r="Q111" s="278"/>
      <c r="R111" s="278"/>
      <c r="S111" s="279"/>
      <c r="T111" s="278"/>
      <c r="U111" s="278"/>
      <c r="V111" s="278"/>
      <c r="W111" s="278"/>
      <c r="X111" s="278"/>
      <c r="Y111" s="278"/>
    </row>
    <row r="112" s="249" customFormat="1" ht="17.25" spans="2:25">
      <c r="B112" s="270" t="s">
        <v>536</v>
      </c>
      <c r="C112" s="270" t="s">
        <v>537</v>
      </c>
      <c r="D112" s="271" t="s">
        <v>538</v>
      </c>
      <c r="E112" s="272" t="s">
        <v>557</v>
      </c>
      <c r="F112" s="270" t="s">
        <v>558</v>
      </c>
      <c r="G112" s="270" t="s">
        <v>541</v>
      </c>
      <c r="H112" s="270" t="s">
        <v>87</v>
      </c>
      <c r="I112" s="280">
        <v>4</v>
      </c>
      <c r="J112" s="280">
        <v>4</v>
      </c>
      <c r="K112" s="280">
        <v>4</v>
      </c>
      <c r="L112" s="274" t="s">
        <v>204</v>
      </c>
      <c r="M112" s="275" t="s">
        <v>89</v>
      </c>
      <c r="N112" s="271">
        <v>1</v>
      </c>
      <c r="O112" s="282" t="s">
        <v>559</v>
      </c>
      <c r="P112" s="277" t="s">
        <v>560</v>
      </c>
      <c r="Q112" s="278"/>
      <c r="R112" s="278"/>
      <c r="S112" s="279"/>
      <c r="T112" s="278"/>
      <c r="U112" s="278"/>
      <c r="V112" s="278"/>
      <c r="W112" s="278"/>
      <c r="X112" s="278"/>
      <c r="Y112" s="278"/>
    </row>
    <row r="113" s="249" customFormat="1" ht="17.25" spans="2:25">
      <c r="B113" s="270" t="s">
        <v>536</v>
      </c>
      <c r="C113" s="270" t="s">
        <v>537</v>
      </c>
      <c r="D113" s="271" t="s">
        <v>538</v>
      </c>
      <c r="E113" s="272" t="s">
        <v>561</v>
      </c>
      <c r="F113" s="270" t="s">
        <v>562</v>
      </c>
      <c r="G113" s="270" t="s">
        <v>541</v>
      </c>
      <c r="H113" s="270" t="s">
        <v>87</v>
      </c>
      <c r="I113" s="280">
        <v>4</v>
      </c>
      <c r="J113" s="280">
        <v>4</v>
      </c>
      <c r="K113" s="280">
        <v>4</v>
      </c>
      <c r="L113" s="274" t="s">
        <v>204</v>
      </c>
      <c r="M113" s="275" t="s">
        <v>89</v>
      </c>
      <c r="N113" s="271">
        <v>1</v>
      </c>
      <c r="O113" s="282" t="s">
        <v>563</v>
      </c>
      <c r="P113" s="277" t="s">
        <v>564</v>
      </c>
      <c r="Q113" s="278"/>
      <c r="R113" s="278"/>
      <c r="S113" s="279"/>
      <c r="T113" s="278"/>
      <c r="U113" s="278"/>
      <c r="V113" s="278"/>
      <c r="W113" s="278"/>
      <c r="X113" s="278"/>
      <c r="Y113" s="278"/>
    </row>
    <row r="114" s="249" customFormat="1" ht="17.25" spans="2:25">
      <c r="B114" s="270" t="s">
        <v>23</v>
      </c>
      <c r="C114" s="270" t="s">
        <v>565</v>
      </c>
      <c r="D114" s="271" t="s">
        <v>566</v>
      </c>
      <c r="E114" s="272" t="s">
        <v>567</v>
      </c>
      <c r="F114" s="270"/>
      <c r="G114" s="270" t="s">
        <v>28</v>
      </c>
      <c r="H114" s="270" t="s">
        <v>29</v>
      </c>
      <c r="I114" s="280">
        <v>7</v>
      </c>
      <c r="J114" s="280">
        <v>6</v>
      </c>
      <c r="K114" s="280">
        <v>6</v>
      </c>
      <c r="L114" s="274" t="s">
        <v>30</v>
      </c>
      <c r="M114" s="275" t="s">
        <v>31</v>
      </c>
      <c r="N114" s="271">
        <v>1</v>
      </c>
      <c r="O114" s="282" t="s">
        <v>568</v>
      </c>
      <c r="P114" s="277" t="s">
        <v>33</v>
      </c>
      <c r="Q114" s="278"/>
      <c r="R114" s="278"/>
      <c r="S114" s="279"/>
      <c r="T114" s="278"/>
      <c r="U114" s="278"/>
      <c r="V114" s="278"/>
      <c r="W114" s="278"/>
      <c r="X114" s="278"/>
      <c r="Y114" s="278"/>
    </row>
    <row r="115" s="249" customFormat="1" ht="17.25" spans="2:25">
      <c r="B115" s="270" t="s">
        <v>569</v>
      </c>
      <c r="C115" s="270" t="s">
        <v>570</v>
      </c>
      <c r="D115" s="270" t="s">
        <v>571</v>
      </c>
      <c r="E115" s="272" t="s">
        <v>572</v>
      </c>
      <c r="F115" s="270"/>
      <c r="G115" s="270" t="s">
        <v>67</v>
      </c>
      <c r="H115" s="270" t="s">
        <v>29</v>
      </c>
      <c r="I115" s="280">
        <v>4</v>
      </c>
      <c r="J115" s="280">
        <v>4</v>
      </c>
      <c r="K115" s="280">
        <v>4</v>
      </c>
      <c r="L115" s="274" t="s">
        <v>204</v>
      </c>
      <c r="M115" s="275" t="s">
        <v>89</v>
      </c>
      <c r="N115" s="271">
        <v>1</v>
      </c>
      <c r="O115" s="282" t="s">
        <v>573</v>
      </c>
      <c r="P115" s="277" t="s">
        <v>574</v>
      </c>
      <c r="Q115" s="278"/>
      <c r="R115" s="278"/>
      <c r="S115" s="279"/>
      <c r="T115" s="278"/>
      <c r="U115" s="278"/>
      <c r="V115" s="278"/>
      <c r="W115" s="278"/>
      <c r="X115" s="278"/>
      <c r="Y115" s="278"/>
    </row>
    <row r="116" s="249" customFormat="1" ht="17.25" spans="2:25">
      <c r="B116" s="270" t="s">
        <v>23</v>
      </c>
      <c r="C116" s="270" t="s">
        <v>575</v>
      </c>
      <c r="D116" s="271" t="s">
        <v>576</v>
      </c>
      <c r="E116" s="272" t="s">
        <v>577</v>
      </c>
      <c r="F116" s="270"/>
      <c r="G116" s="270" t="s">
        <v>578</v>
      </c>
      <c r="H116" s="270" t="s">
        <v>68</v>
      </c>
      <c r="I116" s="280">
        <v>7</v>
      </c>
      <c r="J116" s="280">
        <v>6</v>
      </c>
      <c r="K116" s="280">
        <v>6</v>
      </c>
      <c r="L116" s="274" t="s">
        <v>30</v>
      </c>
      <c r="M116" s="275" t="s">
        <v>31</v>
      </c>
      <c r="N116" s="271">
        <v>1</v>
      </c>
      <c r="O116" s="282" t="s">
        <v>579</v>
      </c>
      <c r="P116" s="277" t="s">
        <v>580</v>
      </c>
      <c r="Q116" s="278"/>
      <c r="R116" s="278"/>
      <c r="S116" s="279"/>
      <c r="T116" s="278"/>
      <c r="U116" s="278"/>
      <c r="V116" s="278"/>
      <c r="W116" s="278"/>
      <c r="X116" s="278"/>
      <c r="Y116" s="278"/>
    </row>
    <row r="117" s="249" customFormat="1" ht="17.25" spans="2:25">
      <c r="B117" s="270" t="s">
        <v>581</v>
      </c>
      <c r="C117" s="270" t="s">
        <v>582</v>
      </c>
      <c r="D117" s="271" t="s">
        <v>583</v>
      </c>
      <c r="E117" s="272" t="s">
        <v>584</v>
      </c>
      <c r="F117" s="270"/>
      <c r="G117" s="270" t="s">
        <v>133</v>
      </c>
      <c r="H117" s="270" t="s">
        <v>29</v>
      </c>
      <c r="I117" s="280">
        <v>4</v>
      </c>
      <c r="J117" s="280">
        <v>4</v>
      </c>
      <c r="K117" s="280">
        <v>4</v>
      </c>
      <c r="L117" s="274" t="s">
        <v>126</v>
      </c>
      <c r="M117" s="275" t="s">
        <v>31</v>
      </c>
      <c r="N117" s="271">
        <v>1</v>
      </c>
      <c r="O117" s="282" t="s">
        <v>585</v>
      </c>
      <c r="P117" s="277" t="s">
        <v>586</v>
      </c>
      <c r="Q117" s="278"/>
      <c r="R117" s="278"/>
      <c r="S117" s="279"/>
      <c r="T117" s="278"/>
      <c r="U117" s="278"/>
      <c r="V117" s="278"/>
      <c r="W117" s="278"/>
      <c r="X117" s="278"/>
      <c r="Y117" s="278"/>
    </row>
    <row r="118" s="249" customFormat="1" ht="17.25" spans="2:25">
      <c r="B118" s="270" t="s">
        <v>587</v>
      </c>
      <c r="C118" s="270" t="s">
        <v>588</v>
      </c>
      <c r="D118" s="271" t="s">
        <v>589</v>
      </c>
      <c r="E118" s="272" t="s">
        <v>590</v>
      </c>
      <c r="F118" s="270" t="s">
        <v>591</v>
      </c>
      <c r="G118" s="270" t="s">
        <v>592</v>
      </c>
      <c r="H118" s="270"/>
      <c r="I118" s="280">
        <v>3</v>
      </c>
      <c r="J118" s="280">
        <v>3</v>
      </c>
      <c r="K118" s="280">
        <v>3</v>
      </c>
      <c r="L118" s="274" t="s">
        <v>30</v>
      </c>
      <c r="M118" s="275" t="s">
        <v>31</v>
      </c>
      <c r="N118" s="271">
        <v>1</v>
      </c>
      <c r="O118" s="282" t="s">
        <v>593</v>
      </c>
      <c r="P118" s="277" t="s">
        <v>42</v>
      </c>
      <c r="Q118" s="278"/>
      <c r="R118" s="278"/>
      <c r="S118" s="279"/>
      <c r="T118" s="278"/>
      <c r="U118" s="278"/>
      <c r="V118" s="278"/>
      <c r="W118" s="278"/>
      <c r="X118" s="278"/>
      <c r="Y118" s="278"/>
    </row>
    <row r="119" s="249" customFormat="1" ht="17.25" spans="2:25">
      <c r="B119" s="270" t="s">
        <v>594</v>
      </c>
      <c r="C119" s="270" t="s">
        <v>595</v>
      </c>
      <c r="D119" s="271" t="s">
        <v>571</v>
      </c>
      <c r="E119" s="272" t="s">
        <v>596</v>
      </c>
      <c r="F119" s="270" t="s">
        <v>597</v>
      </c>
      <c r="G119" s="270" t="s">
        <v>67</v>
      </c>
      <c r="H119" s="270" t="s">
        <v>87</v>
      </c>
      <c r="I119" s="280">
        <v>5</v>
      </c>
      <c r="J119" s="280">
        <v>5</v>
      </c>
      <c r="K119" s="280">
        <v>5</v>
      </c>
      <c r="L119" s="274" t="s">
        <v>49</v>
      </c>
      <c r="M119" s="275" t="s">
        <v>89</v>
      </c>
      <c r="N119" s="271">
        <v>1</v>
      </c>
      <c r="O119" s="282" t="s">
        <v>598</v>
      </c>
      <c r="P119" s="277" t="s">
        <v>91</v>
      </c>
      <c r="Q119" s="278"/>
      <c r="R119" s="278"/>
      <c r="S119" s="279"/>
      <c r="T119" s="278"/>
      <c r="U119" s="278"/>
      <c r="V119" s="278"/>
      <c r="W119" s="278"/>
      <c r="X119" s="278"/>
      <c r="Y119" s="278"/>
    </row>
    <row r="120" s="249" customFormat="1" ht="17.25" spans="2:25">
      <c r="B120" s="270" t="s">
        <v>23</v>
      </c>
      <c r="C120" s="270" t="s">
        <v>599</v>
      </c>
      <c r="D120" s="271" t="s">
        <v>289</v>
      </c>
      <c r="E120" s="272" t="s">
        <v>600</v>
      </c>
      <c r="F120" s="270" t="s">
        <v>601</v>
      </c>
      <c r="G120" s="270" t="s">
        <v>292</v>
      </c>
      <c r="H120" s="270" t="s">
        <v>68</v>
      </c>
      <c r="I120" s="280">
        <v>7</v>
      </c>
      <c r="J120" s="280">
        <v>6</v>
      </c>
      <c r="K120" s="280">
        <v>6</v>
      </c>
      <c r="L120" s="274" t="s">
        <v>69</v>
      </c>
      <c r="M120" s="275" t="s">
        <v>31</v>
      </c>
      <c r="N120" s="271">
        <v>1</v>
      </c>
      <c r="O120" s="282" t="s">
        <v>602</v>
      </c>
      <c r="P120" s="277" t="s">
        <v>33</v>
      </c>
      <c r="Q120" s="278"/>
      <c r="R120" s="278"/>
      <c r="S120" s="279"/>
      <c r="T120" s="278"/>
      <c r="U120" s="278"/>
      <c r="V120" s="278"/>
      <c r="W120" s="278"/>
      <c r="X120" s="278"/>
      <c r="Y120" s="278"/>
    </row>
    <row r="121" s="249" customFormat="1" ht="17.25" spans="2:25">
      <c r="B121" s="270" t="s">
        <v>23</v>
      </c>
      <c r="C121" s="270" t="s">
        <v>603</v>
      </c>
      <c r="D121" s="271" t="s">
        <v>566</v>
      </c>
      <c r="E121" s="272" t="s">
        <v>604</v>
      </c>
      <c r="F121" s="270" t="s">
        <v>605</v>
      </c>
      <c r="G121" s="270" t="s">
        <v>28</v>
      </c>
      <c r="H121" s="270" t="s">
        <v>68</v>
      </c>
      <c r="I121" s="280">
        <v>6</v>
      </c>
      <c r="J121" s="280">
        <v>6</v>
      </c>
      <c r="K121" s="280">
        <v>6</v>
      </c>
      <c r="L121" s="274" t="s">
        <v>126</v>
      </c>
      <c r="M121" s="275" t="s">
        <v>31</v>
      </c>
      <c r="N121" s="271">
        <v>1</v>
      </c>
      <c r="O121" s="282" t="s">
        <v>606</v>
      </c>
      <c r="P121" s="277" t="s">
        <v>162</v>
      </c>
      <c r="Q121" s="278"/>
      <c r="R121" s="278"/>
      <c r="S121" s="279"/>
      <c r="T121" s="278"/>
      <c r="U121" s="278"/>
      <c r="V121" s="278"/>
      <c r="W121" s="278"/>
      <c r="X121" s="278"/>
      <c r="Y121" s="278"/>
    </row>
    <row r="122" s="249" customFormat="1" ht="17.25" spans="2:25">
      <c r="B122" s="270" t="s">
        <v>23</v>
      </c>
      <c r="C122" s="270" t="s">
        <v>607</v>
      </c>
      <c r="D122" s="271" t="s">
        <v>365</v>
      </c>
      <c r="E122" s="292" t="s">
        <v>608</v>
      </c>
      <c r="F122" s="270" t="s">
        <v>367</v>
      </c>
      <c r="G122" s="270" t="s">
        <v>28</v>
      </c>
      <c r="H122" s="270" t="s">
        <v>68</v>
      </c>
      <c r="I122" s="280">
        <v>7</v>
      </c>
      <c r="J122" s="280">
        <v>12</v>
      </c>
      <c r="K122" s="280">
        <v>12</v>
      </c>
      <c r="L122" s="274" t="s">
        <v>126</v>
      </c>
      <c r="M122" s="275" t="s">
        <v>31</v>
      </c>
      <c r="N122" s="271">
        <v>1</v>
      </c>
      <c r="O122" s="282" t="s">
        <v>368</v>
      </c>
      <c r="P122" s="277" t="s">
        <v>33</v>
      </c>
      <c r="Q122" s="278"/>
      <c r="R122" s="278"/>
      <c r="S122" s="279"/>
      <c r="T122" s="278"/>
      <c r="U122" s="278"/>
      <c r="V122" s="278"/>
      <c r="W122" s="278"/>
      <c r="X122" s="278"/>
      <c r="Y122" s="278"/>
    </row>
    <row r="123" s="249" customFormat="1" ht="17.25" spans="2:25">
      <c r="B123" s="270" t="s">
        <v>23</v>
      </c>
      <c r="C123" s="270" t="s">
        <v>609</v>
      </c>
      <c r="D123" s="271" t="s">
        <v>576</v>
      </c>
      <c r="E123" s="272" t="s">
        <v>610</v>
      </c>
      <c r="F123" s="270" t="s">
        <v>611</v>
      </c>
      <c r="G123" s="270" t="s">
        <v>578</v>
      </c>
      <c r="H123" s="270" t="s">
        <v>68</v>
      </c>
      <c r="I123" s="280">
        <v>8</v>
      </c>
      <c r="J123" s="280">
        <v>7</v>
      </c>
      <c r="K123" s="280">
        <v>7</v>
      </c>
      <c r="L123" s="274" t="s">
        <v>69</v>
      </c>
      <c r="M123" s="275" t="s">
        <v>31</v>
      </c>
      <c r="N123" s="271">
        <v>1</v>
      </c>
      <c r="O123" s="282" t="s">
        <v>612</v>
      </c>
      <c r="P123" s="277" t="s">
        <v>162</v>
      </c>
      <c r="Q123" s="278"/>
      <c r="R123" s="278"/>
      <c r="S123" s="279"/>
      <c r="T123" s="278"/>
      <c r="U123" s="278"/>
      <c r="V123" s="278"/>
      <c r="W123" s="278"/>
      <c r="X123" s="278"/>
      <c r="Y123" s="278"/>
    </row>
    <row r="124" s="249" customFormat="1" ht="17.25" spans="2:25">
      <c r="B124" s="270" t="s">
        <v>23</v>
      </c>
      <c r="C124" s="270" t="s">
        <v>613</v>
      </c>
      <c r="D124" s="271" t="s">
        <v>576</v>
      </c>
      <c r="E124" s="272" t="s">
        <v>614</v>
      </c>
      <c r="F124" s="270"/>
      <c r="G124" s="270" t="s">
        <v>578</v>
      </c>
      <c r="H124" s="270" t="s">
        <v>68</v>
      </c>
      <c r="I124" s="280">
        <v>8</v>
      </c>
      <c r="J124" s="280">
        <v>7</v>
      </c>
      <c r="K124" s="280">
        <v>7</v>
      </c>
      <c r="L124" s="274" t="s">
        <v>69</v>
      </c>
      <c r="M124" s="275" t="s">
        <v>31</v>
      </c>
      <c r="N124" s="271">
        <v>1</v>
      </c>
      <c r="O124" s="282" t="s">
        <v>615</v>
      </c>
      <c r="P124" s="277" t="s">
        <v>162</v>
      </c>
      <c r="Q124" s="278"/>
      <c r="R124" s="278"/>
      <c r="S124" s="279"/>
      <c r="T124" s="278"/>
      <c r="U124" s="278"/>
      <c r="V124" s="278"/>
      <c r="W124" s="278"/>
      <c r="X124" s="278"/>
      <c r="Y124" s="278"/>
    </row>
    <row r="125" s="249" customFormat="1" ht="17.25" spans="2:25">
      <c r="B125" s="270" t="s">
        <v>23</v>
      </c>
      <c r="C125" s="270" t="s">
        <v>616</v>
      </c>
      <c r="D125" s="271" t="s">
        <v>617</v>
      </c>
      <c r="E125" s="272" t="s">
        <v>618</v>
      </c>
      <c r="F125" s="270" t="s">
        <v>619</v>
      </c>
      <c r="G125" s="270" t="s">
        <v>305</v>
      </c>
      <c r="H125" s="270" t="s">
        <v>68</v>
      </c>
      <c r="I125" s="280">
        <v>7</v>
      </c>
      <c r="J125" s="280">
        <v>5</v>
      </c>
      <c r="K125" s="280">
        <v>5</v>
      </c>
      <c r="L125" s="274" t="s">
        <v>30</v>
      </c>
      <c r="M125" s="275" t="s">
        <v>31</v>
      </c>
      <c r="N125" s="271">
        <v>1</v>
      </c>
      <c r="O125" s="282" t="s">
        <v>620</v>
      </c>
      <c r="P125" s="277" t="s">
        <v>33</v>
      </c>
      <c r="Q125" s="278"/>
      <c r="R125" s="278"/>
      <c r="S125" s="279"/>
      <c r="T125" s="278"/>
      <c r="U125" s="278"/>
      <c r="V125" s="278"/>
      <c r="W125" s="278"/>
      <c r="X125" s="278"/>
      <c r="Y125" s="278"/>
    </row>
    <row r="126" s="249" customFormat="1" ht="17.25" spans="2:25">
      <c r="B126" s="270" t="s">
        <v>23</v>
      </c>
      <c r="C126" s="270" t="s">
        <v>621</v>
      </c>
      <c r="D126" s="271" t="s">
        <v>617</v>
      </c>
      <c r="E126" s="272" t="s">
        <v>622</v>
      </c>
      <c r="F126" s="270" t="s">
        <v>623</v>
      </c>
      <c r="G126" s="270" t="s">
        <v>305</v>
      </c>
      <c r="H126" s="270" t="s">
        <v>68</v>
      </c>
      <c r="I126" s="280">
        <v>7</v>
      </c>
      <c r="J126" s="280">
        <v>6</v>
      </c>
      <c r="K126" s="280">
        <v>6</v>
      </c>
      <c r="L126" s="274" t="s">
        <v>30</v>
      </c>
      <c r="M126" s="275" t="s">
        <v>31</v>
      </c>
      <c r="N126" s="271">
        <v>1</v>
      </c>
      <c r="O126" s="282" t="s">
        <v>624</v>
      </c>
      <c r="P126" s="277" t="s">
        <v>33</v>
      </c>
      <c r="Q126" s="278"/>
      <c r="R126" s="278"/>
      <c r="S126" s="279"/>
      <c r="T126" s="278"/>
      <c r="U126" s="278"/>
      <c r="V126" s="278"/>
      <c r="W126" s="278"/>
      <c r="X126" s="278"/>
      <c r="Y126" s="278"/>
    </row>
    <row r="127" s="249" customFormat="1" ht="17.25" spans="2:25">
      <c r="B127" s="270" t="s">
        <v>23</v>
      </c>
      <c r="C127" s="270" t="s">
        <v>625</v>
      </c>
      <c r="D127" s="271" t="s">
        <v>617</v>
      </c>
      <c r="E127" s="272" t="s">
        <v>626</v>
      </c>
      <c r="F127" s="270"/>
      <c r="G127" s="270" t="s">
        <v>305</v>
      </c>
      <c r="H127" s="270" t="s">
        <v>68</v>
      </c>
      <c r="I127" s="280">
        <v>8</v>
      </c>
      <c r="J127" s="280">
        <v>8</v>
      </c>
      <c r="K127" s="280">
        <v>8</v>
      </c>
      <c r="L127" s="274" t="s">
        <v>30</v>
      </c>
      <c r="M127" s="275" t="s">
        <v>31</v>
      </c>
      <c r="N127" s="271">
        <v>1</v>
      </c>
      <c r="O127" s="282" t="s">
        <v>627</v>
      </c>
      <c r="P127" s="277" t="s">
        <v>33</v>
      </c>
      <c r="Q127" s="278"/>
      <c r="R127" s="278"/>
      <c r="S127" s="279"/>
      <c r="T127" s="278"/>
      <c r="U127" s="278"/>
      <c r="V127" s="278"/>
      <c r="W127" s="278"/>
      <c r="X127" s="278"/>
      <c r="Y127" s="278"/>
    </row>
    <row r="128" s="249" customFormat="1" ht="17.25" spans="2:25">
      <c r="B128" s="270" t="s">
        <v>23</v>
      </c>
      <c r="C128" s="270" t="s">
        <v>628</v>
      </c>
      <c r="D128" s="271" t="s">
        <v>617</v>
      </c>
      <c r="E128" s="272" t="s">
        <v>629</v>
      </c>
      <c r="F128" s="270"/>
      <c r="G128" s="270" t="s">
        <v>305</v>
      </c>
      <c r="H128" s="270" t="s">
        <v>68</v>
      </c>
      <c r="I128" s="280">
        <v>8</v>
      </c>
      <c r="J128" s="280">
        <v>8</v>
      </c>
      <c r="K128" s="280">
        <v>8</v>
      </c>
      <c r="L128" s="274" t="s">
        <v>30</v>
      </c>
      <c r="M128" s="275" t="s">
        <v>31</v>
      </c>
      <c r="N128" s="271">
        <v>1</v>
      </c>
      <c r="O128" s="282" t="s">
        <v>630</v>
      </c>
      <c r="P128" s="277" t="s">
        <v>71</v>
      </c>
      <c r="Q128" s="278"/>
      <c r="R128" s="278"/>
      <c r="S128" s="279"/>
      <c r="T128" s="278"/>
      <c r="U128" s="278"/>
      <c r="V128" s="278"/>
      <c r="W128" s="278"/>
      <c r="X128" s="278"/>
      <c r="Y128" s="278"/>
    </row>
    <row r="129" s="249" customFormat="1" ht="17.25" spans="2:25">
      <c r="B129" s="270" t="s">
        <v>23</v>
      </c>
      <c r="C129" s="270" t="s">
        <v>631</v>
      </c>
      <c r="D129" s="271" t="s">
        <v>632</v>
      </c>
      <c r="E129" s="272" t="s">
        <v>633</v>
      </c>
      <c r="F129" s="270"/>
      <c r="G129" s="270" t="s">
        <v>305</v>
      </c>
      <c r="H129" s="270" t="s">
        <v>68</v>
      </c>
      <c r="I129" s="280">
        <v>8</v>
      </c>
      <c r="J129" s="280">
        <v>7</v>
      </c>
      <c r="K129" s="280">
        <v>7</v>
      </c>
      <c r="L129" s="274" t="s">
        <v>30</v>
      </c>
      <c r="M129" s="275" t="s">
        <v>31</v>
      </c>
      <c r="N129" s="271">
        <v>1</v>
      </c>
      <c r="O129" s="282" t="s">
        <v>634</v>
      </c>
      <c r="P129" s="277" t="s">
        <v>33</v>
      </c>
      <c r="Q129" s="278"/>
      <c r="R129" s="278"/>
      <c r="S129" s="279"/>
      <c r="T129" s="278"/>
      <c r="U129" s="278"/>
      <c r="V129" s="278"/>
      <c r="W129" s="278"/>
      <c r="X129" s="278"/>
      <c r="Y129" s="278"/>
    </row>
    <row r="130" s="249" customFormat="1" ht="17.25" spans="2:25">
      <c r="B130" s="270" t="s">
        <v>273</v>
      </c>
      <c r="C130" s="270" t="s">
        <v>635</v>
      </c>
      <c r="D130" s="271" t="s">
        <v>92</v>
      </c>
      <c r="E130" s="272" t="s">
        <v>636</v>
      </c>
      <c r="F130" s="270" t="s">
        <v>637</v>
      </c>
      <c r="G130" s="270" t="s">
        <v>94</v>
      </c>
      <c r="H130" s="270" t="s">
        <v>29</v>
      </c>
      <c r="I130" s="280">
        <v>6</v>
      </c>
      <c r="J130" s="280">
        <v>6</v>
      </c>
      <c r="K130" s="280">
        <v>6</v>
      </c>
      <c r="L130" s="274" t="s">
        <v>69</v>
      </c>
      <c r="M130" s="275" t="s">
        <v>31</v>
      </c>
      <c r="N130" s="271">
        <v>1</v>
      </c>
      <c r="O130" s="282" t="s">
        <v>638</v>
      </c>
      <c r="P130" s="277" t="s">
        <v>639</v>
      </c>
      <c r="Q130" s="278"/>
      <c r="R130" s="278"/>
      <c r="S130" s="279"/>
      <c r="T130" s="278"/>
      <c r="U130" s="278"/>
      <c r="V130" s="278"/>
      <c r="W130" s="278"/>
      <c r="X130" s="278"/>
      <c r="Y130" s="278"/>
    </row>
    <row r="131" s="249" customFormat="1" ht="17.25" spans="2:25">
      <c r="B131" s="270" t="s">
        <v>23</v>
      </c>
      <c r="C131" s="270" t="s">
        <v>640</v>
      </c>
      <c r="D131" s="272" t="s">
        <v>576</v>
      </c>
      <c r="E131" s="272" t="s">
        <v>641</v>
      </c>
      <c r="F131" s="270"/>
      <c r="G131" s="270" t="s">
        <v>578</v>
      </c>
      <c r="H131" s="270" t="s">
        <v>29</v>
      </c>
      <c r="I131" s="280">
        <v>6</v>
      </c>
      <c r="J131" s="280">
        <v>5</v>
      </c>
      <c r="K131" s="280">
        <v>5</v>
      </c>
      <c r="L131" s="274" t="s">
        <v>30</v>
      </c>
      <c r="M131" s="275" t="s">
        <v>31</v>
      </c>
      <c r="N131" s="271">
        <v>1</v>
      </c>
      <c r="O131" s="282" t="s">
        <v>642</v>
      </c>
      <c r="P131" s="277" t="s">
        <v>33</v>
      </c>
      <c r="Q131" s="278"/>
      <c r="R131" s="278"/>
      <c r="S131" s="279"/>
      <c r="T131" s="278"/>
      <c r="U131" s="278"/>
      <c r="V131" s="278"/>
      <c r="W131" s="278"/>
      <c r="X131" s="278"/>
      <c r="Y131" s="278"/>
    </row>
    <row r="132" s="249" customFormat="1" ht="17.25" spans="2:25">
      <c r="B132" s="270" t="s">
        <v>23</v>
      </c>
      <c r="C132" s="270" t="s">
        <v>643</v>
      </c>
      <c r="D132" s="271" t="s">
        <v>576</v>
      </c>
      <c r="E132" s="272" t="s">
        <v>644</v>
      </c>
      <c r="F132" s="270" t="s">
        <v>645</v>
      </c>
      <c r="G132" s="270" t="s">
        <v>578</v>
      </c>
      <c r="H132" s="270" t="s">
        <v>68</v>
      </c>
      <c r="I132" s="280">
        <v>6</v>
      </c>
      <c r="J132" s="280">
        <v>3</v>
      </c>
      <c r="K132" s="280">
        <v>3</v>
      </c>
      <c r="L132" s="274" t="s">
        <v>646</v>
      </c>
      <c r="M132" s="275" t="s">
        <v>31</v>
      </c>
      <c r="N132" s="271">
        <v>1</v>
      </c>
      <c r="O132" s="282" t="s">
        <v>647</v>
      </c>
      <c r="P132" s="277" t="s">
        <v>648</v>
      </c>
      <c r="Q132" s="278"/>
      <c r="R132" s="278"/>
      <c r="S132" s="279"/>
      <c r="T132" s="278"/>
      <c r="U132" s="278"/>
      <c r="V132" s="278"/>
      <c r="W132" s="278"/>
      <c r="X132" s="278"/>
      <c r="Y132" s="278"/>
    </row>
    <row r="133" s="249" customFormat="1" ht="17.25" spans="2:25">
      <c r="B133" s="270" t="s">
        <v>23</v>
      </c>
      <c r="C133" s="270" t="s">
        <v>649</v>
      </c>
      <c r="D133" s="271" t="s">
        <v>632</v>
      </c>
      <c r="E133" s="272" t="s">
        <v>650</v>
      </c>
      <c r="F133" s="270" t="s">
        <v>651</v>
      </c>
      <c r="G133" s="270" t="s">
        <v>168</v>
      </c>
      <c r="H133" s="270" t="s">
        <v>68</v>
      </c>
      <c r="I133" s="280">
        <v>7</v>
      </c>
      <c r="J133" s="280">
        <v>7</v>
      </c>
      <c r="K133" s="280">
        <v>7</v>
      </c>
      <c r="L133" s="274" t="s">
        <v>30</v>
      </c>
      <c r="M133" s="275" t="s">
        <v>31</v>
      </c>
      <c r="N133" s="271">
        <v>1</v>
      </c>
      <c r="O133" s="282" t="s">
        <v>652</v>
      </c>
      <c r="P133" s="277" t="s">
        <v>653</v>
      </c>
      <c r="Q133" s="278"/>
      <c r="R133" s="278"/>
      <c r="S133" s="279"/>
      <c r="T133" s="278"/>
      <c r="U133" s="278"/>
      <c r="V133" s="278"/>
      <c r="W133" s="278"/>
      <c r="X133" s="278"/>
      <c r="Y133" s="278"/>
    </row>
    <row r="134" s="249" customFormat="1" ht="17.25" spans="2:25">
      <c r="B134" s="270" t="s">
        <v>23</v>
      </c>
      <c r="C134" s="270" t="s">
        <v>654</v>
      </c>
      <c r="D134" s="271" t="s">
        <v>576</v>
      </c>
      <c r="E134" s="272" t="s">
        <v>655</v>
      </c>
      <c r="F134" s="271" t="s">
        <v>656</v>
      </c>
      <c r="G134" s="271" t="s">
        <v>657</v>
      </c>
      <c r="H134" s="270" t="s">
        <v>68</v>
      </c>
      <c r="I134" s="280">
        <v>8</v>
      </c>
      <c r="J134" s="280">
        <v>8</v>
      </c>
      <c r="K134" s="280">
        <v>8</v>
      </c>
      <c r="L134" s="274" t="s">
        <v>69</v>
      </c>
      <c r="M134" s="275" t="s">
        <v>31</v>
      </c>
      <c r="N134" s="271">
        <v>1</v>
      </c>
      <c r="O134" s="282" t="s">
        <v>658</v>
      </c>
      <c r="P134" s="277" t="s">
        <v>33</v>
      </c>
      <c r="Q134" s="278"/>
      <c r="R134" s="278"/>
      <c r="S134" s="279"/>
      <c r="T134" s="278"/>
      <c r="U134" s="278"/>
      <c r="V134" s="278"/>
      <c r="W134" s="278"/>
      <c r="X134" s="278"/>
      <c r="Y134" s="278"/>
    </row>
    <row r="135" s="249" customFormat="1" ht="17.25" spans="2:25">
      <c r="B135" s="270" t="s">
        <v>23</v>
      </c>
      <c r="C135" s="270" t="s">
        <v>659</v>
      </c>
      <c r="D135" s="271" t="s">
        <v>660</v>
      </c>
      <c r="E135" s="272" t="s">
        <v>661</v>
      </c>
      <c r="F135" s="270" t="s">
        <v>662</v>
      </c>
      <c r="G135" s="270" t="s">
        <v>305</v>
      </c>
      <c r="H135" s="270" t="s">
        <v>68</v>
      </c>
      <c r="I135" s="280">
        <v>6</v>
      </c>
      <c r="J135" s="280">
        <v>6</v>
      </c>
      <c r="K135" s="280">
        <v>6</v>
      </c>
      <c r="L135" s="274" t="s">
        <v>30</v>
      </c>
      <c r="M135" s="275" t="s">
        <v>31</v>
      </c>
      <c r="N135" s="271">
        <v>1</v>
      </c>
      <c r="O135" s="282" t="s">
        <v>663</v>
      </c>
      <c r="P135" s="277" t="s">
        <v>33</v>
      </c>
      <c r="Q135" s="278"/>
      <c r="R135" s="278"/>
      <c r="S135" s="279"/>
      <c r="T135" s="278"/>
      <c r="U135" s="278"/>
      <c r="V135" s="278"/>
      <c r="W135" s="278"/>
      <c r="X135" s="278"/>
      <c r="Y135" s="278"/>
    </row>
    <row r="136" s="249" customFormat="1" ht="17.25" spans="2:25">
      <c r="B136" s="270" t="s">
        <v>23</v>
      </c>
      <c r="C136" s="270" t="s">
        <v>664</v>
      </c>
      <c r="D136" s="271" t="s">
        <v>576</v>
      </c>
      <c r="E136" s="272" t="s">
        <v>665</v>
      </c>
      <c r="F136" s="271"/>
      <c r="G136" s="271" t="s">
        <v>657</v>
      </c>
      <c r="H136" s="270" t="s">
        <v>68</v>
      </c>
      <c r="I136" s="280">
        <v>7</v>
      </c>
      <c r="J136" s="280">
        <v>6</v>
      </c>
      <c r="K136" s="280">
        <v>6</v>
      </c>
      <c r="L136" s="274" t="s">
        <v>30</v>
      </c>
      <c r="M136" s="275" t="s">
        <v>31</v>
      </c>
      <c r="N136" s="271">
        <v>1</v>
      </c>
      <c r="O136" s="282" t="s">
        <v>666</v>
      </c>
      <c r="P136" s="277" t="s">
        <v>667</v>
      </c>
      <c r="Q136" s="278"/>
      <c r="R136" s="278"/>
      <c r="S136" s="279"/>
      <c r="T136" s="278"/>
      <c r="U136" s="278"/>
      <c r="V136" s="278"/>
      <c r="W136" s="278"/>
      <c r="X136" s="278"/>
      <c r="Y136" s="278"/>
    </row>
    <row r="137" s="249" customFormat="1" ht="17.25" spans="2:25">
      <c r="B137" s="270" t="s">
        <v>23</v>
      </c>
      <c r="C137" s="270" t="s">
        <v>668</v>
      </c>
      <c r="D137" s="271" t="s">
        <v>576</v>
      </c>
      <c r="E137" s="272" t="s">
        <v>669</v>
      </c>
      <c r="F137" s="270"/>
      <c r="G137" s="270" t="s">
        <v>578</v>
      </c>
      <c r="H137" s="270" t="s">
        <v>68</v>
      </c>
      <c r="I137" s="280">
        <v>7</v>
      </c>
      <c r="J137" s="280">
        <v>6</v>
      </c>
      <c r="K137" s="280">
        <v>6</v>
      </c>
      <c r="L137" s="274" t="s">
        <v>30</v>
      </c>
      <c r="M137" s="275" t="s">
        <v>31</v>
      </c>
      <c r="N137" s="271">
        <v>1</v>
      </c>
      <c r="O137" s="282" t="s">
        <v>670</v>
      </c>
      <c r="P137" s="277" t="s">
        <v>671</v>
      </c>
      <c r="Q137" s="278"/>
      <c r="R137" s="278"/>
      <c r="S137" s="279"/>
      <c r="T137" s="278"/>
      <c r="U137" s="278"/>
      <c r="V137" s="278"/>
      <c r="W137" s="278"/>
      <c r="X137" s="278"/>
      <c r="Y137" s="278"/>
    </row>
    <row r="138" s="249" customFormat="1" ht="17.25" spans="2:25">
      <c r="B138" s="270" t="s">
        <v>23</v>
      </c>
      <c r="C138" s="270" t="s">
        <v>672</v>
      </c>
      <c r="D138" s="271" t="s">
        <v>576</v>
      </c>
      <c r="E138" s="272" t="s">
        <v>673</v>
      </c>
      <c r="F138" s="271"/>
      <c r="G138" s="271" t="s">
        <v>657</v>
      </c>
      <c r="H138" s="270" t="s">
        <v>68</v>
      </c>
      <c r="I138" s="280">
        <v>7</v>
      </c>
      <c r="J138" s="280">
        <v>6</v>
      </c>
      <c r="K138" s="280">
        <v>6</v>
      </c>
      <c r="L138" s="274" t="s">
        <v>30</v>
      </c>
      <c r="M138" s="275" t="s">
        <v>31</v>
      </c>
      <c r="N138" s="271">
        <v>1</v>
      </c>
      <c r="O138" s="282" t="s">
        <v>674</v>
      </c>
      <c r="P138" s="277" t="s">
        <v>675</v>
      </c>
      <c r="Q138" s="278"/>
      <c r="R138" s="278"/>
      <c r="S138" s="279"/>
      <c r="T138" s="278"/>
      <c r="U138" s="278"/>
      <c r="V138" s="278"/>
      <c r="W138" s="278"/>
      <c r="X138" s="278"/>
      <c r="Y138" s="278"/>
    </row>
    <row r="139" s="249" customFormat="1" ht="17.25" spans="2:25">
      <c r="B139" s="270" t="s">
        <v>23</v>
      </c>
      <c r="C139" s="270" t="s">
        <v>676</v>
      </c>
      <c r="D139" s="271" t="s">
        <v>576</v>
      </c>
      <c r="E139" s="272" t="s">
        <v>677</v>
      </c>
      <c r="F139" s="271"/>
      <c r="G139" s="271" t="s">
        <v>657</v>
      </c>
      <c r="H139" s="270" t="s">
        <v>68</v>
      </c>
      <c r="I139" s="280">
        <v>6</v>
      </c>
      <c r="J139" s="280">
        <v>6</v>
      </c>
      <c r="K139" s="280">
        <v>6</v>
      </c>
      <c r="L139" s="274" t="s">
        <v>30</v>
      </c>
      <c r="M139" s="275" t="s">
        <v>31</v>
      </c>
      <c r="N139" s="271">
        <v>1</v>
      </c>
      <c r="O139" s="282" t="s">
        <v>678</v>
      </c>
      <c r="P139" s="277" t="s">
        <v>679</v>
      </c>
      <c r="Q139" s="278"/>
      <c r="R139" s="278"/>
      <c r="S139" s="279"/>
      <c r="T139" s="278"/>
      <c r="U139" s="278"/>
      <c r="V139" s="278"/>
      <c r="W139" s="278"/>
      <c r="X139" s="278"/>
      <c r="Y139" s="278"/>
    </row>
    <row r="140" s="249" customFormat="1" ht="17.25" spans="2:25">
      <c r="B140" s="270" t="s">
        <v>23</v>
      </c>
      <c r="C140" s="270" t="s">
        <v>680</v>
      </c>
      <c r="D140" s="271" t="s">
        <v>576</v>
      </c>
      <c r="E140" s="272" t="s">
        <v>681</v>
      </c>
      <c r="F140" s="271"/>
      <c r="G140" s="271" t="s">
        <v>657</v>
      </c>
      <c r="H140" s="270" t="s">
        <v>68</v>
      </c>
      <c r="I140" s="280">
        <v>5</v>
      </c>
      <c r="J140" s="280">
        <v>5</v>
      </c>
      <c r="K140" s="280">
        <v>5</v>
      </c>
      <c r="L140" s="274" t="s">
        <v>30</v>
      </c>
      <c r="M140" s="275" t="s">
        <v>31</v>
      </c>
      <c r="N140" s="271">
        <v>1</v>
      </c>
      <c r="O140" s="282" t="s">
        <v>682</v>
      </c>
      <c r="P140" s="277" t="s">
        <v>683</v>
      </c>
      <c r="Q140" s="278"/>
      <c r="R140" s="278"/>
      <c r="S140" s="279"/>
      <c r="T140" s="278"/>
      <c r="U140" s="278"/>
      <c r="V140" s="278"/>
      <c r="W140" s="278"/>
      <c r="X140" s="278"/>
      <c r="Y140" s="278"/>
    </row>
    <row r="141" s="249" customFormat="1" ht="17.25" spans="2:25">
      <c r="B141" s="270" t="s">
        <v>23</v>
      </c>
      <c r="C141" s="270" t="s">
        <v>684</v>
      </c>
      <c r="D141" s="271" t="s">
        <v>576</v>
      </c>
      <c r="E141" s="272" t="s">
        <v>685</v>
      </c>
      <c r="F141" s="270"/>
      <c r="G141" s="270" t="s">
        <v>578</v>
      </c>
      <c r="H141" s="270" t="s">
        <v>68</v>
      </c>
      <c r="I141" s="280">
        <v>5</v>
      </c>
      <c r="J141" s="280">
        <v>5</v>
      </c>
      <c r="K141" s="280">
        <v>5</v>
      </c>
      <c r="L141" s="274" t="s">
        <v>30</v>
      </c>
      <c r="M141" s="275" t="s">
        <v>31</v>
      </c>
      <c r="N141" s="271">
        <v>1</v>
      </c>
      <c r="O141" s="282" t="s">
        <v>686</v>
      </c>
      <c r="P141" s="277" t="s">
        <v>687</v>
      </c>
      <c r="Q141" s="278"/>
      <c r="R141" s="278"/>
      <c r="S141" s="279"/>
      <c r="T141" s="278"/>
      <c r="U141" s="278"/>
      <c r="V141" s="278"/>
      <c r="W141" s="278"/>
      <c r="X141" s="278"/>
      <c r="Y141" s="278"/>
    </row>
    <row r="142" s="249" customFormat="1" ht="17.25" spans="2:25">
      <c r="B142" s="270" t="s">
        <v>23</v>
      </c>
      <c r="C142" s="270" t="s">
        <v>688</v>
      </c>
      <c r="D142" s="271" t="s">
        <v>632</v>
      </c>
      <c r="E142" s="272" t="s">
        <v>689</v>
      </c>
      <c r="F142" s="270"/>
      <c r="G142" s="270" t="s">
        <v>305</v>
      </c>
      <c r="H142" s="270" t="s">
        <v>68</v>
      </c>
      <c r="I142" s="280">
        <v>6</v>
      </c>
      <c r="J142" s="280">
        <v>6</v>
      </c>
      <c r="K142" s="280">
        <v>6</v>
      </c>
      <c r="L142" s="274" t="s">
        <v>30</v>
      </c>
      <c r="M142" s="275" t="s">
        <v>31</v>
      </c>
      <c r="N142" s="271">
        <v>1</v>
      </c>
      <c r="O142" s="282" t="s">
        <v>690</v>
      </c>
      <c r="P142" s="277" t="s">
        <v>33</v>
      </c>
      <c r="Q142" s="278"/>
      <c r="R142" s="278"/>
      <c r="S142" s="279"/>
      <c r="T142" s="278"/>
      <c r="U142" s="278"/>
      <c r="V142" s="278"/>
      <c r="W142" s="278"/>
      <c r="X142" s="278"/>
      <c r="Y142" s="278"/>
    </row>
    <row r="143" s="249" customFormat="1" ht="17.25" spans="2:25">
      <c r="B143" s="270" t="s">
        <v>691</v>
      </c>
      <c r="C143" s="270" t="s">
        <v>692</v>
      </c>
      <c r="D143" s="271" t="s">
        <v>693</v>
      </c>
      <c r="E143" s="272" t="s">
        <v>694</v>
      </c>
      <c r="F143" s="270" t="s">
        <v>695</v>
      </c>
      <c r="G143" s="270" t="s">
        <v>578</v>
      </c>
      <c r="H143" s="270" t="s">
        <v>29</v>
      </c>
      <c r="I143" s="280">
        <v>5</v>
      </c>
      <c r="J143" s="280">
        <v>5</v>
      </c>
      <c r="K143" s="280">
        <v>5</v>
      </c>
      <c r="L143" s="274" t="s">
        <v>69</v>
      </c>
      <c r="M143" s="275" t="s">
        <v>31</v>
      </c>
      <c r="N143" s="271">
        <v>1</v>
      </c>
      <c r="O143" s="282" t="s">
        <v>696</v>
      </c>
      <c r="P143" s="277" t="s">
        <v>697</v>
      </c>
      <c r="Q143" s="278"/>
      <c r="R143" s="278"/>
      <c r="S143" s="279"/>
      <c r="T143" s="278"/>
      <c r="U143" s="278"/>
      <c r="V143" s="278"/>
      <c r="W143" s="278"/>
      <c r="X143" s="278"/>
      <c r="Y143" s="278"/>
    </row>
    <row r="144" s="249" customFormat="1" ht="17.25" spans="2:25">
      <c r="B144" s="270" t="s">
        <v>698</v>
      </c>
      <c r="C144" s="270" t="s">
        <v>699</v>
      </c>
      <c r="D144" s="271" t="s">
        <v>700</v>
      </c>
      <c r="E144" s="272" t="s">
        <v>701</v>
      </c>
      <c r="F144" s="270" t="s">
        <v>702</v>
      </c>
      <c r="G144" s="270" t="s">
        <v>703</v>
      </c>
      <c r="H144" s="270" t="s">
        <v>29</v>
      </c>
      <c r="I144" s="280">
        <v>4</v>
      </c>
      <c r="J144" s="280">
        <v>4</v>
      </c>
      <c r="K144" s="280">
        <v>4</v>
      </c>
      <c r="L144" s="274" t="s">
        <v>69</v>
      </c>
      <c r="M144" s="275" t="s">
        <v>31</v>
      </c>
      <c r="N144" s="271">
        <v>1</v>
      </c>
      <c r="O144" s="282" t="s">
        <v>704</v>
      </c>
      <c r="P144" s="277" t="s">
        <v>705</v>
      </c>
      <c r="Q144" s="278"/>
      <c r="R144" s="278"/>
      <c r="S144" s="279"/>
      <c r="T144" s="278"/>
      <c r="U144" s="278"/>
      <c r="V144" s="278"/>
      <c r="W144" s="278"/>
      <c r="X144" s="278"/>
      <c r="Y144" s="278"/>
    </row>
    <row r="145" s="249" customFormat="1" ht="17.25" spans="2:25">
      <c r="B145" s="270" t="s">
        <v>23</v>
      </c>
      <c r="C145" s="270" t="s">
        <v>706</v>
      </c>
      <c r="D145" s="271" t="s">
        <v>707</v>
      </c>
      <c r="E145" s="272" t="s">
        <v>708</v>
      </c>
      <c r="F145" s="270" t="s">
        <v>709</v>
      </c>
      <c r="G145" s="270" t="s">
        <v>710</v>
      </c>
      <c r="H145" s="270" t="s">
        <v>68</v>
      </c>
      <c r="I145" s="280">
        <v>8</v>
      </c>
      <c r="J145" s="280">
        <v>7</v>
      </c>
      <c r="K145" s="280">
        <v>7</v>
      </c>
      <c r="L145" s="274" t="s">
        <v>646</v>
      </c>
      <c r="M145" s="275" t="s">
        <v>31</v>
      </c>
      <c r="N145" s="271">
        <v>1</v>
      </c>
      <c r="O145" s="282" t="s">
        <v>711</v>
      </c>
      <c r="P145" s="277" t="s">
        <v>33</v>
      </c>
      <c r="Q145" s="278"/>
      <c r="R145" s="278"/>
      <c r="S145" s="279"/>
      <c r="T145" s="278"/>
      <c r="U145" s="278"/>
      <c r="V145" s="278"/>
      <c r="W145" s="278"/>
      <c r="X145" s="278"/>
      <c r="Y145" s="278"/>
    </row>
    <row r="146" s="249" customFormat="1" ht="17.25" spans="2:25">
      <c r="B146" s="270" t="s">
        <v>712</v>
      </c>
      <c r="C146" s="270" t="s">
        <v>713</v>
      </c>
      <c r="D146" s="271" t="s">
        <v>714</v>
      </c>
      <c r="E146" s="272" t="s">
        <v>715</v>
      </c>
      <c r="F146" s="270" t="s">
        <v>716</v>
      </c>
      <c r="G146" s="270" t="s">
        <v>717</v>
      </c>
      <c r="H146" s="270" t="s">
        <v>68</v>
      </c>
      <c r="I146" s="280">
        <v>7</v>
      </c>
      <c r="J146" s="280">
        <v>6</v>
      </c>
      <c r="K146" s="280">
        <v>6</v>
      </c>
      <c r="L146" s="274" t="s">
        <v>30</v>
      </c>
      <c r="M146" s="275" t="s">
        <v>31</v>
      </c>
      <c r="N146" s="271">
        <v>1</v>
      </c>
      <c r="O146" s="282" t="s">
        <v>718</v>
      </c>
      <c r="P146" s="277" t="s">
        <v>33</v>
      </c>
      <c r="Q146" s="278"/>
      <c r="R146" s="278"/>
      <c r="S146" s="279"/>
      <c r="T146" s="278"/>
      <c r="U146" s="278"/>
      <c r="V146" s="278"/>
      <c r="W146" s="278"/>
      <c r="X146" s="278"/>
      <c r="Y146" s="278"/>
    </row>
    <row r="147" s="249" customFormat="1" ht="17.25" spans="2:25">
      <c r="B147" s="270" t="s">
        <v>719</v>
      </c>
      <c r="C147" s="270" t="s">
        <v>720</v>
      </c>
      <c r="D147" s="271" t="s">
        <v>721</v>
      </c>
      <c r="E147" s="272" t="s">
        <v>722</v>
      </c>
      <c r="F147" s="270" t="s">
        <v>723</v>
      </c>
      <c r="G147" s="270" t="s">
        <v>724</v>
      </c>
      <c r="H147" s="270" t="s">
        <v>29</v>
      </c>
      <c r="I147" s="280">
        <v>4</v>
      </c>
      <c r="J147" s="280">
        <v>4</v>
      </c>
      <c r="K147" s="280">
        <v>4</v>
      </c>
      <c r="L147" s="274" t="s">
        <v>126</v>
      </c>
      <c r="M147" s="275" t="s">
        <v>31</v>
      </c>
      <c r="N147" s="271">
        <v>1</v>
      </c>
      <c r="O147" s="282" t="s">
        <v>725</v>
      </c>
      <c r="P147" s="277" t="s">
        <v>33</v>
      </c>
      <c r="Q147" s="278"/>
      <c r="R147" s="278"/>
      <c r="S147" s="279"/>
      <c r="T147" s="278"/>
      <c r="U147" s="278"/>
      <c r="V147" s="278"/>
      <c r="W147" s="278"/>
      <c r="X147" s="278"/>
      <c r="Y147" s="278"/>
    </row>
    <row r="148" s="249" customFormat="1" ht="17.25" spans="2:25">
      <c r="B148" s="270" t="s">
        <v>23</v>
      </c>
      <c r="C148" s="270" t="s">
        <v>726</v>
      </c>
      <c r="D148" s="271" t="s">
        <v>576</v>
      </c>
      <c r="E148" s="272" t="s">
        <v>727</v>
      </c>
      <c r="F148" s="271" t="s">
        <v>728</v>
      </c>
      <c r="G148" s="271" t="s">
        <v>657</v>
      </c>
      <c r="H148" s="270" t="s">
        <v>68</v>
      </c>
      <c r="I148" s="280">
        <v>7</v>
      </c>
      <c r="J148" s="280">
        <v>7</v>
      </c>
      <c r="K148" s="280">
        <v>7</v>
      </c>
      <c r="L148" s="274" t="s">
        <v>30</v>
      </c>
      <c r="M148" s="275" t="s">
        <v>31</v>
      </c>
      <c r="N148" s="271">
        <v>1</v>
      </c>
      <c r="O148" s="282" t="s">
        <v>729</v>
      </c>
      <c r="P148" s="277" t="s">
        <v>33</v>
      </c>
      <c r="Q148" s="278"/>
      <c r="R148" s="278"/>
      <c r="S148" s="279"/>
      <c r="T148" s="278"/>
      <c r="U148" s="278"/>
      <c r="V148" s="278"/>
      <c r="W148" s="278"/>
      <c r="X148" s="278"/>
      <c r="Y148" s="278"/>
    </row>
    <row r="149" s="249" customFormat="1" ht="17.25" spans="2:25">
      <c r="B149" s="270" t="s">
        <v>730</v>
      </c>
      <c r="C149" s="270" t="s">
        <v>731</v>
      </c>
      <c r="D149" s="271" t="s">
        <v>576</v>
      </c>
      <c r="E149" s="272" t="s">
        <v>732</v>
      </c>
      <c r="F149" s="271" t="s">
        <v>733</v>
      </c>
      <c r="G149" s="271" t="s">
        <v>657</v>
      </c>
      <c r="H149" s="270" t="s">
        <v>68</v>
      </c>
      <c r="I149" s="280">
        <v>6</v>
      </c>
      <c r="J149" s="280">
        <v>6</v>
      </c>
      <c r="K149" s="280">
        <v>6</v>
      </c>
      <c r="L149" s="274" t="s">
        <v>30</v>
      </c>
      <c r="M149" s="275" t="s">
        <v>31</v>
      </c>
      <c r="N149" s="271">
        <v>1</v>
      </c>
      <c r="O149" s="282" t="s">
        <v>734</v>
      </c>
      <c r="P149" s="277" t="s">
        <v>33</v>
      </c>
      <c r="Q149" s="278">
        <v>2027.8</v>
      </c>
      <c r="R149" s="278"/>
      <c r="S149" s="279"/>
      <c r="T149" s="278"/>
      <c r="U149" s="278"/>
      <c r="V149" s="278"/>
      <c r="W149" s="278"/>
      <c r="X149" s="278"/>
      <c r="Y149" s="278"/>
    </row>
    <row r="150" s="249" customFormat="1" ht="17.25" spans="2:25">
      <c r="B150" s="270" t="s">
        <v>23</v>
      </c>
      <c r="C150" s="270" t="s">
        <v>735</v>
      </c>
      <c r="D150" s="271" t="s">
        <v>736</v>
      </c>
      <c r="E150" s="272" t="s">
        <v>737</v>
      </c>
      <c r="F150" s="270" t="s">
        <v>738</v>
      </c>
      <c r="G150" s="270" t="s">
        <v>168</v>
      </c>
      <c r="H150" s="270" t="s">
        <v>29</v>
      </c>
      <c r="I150" s="280">
        <v>5</v>
      </c>
      <c r="J150" s="280">
        <v>5</v>
      </c>
      <c r="K150" s="280">
        <v>5</v>
      </c>
      <c r="L150" s="274" t="s">
        <v>739</v>
      </c>
      <c r="M150" s="275" t="s">
        <v>31</v>
      </c>
      <c r="N150" s="271">
        <v>1</v>
      </c>
      <c r="O150" s="282" t="s">
        <v>740</v>
      </c>
      <c r="P150" s="277" t="s">
        <v>33</v>
      </c>
      <c r="Q150" s="278"/>
      <c r="R150" s="278"/>
      <c r="S150" s="279"/>
      <c r="T150" s="278"/>
      <c r="U150" s="278"/>
      <c r="V150" s="278"/>
      <c r="W150" s="278"/>
      <c r="X150" s="278"/>
      <c r="Y150" s="278"/>
    </row>
    <row r="151" s="249" customFormat="1" ht="17.25" spans="2:25">
      <c r="B151" s="270" t="s">
        <v>741</v>
      </c>
      <c r="C151" s="270" t="s">
        <v>742</v>
      </c>
      <c r="D151" s="271" t="s">
        <v>743</v>
      </c>
      <c r="E151" s="272" t="s">
        <v>744</v>
      </c>
      <c r="F151" s="270"/>
      <c r="G151" s="270" t="s">
        <v>745</v>
      </c>
      <c r="H151" s="270" t="s">
        <v>68</v>
      </c>
      <c r="I151" s="280">
        <v>6</v>
      </c>
      <c r="J151" s="280">
        <v>6</v>
      </c>
      <c r="K151" s="280">
        <v>6</v>
      </c>
      <c r="L151" s="274" t="s">
        <v>30</v>
      </c>
      <c r="M151" s="275" t="s">
        <v>31</v>
      </c>
      <c r="N151" s="271">
        <v>1</v>
      </c>
      <c r="O151" s="284" t="s">
        <v>746</v>
      </c>
      <c r="P151" s="277"/>
      <c r="Q151" s="278"/>
      <c r="R151" s="278"/>
      <c r="S151" s="279"/>
      <c r="T151" s="278"/>
      <c r="U151" s="278"/>
      <c r="V151" s="278"/>
      <c r="W151" s="278"/>
      <c r="X151" s="278"/>
      <c r="Y151" s="278"/>
    </row>
    <row r="152" s="249" customFormat="1" ht="17.25" spans="2:25">
      <c r="B152" s="270" t="s">
        <v>747</v>
      </c>
      <c r="C152" s="270" t="s">
        <v>748</v>
      </c>
      <c r="D152" s="271" t="s">
        <v>749</v>
      </c>
      <c r="E152" s="272" t="s">
        <v>750</v>
      </c>
      <c r="F152" s="270"/>
      <c r="G152" s="270" t="s">
        <v>751</v>
      </c>
      <c r="H152" s="270" t="s">
        <v>752</v>
      </c>
      <c r="I152" s="280">
        <v>3</v>
      </c>
      <c r="J152" s="280">
        <v>3</v>
      </c>
      <c r="K152" s="280">
        <v>3</v>
      </c>
      <c r="L152" s="274" t="s">
        <v>753</v>
      </c>
      <c r="M152" s="275" t="s">
        <v>262</v>
      </c>
      <c r="N152" s="271">
        <v>1</v>
      </c>
      <c r="O152" s="282" t="s">
        <v>754</v>
      </c>
      <c r="P152" s="277" t="s">
        <v>755</v>
      </c>
      <c r="Q152" s="278"/>
      <c r="R152" s="278"/>
      <c r="S152" s="279"/>
      <c r="T152" s="278"/>
      <c r="U152" s="278"/>
      <c r="V152" s="278"/>
      <c r="W152" s="278"/>
      <c r="X152" s="278"/>
      <c r="Y152" s="278"/>
    </row>
    <row r="153" s="249" customFormat="1" ht="17.25" spans="2:25">
      <c r="B153" s="270" t="s">
        <v>23</v>
      </c>
      <c r="C153" s="270" t="s">
        <v>756</v>
      </c>
      <c r="D153" s="271" t="s">
        <v>576</v>
      </c>
      <c r="E153" s="272" t="s">
        <v>757</v>
      </c>
      <c r="F153" s="271"/>
      <c r="G153" s="271" t="s">
        <v>657</v>
      </c>
      <c r="H153" s="270" t="s">
        <v>68</v>
      </c>
      <c r="I153" s="280">
        <v>6</v>
      </c>
      <c r="J153" s="280">
        <v>5</v>
      </c>
      <c r="K153" s="280">
        <v>5</v>
      </c>
      <c r="L153" s="274" t="s">
        <v>30</v>
      </c>
      <c r="M153" s="275" t="s">
        <v>31</v>
      </c>
      <c r="N153" s="271">
        <v>1</v>
      </c>
      <c r="O153" s="282" t="s">
        <v>758</v>
      </c>
      <c r="P153" s="277" t="s">
        <v>759</v>
      </c>
      <c r="Q153" s="278"/>
      <c r="R153" s="278"/>
      <c r="S153" s="279"/>
      <c r="T153" s="278"/>
      <c r="U153" s="278"/>
      <c r="V153" s="278"/>
      <c r="W153" s="278"/>
      <c r="X153" s="278"/>
      <c r="Y153" s="278"/>
    </row>
    <row r="154" s="249" customFormat="1" ht="17.25" spans="2:25">
      <c r="B154" s="270" t="s">
        <v>23</v>
      </c>
      <c r="C154" s="270" t="s">
        <v>760</v>
      </c>
      <c r="D154" s="271" t="s">
        <v>761</v>
      </c>
      <c r="E154" s="272" t="s">
        <v>762</v>
      </c>
      <c r="F154" s="270"/>
      <c r="G154" s="270" t="s">
        <v>305</v>
      </c>
      <c r="H154" s="270" t="s">
        <v>68</v>
      </c>
      <c r="I154" s="280">
        <v>7</v>
      </c>
      <c r="J154" s="280">
        <v>7</v>
      </c>
      <c r="K154" s="280">
        <v>7</v>
      </c>
      <c r="L154" s="274" t="s">
        <v>30</v>
      </c>
      <c r="M154" s="275" t="s">
        <v>31</v>
      </c>
      <c r="N154" s="271">
        <v>1</v>
      </c>
      <c r="O154" s="282" t="s">
        <v>763</v>
      </c>
      <c r="P154" s="277" t="s">
        <v>764</v>
      </c>
      <c r="Q154" s="278"/>
      <c r="R154" s="278"/>
      <c r="S154" s="279"/>
      <c r="T154" s="278"/>
      <c r="U154" s="278"/>
      <c r="V154" s="278"/>
      <c r="W154" s="278"/>
      <c r="X154" s="278"/>
      <c r="Y154" s="278"/>
    </row>
    <row r="155" s="249" customFormat="1" ht="17.25" spans="2:25">
      <c r="B155" s="270" t="s">
        <v>765</v>
      </c>
      <c r="C155" s="270" t="s">
        <v>766</v>
      </c>
      <c r="D155" s="271" t="s">
        <v>767</v>
      </c>
      <c r="E155" s="272" t="s">
        <v>768</v>
      </c>
      <c r="F155" s="270" t="s">
        <v>769</v>
      </c>
      <c r="G155" s="270" t="s">
        <v>48</v>
      </c>
      <c r="H155" s="270" t="s">
        <v>68</v>
      </c>
      <c r="I155" s="280">
        <v>7</v>
      </c>
      <c r="J155" s="280">
        <v>7</v>
      </c>
      <c r="K155" s="280">
        <v>7</v>
      </c>
      <c r="L155" s="274" t="s">
        <v>126</v>
      </c>
      <c r="M155" s="275" t="s">
        <v>40</v>
      </c>
      <c r="N155" s="271">
        <v>1</v>
      </c>
      <c r="O155" s="282" t="s">
        <v>770</v>
      </c>
      <c r="P155" s="277" t="s">
        <v>33</v>
      </c>
      <c r="Q155" s="278"/>
      <c r="R155" s="278"/>
      <c r="S155" s="279"/>
      <c r="T155" s="278"/>
      <c r="U155" s="278"/>
      <c r="V155" s="278"/>
      <c r="W155" s="278"/>
      <c r="X155" s="278"/>
      <c r="Y155" s="278"/>
    </row>
    <row r="156" s="249" customFormat="1" ht="17.25" spans="2:25">
      <c r="B156" s="270" t="s">
        <v>23</v>
      </c>
      <c r="C156" s="270" t="s">
        <v>771</v>
      </c>
      <c r="D156" s="271" t="s">
        <v>743</v>
      </c>
      <c r="E156" s="272" t="s">
        <v>772</v>
      </c>
      <c r="F156" s="270"/>
      <c r="G156" s="270" t="s">
        <v>745</v>
      </c>
      <c r="H156" s="270" t="s">
        <v>29</v>
      </c>
      <c r="I156" s="280">
        <v>7</v>
      </c>
      <c r="J156" s="280">
        <v>7</v>
      </c>
      <c r="K156" s="280">
        <v>7</v>
      </c>
      <c r="L156" s="274" t="s">
        <v>30</v>
      </c>
      <c r="M156" s="275" t="s">
        <v>31</v>
      </c>
      <c r="N156" s="271">
        <v>1</v>
      </c>
      <c r="O156" s="282" t="s">
        <v>773</v>
      </c>
      <c r="P156" s="277" t="s">
        <v>33</v>
      </c>
      <c r="Q156" s="278"/>
      <c r="R156" s="278"/>
      <c r="S156" s="279"/>
      <c r="T156" s="278"/>
      <c r="U156" s="278"/>
      <c r="V156" s="278"/>
      <c r="W156" s="278"/>
      <c r="X156" s="278"/>
      <c r="Y156" s="278"/>
    </row>
    <row r="157" s="249" customFormat="1" ht="17.25" spans="2:25">
      <c r="B157" s="270" t="s">
        <v>23</v>
      </c>
      <c r="C157" s="270" t="s">
        <v>774</v>
      </c>
      <c r="D157" s="271" t="s">
        <v>775</v>
      </c>
      <c r="E157" s="272" t="s">
        <v>772</v>
      </c>
      <c r="F157" s="270" t="s">
        <v>776</v>
      </c>
      <c r="G157" s="270" t="s">
        <v>168</v>
      </c>
      <c r="H157" s="270" t="s">
        <v>68</v>
      </c>
      <c r="I157" s="280">
        <v>5</v>
      </c>
      <c r="J157" s="280">
        <v>5</v>
      </c>
      <c r="K157" s="280">
        <v>5</v>
      </c>
      <c r="L157" s="274" t="s">
        <v>30</v>
      </c>
      <c r="M157" s="275" t="s">
        <v>31</v>
      </c>
      <c r="N157" s="271">
        <v>1</v>
      </c>
      <c r="O157" s="282" t="s">
        <v>777</v>
      </c>
      <c r="P157" s="277" t="s">
        <v>33</v>
      </c>
      <c r="Q157" s="278"/>
      <c r="R157" s="278"/>
      <c r="S157" s="279"/>
      <c r="T157" s="278"/>
      <c r="U157" s="278"/>
      <c r="V157" s="278"/>
      <c r="W157" s="278"/>
      <c r="X157" s="278"/>
      <c r="Y157" s="278"/>
    </row>
    <row r="158" s="249" customFormat="1" ht="17.25" spans="2:25">
      <c r="B158" s="270" t="s">
        <v>778</v>
      </c>
      <c r="C158" s="270" t="s">
        <v>779</v>
      </c>
      <c r="D158" s="271" t="s">
        <v>780</v>
      </c>
      <c r="E158" s="272" t="s">
        <v>781</v>
      </c>
      <c r="F158" s="270" t="s">
        <v>782</v>
      </c>
      <c r="G158" s="270" t="s">
        <v>783</v>
      </c>
      <c r="H158" s="270" t="s">
        <v>87</v>
      </c>
      <c r="I158" s="280">
        <v>6</v>
      </c>
      <c r="J158" s="280">
        <v>6</v>
      </c>
      <c r="K158" s="280">
        <v>6</v>
      </c>
      <c r="L158" s="274" t="s">
        <v>88</v>
      </c>
      <c r="M158" s="275" t="s">
        <v>89</v>
      </c>
      <c r="N158" s="271">
        <v>1</v>
      </c>
      <c r="O158" s="282" t="s">
        <v>784</v>
      </c>
      <c r="P158" s="277" t="s">
        <v>104</v>
      </c>
      <c r="Q158" s="278"/>
      <c r="R158" s="278"/>
      <c r="S158" s="279"/>
      <c r="T158" s="278"/>
      <c r="U158" s="278"/>
      <c r="V158" s="278"/>
      <c r="W158" s="278"/>
      <c r="X158" s="278"/>
      <c r="Y158" s="278"/>
    </row>
    <row r="159" s="249" customFormat="1" ht="17.25" spans="2:25">
      <c r="B159" s="270" t="s">
        <v>785</v>
      </c>
      <c r="C159" s="270" t="s">
        <v>786</v>
      </c>
      <c r="D159" s="271" t="s">
        <v>787</v>
      </c>
      <c r="E159" s="272" t="s">
        <v>788</v>
      </c>
      <c r="F159" s="270" t="s">
        <v>789</v>
      </c>
      <c r="G159" s="270" t="s">
        <v>790</v>
      </c>
      <c r="H159" s="270" t="s">
        <v>29</v>
      </c>
      <c r="I159" s="280">
        <v>23</v>
      </c>
      <c r="J159" s="280">
        <v>17</v>
      </c>
      <c r="K159" s="280">
        <v>17</v>
      </c>
      <c r="L159" s="274" t="s">
        <v>30</v>
      </c>
      <c r="M159" s="275" t="s">
        <v>78</v>
      </c>
      <c r="N159" s="271">
        <v>1</v>
      </c>
      <c r="O159" s="282" t="s">
        <v>259</v>
      </c>
      <c r="P159" s="277" t="s">
        <v>33</v>
      </c>
      <c r="Q159" s="278"/>
      <c r="R159" s="278"/>
      <c r="S159" s="279"/>
      <c r="T159" s="278"/>
      <c r="U159" s="278"/>
      <c r="V159" s="278"/>
      <c r="W159" s="278"/>
      <c r="X159" s="278"/>
      <c r="Y159" s="278"/>
    </row>
    <row r="160" s="249" customFormat="1" ht="17.25" spans="2:25">
      <c r="B160" s="270" t="s">
        <v>785</v>
      </c>
      <c r="C160" s="270" t="s">
        <v>786</v>
      </c>
      <c r="D160" s="271" t="s">
        <v>787</v>
      </c>
      <c r="E160" s="272" t="s">
        <v>791</v>
      </c>
      <c r="F160" s="270" t="s">
        <v>792</v>
      </c>
      <c r="G160" s="270" t="s">
        <v>790</v>
      </c>
      <c r="H160" s="270" t="s">
        <v>29</v>
      </c>
      <c r="I160" s="280">
        <v>23</v>
      </c>
      <c r="J160" s="280">
        <v>17</v>
      </c>
      <c r="K160" s="280">
        <v>17</v>
      </c>
      <c r="L160" s="274" t="s">
        <v>30</v>
      </c>
      <c r="M160" s="275" t="s">
        <v>78</v>
      </c>
      <c r="N160" s="271">
        <v>1</v>
      </c>
      <c r="O160" s="282" t="s">
        <v>259</v>
      </c>
      <c r="P160" s="277" t="s">
        <v>71</v>
      </c>
      <c r="Q160" s="278"/>
      <c r="R160" s="278"/>
      <c r="S160" s="279"/>
      <c r="T160" s="278"/>
      <c r="U160" s="278"/>
      <c r="V160" s="278"/>
      <c r="W160" s="278"/>
      <c r="X160" s="278"/>
      <c r="Y160" s="278"/>
    </row>
    <row r="161" s="249" customFormat="1" ht="17.25" spans="2:25">
      <c r="B161" s="270" t="s">
        <v>785</v>
      </c>
      <c r="C161" s="270" t="s">
        <v>786</v>
      </c>
      <c r="D161" s="271" t="s">
        <v>787</v>
      </c>
      <c r="E161" s="272" t="s">
        <v>793</v>
      </c>
      <c r="F161" s="270" t="s">
        <v>794</v>
      </c>
      <c r="G161" s="270" t="s">
        <v>790</v>
      </c>
      <c r="H161" s="270" t="s">
        <v>29</v>
      </c>
      <c r="I161" s="280">
        <v>23</v>
      </c>
      <c r="J161" s="280">
        <v>17</v>
      </c>
      <c r="K161" s="280">
        <v>17</v>
      </c>
      <c r="L161" s="274" t="s">
        <v>30</v>
      </c>
      <c r="M161" s="275" t="s">
        <v>78</v>
      </c>
      <c r="N161" s="271">
        <v>1</v>
      </c>
      <c r="O161" s="282" t="s">
        <v>259</v>
      </c>
      <c r="P161" s="277" t="s">
        <v>63</v>
      </c>
      <c r="Q161" s="278"/>
      <c r="R161" s="278"/>
      <c r="S161" s="279"/>
      <c r="T161" s="278"/>
      <c r="U161" s="278"/>
      <c r="V161" s="278"/>
      <c r="W161" s="278"/>
      <c r="X161" s="278"/>
      <c r="Y161" s="278"/>
    </row>
    <row r="162" s="249" customFormat="1" ht="17.25" spans="2:25">
      <c r="B162" s="270" t="s">
        <v>785</v>
      </c>
      <c r="C162" s="270" t="s">
        <v>786</v>
      </c>
      <c r="D162" s="271" t="s">
        <v>787</v>
      </c>
      <c r="E162" s="272" t="s">
        <v>795</v>
      </c>
      <c r="F162" s="270" t="s">
        <v>796</v>
      </c>
      <c r="G162" s="270" t="s">
        <v>790</v>
      </c>
      <c r="H162" s="270" t="s">
        <v>29</v>
      </c>
      <c r="I162" s="280">
        <v>24</v>
      </c>
      <c r="J162" s="280">
        <v>18</v>
      </c>
      <c r="K162" s="280">
        <v>18</v>
      </c>
      <c r="L162" s="274" t="s">
        <v>30</v>
      </c>
      <c r="M162" s="275" t="s">
        <v>78</v>
      </c>
      <c r="N162" s="271">
        <v>1</v>
      </c>
      <c r="O162" s="282" t="s">
        <v>259</v>
      </c>
      <c r="P162" s="277" t="s">
        <v>797</v>
      </c>
      <c r="Q162" s="278"/>
      <c r="R162" s="278"/>
      <c r="S162" s="279"/>
      <c r="T162" s="278"/>
      <c r="U162" s="278"/>
      <c r="V162" s="278"/>
      <c r="W162" s="278"/>
      <c r="X162" s="278"/>
      <c r="Y162" s="278"/>
    </row>
    <row r="163" s="249" customFormat="1" ht="17.25" spans="2:25">
      <c r="B163" s="270" t="s">
        <v>798</v>
      </c>
      <c r="C163" s="270" t="s">
        <v>799</v>
      </c>
      <c r="D163" s="271" t="s">
        <v>800</v>
      </c>
      <c r="E163" s="272" t="s">
        <v>801</v>
      </c>
      <c r="F163" s="270"/>
      <c r="G163" s="270" t="s">
        <v>802</v>
      </c>
      <c r="H163" s="270" t="s">
        <v>29</v>
      </c>
      <c r="I163" s="280">
        <v>8</v>
      </c>
      <c r="J163" s="280">
        <v>8</v>
      </c>
      <c r="K163" s="280">
        <v>8</v>
      </c>
      <c r="L163" s="274" t="s">
        <v>30</v>
      </c>
      <c r="M163" s="275" t="s">
        <v>31</v>
      </c>
      <c r="N163" s="271">
        <v>1</v>
      </c>
      <c r="O163" s="282" t="s">
        <v>803</v>
      </c>
      <c r="P163" s="277" t="s">
        <v>71</v>
      </c>
      <c r="Q163" s="278"/>
      <c r="R163" s="278"/>
      <c r="S163" s="279"/>
      <c r="T163" s="278"/>
      <c r="U163" s="278"/>
      <c r="V163" s="278"/>
      <c r="W163" s="278"/>
      <c r="X163" s="278"/>
      <c r="Y163" s="278"/>
    </row>
    <row r="164" s="249" customFormat="1" ht="17.25" spans="2:25">
      <c r="B164" s="270" t="s">
        <v>804</v>
      </c>
      <c r="C164" s="270" t="s">
        <v>805</v>
      </c>
      <c r="D164" s="271" t="s">
        <v>806</v>
      </c>
      <c r="E164" s="272" t="s">
        <v>807</v>
      </c>
      <c r="F164" s="270" t="s">
        <v>808</v>
      </c>
      <c r="G164" s="270" t="s">
        <v>809</v>
      </c>
      <c r="H164" s="270" t="s">
        <v>29</v>
      </c>
      <c r="I164" s="280">
        <v>4</v>
      </c>
      <c r="J164" s="280">
        <v>4</v>
      </c>
      <c r="K164" s="280">
        <v>4</v>
      </c>
      <c r="L164" s="274" t="s">
        <v>69</v>
      </c>
      <c r="M164" s="275" t="s">
        <v>31</v>
      </c>
      <c r="N164" s="271">
        <v>1</v>
      </c>
      <c r="O164" s="282" t="s">
        <v>806</v>
      </c>
      <c r="P164" s="277" t="s">
        <v>33</v>
      </c>
      <c r="Q164" s="278"/>
      <c r="R164" s="278"/>
      <c r="S164" s="279"/>
      <c r="T164" s="278"/>
      <c r="U164" s="278"/>
      <c r="V164" s="278"/>
      <c r="W164" s="278"/>
      <c r="X164" s="278"/>
      <c r="Y164" s="278"/>
    </row>
    <row r="165" s="249" customFormat="1" ht="17.25" spans="2:25">
      <c r="B165" s="270" t="s">
        <v>810</v>
      </c>
      <c r="C165" s="270" t="s">
        <v>811</v>
      </c>
      <c r="D165" s="271" t="s">
        <v>812</v>
      </c>
      <c r="E165" s="272" t="s">
        <v>813</v>
      </c>
      <c r="F165" s="270"/>
      <c r="G165" s="270" t="s">
        <v>168</v>
      </c>
      <c r="H165" s="270" t="s">
        <v>68</v>
      </c>
      <c r="I165" s="280">
        <v>7</v>
      </c>
      <c r="J165" s="280">
        <v>7</v>
      </c>
      <c r="K165" s="280">
        <v>7</v>
      </c>
      <c r="L165" s="274" t="s">
        <v>30</v>
      </c>
      <c r="M165" s="275" t="s">
        <v>31</v>
      </c>
      <c r="N165" s="271">
        <v>1</v>
      </c>
      <c r="O165" s="282" t="s">
        <v>814</v>
      </c>
      <c r="P165" s="277" t="s">
        <v>815</v>
      </c>
      <c r="Q165" s="278"/>
      <c r="R165" s="278"/>
      <c r="S165" s="279"/>
      <c r="T165" s="278"/>
      <c r="U165" s="278"/>
      <c r="V165" s="278"/>
      <c r="W165" s="278"/>
      <c r="X165" s="278"/>
      <c r="Y165" s="278"/>
    </row>
    <row r="166" s="249" customFormat="1" ht="17.25" spans="2:25">
      <c r="B166" s="270" t="s">
        <v>816</v>
      </c>
      <c r="C166" s="270" t="s">
        <v>817</v>
      </c>
      <c r="D166" s="271" t="s">
        <v>818</v>
      </c>
      <c r="E166" s="272" t="s">
        <v>819</v>
      </c>
      <c r="F166" s="270" t="s">
        <v>820</v>
      </c>
      <c r="G166" s="270" t="s">
        <v>821</v>
      </c>
      <c r="H166" s="270" t="s">
        <v>68</v>
      </c>
      <c r="I166" s="280">
        <v>6</v>
      </c>
      <c r="J166" s="280">
        <v>6</v>
      </c>
      <c r="K166" s="280">
        <v>6</v>
      </c>
      <c r="L166" s="274" t="s">
        <v>30</v>
      </c>
      <c r="M166" s="275" t="s">
        <v>31</v>
      </c>
      <c r="N166" s="271">
        <v>1</v>
      </c>
      <c r="O166" s="282" t="s">
        <v>822</v>
      </c>
      <c r="P166" s="277" t="s">
        <v>823</v>
      </c>
      <c r="Q166" s="278"/>
      <c r="R166" s="278"/>
      <c r="S166" s="279"/>
      <c r="T166" s="278"/>
      <c r="U166" s="278"/>
      <c r="V166" s="278"/>
      <c r="W166" s="278"/>
      <c r="X166" s="278"/>
      <c r="Y166" s="278"/>
    </row>
    <row r="167" s="249" customFormat="1" ht="17.25" spans="2:25">
      <c r="B167" s="270" t="s">
        <v>23</v>
      </c>
      <c r="C167" s="270" t="s">
        <v>824</v>
      </c>
      <c r="D167" s="271" t="s">
        <v>743</v>
      </c>
      <c r="E167" s="272" t="s">
        <v>825</v>
      </c>
      <c r="F167" s="270"/>
      <c r="G167" s="270" t="s">
        <v>745</v>
      </c>
      <c r="H167" s="270" t="s">
        <v>68</v>
      </c>
      <c r="I167" s="280">
        <v>6</v>
      </c>
      <c r="J167" s="280">
        <v>5</v>
      </c>
      <c r="K167" s="280">
        <v>5</v>
      </c>
      <c r="L167" s="274" t="s">
        <v>30</v>
      </c>
      <c r="M167" s="275" t="s">
        <v>31</v>
      </c>
      <c r="N167" s="271">
        <v>1</v>
      </c>
      <c r="O167" s="282" t="s">
        <v>826</v>
      </c>
      <c r="P167" s="277" t="s">
        <v>33</v>
      </c>
      <c r="Q167" s="278"/>
      <c r="R167" s="278"/>
      <c r="S167" s="279"/>
      <c r="T167" s="278"/>
      <c r="U167" s="278"/>
      <c r="V167" s="278"/>
      <c r="W167" s="278"/>
      <c r="X167" s="278"/>
      <c r="Y167" s="278"/>
    </row>
    <row r="168" s="249" customFormat="1" ht="17.25" spans="2:25">
      <c r="B168" s="270" t="s">
        <v>827</v>
      </c>
      <c r="C168" s="270" t="s">
        <v>828</v>
      </c>
      <c r="D168" s="271" t="s">
        <v>743</v>
      </c>
      <c r="E168" s="272" t="s">
        <v>829</v>
      </c>
      <c r="F168" s="270" t="s">
        <v>830</v>
      </c>
      <c r="G168" s="270" t="s">
        <v>745</v>
      </c>
      <c r="H168" s="270" t="s">
        <v>68</v>
      </c>
      <c r="I168" s="280">
        <v>6</v>
      </c>
      <c r="J168" s="280">
        <v>5</v>
      </c>
      <c r="K168" s="280">
        <v>5</v>
      </c>
      <c r="L168" s="274" t="s">
        <v>30</v>
      </c>
      <c r="M168" s="275" t="s">
        <v>31</v>
      </c>
      <c r="N168" s="271">
        <v>1</v>
      </c>
      <c r="O168" s="282" t="s">
        <v>831</v>
      </c>
      <c r="P168" s="277" t="s">
        <v>33</v>
      </c>
      <c r="Q168" s="278"/>
      <c r="R168" s="278"/>
      <c r="S168" s="279"/>
      <c r="T168" s="278"/>
      <c r="U168" s="278"/>
      <c r="V168" s="278"/>
      <c r="W168" s="278"/>
      <c r="X168" s="278"/>
      <c r="Y168" s="278"/>
    </row>
    <row r="169" s="249" customFormat="1" ht="17.25" spans="2:25">
      <c r="B169" s="270" t="s">
        <v>827</v>
      </c>
      <c r="C169" s="270" t="s">
        <v>832</v>
      </c>
      <c r="D169" s="271" t="s">
        <v>743</v>
      </c>
      <c r="E169" s="272" t="s">
        <v>833</v>
      </c>
      <c r="F169" s="270" t="s">
        <v>834</v>
      </c>
      <c r="G169" s="270" t="s">
        <v>745</v>
      </c>
      <c r="H169" s="270" t="s">
        <v>68</v>
      </c>
      <c r="I169" s="280">
        <v>6</v>
      </c>
      <c r="J169" s="280">
        <v>5</v>
      </c>
      <c r="K169" s="280">
        <v>5</v>
      </c>
      <c r="L169" s="274" t="s">
        <v>30</v>
      </c>
      <c r="M169" s="275" t="s">
        <v>31</v>
      </c>
      <c r="N169" s="271">
        <v>1</v>
      </c>
      <c r="O169" s="282" t="s">
        <v>835</v>
      </c>
      <c r="P169" s="277" t="s">
        <v>33</v>
      </c>
      <c r="Q169" s="278"/>
      <c r="R169" s="278"/>
      <c r="S169" s="279"/>
      <c r="T169" s="278"/>
      <c r="U169" s="278"/>
      <c r="V169" s="278"/>
      <c r="W169" s="278"/>
      <c r="X169" s="278"/>
      <c r="Y169" s="278"/>
    </row>
    <row r="170" s="249" customFormat="1" ht="17.25" spans="2:25">
      <c r="B170" s="270" t="s">
        <v>827</v>
      </c>
      <c r="C170" s="270" t="s">
        <v>836</v>
      </c>
      <c r="D170" s="271" t="s">
        <v>743</v>
      </c>
      <c r="E170" s="272" t="s">
        <v>837</v>
      </c>
      <c r="F170" s="270"/>
      <c r="G170" s="270" t="s">
        <v>745</v>
      </c>
      <c r="H170" s="270" t="s">
        <v>68</v>
      </c>
      <c r="I170" s="280">
        <v>6</v>
      </c>
      <c r="J170" s="280">
        <v>5</v>
      </c>
      <c r="K170" s="280">
        <v>5</v>
      </c>
      <c r="L170" s="274" t="s">
        <v>30</v>
      </c>
      <c r="M170" s="275" t="s">
        <v>31</v>
      </c>
      <c r="N170" s="271">
        <v>1</v>
      </c>
      <c r="O170" s="282" t="s">
        <v>838</v>
      </c>
      <c r="P170" s="277" t="s">
        <v>33</v>
      </c>
      <c r="Q170" s="278"/>
      <c r="R170" s="278"/>
      <c r="S170" s="279"/>
      <c r="T170" s="278"/>
      <c r="U170" s="278"/>
      <c r="V170" s="278"/>
      <c r="W170" s="278"/>
      <c r="X170" s="278"/>
      <c r="Y170" s="278"/>
    </row>
    <row r="171" s="249" customFormat="1" ht="17.25" spans="2:25">
      <c r="B171" s="270" t="s">
        <v>827</v>
      </c>
      <c r="C171" s="270"/>
      <c r="D171" s="271"/>
      <c r="E171" s="272"/>
      <c r="F171" s="270"/>
      <c r="G171" s="270"/>
      <c r="H171" s="270" t="s">
        <v>68</v>
      </c>
      <c r="I171" s="280"/>
      <c r="J171" s="280"/>
      <c r="K171" s="280"/>
      <c r="L171" s="274"/>
      <c r="M171" s="275"/>
      <c r="N171" s="271"/>
      <c r="O171" s="282"/>
      <c r="P171" s="277"/>
      <c r="Q171" s="278"/>
      <c r="R171" s="278"/>
      <c r="S171" s="279"/>
      <c r="T171" s="278"/>
      <c r="U171" s="278"/>
      <c r="V171" s="278"/>
      <c r="W171" s="278"/>
      <c r="X171" s="278"/>
      <c r="Y171" s="278"/>
    </row>
    <row r="172" s="249" customFormat="1" ht="17.25" spans="2:25">
      <c r="B172" s="270" t="s">
        <v>839</v>
      </c>
      <c r="C172" s="270" t="s">
        <v>840</v>
      </c>
      <c r="D172" s="271" t="s">
        <v>841</v>
      </c>
      <c r="E172" s="272" t="s">
        <v>842</v>
      </c>
      <c r="F172" s="270"/>
      <c r="G172" s="270" t="s">
        <v>843</v>
      </c>
      <c r="H172" s="270" t="s">
        <v>68</v>
      </c>
      <c r="I172" s="280">
        <v>7</v>
      </c>
      <c r="J172" s="280">
        <v>6</v>
      </c>
      <c r="K172" s="280">
        <v>6</v>
      </c>
      <c r="L172" s="274" t="s">
        <v>30</v>
      </c>
      <c r="M172" s="275" t="s">
        <v>31</v>
      </c>
      <c r="N172" s="271">
        <v>1</v>
      </c>
      <c r="O172" s="282" t="s">
        <v>844</v>
      </c>
      <c r="P172" s="277" t="s">
        <v>404</v>
      </c>
      <c r="Q172" s="278"/>
      <c r="R172" s="278"/>
      <c r="S172" s="279"/>
      <c r="T172" s="278"/>
      <c r="U172" s="278"/>
      <c r="V172" s="278"/>
      <c r="W172" s="278"/>
      <c r="X172" s="278"/>
      <c r="Y172" s="278"/>
    </row>
    <row r="173" s="249" customFormat="1" ht="17.25" spans="2:25">
      <c r="B173" s="270" t="s">
        <v>23</v>
      </c>
      <c r="C173" s="270" t="s">
        <v>845</v>
      </c>
      <c r="D173" s="271" t="s">
        <v>576</v>
      </c>
      <c r="E173" s="272" t="s">
        <v>846</v>
      </c>
      <c r="F173" s="271"/>
      <c r="G173" s="271" t="s">
        <v>657</v>
      </c>
      <c r="H173" s="270" t="s">
        <v>68</v>
      </c>
      <c r="I173" s="280">
        <v>6</v>
      </c>
      <c r="J173" s="280">
        <v>5</v>
      </c>
      <c r="K173" s="280">
        <v>5</v>
      </c>
      <c r="L173" s="274" t="s">
        <v>30</v>
      </c>
      <c r="M173" s="275" t="s">
        <v>31</v>
      </c>
      <c r="N173" s="271">
        <v>1</v>
      </c>
      <c r="O173" s="282" t="s">
        <v>847</v>
      </c>
      <c r="P173" s="277" t="s">
        <v>848</v>
      </c>
      <c r="Q173" s="278"/>
      <c r="R173" s="278"/>
      <c r="S173" s="279"/>
      <c r="T173" s="278"/>
      <c r="U173" s="278"/>
      <c r="V173" s="278"/>
      <c r="W173" s="278"/>
      <c r="X173" s="278"/>
      <c r="Y173" s="278"/>
    </row>
    <row r="174" s="249" customFormat="1" ht="17.25" spans="2:25">
      <c r="B174" s="270" t="s">
        <v>23</v>
      </c>
      <c r="C174" s="270" t="s">
        <v>849</v>
      </c>
      <c r="D174" s="271" t="s">
        <v>576</v>
      </c>
      <c r="E174" s="272" t="s">
        <v>850</v>
      </c>
      <c r="F174" s="271"/>
      <c r="G174" s="271" t="s">
        <v>657</v>
      </c>
      <c r="H174" s="270" t="s">
        <v>68</v>
      </c>
      <c r="I174" s="280">
        <v>7</v>
      </c>
      <c r="J174" s="280">
        <v>6</v>
      </c>
      <c r="K174" s="280">
        <v>6</v>
      </c>
      <c r="L174" s="274" t="s">
        <v>30</v>
      </c>
      <c r="M174" s="275" t="s">
        <v>31</v>
      </c>
      <c r="N174" s="271">
        <v>1</v>
      </c>
      <c r="O174" s="282" t="s">
        <v>851</v>
      </c>
      <c r="P174" s="277" t="s">
        <v>852</v>
      </c>
      <c r="Q174" s="278"/>
      <c r="R174" s="278"/>
      <c r="S174" s="279"/>
      <c r="T174" s="278"/>
      <c r="U174" s="278"/>
      <c r="V174" s="278"/>
      <c r="W174" s="278"/>
      <c r="X174" s="278"/>
      <c r="Y174" s="278"/>
    </row>
    <row r="175" s="249" customFormat="1" ht="17.25" spans="2:25">
      <c r="B175" s="270" t="s">
        <v>23</v>
      </c>
      <c r="C175" s="270" t="s">
        <v>853</v>
      </c>
      <c r="D175" s="271" t="s">
        <v>576</v>
      </c>
      <c r="E175" s="272" t="s">
        <v>854</v>
      </c>
      <c r="F175" s="271"/>
      <c r="G175" s="271" t="s">
        <v>657</v>
      </c>
      <c r="H175" s="270" t="s">
        <v>68</v>
      </c>
      <c r="I175" s="280">
        <v>8</v>
      </c>
      <c r="J175" s="280">
        <v>7</v>
      </c>
      <c r="K175" s="280">
        <v>7</v>
      </c>
      <c r="L175" s="274" t="s">
        <v>69</v>
      </c>
      <c r="M175" s="275" t="s">
        <v>31</v>
      </c>
      <c r="N175" s="271">
        <v>1</v>
      </c>
      <c r="O175" s="282" t="s">
        <v>855</v>
      </c>
      <c r="P175" s="277" t="s">
        <v>856</v>
      </c>
      <c r="Q175" s="278"/>
      <c r="R175" s="278"/>
      <c r="S175" s="279"/>
      <c r="T175" s="278"/>
      <c r="U175" s="278"/>
      <c r="V175" s="278"/>
      <c r="W175" s="278"/>
      <c r="X175" s="278"/>
      <c r="Y175" s="278"/>
    </row>
    <row r="176" s="249" customFormat="1" ht="17.25" spans="2:25">
      <c r="B176" s="270" t="s">
        <v>23</v>
      </c>
      <c r="C176" s="270" t="s">
        <v>857</v>
      </c>
      <c r="D176" s="271" t="s">
        <v>858</v>
      </c>
      <c r="E176" s="272" t="s">
        <v>859</v>
      </c>
      <c r="F176" s="270"/>
      <c r="G176" s="270" t="s">
        <v>860</v>
      </c>
      <c r="H176" s="270" t="s">
        <v>68</v>
      </c>
      <c r="I176" s="280">
        <v>8</v>
      </c>
      <c r="J176" s="280">
        <v>8</v>
      </c>
      <c r="K176" s="280">
        <v>8</v>
      </c>
      <c r="L176" s="274" t="s">
        <v>69</v>
      </c>
      <c r="M176" s="275" t="s">
        <v>31</v>
      </c>
      <c r="N176" s="271">
        <v>1</v>
      </c>
      <c r="O176" s="282" t="s">
        <v>861</v>
      </c>
      <c r="P176" s="277" t="s">
        <v>862</v>
      </c>
      <c r="Q176" s="278"/>
      <c r="R176" s="278"/>
      <c r="S176" s="279"/>
      <c r="T176" s="278"/>
      <c r="U176" s="278"/>
      <c r="V176" s="278"/>
      <c r="W176" s="278"/>
      <c r="X176" s="278"/>
      <c r="Y176" s="278"/>
    </row>
    <row r="177" s="249" customFormat="1" ht="17.25" spans="2:25">
      <c r="B177" s="270" t="s">
        <v>23</v>
      </c>
      <c r="C177" s="270" t="s">
        <v>863</v>
      </c>
      <c r="D177" s="271" t="s">
        <v>576</v>
      </c>
      <c r="E177" s="272" t="s">
        <v>864</v>
      </c>
      <c r="F177" s="271"/>
      <c r="G177" s="271" t="s">
        <v>657</v>
      </c>
      <c r="H177" s="270" t="s">
        <v>68</v>
      </c>
      <c r="I177" s="280">
        <v>8</v>
      </c>
      <c r="J177" s="280">
        <v>8</v>
      </c>
      <c r="K177" s="280">
        <v>8</v>
      </c>
      <c r="L177" s="274" t="s">
        <v>30</v>
      </c>
      <c r="M177" s="275" t="s">
        <v>31</v>
      </c>
      <c r="N177" s="271">
        <v>1</v>
      </c>
      <c r="O177" s="282" t="s">
        <v>865</v>
      </c>
      <c r="P177" s="277"/>
      <c r="Q177" s="278"/>
      <c r="R177" s="278"/>
      <c r="S177" s="279"/>
      <c r="T177" s="278"/>
      <c r="U177" s="278"/>
      <c r="V177" s="278"/>
      <c r="W177" s="278"/>
      <c r="X177" s="278"/>
      <c r="Y177" s="278"/>
    </row>
    <row r="178" s="249" customFormat="1" ht="17.25" spans="2:25">
      <c r="B178" s="270" t="s">
        <v>866</v>
      </c>
      <c r="C178" s="270" t="s">
        <v>867</v>
      </c>
      <c r="D178" s="271" t="s">
        <v>576</v>
      </c>
      <c r="E178" s="272" t="s">
        <v>868</v>
      </c>
      <c r="F178" s="271"/>
      <c r="G178" s="271" t="s">
        <v>657</v>
      </c>
      <c r="H178" s="270" t="s">
        <v>68</v>
      </c>
      <c r="I178" s="280">
        <v>4</v>
      </c>
      <c r="J178" s="280">
        <v>4</v>
      </c>
      <c r="K178" s="280">
        <v>4</v>
      </c>
      <c r="L178" s="274" t="s">
        <v>30</v>
      </c>
      <c r="M178" s="275" t="s">
        <v>31</v>
      </c>
      <c r="N178" s="271">
        <v>1</v>
      </c>
      <c r="O178" s="282" t="s">
        <v>869</v>
      </c>
      <c r="P178" s="277" t="s">
        <v>870</v>
      </c>
      <c r="Q178" s="278"/>
      <c r="R178" s="278"/>
      <c r="S178" s="279"/>
      <c r="T178" s="278"/>
      <c r="U178" s="278"/>
      <c r="V178" s="278"/>
      <c r="W178" s="278"/>
      <c r="X178" s="278"/>
      <c r="Y178" s="278"/>
    </row>
    <row r="179" s="249" customFormat="1" ht="17.25" spans="2:25">
      <c r="B179" s="270" t="s">
        <v>871</v>
      </c>
      <c r="C179" s="270"/>
      <c r="D179" s="271"/>
      <c r="E179" s="272"/>
      <c r="F179" s="270"/>
      <c r="G179" s="270"/>
      <c r="H179" s="270"/>
      <c r="I179" s="280"/>
      <c r="J179" s="280"/>
      <c r="K179" s="280"/>
      <c r="L179" s="274"/>
      <c r="M179" s="275"/>
      <c r="N179" s="271"/>
      <c r="O179" s="282"/>
      <c r="P179" s="277"/>
      <c r="Q179" s="278"/>
      <c r="R179" s="278"/>
      <c r="S179" s="279"/>
      <c r="T179" s="278"/>
      <c r="U179" s="278"/>
      <c r="V179" s="278"/>
      <c r="W179" s="278"/>
      <c r="X179" s="278"/>
      <c r="Y179" s="278"/>
    </row>
    <row r="180" s="249" customFormat="1" ht="17.25" spans="2:25">
      <c r="B180" s="270" t="s">
        <v>872</v>
      </c>
      <c r="C180" s="270" t="s">
        <v>873</v>
      </c>
      <c r="D180" s="271" t="s">
        <v>714</v>
      </c>
      <c r="E180" s="272" t="s">
        <v>874</v>
      </c>
      <c r="F180" s="270" t="s">
        <v>875</v>
      </c>
      <c r="G180" s="270" t="s">
        <v>717</v>
      </c>
      <c r="H180" s="270" t="s">
        <v>29</v>
      </c>
      <c r="I180" s="280">
        <v>8</v>
      </c>
      <c r="J180" s="280">
        <v>6</v>
      </c>
      <c r="K180" s="280">
        <v>6</v>
      </c>
      <c r="L180" s="274" t="s">
        <v>646</v>
      </c>
      <c r="M180" s="275" t="s">
        <v>31</v>
      </c>
      <c r="N180" s="271">
        <v>1</v>
      </c>
      <c r="O180" s="282" t="s">
        <v>876</v>
      </c>
      <c r="P180" s="277" t="s">
        <v>877</v>
      </c>
      <c r="Q180" s="278"/>
      <c r="R180" s="278"/>
      <c r="S180" s="279"/>
      <c r="T180" s="278"/>
      <c r="U180" s="278"/>
      <c r="V180" s="278"/>
      <c r="W180" s="278"/>
      <c r="X180" s="278"/>
      <c r="Y180" s="278"/>
    </row>
    <row r="181" s="249" customFormat="1" ht="17.25" spans="2:25">
      <c r="B181" s="270" t="s">
        <v>878</v>
      </c>
      <c r="C181" s="270" t="s">
        <v>879</v>
      </c>
      <c r="D181" s="271" t="s">
        <v>714</v>
      </c>
      <c r="E181" s="272" t="s">
        <v>880</v>
      </c>
      <c r="F181" s="270" t="s">
        <v>881</v>
      </c>
      <c r="G181" s="270" t="s">
        <v>717</v>
      </c>
      <c r="H181" s="270" t="s">
        <v>29</v>
      </c>
      <c r="I181" s="280">
        <v>6</v>
      </c>
      <c r="J181" s="280">
        <v>6</v>
      </c>
      <c r="K181" s="280">
        <v>6</v>
      </c>
      <c r="L181" s="274" t="s">
        <v>30</v>
      </c>
      <c r="M181" s="275" t="s">
        <v>31</v>
      </c>
      <c r="N181" s="271">
        <v>1</v>
      </c>
      <c r="O181" s="282" t="s">
        <v>882</v>
      </c>
      <c r="P181" s="277" t="s">
        <v>883</v>
      </c>
      <c r="Q181" s="278"/>
      <c r="R181" s="278"/>
      <c r="S181" s="279"/>
      <c r="T181" s="278"/>
      <c r="U181" s="278"/>
      <c r="V181" s="278"/>
      <c r="W181" s="278"/>
      <c r="X181" s="278"/>
      <c r="Y181" s="278"/>
    </row>
    <row r="182" s="249" customFormat="1" ht="17.25" spans="2:25">
      <c r="B182" s="270" t="s">
        <v>23</v>
      </c>
      <c r="C182" s="270" t="s">
        <v>884</v>
      </c>
      <c r="D182" s="271" t="s">
        <v>714</v>
      </c>
      <c r="E182" s="272" t="s">
        <v>885</v>
      </c>
      <c r="F182" s="270"/>
      <c r="G182" s="270" t="s">
        <v>717</v>
      </c>
      <c r="H182" s="270" t="s">
        <v>29</v>
      </c>
      <c r="I182" s="280">
        <v>6</v>
      </c>
      <c r="J182" s="280">
        <v>6</v>
      </c>
      <c r="K182" s="280">
        <v>6</v>
      </c>
      <c r="L182" s="274" t="s">
        <v>30</v>
      </c>
      <c r="M182" s="275" t="s">
        <v>31</v>
      </c>
      <c r="N182" s="271">
        <v>1</v>
      </c>
      <c r="O182" s="282" t="s">
        <v>886</v>
      </c>
      <c r="P182" s="277" t="s">
        <v>887</v>
      </c>
      <c r="Q182" s="278"/>
      <c r="R182" s="278"/>
      <c r="S182" s="279"/>
      <c r="T182" s="278"/>
      <c r="U182" s="278"/>
      <c r="V182" s="278"/>
      <c r="W182" s="278"/>
      <c r="X182" s="278"/>
      <c r="Y182" s="278"/>
    </row>
    <row r="183" s="249" customFormat="1" ht="17.25" spans="2:25">
      <c r="B183" s="270" t="s">
        <v>888</v>
      </c>
      <c r="C183" s="270" t="s">
        <v>889</v>
      </c>
      <c r="D183" s="271" t="s">
        <v>714</v>
      </c>
      <c r="E183" s="272" t="s">
        <v>890</v>
      </c>
      <c r="F183" s="270"/>
      <c r="G183" s="270" t="s">
        <v>717</v>
      </c>
      <c r="H183" s="270" t="s">
        <v>29</v>
      </c>
      <c r="I183" s="280">
        <v>6</v>
      </c>
      <c r="J183" s="280">
        <v>5</v>
      </c>
      <c r="K183" s="280">
        <v>5</v>
      </c>
      <c r="L183" s="274" t="s">
        <v>646</v>
      </c>
      <c r="M183" s="275" t="s">
        <v>31</v>
      </c>
      <c r="N183" s="271">
        <v>1</v>
      </c>
      <c r="O183" s="282" t="s">
        <v>891</v>
      </c>
      <c r="P183" s="277" t="s">
        <v>892</v>
      </c>
      <c r="Q183" s="278"/>
      <c r="R183" s="278"/>
      <c r="S183" s="279"/>
      <c r="T183" s="278"/>
      <c r="U183" s="278"/>
      <c r="V183" s="278"/>
      <c r="W183" s="278"/>
      <c r="X183" s="278"/>
      <c r="Y183" s="278"/>
    </row>
    <row r="184" s="249" customFormat="1" ht="17.25" spans="2:25">
      <c r="B184" s="270" t="s">
        <v>893</v>
      </c>
      <c r="C184" s="270" t="s">
        <v>894</v>
      </c>
      <c r="D184" s="271" t="s">
        <v>895</v>
      </c>
      <c r="E184" s="272" t="s">
        <v>896</v>
      </c>
      <c r="F184" s="270"/>
      <c r="G184" s="270" t="s">
        <v>168</v>
      </c>
      <c r="H184" s="270" t="s">
        <v>68</v>
      </c>
      <c r="I184" s="280">
        <v>7</v>
      </c>
      <c r="J184" s="280">
        <v>5</v>
      </c>
      <c r="K184" s="280">
        <v>5</v>
      </c>
      <c r="L184" s="274" t="s">
        <v>897</v>
      </c>
      <c r="M184" s="275" t="s">
        <v>898</v>
      </c>
      <c r="N184" s="271">
        <v>1</v>
      </c>
      <c r="O184" s="284" t="s">
        <v>899</v>
      </c>
      <c r="P184" s="277" t="s">
        <v>900</v>
      </c>
      <c r="Q184" s="278"/>
      <c r="R184" s="278"/>
      <c r="S184" s="279"/>
      <c r="T184" s="278"/>
      <c r="U184" s="278"/>
      <c r="V184" s="278"/>
      <c r="W184" s="278"/>
      <c r="X184" s="278"/>
      <c r="Y184" s="278"/>
    </row>
    <row r="185" s="249" customFormat="1" ht="17.25" spans="2:25">
      <c r="B185" s="270" t="s">
        <v>901</v>
      </c>
      <c r="C185" s="270" t="s">
        <v>902</v>
      </c>
      <c r="D185" s="271" t="s">
        <v>903</v>
      </c>
      <c r="E185" s="272" t="s">
        <v>904</v>
      </c>
      <c r="F185" s="270"/>
      <c r="G185" s="270" t="s">
        <v>168</v>
      </c>
      <c r="H185" s="270" t="s">
        <v>68</v>
      </c>
      <c r="I185" s="280">
        <v>9</v>
      </c>
      <c r="J185" s="280">
        <v>8</v>
      </c>
      <c r="K185" s="280">
        <v>8</v>
      </c>
      <c r="L185" s="274" t="s">
        <v>30</v>
      </c>
      <c r="M185" s="275" t="s">
        <v>31</v>
      </c>
      <c r="N185" s="271">
        <v>1</v>
      </c>
      <c r="O185" s="282" t="s">
        <v>905</v>
      </c>
      <c r="P185" s="277" t="s">
        <v>906</v>
      </c>
      <c r="Q185" s="278"/>
      <c r="R185" s="278"/>
      <c r="S185" s="279"/>
      <c r="T185" s="278"/>
      <c r="U185" s="278"/>
      <c r="V185" s="278"/>
      <c r="W185" s="278"/>
      <c r="X185" s="278"/>
      <c r="Y185" s="278"/>
    </row>
    <row r="186" s="249" customFormat="1" ht="17.25" spans="2:25">
      <c r="B186" s="270" t="s">
        <v>907</v>
      </c>
      <c r="C186" s="270" t="s">
        <v>908</v>
      </c>
      <c r="D186" s="271" t="s">
        <v>576</v>
      </c>
      <c r="E186" s="272" t="s">
        <v>909</v>
      </c>
      <c r="F186" s="270"/>
      <c r="G186" s="270" t="s">
        <v>578</v>
      </c>
      <c r="H186" s="270" t="s">
        <v>68</v>
      </c>
      <c r="I186" s="280">
        <v>6</v>
      </c>
      <c r="J186" s="280">
        <v>5</v>
      </c>
      <c r="K186" s="280">
        <v>5</v>
      </c>
      <c r="L186" s="274" t="s">
        <v>30</v>
      </c>
      <c r="M186" s="275" t="s">
        <v>31</v>
      </c>
      <c r="N186" s="271">
        <v>1</v>
      </c>
      <c r="O186" s="282" t="s">
        <v>910</v>
      </c>
      <c r="P186" s="277" t="s">
        <v>911</v>
      </c>
      <c r="Q186" s="278"/>
      <c r="R186" s="278"/>
      <c r="S186" s="279"/>
      <c r="T186" s="278"/>
      <c r="U186" s="278"/>
      <c r="V186" s="278"/>
      <c r="W186" s="278"/>
      <c r="X186" s="278"/>
      <c r="Y186" s="278"/>
    </row>
    <row r="187" s="249" customFormat="1" ht="17.25" spans="2:25">
      <c r="B187" s="270" t="s">
        <v>912</v>
      </c>
      <c r="C187" s="270" t="s">
        <v>913</v>
      </c>
      <c r="D187" s="271" t="s">
        <v>576</v>
      </c>
      <c r="E187" s="272" t="s">
        <v>914</v>
      </c>
      <c r="F187" s="270"/>
      <c r="G187" s="270" t="s">
        <v>578</v>
      </c>
      <c r="H187" s="270" t="s">
        <v>68</v>
      </c>
      <c r="I187" s="280">
        <v>7</v>
      </c>
      <c r="J187" s="280">
        <v>6</v>
      </c>
      <c r="K187" s="280">
        <v>6</v>
      </c>
      <c r="L187" s="274" t="s">
        <v>30</v>
      </c>
      <c r="M187" s="275" t="s">
        <v>31</v>
      </c>
      <c r="N187" s="271">
        <v>1</v>
      </c>
      <c r="O187" s="282" t="s">
        <v>915</v>
      </c>
      <c r="P187" s="277" t="s">
        <v>916</v>
      </c>
      <c r="Q187" s="278"/>
      <c r="R187" s="278"/>
      <c r="S187" s="279"/>
      <c r="T187" s="278"/>
      <c r="U187" s="278"/>
      <c r="V187" s="278"/>
      <c r="W187" s="278"/>
      <c r="X187" s="278"/>
      <c r="Y187" s="278"/>
    </row>
    <row r="188" s="249" customFormat="1" ht="17.25" spans="2:25">
      <c r="B188" s="270" t="s">
        <v>917</v>
      </c>
      <c r="C188" s="270" t="s">
        <v>918</v>
      </c>
      <c r="D188" s="271" t="s">
        <v>919</v>
      </c>
      <c r="E188" s="272" t="s">
        <v>920</v>
      </c>
      <c r="F188" s="270"/>
      <c r="G188" s="270" t="s">
        <v>168</v>
      </c>
      <c r="H188" s="270" t="s">
        <v>68</v>
      </c>
      <c r="I188" s="280">
        <v>8</v>
      </c>
      <c r="J188" s="280">
        <v>4</v>
      </c>
      <c r="K188" s="280">
        <v>4</v>
      </c>
      <c r="L188" s="274" t="s">
        <v>897</v>
      </c>
      <c r="M188" s="275" t="s">
        <v>898</v>
      </c>
      <c r="N188" s="271">
        <v>1</v>
      </c>
      <c r="O188" s="282" t="s">
        <v>921</v>
      </c>
      <c r="P188" s="277" t="s">
        <v>877</v>
      </c>
      <c r="Q188" s="278"/>
      <c r="R188" s="278"/>
      <c r="S188" s="279"/>
      <c r="T188" s="278"/>
      <c r="U188" s="278"/>
      <c r="V188" s="278"/>
      <c r="W188" s="278"/>
      <c r="X188" s="278"/>
      <c r="Y188" s="278"/>
    </row>
    <row r="189" s="249" customFormat="1" ht="17.25" spans="2:25">
      <c r="B189" s="270" t="s">
        <v>922</v>
      </c>
      <c r="C189" s="270" t="s">
        <v>923</v>
      </c>
      <c r="D189" s="271" t="s">
        <v>632</v>
      </c>
      <c r="E189" s="272" t="s">
        <v>924</v>
      </c>
      <c r="F189" s="270"/>
      <c r="G189" s="270" t="s">
        <v>168</v>
      </c>
      <c r="H189" s="270" t="s">
        <v>68</v>
      </c>
      <c r="I189" s="280">
        <v>7</v>
      </c>
      <c r="J189" s="280">
        <v>7</v>
      </c>
      <c r="K189" s="280">
        <v>7</v>
      </c>
      <c r="L189" s="274" t="s">
        <v>30</v>
      </c>
      <c r="M189" s="275" t="s">
        <v>31</v>
      </c>
      <c r="N189" s="271">
        <v>1</v>
      </c>
      <c r="O189" s="282" t="s">
        <v>925</v>
      </c>
      <c r="P189" s="277" t="s">
        <v>926</v>
      </c>
      <c r="Q189" s="278"/>
      <c r="R189" s="278"/>
      <c r="S189" s="279"/>
      <c r="T189" s="278"/>
      <c r="U189" s="278"/>
      <c r="V189" s="278"/>
      <c r="W189" s="278"/>
      <c r="X189" s="278"/>
      <c r="Y189" s="278"/>
    </row>
    <row r="190" s="249" customFormat="1" ht="17.25" spans="2:25">
      <c r="B190" s="270" t="s">
        <v>922</v>
      </c>
      <c r="C190" s="270" t="s">
        <v>927</v>
      </c>
      <c r="D190" s="271" t="s">
        <v>928</v>
      </c>
      <c r="E190" s="272" t="s">
        <v>929</v>
      </c>
      <c r="F190" s="270"/>
      <c r="G190" s="270" t="s">
        <v>168</v>
      </c>
      <c r="H190" s="270" t="s">
        <v>68</v>
      </c>
      <c r="I190" s="280">
        <v>7</v>
      </c>
      <c r="J190" s="280">
        <v>7</v>
      </c>
      <c r="K190" s="280">
        <v>7</v>
      </c>
      <c r="L190" s="274" t="s">
        <v>30</v>
      </c>
      <c r="M190" s="275" t="s">
        <v>31</v>
      </c>
      <c r="N190" s="271">
        <v>1</v>
      </c>
      <c r="O190" s="282" t="s">
        <v>930</v>
      </c>
      <c r="P190" s="277" t="s">
        <v>931</v>
      </c>
      <c r="Q190" s="278"/>
      <c r="R190" s="278"/>
      <c r="S190" s="279"/>
      <c r="T190" s="278"/>
      <c r="U190" s="278"/>
      <c r="V190" s="278"/>
      <c r="W190" s="278"/>
      <c r="X190" s="278"/>
      <c r="Y190" s="278"/>
    </row>
    <row r="191" s="249" customFormat="1" ht="17.25" spans="2:25">
      <c r="B191" s="270" t="s">
        <v>23</v>
      </c>
      <c r="C191" s="270" t="s">
        <v>932</v>
      </c>
      <c r="D191" s="271" t="s">
        <v>933</v>
      </c>
      <c r="E191" s="272" t="s">
        <v>934</v>
      </c>
      <c r="F191" s="271"/>
      <c r="G191" s="271" t="s">
        <v>935</v>
      </c>
      <c r="H191" s="270" t="s">
        <v>68</v>
      </c>
      <c r="I191" s="280">
        <v>7</v>
      </c>
      <c r="J191" s="280">
        <v>7</v>
      </c>
      <c r="K191" s="280">
        <v>7</v>
      </c>
      <c r="L191" s="274" t="s">
        <v>442</v>
      </c>
      <c r="M191" s="275" t="s">
        <v>31</v>
      </c>
      <c r="N191" s="271">
        <v>1</v>
      </c>
      <c r="O191" s="282" t="s">
        <v>936</v>
      </c>
      <c r="P191" s="277" t="s">
        <v>815</v>
      </c>
      <c r="Q191" s="278"/>
      <c r="R191" s="278"/>
      <c r="S191" s="279"/>
      <c r="T191" s="278"/>
      <c r="U191" s="278"/>
      <c r="V191" s="278"/>
      <c r="W191" s="278"/>
      <c r="X191" s="278"/>
      <c r="Y191" s="278"/>
    </row>
    <row r="192" s="249" customFormat="1" ht="17.25" spans="2:25">
      <c r="B192" s="270" t="s">
        <v>23</v>
      </c>
      <c r="C192" s="270" t="s">
        <v>937</v>
      </c>
      <c r="D192" s="271" t="s">
        <v>938</v>
      </c>
      <c r="E192" s="272"/>
      <c r="F192" s="271"/>
      <c r="G192" s="271" t="s">
        <v>935</v>
      </c>
      <c r="H192" s="270" t="s">
        <v>68</v>
      </c>
      <c r="I192" s="280">
        <v>6</v>
      </c>
      <c r="J192" s="280">
        <v>5</v>
      </c>
      <c r="K192" s="280">
        <v>5</v>
      </c>
      <c r="L192" s="274" t="s">
        <v>646</v>
      </c>
      <c r="M192" s="275" t="s">
        <v>31</v>
      </c>
      <c r="N192" s="271">
        <v>1</v>
      </c>
      <c r="O192" s="282" t="s">
        <v>939</v>
      </c>
      <c r="P192" s="277" t="s">
        <v>940</v>
      </c>
      <c r="Q192" s="278"/>
      <c r="R192" s="278"/>
      <c r="S192" s="279"/>
      <c r="T192" s="278"/>
      <c r="U192" s="278"/>
      <c r="V192" s="278"/>
      <c r="W192" s="278"/>
      <c r="X192" s="278"/>
      <c r="Y192" s="278"/>
    </row>
    <row r="193" s="249" customFormat="1" ht="17.25" spans="2:25">
      <c r="B193" s="270" t="s">
        <v>23</v>
      </c>
      <c r="C193" s="270" t="s">
        <v>941</v>
      </c>
      <c r="D193" s="271" t="s">
        <v>938</v>
      </c>
      <c r="E193" s="272"/>
      <c r="F193" s="271"/>
      <c r="G193" s="271" t="s">
        <v>935</v>
      </c>
      <c r="H193" s="270" t="s">
        <v>68</v>
      </c>
      <c r="I193" s="280">
        <v>6</v>
      </c>
      <c r="J193" s="280">
        <v>5</v>
      </c>
      <c r="K193" s="280">
        <v>5</v>
      </c>
      <c r="L193" s="274" t="s">
        <v>646</v>
      </c>
      <c r="M193" s="275" t="s">
        <v>31</v>
      </c>
      <c r="N193" s="271">
        <v>1</v>
      </c>
      <c r="O193" s="282" t="s">
        <v>942</v>
      </c>
      <c r="P193" s="277" t="s">
        <v>943</v>
      </c>
      <c r="Q193" s="278"/>
      <c r="R193" s="278"/>
      <c r="S193" s="279"/>
      <c r="T193" s="278"/>
      <c r="U193" s="278"/>
      <c r="V193" s="278"/>
      <c r="W193" s="278"/>
      <c r="X193" s="278"/>
      <c r="Y193" s="278"/>
    </row>
    <row r="194" s="249" customFormat="1" ht="17.25" spans="2:25">
      <c r="B194" s="270" t="s">
        <v>944</v>
      </c>
      <c r="C194" s="270" t="s">
        <v>945</v>
      </c>
      <c r="D194" s="271" t="s">
        <v>714</v>
      </c>
      <c r="E194" s="272" t="s">
        <v>946</v>
      </c>
      <c r="F194" s="270"/>
      <c r="G194" s="270" t="s">
        <v>717</v>
      </c>
      <c r="H194" s="270" t="s">
        <v>29</v>
      </c>
      <c r="I194" s="280">
        <v>7</v>
      </c>
      <c r="J194" s="280">
        <v>6</v>
      </c>
      <c r="K194" s="280">
        <v>6</v>
      </c>
      <c r="L194" s="274" t="s">
        <v>30</v>
      </c>
      <c r="M194" s="275" t="s">
        <v>31</v>
      </c>
      <c r="N194" s="271">
        <v>1</v>
      </c>
      <c r="O194" s="282" t="s">
        <v>947</v>
      </c>
      <c r="P194" s="277" t="s">
        <v>948</v>
      </c>
      <c r="Q194" s="278"/>
      <c r="R194" s="278"/>
      <c r="S194" s="279"/>
      <c r="T194" s="278"/>
      <c r="U194" s="278"/>
      <c r="V194" s="278"/>
      <c r="W194" s="278"/>
      <c r="X194" s="278"/>
      <c r="Y194" s="278"/>
    </row>
    <row r="195" s="249" customFormat="1" ht="17.25" spans="2:25">
      <c r="B195" s="293" t="s">
        <v>949</v>
      </c>
      <c r="C195" s="270" t="s">
        <v>950</v>
      </c>
      <c r="D195" s="271" t="s">
        <v>576</v>
      </c>
      <c r="E195" s="272" t="s">
        <v>951</v>
      </c>
      <c r="F195" s="270"/>
      <c r="G195" s="270" t="s">
        <v>578</v>
      </c>
      <c r="H195" s="270" t="s">
        <v>68</v>
      </c>
      <c r="I195" s="280">
        <v>7</v>
      </c>
      <c r="J195" s="280">
        <v>7</v>
      </c>
      <c r="K195" s="280">
        <v>7</v>
      </c>
      <c r="L195" s="274" t="s">
        <v>30</v>
      </c>
      <c r="M195" s="275" t="s">
        <v>31</v>
      </c>
      <c r="N195" s="271">
        <v>1</v>
      </c>
      <c r="O195" s="282" t="s">
        <v>952</v>
      </c>
      <c r="P195" s="277" t="s">
        <v>953</v>
      </c>
      <c r="Q195" s="278"/>
      <c r="R195" s="278"/>
      <c r="S195" s="279"/>
      <c r="T195" s="278"/>
      <c r="U195" s="278"/>
      <c r="V195" s="278"/>
      <c r="W195" s="278"/>
      <c r="X195" s="278"/>
      <c r="Y195" s="278"/>
    </row>
    <row r="196" s="249" customFormat="1" ht="17.25" spans="2:25">
      <c r="B196" s="270" t="s">
        <v>907</v>
      </c>
      <c r="C196" s="270" t="s">
        <v>954</v>
      </c>
      <c r="D196" s="271" t="s">
        <v>185</v>
      </c>
      <c r="E196" s="272" t="s">
        <v>955</v>
      </c>
      <c r="F196" s="270"/>
      <c r="G196" s="270" t="s">
        <v>48</v>
      </c>
      <c r="H196" s="270" t="s">
        <v>68</v>
      </c>
      <c r="I196" s="280">
        <v>5</v>
      </c>
      <c r="J196" s="280">
        <v>5</v>
      </c>
      <c r="K196" s="280">
        <v>5</v>
      </c>
      <c r="L196" s="274" t="s">
        <v>30</v>
      </c>
      <c r="M196" s="275" t="s">
        <v>78</v>
      </c>
      <c r="N196" s="271">
        <v>1</v>
      </c>
      <c r="O196" s="282" t="s">
        <v>956</v>
      </c>
      <c r="P196" s="277" t="s">
        <v>957</v>
      </c>
      <c r="Q196" s="278"/>
      <c r="R196" s="278"/>
      <c r="S196" s="279"/>
      <c r="T196" s="278"/>
      <c r="U196" s="278"/>
      <c r="V196" s="278"/>
      <c r="W196" s="278"/>
      <c r="X196" s="278"/>
      <c r="Y196" s="278"/>
    </row>
    <row r="197" s="249" customFormat="1" ht="17.25" spans="2:25">
      <c r="B197" s="270" t="s">
        <v>958</v>
      </c>
      <c r="C197" s="270" t="s">
        <v>959</v>
      </c>
      <c r="D197" s="271" t="s">
        <v>919</v>
      </c>
      <c r="E197" s="272" t="s">
        <v>960</v>
      </c>
      <c r="F197" s="270" t="s">
        <v>961</v>
      </c>
      <c r="G197" s="270" t="s">
        <v>168</v>
      </c>
      <c r="H197" s="270" t="s">
        <v>68</v>
      </c>
      <c r="I197" s="280">
        <v>7</v>
      </c>
      <c r="J197" s="280">
        <v>7</v>
      </c>
      <c r="K197" s="280">
        <v>7</v>
      </c>
      <c r="L197" s="274" t="s">
        <v>897</v>
      </c>
      <c r="M197" s="275" t="s">
        <v>31</v>
      </c>
      <c r="N197" s="271">
        <v>1</v>
      </c>
      <c r="O197" s="282" t="s">
        <v>962</v>
      </c>
      <c r="P197" s="277" t="s">
        <v>963</v>
      </c>
      <c r="Q197" s="278"/>
      <c r="R197" s="278"/>
      <c r="S197" s="279"/>
      <c r="T197" s="278"/>
      <c r="U197" s="278"/>
      <c r="V197" s="278"/>
      <c r="W197" s="278"/>
      <c r="X197" s="278"/>
      <c r="Y197" s="278"/>
    </row>
    <row r="198" s="249" customFormat="1" ht="17.25" spans="2:25">
      <c r="B198" s="270" t="s">
        <v>964</v>
      </c>
      <c r="C198" s="270" t="s">
        <v>965</v>
      </c>
      <c r="D198" s="271" t="s">
        <v>966</v>
      </c>
      <c r="E198" s="272" t="s">
        <v>967</v>
      </c>
      <c r="F198" s="270"/>
      <c r="G198" s="270" t="s">
        <v>133</v>
      </c>
      <c r="H198" s="270" t="s">
        <v>29</v>
      </c>
      <c r="I198" s="280">
        <v>4</v>
      </c>
      <c r="J198" s="280">
        <v>4</v>
      </c>
      <c r="K198" s="280">
        <v>5</v>
      </c>
      <c r="L198" s="274" t="s">
        <v>126</v>
      </c>
      <c r="M198" s="275" t="s">
        <v>31</v>
      </c>
      <c r="N198" s="271">
        <v>1</v>
      </c>
      <c r="O198" s="282" t="s">
        <v>968</v>
      </c>
      <c r="P198" s="277" t="s">
        <v>969</v>
      </c>
      <c r="Q198" s="278"/>
      <c r="R198" s="278"/>
      <c r="S198" s="279"/>
      <c r="T198" s="278"/>
      <c r="U198" s="278"/>
      <c r="V198" s="278"/>
      <c r="W198" s="278"/>
      <c r="X198" s="278"/>
      <c r="Y198" s="278"/>
    </row>
    <row r="199" s="249" customFormat="1" ht="17.25" spans="2:25">
      <c r="B199" s="270" t="s">
        <v>964</v>
      </c>
      <c r="C199" s="270" t="s">
        <v>965</v>
      </c>
      <c r="D199" s="271" t="s">
        <v>966</v>
      </c>
      <c r="E199" s="272" t="s">
        <v>970</v>
      </c>
      <c r="F199" s="270"/>
      <c r="G199" s="270" t="s">
        <v>133</v>
      </c>
      <c r="H199" s="270" t="s">
        <v>29</v>
      </c>
      <c r="I199" s="280">
        <v>4</v>
      </c>
      <c r="J199" s="280">
        <v>4</v>
      </c>
      <c r="K199" s="280">
        <v>5</v>
      </c>
      <c r="L199" s="274" t="s">
        <v>126</v>
      </c>
      <c r="M199" s="275" t="s">
        <v>31</v>
      </c>
      <c r="N199" s="271">
        <v>1</v>
      </c>
      <c r="O199" s="282" t="s">
        <v>971</v>
      </c>
      <c r="P199" s="277" t="s">
        <v>972</v>
      </c>
      <c r="Q199" s="278"/>
      <c r="R199" s="278"/>
      <c r="S199" s="279"/>
      <c r="T199" s="278"/>
      <c r="U199" s="278"/>
      <c r="V199" s="278"/>
      <c r="W199" s="278"/>
      <c r="X199" s="278"/>
      <c r="Y199" s="278"/>
    </row>
    <row r="200" s="249" customFormat="1" ht="17.25" spans="2:25">
      <c r="B200" s="270" t="s">
        <v>964</v>
      </c>
      <c r="C200" s="270" t="s">
        <v>965</v>
      </c>
      <c r="D200" s="271" t="s">
        <v>966</v>
      </c>
      <c r="E200" s="272" t="s">
        <v>973</v>
      </c>
      <c r="F200" s="270"/>
      <c r="G200" s="270" t="s">
        <v>133</v>
      </c>
      <c r="H200" s="270" t="s">
        <v>29</v>
      </c>
      <c r="I200" s="280">
        <v>4</v>
      </c>
      <c r="J200" s="280">
        <v>4</v>
      </c>
      <c r="K200" s="280">
        <v>5</v>
      </c>
      <c r="L200" s="274" t="s">
        <v>126</v>
      </c>
      <c r="M200" s="275" t="s">
        <v>31</v>
      </c>
      <c r="N200" s="271">
        <v>1</v>
      </c>
      <c r="O200" s="282" t="s">
        <v>974</v>
      </c>
      <c r="P200" s="277" t="s">
        <v>33</v>
      </c>
      <c r="Q200" s="278"/>
      <c r="R200" s="278"/>
      <c r="S200" s="279"/>
      <c r="T200" s="278"/>
      <c r="U200" s="278"/>
      <c r="V200" s="278"/>
      <c r="W200" s="278"/>
      <c r="X200" s="278"/>
      <c r="Y200" s="278"/>
    </row>
    <row r="201" s="249" customFormat="1" ht="17.25" spans="2:25">
      <c r="B201" s="270" t="s">
        <v>964</v>
      </c>
      <c r="C201" s="270" t="s">
        <v>965</v>
      </c>
      <c r="D201" s="271" t="s">
        <v>966</v>
      </c>
      <c r="E201" s="272" t="s">
        <v>975</v>
      </c>
      <c r="F201" s="270"/>
      <c r="G201" s="270" t="s">
        <v>133</v>
      </c>
      <c r="H201" s="270" t="s">
        <v>29</v>
      </c>
      <c r="I201" s="280">
        <v>4</v>
      </c>
      <c r="J201" s="280">
        <v>4</v>
      </c>
      <c r="K201" s="280">
        <v>5</v>
      </c>
      <c r="L201" s="274" t="s">
        <v>126</v>
      </c>
      <c r="M201" s="275" t="s">
        <v>31</v>
      </c>
      <c r="N201" s="271">
        <v>1</v>
      </c>
      <c r="O201" s="282" t="s">
        <v>976</v>
      </c>
      <c r="P201" s="277" t="s">
        <v>71</v>
      </c>
      <c r="Q201" s="278"/>
      <c r="R201" s="278"/>
      <c r="S201" s="279"/>
      <c r="T201" s="278"/>
      <c r="U201" s="278"/>
      <c r="V201" s="278"/>
      <c r="W201" s="278"/>
      <c r="X201" s="278"/>
      <c r="Y201" s="278"/>
    </row>
    <row r="202" s="249" customFormat="1" ht="17.25" spans="2:25">
      <c r="B202" s="270" t="s">
        <v>964</v>
      </c>
      <c r="C202" s="270" t="s">
        <v>965</v>
      </c>
      <c r="D202" s="271" t="s">
        <v>966</v>
      </c>
      <c r="E202" s="272" t="s">
        <v>977</v>
      </c>
      <c r="F202" s="270"/>
      <c r="G202" s="270" t="s">
        <v>133</v>
      </c>
      <c r="H202" s="270" t="s">
        <v>29</v>
      </c>
      <c r="I202" s="280">
        <v>4</v>
      </c>
      <c r="J202" s="280">
        <v>4</v>
      </c>
      <c r="K202" s="280">
        <v>5</v>
      </c>
      <c r="L202" s="274" t="s">
        <v>126</v>
      </c>
      <c r="M202" s="275" t="s">
        <v>31</v>
      </c>
      <c r="N202" s="271">
        <v>1</v>
      </c>
      <c r="O202" s="282" t="s">
        <v>978</v>
      </c>
      <c r="P202" s="277" t="s">
        <v>63</v>
      </c>
      <c r="Q202" s="278"/>
      <c r="R202" s="278"/>
      <c r="S202" s="279"/>
      <c r="T202" s="278"/>
      <c r="U202" s="278"/>
      <c r="V202" s="278"/>
      <c r="W202" s="278"/>
      <c r="X202" s="278"/>
      <c r="Y202" s="278"/>
    </row>
    <row r="203" s="249" customFormat="1" ht="17.25" spans="2:25">
      <c r="B203" s="270" t="s">
        <v>964</v>
      </c>
      <c r="C203" s="270" t="s">
        <v>965</v>
      </c>
      <c r="D203" s="271" t="s">
        <v>966</v>
      </c>
      <c r="E203" s="272" t="s">
        <v>979</v>
      </c>
      <c r="F203" s="270"/>
      <c r="G203" s="270" t="s">
        <v>133</v>
      </c>
      <c r="H203" s="270" t="s">
        <v>29</v>
      </c>
      <c r="I203" s="280">
        <v>4</v>
      </c>
      <c r="J203" s="280">
        <v>4</v>
      </c>
      <c r="K203" s="280">
        <v>5</v>
      </c>
      <c r="L203" s="274" t="s">
        <v>126</v>
      </c>
      <c r="M203" s="275" t="s">
        <v>31</v>
      </c>
      <c r="N203" s="271">
        <v>1</v>
      </c>
      <c r="O203" s="282" t="s">
        <v>980</v>
      </c>
      <c r="P203" s="277" t="s">
        <v>981</v>
      </c>
      <c r="Q203" s="278"/>
      <c r="R203" s="278"/>
      <c r="S203" s="279"/>
      <c r="T203" s="278"/>
      <c r="U203" s="278"/>
      <c r="V203" s="278"/>
      <c r="W203" s="278"/>
      <c r="X203" s="278"/>
      <c r="Y203" s="278"/>
    </row>
    <row r="204" s="249" customFormat="1" ht="17.25" spans="2:25">
      <c r="B204" s="270" t="s">
        <v>982</v>
      </c>
      <c r="C204" s="270" t="s">
        <v>983</v>
      </c>
      <c r="D204" s="271" t="s">
        <v>984</v>
      </c>
      <c r="E204" s="272" t="s">
        <v>985</v>
      </c>
      <c r="F204" s="270"/>
      <c r="G204" s="270" t="s">
        <v>133</v>
      </c>
      <c r="H204" s="270" t="s">
        <v>29</v>
      </c>
      <c r="I204" s="280">
        <v>31</v>
      </c>
      <c r="J204" s="280">
        <v>31</v>
      </c>
      <c r="K204" s="280">
        <v>31</v>
      </c>
      <c r="L204" s="274" t="s">
        <v>126</v>
      </c>
      <c r="M204" s="275" t="s">
        <v>986</v>
      </c>
      <c r="N204" s="271">
        <v>1</v>
      </c>
      <c r="O204" s="282" t="s">
        <v>987</v>
      </c>
      <c r="P204" s="277" t="s">
        <v>988</v>
      </c>
      <c r="Q204" s="278"/>
      <c r="R204" s="278"/>
      <c r="S204" s="279"/>
      <c r="T204" s="278"/>
      <c r="U204" s="278"/>
      <c r="V204" s="278"/>
      <c r="W204" s="278"/>
      <c r="X204" s="278"/>
      <c r="Y204" s="278"/>
    </row>
    <row r="205" s="249" customFormat="1" ht="17.25" spans="2:25">
      <c r="B205" s="270" t="s">
        <v>989</v>
      </c>
      <c r="C205" s="270" t="s">
        <v>990</v>
      </c>
      <c r="D205" s="270" t="s">
        <v>991</v>
      </c>
      <c r="E205" s="270" t="s">
        <v>992</v>
      </c>
      <c r="F205" s="270"/>
      <c r="G205" s="270" t="s">
        <v>993</v>
      </c>
      <c r="H205" s="270" t="s">
        <v>68</v>
      </c>
      <c r="I205" s="270">
        <v>8</v>
      </c>
      <c r="J205" s="270">
        <v>6</v>
      </c>
      <c r="K205" s="270">
        <v>6</v>
      </c>
      <c r="L205" s="294" t="s">
        <v>646</v>
      </c>
      <c r="M205" s="295" t="s">
        <v>31</v>
      </c>
      <c r="N205" s="270">
        <v>1</v>
      </c>
      <c r="O205" s="270" t="s">
        <v>994</v>
      </c>
      <c r="P205" s="285" t="s">
        <v>995</v>
      </c>
      <c r="Q205" s="296"/>
      <c r="R205" s="278"/>
      <c r="S205" s="279"/>
      <c r="T205" s="278"/>
      <c r="U205" s="278"/>
      <c r="V205" s="278"/>
      <c r="W205" s="278"/>
      <c r="X205" s="278"/>
      <c r="Y205" s="278"/>
    </row>
    <row r="206" s="249" customFormat="1" ht="17.25" spans="2:25">
      <c r="B206" s="270" t="s">
        <v>996</v>
      </c>
      <c r="C206" s="270" t="s">
        <v>997</v>
      </c>
      <c r="D206" s="270" t="s">
        <v>998</v>
      </c>
      <c r="E206" s="270" t="s">
        <v>999</v>
      </c>
      <c r="F206" s="270"/>
      <c r="G206" s="270" t="s">
        <v>1000</v>
      </c>
      <c r="H206" s="270" t="s">
        <v>68</v>
      </c>
      <c r="I206" s="270">
        <v>7</v>
      </c>
      <c r="J206" s="270">
        <v>6</v>
      </c>
      <c r="K206" s="270">
        <v>6</v>
      </c>
      <c r="L206" s="294" t="s">
        <v>30</v>
      </c>
      <c r="M206" s="295" t="s">
        <v>31</v>
      </c>
      <c r="N206" s="270">
        <v>1</v>
      </c>
      <c r="O206" s="270" t="s">
        <v>1001</v>
      </c>
      <c r="P206" s="285" t="s">
        <v>359</v>
      </c>
      <c r="Q206" s="296"/>
      <c r="R206" s="278"/>
      <c r="S206" s="279"/>
      <c r="T206" s="278"/>
      <c r="U206" s="278"/>
      <c r="V206" s="278"/>
      <c r="W206" s="278"/>
      <c r="X206" s="278"/>
      <c r="Y206" s="278"/>
    </row>
    <row r="207" s="249" customFormat="1" ht="17.25" spans="2:25">
      <c r="B207" s="270" t="s">
        <v>1002</v>
      </c>
      <c r="C207" s="270" t="s">
        <v>1003</v>
      </c>
      <c r="D207" s="270" t="s">
        <v>714</v>
      </c>
      <c r="E207" s="270" t="s">
        <v>1004</v>
      </c>
      <c r="F207" s="270"/>
      <c r="G207" s="270" t="s">
        <v>717</v>
      </c>
      <c r="H207" s="270" t="s">
        <v>68</v>
      </c>
      <c r="I207" s="270">
        <v>6</v>
      </c>
      <c r="J207" s="270">
        <v>5</v>
      </c>
      <c r="K207" s="270">
        <v>5</v>
      </c>
      <c r="L207" s="294" t="s">
        <v>30</v>
      </c>
      <c r="M207" s="295" t="s">
        <v>31</v>
      </c>
      <c r="N207" s="270">
        <v>1</v>
      </c>
      <c r="O207" s="270" t="s">
        <v>1005</v>
      </c>
      <c r="P207" s="285" t="s">
        <v>1006</v>
      </c>
      <c r="Q207" s="296"/>
      <c r="R207" s="278"/>
      <c r="S207" s="279"/>
      <c r="T207" s="278"/>
      <c r="U207" s="278"/>
      <c r="V207" s="278"/>
      <c r="W207" s="278"/>
      <c r="X207" s="278"/>
      <c r="Y207" s="278"/>
    </row>
    <row r="208" s="249" customFormat="1" ht="17.25" spans="2:25">
      <c r="B208" s="270" t="s">
        <v>1007</v>
      </c>
      <c r="C208" s="270" t="s">
        <v>1008</v>
      </c>
      <c r="D208" s="270" t="s">
        <v>714</v>
      </c>
      <c r="E208" s="270" t="s">
        <v>1009</v>
      </c>
      <c r="F208" s="270"/>
      <c r="G208" s="270" t="s">
        <v>717</v>
      </c>
      <c r="H208" s="270" t="s">
        <v>68</v>
      </c>
      <c r="I208" s="270">
        <v>7</v>
      </c>
      <c r="J208" s="270">
        <v>6</v>
      </c>
      <c r="K208" s="270">
        <v>6</v>
      </c>
      <c r="L208" s="294" t="s">
        <v>30</v>
      </c>
      <c r="M208" s="295" t="s">
        <v>31</v>
      </c>
      <c r="N208" s="270">
        <v>1</v>
      </c>
      <c r="O208" s="270" t="s">
        <v>1010</v>
      </c>
      <c r="P208" s="285" t="s">
        <v>1011</v>
      </c>
      <c r="Q208" s="296"/>
      <c r="R208" s="278"/>
      <c r="S208" s="279"/>
      <c r="T208" s="278"/>
      <c r="U208" s="278"/>
      <c r="V208" s="278"/>
      <c r="W208" s="278"/>
      <c r="X208" s="278"/>
      <c r="Y208" s="278"/>
    </row>
    <row r="209" s="249" customFormat="1" ht="17.25" spans="2:25">
      <c r="B209" s="270" t="s">
        <v>1012</v>
      </c>
      <c r="C209" s="270" t="s">
        <v>1013</v>
      </c>
      <c r="D209" s="270"/>
      <c r="E209" s="270" t="s">
        <v>1014</v>
      </c>
      <c r="F209" s="270"/>
      <c r="G209" s="270" t="s">
        <v>717</v>
      </c>
      <c r="H209" s="270" t="s">
        <v>68</v>
      </c>
      <c r="I209" s="270">
        <v>6</v>
      </c>
      <c r="J209" s="270">
        <v>5</v>
      </c>
      <c r="K209" s="270">
        <v>5</v>
      </c>
      <c r="L209" s="294" t="s">
        <v>646</v>
      </c>
      <c r="M209" s="295" t="s">
        <v>31</v>
      </c>
      <c r="N209" s="270">
        <v>1</v>
      </c>
      <c r="O209" s="270" t="s">
        <v>1015</v>
      </c>
      <c r="P209" s="285" t="s">
        <v>963</v>
      </c>
      <c r="Q209" s="296"/>
      <c r="R209" s="278"/>
      <c r="S209" s="279"/>
      <c r="T209" s="278"/>
      <c r="U209" s="278"/>
      <c r="V209" s="278"/>
      <c r="W209" s="278"/>
      <c r="X209" s="278"/>
      <c r="Y209" s="278"/>
    </row>
    <row r="210" s="249" customFormat="1" ht="17.25" spans="2:25">
      <c r="B210" s="270" t="s">
        <v>1012</v>
      </c>
      <c r="C210" s="270" t="s">
        <v>1016</v>
      </c>
      <c r="D210" s="270" t="s">
        <v>714</v>
      </c>
      <c r="E210" s="270" t="s">
        <v>1017</v>
      </c>
      <c r="F210" s="270"/>
      <c r="G210" s="270" t="s">
        <v>717</v>
      </c>
      <c r="H210" s="270" t="s">
        <v>68</v>
      </c>
      <c r="I210" s="270">
        <v>6</v>
      </c>
      <c r="J210" s="270">
        <v>5</v>
      </c>
      <c r="K210" s="270">
        <v>5</v>
      </c>
      <c r="L210" s="294" t="s">
        <v>30</v>
      </c>
      <c r="M210" s="295" t="s">
        <v>31</v>
      </c>
      <c r="N210" s="270">
        <v>1</v>
      </c>
      <c r="O210" s="270" t="s">
        <v>1018</v>
      </c>
      <c r="P210" s="285" t="s">
        <v>1019</v>
      </c>
      <c r="Q210" s="296"/>
      <c r="R210" s="278"/>
      <c r="S210" s="279"/>
      <c r="T210" s="278"/>
      <c r="U210" s="278"/>
      <c r="V210" s="278"/>
      <c r="W210" s="278"/>
      <c r="X210" s="278"/>
      <c r="Y210" s="278"/>
    </row>
    <row r="211" s="249" customFormat="1" ht="17.25" spans="2:25">
      <c r="B211" s="270" t="s">
        <v>1020</v>
      </c>
      <c r="C211" s="270" t="s">
        <v>1021</v>
      </c>
      <c r="D211" s="270" t="s">
        <v>632</v>
      </c>
      <c r="E211" s="270" t="s">
        <v>1022</v>
      </c>
      <c r="F211" s="270" t="s">
        <v>1023</v>
      </c>
      <c r="G211" s="270" t="s">
        <v>168</v>
      </c>
      <c r="H211" s="270" t="s">
        <v>68</v>
      </c>
      <c r="I211" s="270">
        <v>2</v>
      </c>
      <c r="J211" s="270">
        <v>2</v>
      </c>
      <c r="K211" s="270">
        <v>2</v>
      </c>
      <c r="L211" s="294" t="s">
        <v>69</v>
      </c>
      <c r="M211" s="295" t="s">
        <v>31</v>
      </c>
      <c r="N211" s="270">
        <v>1</v>
      </c>
      <c r="O211" s="270" t="s">
        <v>1024</v>
      </c>
      <c r="P211" s="285" t="s">
        <v>33</v>
      </c>
      <c r="Q211" s="296"/>
      <c r="R211" s="278"/>
      <c r="S211" s="279"/>
      <c r="T211" s="278"/>
      <c r="U211" s="278"/>
      <c r="V211" s="278"/>
      <c r="W211" s="278"/>
      <c r="X211" s="278"/>
      <c r="Y211" s="278"/>
    </row>
    <row r="212" s="249" customFormat="1" ht="17.25" spans="2:25">
      <c r="B212" s="270" t="s">
        <v>1025</v>
      </c>
      <c r="C212" s="270" t="s">
        <v>1026</v>
      </c>
      <c r="D212" s="270" t="s">
        <v>714</v>
      </c>
      <c r="E212" s="270" t="s">
        <v>1027</v>
      </c>
      <c r="F212" s="270"/>
      <c r="G212" s="270" t="s">
        <v>717</v>
      </c>
      <c r="H212" s="270" t="s">
        <v>68</v>
      </c>
      <c r="I212" s="270">
        <v>6</v>
      </c>
      <c r="J212" s="270">
        <v>5</v>
      </c>
      <c r="K212" s="270">
        <v>5</v>
      </c>
      <c r="L212" s="294" t="s">
        <v>30</v>
      </c>
      <c r="M212" s="295" t="s">
        <v>31</v>
      </c>
      <c r="N212" s="270">
        <v>1</v>
      </c>
      <c r="O212" s="270" t="s">
        <v>1028</v>
      </c>
      <c r="P212" s="285" t="s">
        <v>1029</v>
      </c>
      <c r="Q212" s="296"/>
      <c r="R212" s="278"/>
      <c r="S212" s="279"/>
      <c r="T212" s="278"/>
      <c r="U212" s="278"/>
      <c r="V212" s="278"/>
      <c r="W212" s="278"/>
      <c r="X212" s="278"/>
      <c r="Y212" s="278"/>
    </row>
    <row r="213" s="249" customFormat="1" ht="17.25" spans="2:25">
      <c r="B213" s="270" t="s">
        <v>1030</v>
      </c>
      <c r="C213" s="270" t="s">
        <v>1031</v>
      </c>
      <c r="D213" s="270" t="s">
        <v>576</v>
      </c>
      <c r="E213" s="270" t="s">
        <v>1032</v>
      </c>
      <c r="F213" s="270"/>
      <c r="G213" s="270" t="s">
        <v>578</v>
      </c>
      <c r="H213" s="270" t="s">
        <v>68</v>
      </c>
      <c r="I213" s="270">
        <v>8</v>
      </c>
      <c r="J213" s="270">
        <v>8</v>
      </c>
      <c r="K213" s="270">
        <v>8</v>
      </c>
      <c r="L213" s="294" t="s">
        <v>646</v>
      </c>
      <c r="M213" s="295" t="s">
        <v>31</v>
      </c>
      <c r="N213" s="270">
        <v>1</v>
      </c>
      <c r="O213" s="270" t="s">
        <v>1033</v>
      </c>
      <c r="P213" s="285" t="s">
        <v>1034</v>
      </c>
      <c r="Q213" s="296"/>
      <c r="R213" s="278"/>
      <c r="S213" s="279"/>
      <c r="T213" s="278"/>
      <c r="U213" s="278"/>
      <c r="V213" s="278"/>
      <c r="W213" s="278"/>
      <c r="X213" s="278"/>
      <c r="Y213" s="278"/>
    </row>
    <row r="214" s="250" customFormat="1" ht="17.25" spans="2:25">
      <c r="B214" s="270" t="s">
        <v>878</v>
      </c>
      <c r="C214" s="270" t="s">
        <v>1035</v>
      </c>
      <c r="D214" s="270"/>
      <c r="E214" s="270" t="s">
        <v>1036</v>
      </c>
      <c r="F214" s="270"/>
      <c r="G214" s="270" t="s">
        <v>717</v>
      </c>
      <c r="H214" s="270" t="s">
        <v>68</v>
      </c>
      <c r="I214" s="270"/>
      <c r="J214" s="270"/>
      <c r="K214" s="270"/>
      <c r="L214" s="294"/>
      <c r="M214" s="295"/>
      <c r="N214" s="270">
        <v>1</v>
      </c>
      <c r="O214" s="270"/>
      <c r="P214" s="285"/>
      <c r="Q214" s="296"/>
      <c r="R214" s="297"/>
      <c r="S214" s="298"/>
      <c r="T214" s="297"/>
      <c r="U214" s="297"/>
      <c r="V214" s="297"/>
      <c r="W214" s="297"/>
      <c r="X214" s="297"/>
      <c r="Y214" s="297"/>
    </row>
    <row r="215" s="251" customFormat="1" ht="17.25" spans="2:25">
      <c r="B215" s="270" t="s">
        <v>1037</v>
      </c>
      <c r="C215" s="270" t="s">
        <v>1038</v>
      </c>
      <c r="D215" s="270" t="s">
        <v>1039</v>
      </c>
      <c r="E215" s="270" t="s">
        <v>1040</v>
      </c>
      <c r="F215" s="270" t="s">
        <v>1041</v>
      </c>
      <c r="G215" s="270" t="s">
        <v>48</v>
      </c>
      <c r="H215" s="270" t="s">
        <v>1042</v>
      </c>
      <c r="I215" s="270"/>
      <c r="J215" s="270"/>
      <c r="K215" s="270"/>
      <c r="L215" s="294"/>
      <c r="M215" s="295" t="s">
        <v>89</v>
      </c>
      <c r="N215" s="270">
        <v>1</v>
      </c>
      <c r="O215" s="270" t="s">
        <v>1043</v>
      </c>
      <c r="P215" s="285" t="s">
        <v>1044</v>
      </c>
      <c r="Q215" s="296"/>
      <c r="R215" s="299"/>
      <c r="S215" s="300"/>
      <c r="T215" s="299"/>
      <c r="U215" s="299"/>
      <c r="V215" s="299"/>
      <c r="W215" s="299"/>
      <c r="X215" s="299"/>
      <c r="Y215" s="299"/>
    </row>
    <row r="216" s="251" customFormat="1" ht="17.25" spans="2:25">
      <c r="B216" s="270" t="s">
        <v>1037</v>
      </c>
      <c r="C216" s="270" t="s">
        <v>1038</v>
      </c>
      <c r="D216" s="270" t="s">
        <v>217</v>
      </c>
      <c r="E216" s="270" t="s">
        <v>1045</v>
      </c>
      <c r="F216" s="270" t="s">
        <v>1046</v>
      </c>
      <c r="G216" s="270" t="s">
        <v>48</v>
      </c>
      <c r="H216" s="270" t="s">
        <v>29</v>
      </c>
      <c r="I216" s="270">
        <v>12</v>
      </c>
      <c r="J216" s="270">
        <v>11</v>
      </c>
      <c r="K216" s="270">
        <v>11</v>
      </c>
      <c r="L216" s="294" t="s">
        <v>69</v>
      </c>
      <c r="M216" s="295" t="s">
        <v>78</v>
      </c>
      <c r="N216" s="270">
        <v>1</v>
      </c>
      <c r="O216" s="270" t="s">
        <v>1047</v>
      </c>
      <c r="P216" s="285" t="s">
        <v>162</v>
      </c>
      <c r="Q216" s="296"/>
      <c r="R216" s="299"/>
      <c r="S216" s="300"/>
      <c r="T216" s="299"/>
      <c r="U216" s="299"/>
      <c r="V216" s="299"/>
      <c r="W216" s="299"/>
      <c r="X216" s="299"/>
      <c r="Y216" s="299"/>
    </row>
    <row r="217" s="251" customFormat="1" ht="17.25" spans="2:25">
      <c r="B217" s="270" t="s">
        <v>1048</v>
      </c>
      <c r="C217" s="270" t="s">
        <v>1049</v>
      </c>
      <c r="D217" s="270" t="s">
        <v>1050</v>
      </c>
      <c r="E217" s="270" t="s">
        <v>1051</v>
      </c>
      <c r="F217" s="270" t="s">
        <v>1052</v>
      </c>
      <c r="G217" s="270" t="s">
        <v>1053</v>
      </c>
      <c r="H217" s="270" t="s">
        <v>1042</v>
      </c>
      <c r="I217" s="270"/>
      <c r="J217" s="270"/>
      <c r="K217" s="270"/>
      <c r="L217" s="294"/>
      <c r="M217" s="295" t="s">
        <v>89</v>
      </c>
      <c r="N217" s="270">
        <v>1</v>
      </c>
      <c r="O217" s="270" t="s">
        <v>1054</v>
      </c>
      <c r="P217" s="285" t="s">
        <v>1055</v>
      </c>
      <c r="Q217" s="296"/>
      <c r="R217" s="299"/>
      <c r="S217" s="300"/>
      <c r="T217" s="299"/>
      <c r="U217" s="299"/>
      <c r="V217" s="299"/>
      <c r="W217" s="299"/>
      <c r="X217" s="299"/>
      <c r="Y217" s="299"/>
    </row>
    <row r="218" s="251" customFormat="1" ht="17.25" spans="2:25">
      <c r="B218" s="270" t="s">
        <v>1048</v>
      </c>
      <c r="C218" s="270" t="s">
        <v>1049</v>
      </c>
      <c r="D218" s="270" t="s">
        <v>1056</v>
      </c>
      <c r="E218" s="270" t="s">
        <v>1057</v>
      </c>
      <c r="F218" s="270" t="s">
        <v>1058</v>
      </c>
      <c r="G218" s="270" t="s">
        <v>102</v>
      </c>
      <c r="H218" s="270" t="s">
        <v>1042</v>
      </c>
      <c r="I218" s="270"/>
      <c r="J218" s="270"/>
      <c r="K218" s="270"/>
      <c r="L218" s="294"/>
      <c r="M218" s="295" t="s">
        <v>89</v>
      </c>
      <c r="N218" s="270">
        <v>1</v>
      </c>
      <c r="O218" s="270" t="s">
        <v>1059</v>
      </c>
      <c r="P218" s="285" t="s">
        <v>1060</v>
      </c>
      <c r="Q218" s="296"/>
      <c r="R218" s="299"/>
      <c r="S218" s="300"/>
      <c r="T218" s="299"/>
      <c r="U218" s="299"/>
      <c r="V218" s="299"/>
      <c r="W218" s="299"/>
      <c r="X218" s="299"/>
      <c r="Y218" s="299"/>
    </row>
    <row r="219" s="251" customFormat="1" ht="17.25" spans="2:25">
      <c r="B219" s="270" t="s">
        <v>1061</v>
      </c>
      <c r="C219" s="270" t="s">
        <v>1062</v>
      </c>
      <c r="D219" s="270" t="s">
        <v>1063</v>
      </c>
      <c r="E219" s="270" t="s">
        <v>1064</v>
      </c>
      <c r="F219" s="270" t="s">
        <v>1065</v>
      </c>
      <c r="G219" s="270" t="s">
        <v>39</v>
      </c>
      <c r="H219" s="270" t="s">
        <v>29</v>
      </c>
      <c r="I219" s="270">
        <v>3</v>
      </c>
      <c r="J219" s="270">
        <v>3</v>
      </c>
      <c r="K219" s="270"/>
      <c r="L219" s="294" t="s">
        <v>49</v>
      </c>
      <c r="M219" s="295" t="s">
        <v>31</v>
      </c>
      <c r="N219" s="270">
        <v>1</v>
      </c>
      <c r="O219" s="270" t="s">
        <v>1066</v>
      </c>
      <c r="P219" s="285" t="s">
        <v>51</v>
      </c>
      <c r="Q219" s="296"/>
      <c r="R219" s="299"/>
      <c r="S219" s="300"/>
      <c r="T219" s="299"/>
      <c r="U219" s="299"/>
      <c r="V219" s="299"/>
      <c r="W219" s="299"/>
      <c r="X219" s="299"/>
      <c r="Y219" s="299"/>
    </row>
    <row r="220" s="251" customFormat="1" ht="17.25" spans="2:25">
      <c r="B220" s="270" t="s">
        <v>1067</v>
      </c>
      <c r="C220" s="270" t="s">
        <v>1068</v>
      </c>
      <c r="D220" s="270" t="s">
        <v>1069</v>
      </c>
      <c r="E220" s="270" t="s">
        <v>1070</v>
      </c>
      <c r="F220" s="270" t="s">
        <v>1071</v>
      </c>
      <c r="G220" s="270" t="s">
        <v>102</v>
      </c>
      <c r="H220" s="270" t="s">
        <v>1072</v>
      </c>
      <c r="I220" s="270"/>
      <c r="J220" s="270"/>
      <c r="K220" s="270"/>
      <c r="L220" s="294"/>
      <c r="M220" s="295" t="s">
        <v>89</v>
      </c>
      <c r="N220" s="270">
        <v>1</v>
      </c>
      <c r="O220" s="270" t="s">
        <v>1073</v>
      </c>
      <c r="P220" s="285" t="s">
        <v>1055</v>
      </c>
      <c r="Q220" s="296"/>
      <c r="R220" s="299"/>
      <c r="S220" s="300"/>
      <c r="T220" s="299"/>
      <c r="U220" s="299"/>
      <c r="V220" s="299"/>
      <c r="W220" s="299"/>
      <c r="X220" s="299"/>
      <c r="Y220" s="299"/>
    </row>
    <row r="221" s="251" customFormat="1" ht="17.25" spans="2:25">
      <c r="B221" s="270" t="s">
        <v>1067</v>
      </c>
      <c r="C221" s="270" t="s">
        <v>1068</v>
      </c>
      <c r="D221" s="270" t="s">
        <v>1069</v>
      </c>
      <c r="E221" s="270" t="s">
        <v>1074</v>
      </c>
      <c r="F221" s="270" t="s">
        <v>1075</v>
      </c>
      <c r="G221" s="270" t="s">
        <v>102</v>
      </c>
      <c r="H221" s="270" t="s">
        <v>1072</v>
      </c>
      <c r="I221" s="270"/>
      <c r="J221" s="270"/>
      <c r="K221" s="270"/>
      <c r="L221" s="294"/>
      <c r="M221" s="295" t="s">
        <v>89</v>
      </c>
      <c r="N221" s="270">
        <v>1</v>
      </c>
      <c r="O221" s="270" t="s">
        <v>1076</v>
      </c>
      <c r="P221" s="285" t="s">
        <v>80</v>
      </c>
      <c r="Q221" s="296"/>
      <c r="R221" s="299"/>
      <c r="S221" s="300"/>
      <c r="T221" s="299"/>
      <c r="U221" s="299"/>
      <c r="V221" s="299"/>
      <c r="W221" s="299"/>
      <c r="X221" s="299"/>
      <c r="Y221" s="299"/>
    </row>
    <row r="222" s="251" customFormat="1" ht="17.25" spans="2:25">
      <c r="B222" s="270" t="s">
        <v>1077</v>
      </c>
      <c r="C222" s="270" t="s">
        <v>1078</v>
      </c>
      <c r="D222" s="270" t="s">
        <v>1079</v>
      </c>
      <c r="E222" s="270" t="s">
        <v>1080</v>
      </c>
      <c r="F222" s="270" t="s">
        <v>1081</v>
      </c>
      <c r="G222" s="270" t="s">
        <v>39</v>
      </c>
      <c r="H222" s="270" t="s">
        <v>29</v>
      </c>
      <c r="I222" s="270">
        <v>6</v>
      </c>
      <c r="J222" s="270">
        <v>6</v>
      </c>
      <c r="K222" s="270"/>
      <c r="L222" s="294" t="s">
        <v>69</v>
      </c>
      <c r="M222" s="295" t="s">
        <v>31</v>
      </c>
      <c r="N222" s="270">
        <v>1</v>
      </c>
      <c r="O222" s="270" t="s">
        <v>1082</v>
      </c>
      <c r="P222" s="285" t="s">
        <v>1083</v>
      </c>
      <c r="Q222" s="296"/>
      <c r="R222" s="299"/>
      <c r="S222" s="300"/>
      <c r="T222" s="299"/>
      <c r="U222" s="299"/>
      <c r="V222" s="299"/>
      <c r="W222" s="299"/>
      <c r="X222" s="299"/>
      <c r="Y222" s="299"/>
    </row>
    <row r="223" s="251" customFormat="1" ht="17.25" spans="2:25">
      <c r="B223" s="270" t="s">
        <v>1084</v>
      </c>
      <c r="C223" s="270" t="s">
        <v>1085</v>
      </c>
      <c r="D223" s="270" t="s">
        <v>1086</v>
      </c>
      <c r="E223" s="270" t="s">
        <v>1087</v>
      </c>
      <c r="F223" s="270" t="s">
        <v>1088</v>
      </c>
      <c r="G223" s="270" t="s">
        <v>28</v>
      </c>
      <c r="H223" s="270" t="s">
        <v>29</v>
      </c>
      <c r="I223" s="270">
        <v>11</v>
      </c>
      <c r="J223" s="270">
        <v>11</v>
      </c>
      <c r="K223" s="270">
        <v>11</v>
      </c>
      <c r="L223" s="294" t="s">
        <v>126</v>
      </c>
      <c r="M223" s="295" t="s">
        <v>1089</v>
      </c>
      <c r="N223" s="270">
        <v>1</v>
      </c>
      <c r="O223" s="270" t="s">
        <v>1090</v>
      </c>
      <c r="P223" s="285" t="s">
        <v>1091</v>
      </c>
      <c r="Q223" s="296"/>
      <c r="R223" s="299"/>
      <c r="S223" s="300"/>
      <c r="T223" s="299"/>
      <c r="U223" s="299"/>
      <c r="V223" s="299"/>
      <c r="W223" s="299"/>
      <c r="X223" s="299"/>
      <c r="Y223" s="299"/>
    </row>
    <row r="224" s="251" customFormat="1" ht="17.25" spans="2:25">
      <c r="B224" s="270" t="s">
        <v>1092</v>
      </c>
      <c r="C224" s="270" t="s">
        <v>1093</v>
      </c>
      <c r="D224" s="270" t="s">
        <v>201</v>
      </c>
      <c r="E224" s="270" t="s">
        <v>1094</v>
      </c>
      <c r="F224" s="270" t="s">
        <v>1095</v>
      </c>
      <c r="G224" s="270" t="s">
        <v>48</v>
      </c>
      <c r="H224" s="270" t="s">
        <v>87</v>
      </c>
      <c r="I224" s="270">
        <v>4</v>
      </c>
      <c r="J224" s="270">
        <v>4</v>
      </c>
      <c r="K224" s="270">
        <v>4</v>
      </c>
      <c r="L224" s="294" t="s">
        <v>88</v>
      </c>
      <c r="M224" s="295" t="s">
        <v>89</v>
      </c>
      <c r="N224" s="270">
        <v>1</v>
      </c>
      <c r="O224" s="270" t="s">
        <v>1096</v>
      </c>
      <c r="P224" s="285"/>
      <c r="Q224" s="296"/>
      <c r="R224" s="299"/>
      <c r="S224" s="300"/>
      <c r="T224" s="299"/>
      <c r="U224" s="299"/>
      <c r="V224" s="299"/>
      <c r="W224" s="299"/>
      <c r="X224" s="299"/>
      <c r="Y224" s="299"/>
    </row>
    <row r="225" s="251" customFormat="1" ht="17.25" spans="2:25">
      <c r="B225" s="270" t="s">
        <v>1092</v>
      </c>
      <c r="C225" s="270" t="s">
        <v>1093</v>
      </c>
      <c r="D225" s="270" t="s">
        <v>201</v>
      </c>
      <c r="E225" s="270" t="s">
        <v>1097</v>
      </c>
      <c r="F225" s="270" t="s">
        <v>1098</v>
      </c>
      <c r="G225" s="270" t="s">
        <v>48</v>
      </c>
      <c r="H225" s="270" t="s">
        <v>87</v>
      </c>
      <c r="I225" s="270">
        <v>4</v>
      </c>
      <c r="J225" s="270">
        <v>4</v>
      </c>
      <c r="K225" s="270">
        <v>4</v>
      </c>
      <c r="L225" s="294" t="s">
        <v>88</v>
      </c>
      <c r="M225" s="295" t="s">
        <v>89</v>
      </c>
      <c r="N225" s="270">
        <v>1</v>
      </c>
      <c r="O225" s="270" t="s">
        <v>1099</v>
      </c>
      <c r="P225" s="285"/>
      <c r="Q225" s="296"/>
      <c r="R225" s="299"/>
      <c r="S225" s="300"/>
      <c r="T225" s="299"/>
      <c r="U225" s="299"/>
      <c r="V225" s="299"/>
      <c r="W225" s="299"/>
      <c r="X225" s="299"/>
      <c r="Y225" s="299"/>
    </row>
    <row r="226" s="251" customFormat="1" ht="17.25" spans="2:25">
      <c r="B226" s="270" t="s">
        <v>1100</v>
      </c>
      <c r="C226" s="270" t="s">
        <v>1100</v>
      </c>
      <c r="D226" s="270" t="s">
        <v>217</v>
      </c>
      <c r="E226" s="270" t="s">
        <v>1101</v>
      </c>
      <c r="F226" s="270"/>
      <c r="G226" s="270" t="s">
        <v>48</v>
      </c>
      <c r="H226" s="270" t="s">
        <v>29</v>
      </c>
      <c r="I226" s="270">
        <v>7</v>
      </c>
      <c r="J226" s="270">
        <v>7</v>
      </c>
      <c r="K226" s="270">
        <v>7</v>
      </c>
      <c r="L226" s="294" t="s">
        <v>69</v>
      </c>
      <c r="M226" s="295" t="s">
        <v>31</v>
      </c>
      <c r="N226" s="270">
        <v>1</v>
      </c>
      <c r="O226" s="270" t="s">
        <v>1102</v>
      </c>
      <c r="P226" s="285" t="s">
        <v>887</v>
      </c>
      <c r="Q226" s="296"/>
      <c r="R226" s="299"/>
      <c r="S226" s="300"/>
      <c r="T226" s="299"/>
      <c r="U226" s="299"/>
      <c r="V226" s="299"/>
      <c r="W226" s="299"/>
      <c r="X226" s="299"/>
      <c r="Y226" s="299"/>
    </row>
    <row r="227" s="251" customFormat="1" ht="17.25" spans="2:25">
      <c r="B227" s="270" t="s">
        <v>1103</v>
      </c>
      <c r="C227" s="270" t="s">
        <v>1104</v>
      </c>
      <c r="D227" s="270" t="s">
        <v>1069</v>
      </c>
      <c r="E227" s="270" t="s">
        <v>1105</v>
      </c>
      <c r="F227" s="270" t="s">
        <v>1106</v>
      </c>
      <c r="G227" s="270" t="s">
        <v>102</v>
      </c>
      <c r="H227" s="270" t="s">
        <v>1072</v>
      </c>
      <c r="I227" s="270"/>
      <c r="J227" s="270"/>
      <c r="K227" s="270"/>
      <c r="L227" s="294"/>
      <c r="M227" s="295" t="s">
        <v>89</v>
      </c>
      <c r="N227" s="270">
        <v>1</v>
      </c>
      <c r="O227" s="270" t="s">
        <v>1107</v>
      </c>
      <c r="P227" s="285" t="s">
        <v>1108</v>
      </c>
      <c r="Q227" s="296"/>
      <c r="R227" s="299"/>
      <c r="S227" s="300"/>
      <c r="T227" s="299"/>
      <c r="U227" s="299"/>
      <c r="V227" s="299"/>
      <c r="W227" s="299"/>
      <c r="X227" s="299"/>
      <c r="Y227" s="299"/>
    </row>
    <row r="228" s="251" customFormat="1" ht="17.25" spans="2:25">
      <c r="B228" s="270" t="s">
        <v>1103</v>
      </c>
      <c r="C228" s="270" t="s">
        <v>1104</v>
      </c>
      <c r="D228" s="270" t="s">
        <v>1069</v>
      </c>
      <c r="E228" s="270" t="s">
        <v>1109</v>
      </c>
      <c r="F228" s="270" t="s">
        <v>1110</v>
      </c>
      <c r="G228" s="270" t="s">
        <v>102</v>
      </c>
      <c r="H228" s="270" t="s">
        <v>1072</v>
      </c>
      <c r="I228" s="270"/>
      <c r="J228" s="270"/>
      <c r="K228" s="270"/>
      <c r="L228" s="294"/>
      <c r="M228" s="295" t="s">
        <v>89</v>
      </c>
      <c r="N228" s="270">
        <v>1</v>
      </c>
      <c r="O228" s="270" t="s">
        <v>1111</v>
      </c>
      <c r="P228" s="285" t="s">
        <v>1112</v>
      </c>
      <c r="Q228" s="296"/>
      <c r="R228" s="299"/>
      <c r="S228" s="300"/>
      <c r="T228" s="299"/>
      <c r="U228" s="299"/>
      <c r="V228" s="299"/>
      <c r="W228" s="299"/>
      <c r="X228" s="299"/>
      <c r="Y228" s="299"/>
    </row>
    <row r="229" s="251" customFormat="1" ht="17.25" spans="2:25">
      <c r="B229" s="270" t="s">
        <v>1113</v>
      </c>
      <c r="C229" s="270"/>
      <c r="D229" s="270" t="s">
        <v>1114</v>
      </c>
      <c r="E229" s="270" t="s">
        <v>1115</v>
      </c>
      <c r="F229" s="270"/>
      <c r="G229" s="270" t="s">
        <v>133</v>
      </c>
      <c r="H229" s="270" t="s">
        <v>29</v>
      </c>
      <c r="I229" s="270">
        <v>11</v>
      </c>
      <c r="J229" s="270">
        <v>11</v>
      </c>
      <c r="K229" s="270">
        <v>11</v>
      </c>
      <c r="L229" s="294" t="s">
        <v>126</v>
      </c>
      <c r="M229" s="295" t="s">
        <v>78</v>
      </c>
      <c r="N229" s="270">
        <v>1</v>
      </c>
      <c r="O229" s="270" t="s">
        <v>1116</v>
      </c>
      <c r="P229" s="285" t="s">
        <v>1117</v>
      </c>
      <c r="Q229" s="296"/>
      <c r="R229" s="299"/>
      <c r="S229" s="300"/>
      <c r="T229" s="299"/>
      <c r="U229" s="299"/>
      <c r="V229" s="299"/>
      <c r="W229" s="299"/>
      <c r="X229" s="299"/>
      <c r="Y229" s="299"/>
    </row>
    <row r="230" s="251" customFormat="1" ht="17.25" spans="2:25">
      <c r="B230" s="270" t="s">
        <v>1118</v>
      </c>
      <c r="C230" s="270"/>
      <c r="D230" s="270" t="s">
        <v>1114</v>
      </c>
      <c r="E230" s="270" t="s">
        <v>1119</v>
      </c>
      <c r="F230" s="270"/>
      <c r="G230" s="270" t="s">
        <v>133</v>
      </c>
      <c r="H230" s="270" t="s">
        <v>29</v>
      </c>
      <c r="I230" s="270">
        <v>12</v>
      </c>
      <c r="J230" s="270">
        <v>12</v>
      </c>
      <c r="K230" s="270">
        <v>12</v>
      </c>
      <c r="L230" s="294" t="s">
        <v>442</v>
      </c>
      <c r="M230" s="295" t="s">
        <v>78</v>
      </c>
      <c r="N230" s="270">
        <v>1</v>
      </c>
      <c r="O230" s="270" t="s">
        <v>1120</v>
      </c>
      <c r="P230" s="285" t="s">
        <v>1121</v>
      </c>
      <c r="Q230" s="296"/>
      <c r="R230" s="299"/>
      <c r="S230" s="300"/>
      <c r="T230" s="299"/>
      <c r="U230" s="299"/>
      <c r="V230" s="299"/>
      <c r="W230" s="299"/>
      <c r="X230" s="299"/>
      <c r="Y230" s="299"/>
    </row>
    <row r="231" s="251" customFormat="1" ht="17.25" spans="2:25">
      <c r="B231" s="270" t="s">
        <v>1118</v>
      </c>
      <c r="C231" s="270"/>
      <c r="D231" s="270" t="s">
        <v>1114</v>
      </c>
      <c r="E231" s="270" t="s">
        <v>1122</v>
      </c>
      <c r="F231" s="270"/>
      <c r="G231" s="270" t="s">
        <v>133</v>
      </c>
      <c r="H231" s="270" t="s">
        <v>29</v>
      </c>
      <c r="I231" s="270">
        <v>12</v>
      </c>
      <c r="J231" s="270">
        <v>12</v>
      </c>
      <c r="K231" s="270">
        <v>12</v>
      </c>
      <c r="L231" s="294" t="s">
        <v>442</v>
      </c>
      <c r="M231" s="295" t="s">
        <v>78</v>
      </c>
      <c r="N231" s="270">
        <v>1</v>
      </c>
      <c r="O231" s="270" t="s">
        <v>1123</v>
      </c>
      <c r="P231" s="285" t="s">
        <v>697</v>
      </c>
      <c r="Q231" s="296"/>
      <c r="R231" s="299"/>
      <c r="S231" s="300"/>
      <c r="T231" s="299"/>
      <c r="U231" s="299"/>
      <c r="V231" s="299"/>
      <c r="W231" s="299"/>
      <c r="X231" s="299"/>
      <c r="Y231" s="299"/>
    </row>
    <row r="232" s="251" customFormat="1" ht="17.25" spans="2:25">
      <c r="B232" s="270" t="s">
        <v>1118</v>
      </c>
      <c r="C232" s="270"/>
      <c r="D232" s="270" t="s">
        <v>1114</v>
      </c>
      <c r="E232" s="270" t="s">
        <v>1124</v>
      </c>
      <c r="F232" s="270"/>
      <c r="G232" s="270" t="s">
        <v>133</v>
      </c>
      <c r="H232" s="270" t="s">
        <v>29</v>
      </c>
      <c r="I232" s="270">
        <v>12</v>
      </c>
      <c r="J232" s="270">
        <v>12</v>
      </c>
      <c r="K232" s="270">
        <v>12</v>
      </c>
      <c r="L232" s="294" t="s">
        <v>442</v>
      </c>
      <c r="M232" s="295" t="s">
        <v>78</v>
      </c>
      <c r="N232" s="270">
        <v>1</v>
      </c>
      <c r="O232" s="270" t="s">
        <v>1125</v>
      </c>
      <c r="P232" s="285" t="s">
        <v>1126</v>
      </c>
      <c r="Q232" s="296"/>
      <c r="R232" s="299"/>
      <c r="S232" s="300"/>
      <c r="T232" s="299"/>
      <c r="U232" s="299"/>
      <c r="V232" s="299"/>
      <c r="W232" s="299"/>
      <c r="X232" s="299"/>
      <c r="Y232" s="299"/>
    </row>
    <row r="233" s="251" customFormat="1" ht="17.25" spans="2:25">
      <c r="B233" s="270" t="s">
        <v>1118</v>
      </c>
      <c r="C233" s="270"/>
      <c r="D233" s="270" t="s">
        <v>1114</v>
      </c>
      <c r="E233" s="270" t="s">
        <v>1127</v>
      </c>
      <c r="F233" s="270"/>
      <c r="G233" s="270" t="s">
        <v>133</v>
      </c>
      <c r="H233" s="270" t="s">
        <v>29</v>
      </c>
      <c r="I233" s="270">
        <v>12</v>
      </c>
      <c r="J233" s="270">
        <v>12</v>
      </c>
      <c r="K233" s="270">
        <v>12</v>
      </c>
      <c r="L233" s="294" t="s">
        <v>442</v>
      </c>
      <c r="M233" s="295" t="s">
        <v>78</v>
      </c>
      <c r="N233" s="270">
        <v>1</v>
      </c>
      <c r="O233" s="270" t="s">
        <v>1128</v>
      </c>
      <c r="P233" s="285" t="s">
        <v>1129</v>
      </c>
      <c r="Q233" s="296"/>
      <c r="R233" s="299"/>
      <c r="S233" s="300"/>
      <c r="T233" s="299"/>
      <c r="U233" s="299"/>
      <c r="V233" s="299"/>
      <c r="W233" s="299"/>
      <c r="X233" s="299"/>
      <c r="Y233" s="299"/>
    </row>
    <row r="234" s="251" customFormat="1" ht="17.25" spans="2:25">
      <c r="B234" s="270" t="s">
        <v>1118</v>
      </c>
      <c r="C234" s="270"/>
      <c r="D234" s="270" t="s">
        <v>1114</v>
      </c>
      <c r="E234" s="270" t="s">
        <v>1130</v>
      </c>
      <c r="F234" s="270"/>
      <c r="G234" s="270" t="s">
        <v>133</v>
      </c>
      <c r="H234" s="270" t="s">
        <v>29</v>
      </c>
      <c r="I234" s="270">
        <v>13</v>
      </c>
      <c r="J234" s="270">
        <v>11</v>
      </c>
      <c r="K234" s="270">
        <v>11</v>
      </c>
      <c r="L234" s="294" t="s">
        <v>442</v>
      </c>
      <c r="M234" s="295" t="s">
        <v>78</v>
      </c>
      <c r="N234" s="270">
        <v>1</v>
      </c>
      <c r="O234" s="270" t="s">
        <v>1131</v>
      </c>
      <c r="P234" s="285" t="s">
        <v>1132</v>
      </c>
      <c r="Q234" s="296"/>
      <c r="R234" s="299"/>
      <c r="S234" s="300"/>
      <c r="T234" s="299"/>
      <c r="U234" s="299"/>
      <c r="V234" s="299"/>
      <c r="W234" s="299"/>
      <c r="X234" s="299"/>
      <c r="Y234" s="299"/>
    </row>
    <row r="235" s="251" customFormat="1" ht="17.25" spans="2:25">
      <c r="B235" s="270" t="s">
        <v>1118</v>
      </c>
      <c r="C235" s="270"/>
      <c r="D235" s="270" t="s">
        <v>1114</v>
      </c>
      <c r="E235" s="270" t="s">
        <v>1133</v>
      </c>
      <c r="F235" s="270"/>
      <c r="G235" s="270" t="s">
        <v>133</v>
      </c>
      <c r="H235" s="270" t="s">
        <v>29</v>
      </c>
      <c r="I235" s="270">
        <v>13</v>
      </c>
      <c r="J235" s="270">
        <v>11</v>
      </c>
      <c r="K235" s="270">
        <v>11</v>
      </c>
      <c r="L235" s="294" t="s">
        <v>442</v>
      </c>
      <c r="M235" s="295" t="s">
        <v>78</v>
      </c>
      <c r="N235" s="270">
        <v>1</v>
      </c>
      <c r="O235" s="270" t="s">
        <v>1134</v>
      </c>
      <c r="P235" s="285" t="s">
        <v>1135</v>
      </c>
      <c r="Q235" s="296"/>
      <c r="R235" s="299"/>
      <c r="S235" s="300"/>
      <c r="T235" s="299"/>
      <c r="U235" s="299"/>
      <c r="V235" s="299"/>
      <c r="W235" s="299"/>
      <c r="X235" s="299"/>
      <c r="Y235" s="299"/>
    </row>
    <row r="236" s="251" customFormat="1" ht="17.25" spans="2:25">
      <c r="B236" s="270" t="s">
        <v>1118</v>
      </c>
      <c r="C236" s="270"/>
      <c r="D236" s="270" t="s">
        <v>1114</v>
      </c>
      <c r="E236" s="270" t="s">
        <v>1136</v>
      </c>
      <c r="F236" s="270"/>
      <c r="G236" s="270" t="s">
        <v>133</v>
      </c>
      <c r="H236" s="270" t="s">
        <v>29</v>
      </c>
      <c r="I236" s="270">
        <v>10</v>
      </c>
      <c r="J236" s="270">
        <v>8</v>
      </c>
      <c r="K236" s="270">
        <v>8</v>
      </c>
      <c r="L236" s="294" t="s">
        <v>442</v>
      </c>
      <c r="M236" s="295" t="s">
        <v>78</v>
      </c>
      <c r="N236" s="270">
        <v>1</v>
      </c>
      <c r="O236" s="270" t="s">
        <v>1137</v>
      </c>
      <c r="P236" s="285" t="s">
        <v>1138</v>
      </c>
      <c r="Q236" s="296"/>
      <c r="R236" s="299"/>
      <c r="S236" s="300"/>
      <c r="T236" s="299"/>
      <c r="U236" s="299"/>
      <c r="V236" s="299"/>
      <c r="W236" s="299"/>
      <c r="X236" s="299"/>
      <c r="Y236" s="299"/>
    </row>
    <row r="237" s="251" customFormat="1" ht="17.25" spans="2:25">
      <c r="B237" s="270" t="s">
        <v>1118</v>
      </c>
      <c r="C237" s="270"/>
      <c r="D237" s="270" t="s">
        <v>1114</v>
      </c>
      <c r="E237" s="270" t="s">
        <v>1139</v>
      </c>
      <c r="F237" s="270"/>
      <c r="G237" s="270" t="s">
        <v>133</v>
      </c>
      <c r="H237" s="270" t="s">
        <v>29</v>
      </c>
      <c r="I237" s="270">
        <v>11</v>
      </c>
      <c r="J237" s="270">
        <v>9</v>
      </c>
      <c r="K237" s="270">
        <v>9</v>
      </c>
      <c r="L237" s="294" t="s">
        <v>442</v>
      </c>
      <c r="M237" s="295" t="s">
        <v>78</v>
      </c>
      <c r="N237" s="270">
        <v>1</v>
      </c>
      <c r="O237" s="270" t="s">
        <v>1140</v>
      </c>
      <c r="P237" s="285" t="s">
        <v>1141</v>
      </c>
      <c r="Q237" s="296"/>
      <c r="R237" s="299"/>
      <c r="S237" s="300"/>
      <c r="T237" s="299"/>
      <c r="U237" s="299"/>
      <c r="V237" s="299"/>
      <c r="W237" s="299"/>
      <c r="X237" s="299"/>
      <c r="Y237" s="299"/>
    </row>
    <row r="238" s="251" customFormat="1" ht="17.25" spans="2:25">
      <c r="B238" s="270" t="s">
        <v>1118</v>
      </c>
      <c r="C238" s="270"/>
      <c r="D238" s="270" t="s">
        <v>1114</v>
      </c>
      <c r="E238" s="270" t="s">
        <v>1142</v>
      </c>
      <c r="F238" s="270"/>
      <c r="G238" s="270" t="s">
        <v>133</v>
      </c>
      <c r="H238" s="270" t="s">
        <v>29</v>
      </c>
      <c r="I238" s="270">
        <v>11</v>
      </c>
      <c r="J238" s="270">
        <v>9</v>
      </c>
      <c r="K238" s="270">
        <v>9</v>
      </c>
      <c r="L238" s="294" t="s">
        <v>442</v>
      </c>
      <c r="M238" s="295" t="s">
        <v>78</v>
      </c>
      <c r="N238" s="270">
        <v>1</v>
      </c>
      <c r="O238" s="270" t="s">
        <v>1143</v>
      </c>
      <c r="P238" s="285" t="s">
        <v>1144</v>
      </c>
      <c r="Q238" s="296"/>
      <c r="R238" s="299"/>
      <c r="S238" s="300"/>
      <c r="T238" s="299"/>
      <c r="U238" s="299"/>
      <c r="V238" s="299"/>
      <c r="W238" s="299"/>
      <c r="X238" s="299"/>
      <c r="Y238" s="299"/>
    </row>
    <row r="239" s="251" customFormat="1" ht="17.25" spans="2:25">
      <c r="B239" s="270" t="s">
        <v>1118</v>
      </c>
      <c r="C239" s="270"/>
      <c r="D239" s="270" t="s">
        <v>1114</v>
      </c>
      <c r="E239" s="270" t="s">
        <v>1145</v>
      </c>
      <c r="F239" s="270"/>
      <c r="G239" s="270" t="s">
        <v>133</v>
      </c>
      <c r="H239" s="270" t="s">
        <v>29</v>
      </c>
      <c r="I239" s="270">
        <v>13</v>
      </c>
      <c r="J239" s="270">
        <v>13</v>
      </c>
      <c r="K239" s="270">
        <v>13</v>
      </c>
      <c r="L239" s="294" t="s">
        <v>442</v>
      </c>
      <c r="M239" s="295" t="s">
        <v>78</v>
      </c>
      <c r="N239" s="270">
        <v>1</v>
      </c>
      <c r="O239" s="270" t="s">
        <v>1146</v>
      </c>
      <c r="P239" s="285" t="s">
        <v>1147</v>
      </c>
      <c r="Q239" s="296"/>
      <c r="R239" s="299"/>
      <c r="S239" s="300"/>
      <c r="T239" s="299"/>
      <c r="U239" s="299"/>
      <c r="V239" s="299"/>
      <c r="W239" s="299"/>
      <c r="X239" s="299"/>
      <c r="Y239" s="299"/>
    </row>
    <row r="240" s="251" customFormat="1" ht="17.25" spans="2:25">
      <c r="B240" s="270" t="s">
        <v>964</v>
      </c>
      <c r="C240" s="270"/>
      <c r="D240" s="270" t="s">
        <v>966</v>
      </c>
      <c r="E240" s="270" t="s">
        <v>1148</v>
      </c>
      <c r="F240" s="270"/>
      <c r="G240" s="270" t="s">
        <v>133</v>
      </c>
      <c r="H240" s="270" t="s">
        <v>29</v>
      </c>
      <c r="I240" s="270">
        <v>4</v>
      </c>
      <c r="J240" s="270">
        <v>4</v>
      </c>
      <c r="K240" s="270">
        <v>5</v>
      </c>
      <c r="L240" s="294" t="s">
        <v>126</v>
      </c>
      <c r="M240" s="295" t="s">
        <v>31</v>
      </c>
      <c r="N240" s="270">
        <v>1</v>
      </c>
      <c r="O240" s="270" t="s">
        <v>980</v>
      </c>
      <c r="P240" s="285"/>
      <c r="Q240" s="296"/>
      <c r="R240" s="299"/>
      <c r="S240" s="300"/>
      <c r="T240" s="299"/>
      <c r="U240" s="299"/>
      <c r="V240" s="299"/>
      <c r="W240" s="299"/>
      <c r="X240" s="299"/>
      <c r="Y240" s="299"/>
    </row>
    <row r="241" s="251" customFormat="1" ht="17.25" spans="1:25">
      <c r="B241" s="270" t="s">
        <v>964</v>
      </c>
      <c r="C241" s="270"/>
      <c r="D241" s="270" t="s">
        <v>966</v>
      </c>
      <c r="E241" s="270" t="s">
        <v>1149</v>
      </c>
      <c r="F241" s="270"/>
      <c r="G241" s="270" t="s">
        <v>133</v>
      </c>
      <c r="H241" s="270" t="s">
        <v>29</v>
      </c>
      <c r="I241" s="270">
        <v>4</v>
      </c>
      <c r="J241" s="270">
        <v>4</v>
      </c>
      <c r="K241" s="270">
        <v>5</v>
      </c>
      <c r="L241" s="294" t="s">
        <v>126</v>
      </c>
      <c r="M241" s="295" t="s">
        <v>31</v>
      </c>
      <c r="N241" s="270">
        <v>1</v>
      </c>
      <c r="O241" s="270" t="s">
        <v>974</v>
      </c>
      <c r="P241" s="285"/>
      <c r="Q241" s="296"/>
      <c r="R241" s="299"/>
      <c r="S241" s="300"/>
      <c r="T241" s="299"/>
      <c r="U241" s="299"/>
      <c r="V241" s="299"/>
      <c r="W241" s="299"/>
      <c r="X241" s="299"/>
      <c r="Y241" s="299"/>
    </row>
    <row r="242" s="251" customFormat="1" ht="17.25" spans="1:25">
      <c r="B242" s="270" t="s">
        <v>964</v>
      </c>
      <c r="C242" s="270"/>
      <c r="D242" s="270" t="s">
        <v>966</v>
      </c>
      <c r="E242" s="270" t="s">
        <v>1150</v>
      </c>
      <c r="F242" s="270"/>
      <c r="G242" s="270" t="s">
        <v>133</v>
      </c>
      <c r="H242" s="270" t="s">
        <v>29</v>
      </c>
      <c r="I242" s="270">
        <v>4</v>
      </c>
      <c r="J242" s="270">
        <v>4</v>
      </c>
      <c r="K242" s="270">
        <v>5</v>
      </c>
      <c r="L242" s="294" t="s">
        <v>126</v>
      </c>
      <c r="M242" s="295" t="s">
        <v>31</v>
      </c>
      <c r="N242" s="270">
        <v>1</v>
      </c>
      <c r="O242" s="270" t="s">
        <v>976</v>
      </c>
      <c r="P242" s="285"/>
      <c r="Q242" s="296"/>
      <c r="R242" s="299"/>
      <c r="S242" s="300"/>
      <c r="T242" s="299"/>
      <c r="U242" s="299"/>
      <c r="V242" s="299"/>
      <c r="W242" s="299"/>
      <c r="X242" s="299"/>
      <c r="Y242" s="299"/>
    </row>
    <row r="243" s="251" customFormat="1" ht="17.25" spans="1:25">
      <c r="B243" s="270" t="s">
        <v>964</v>
      </c>
      <c r="C243" s="270"/>
      <c r="D243" s="270" t="s">
        <v>966</v>
      </c>
      <c r="E243" s="270" t="s">
        <v>1151</v>
      </c>
      <c r="F243" s="270"/>
      <c r="G243" s="270" t="s">
        <v>133</v>
      </c>
      <c r="H243" s="270" t="s">
        <v>29</v>
      </c>
      <c r="I243" s="270">
        <v>4</v>
      </c>
      <c r="J243" s="270">
        <v>4</v>
      </c>
      <c r="K243" s="270">
        <v>5</v>
      </c>
      <c r="L243" s="294" t="s">
        <v>126</v>
      </c>
      <c r="M243" s="295" t="s">
        <v>31</v>
      </c>
      <c r="N243" s="270">
        <v>1</v>
      </c>
      <c r="O243" s="270" t="s">
        <v>978</v>
      </c>
      <c r="P243" s="285"/>
      <c r="Q243" s="296"/>
      <c r="R243" s="299"/>
      <c r="S243" s="300"/>
      <c r="T243" s="299"/>
      <c r="U243" s="299"/>
      <c r="V243" s="299"/>
      <c r="W243" s="299"/>
      <c r="X243" s="299"/>
      <c r="Y243" s="299"/>
    </row>
    <row r="244" s="251" customFormat="1" ht="17.25" spans="1:25">
      <c r="B244" s="270" t="s">
        <v>964</v>
      </c>
      <c r="C244" s="270"/>
      <c r="D244" s="270" t="s">
        <v>966</v>
      </c>
      <c r="E244" s="270"/>
      <c r="F244" s="270"/>
      <c r="G244" s="270" t="s">
        <v>133</v>
      </c>
      <c r="H244" s="270" t="s">
        <v>29</v>
      </c>
      <c r="I244" s="270"/>
      <c r="J244" s="270"/>
      <c r="K244" s="270"/>
      <c r="L244" s="294" t="s">
        <v>126</v>
      </c>
      <c r="M244" s="295" t="s">
        <v>31</v>
      </c>
      <c r="N244" s="270">
        <v>1</v>
      </c>
      <c r="O244" s="270"/>
      <c r="P244" s="285"/>
      <c r="Q244" s="296"/>
      <c r="R244" s="299"/>
      <c r="S244" s="300"/>
      <c r="T244" s="299"/>
      <c r="U244" s="299"/>
      <c r="V244" s="299"/>
      <c r="W244" s="299"/>
      <c r="X244" s="299"/>
      <c r="Y244" s="299"/>
    </row>
    <row r="245" s="251" customFormat="1" ht="17.25" spans="1:25">
      <c r="B245" s="270" t="s">
        <v>1152</v>
      </c>
      <c r="C245" s="270" t="s">
        <v>1153</v>
      </c>
      <c r="D245" s="270"/>
      <c r="E245" s="270"/>
      <c r="F245" s="270"/>
      <c r="G245" s="270"/>
      <c r="H245" s="270"/>
      <c r="I245" s="270"/>
      <c r="J245" s="270"/>
      <c r="K245" s="270"/>
      <c r="L245" s="294"/>
      <c r="M245" s="295">
        <v>1.5</v>
      </c>
      <c r="N245" s="270">
        <v>1</v>
      </c>
      <c r="O245" s="270"/>
      <c r="P245" s="285"/>
      <c r="Q245" s="296"/>
      <c r="R245" s="299"/>
      <c r="S245" s="300"/>
      <c r="T245" s="299"/>
      <c r="U245" s="299"/>
      <c r="V245" s="299"/>
      <c r="W245" s="299"/>
      <c r="X245" s="299"/>
      <c r="Y245" s="299"/>
    </row>
    <row r="246" s="251" customFormat="1" ht="17.25" spans="1:25">
      <c r="B246" s="270" t="s">
        <v>1152</v>
      </c>
      <c r="C246" s="270" t="s">
        <v>1154</v>
      </c>
      <c r="D246" s="270"/>
      <c r="E246" s="270"/>
      <c r="F246" s="270"/>
      <c r="G246" s="270"/>
      <c r="H246" s="270"/>
      <c r="I246" s="270"/>
      <c r="J246" s="270"/>
      <c r="K246" s="270"/>
      <c r="L246" s="294"/>
      <c r="M246" s="295"/>
      <c r="N246" s="270">
        <v>1</v>
      </c>
      <c r="O246" s="270"/>
      <c r="P246" s="285"/>
      <c r="Q246" s="296"/>
      <c r="R246" s="299"/>
      <c r="S246" s="300"/>
      <c r="T246" s="299"/>
      <c r="U246" s="299"/>
      <c r="V246" s="299"/>
      <c r="W246" s="299"/>
      <c r="X246" s="299"/>
      <c r="Y246" s="299"/>
    </row>
    <row r="247" s="251" customFormat="1" ht="17.25" spans="1:25">
      <c r="B247" s="270" t="s">
        <v>1152</v>
      </c>
      <c r="C247" s="270" t="s">
        <v>1155</v>
      </c>
      <c r="D247" s="270"/>
      <c r="E247" s="270"/>
      <c r="F247" s="270"/>
      <c r="G247" s="270"/>
      <c r="H247" s="270"/>
      <c r="I247" s="270"/>
      <c r="J247" s="270"/>
      <c r="K247" s="270"/>
      <c r="L247" s="294"/>
      <c r="M247" s="295"/>
      <c r="N247" s="270">
        <v>1</v>
      </c>
      <c r="O247" s="270"/>
      <c r="P247" s="285"/>
      <c r="Q247" s="296"/>
      <c r="R247" s="299"/>
      <c r="S247" s="300"/>
      <c r="T247" s="299"/>
      <c r="U247" s="299"/>
      <c r="V247" s="299"/>
      <c r="W247" s="299"/>
      <c r="X247" s="299"/>
      <c r="Y247" s="299"/>
    </row>
    <row r="248" s="249" customFormat="1" ht="17.25" spans="1:25">
      <c r="B248" s="270" t="s">
        <v>1152</v>
      </c>
      <c r="C248" s="270" t="s">
        <v>1156</v>
      </c>
      <c r="D248" s="270"/>
      <c r="E248" s="270"/>
      <c r="F248" s="270"/>
      <c r="G248" s="270"/>
      <c r="H248" s="270"/>
      <c r="I248" s="270"/>
      <c r="J248" s="270"/>
      <c r="K248" s="270"/>
      <c r="L248" s="294"/>
      <c r="M248" s="295"/>
      <c r="N248" s="270">
        <v>1</v>
      </c>
      <c r="O248" s="270"/>
      <c r="P248" s="285"/>
      <c r="Q248" s="296"/>
      <c r="R248" s="278"/>
      <c r="S248" s="279"/>
      <c r="T248" s="278"/>
      <c r="U248" s="278"/>
      <c r="V248" s="278"/>
      <c r="W248" s="278"/>
      <c r="X248" s="278"/>
      <c r="Y248" s="278"/>
    </row>
    <row r="249" s="249" customFormat="1" ht="17.25" spans="1:25">
      <c r="B249" s="270" t="s">
        <v>1152</v>
      </c>
      <c r="C249" s="270" t="s">
        <v>1157</v>
      </c>
      <c r="D249" s="270"/>
      <c r="E249" s="270"/>
      <c r="F249" s="270"/>
      <c r="G249" s="270"/>
      <c r="H249" s="270"/>
      <c r="I249" s="270"/>
      <c r="J249" s="270"/>
      <c r="K249" s="270"/>
      <c r="L249" s="294"/>
      <c r="M249" s="295"/>
      <c r="N249" s="270">
        <v>1</v>
      </c>
      <c r="O249" s="270"/>
      <c r="P249" s="285"/>
      <c r="Q249" s="296"/>
      <c r="R249" s="278"/>
      <c r="S249" s="279"/>
      <c r="T249" s="278"/>
      <c r="U249" s="278"/>
      <c r="V249" s="278"/>
      <c r="W249" s="278"/>
      <c r="X249" s="278"/>
      <c r="Y249" s="278"/>
    </row>
    <row r="250" s="249" customFormat="1" ht="17.25" spans="1:25">
      <c r="B250" s="270" t="s">
        <v>23</v>
      </c>
      <c r="C250" s="270" t="s">
        <v>1158</v>
      </c>
      <c r="D250" s="270"/>
      <c r="E250" s="270"/>
      <c r="F250" s="270"/>
      <c r="G250" s="270"/>
      <c r="H250" s="270"/>
      <c r="I250" s="270"/>
      <c r="J250" s="270"/>
      <c r="K250" s="270"/>
      <c r="L250" s="294"/>
      <c r="M250" s="295"/>
      <c r="N250" s="270">
        <v>1</v>
      </c>
      <c r="O250" s="270"/>
      <c r="P250" s="285"/>
      <c r="Q250" s="296"/>
      <c r="R250" s="278"/>
      <c r="S250" s="279"/>
      <c r="T250" s="278"/>
      <c r="U250" s="278"/>
      <c r="V250" s="278"/>
      <c r="W250" s="278"/>
      <c r="X250" s="278"/>
      <c r="Y250" s="278"/>
    </row>
    <row r="251" s="249" customFormat="1" ht="17.25" spans="1:25">
      <c r="B251" s="270" t="s">
        <v>23</v>
      </c>
      <c r="C251" s="270" t="s">
        <v>1159</v>
      </c>
      <c r="D251" s="270"/>
      <c r="E251" s="270"/>
      <c r="F251" s="270"/>
      <c r="G251" s="270"/>
      <c r="H251" s="270"/>
      <c r="I251" s="270"/>
      <c r="J251" s="270"/>
      <c r="K251" s="270"/>
      <c r="L251" s="294"/>
      <c r="M251" s="295"/>
      <c r="N251" s="270">
        <v>1</v>
      </c>
      <c r="O251" s="270"/>
      <c r="P251" s="285"/>
      <c r="Q251" s="296"/>
      <c r="R251" s="278"/>
      <c r="S251" s="279"/>
      <c r="T251" s="278"/>
      <c r="U251" s="278"/>
      <c r="V251" s="278"/>
      <c r="W251" s="278"/>
      <c r="X251" s="278"/>
      <c r="Y251" s="278"/>
    </row>
    <row r="252" s="249" customFormat="1" ht="16.5" spans="1:25">
      <c r="B252" s="278" t="s">
        <v>1160</v>
      </c>
      <c r="C252" s="278" t="s">
        <v>1161</v>
      </c>
      <c r="D252" s="301"/>
      <c r="E252" s="301"/>
      <c r="F252" s="301"/>
      <c r="G252" s="301"/>
      <c r="H252" s="301"/>
      <c r="I252" s="302"/>
      <c r="J252" s="302"/>
      <c r="K252" s="302"/>
      <c r="L252" s="303"/>
      <c r="M252" s="304"/>
      <c r="N252" s="305">
        <v>1</v>
      </c>
      <c r="O252" s="302"/>
      <c r="P252" s="306"/>
      <c r="Q252" s="278"/>
      <c r="R252" s="278"/>
      <c r="S252" s="279"/>
      <c r="T252" s="278"/>
      <c r="U252" s="278"/>
      <c r="V252" s="278"/>
      <c r="W252" s="278"/>
      <c r="X252" s="278"/>
      <c r="Y252" s="278"/>
    </row>
    <row r="253" s="249" customFormat="1" ht="16.5" spans="1:25">
      <c r="B253" s="307" t="s">
        <v>1162</v>
      </c>
      <c r="C253" s="308" t="s">
        <v>1163</v>
      </c>
      <c r="D253" s="309"/>
      <c r="E253" s="309"/>
      <c r="F253" s="309"/>
      <c r="G253" s="309"/>
      <c r="H253" s="309"/>
      <c r="I253" s="299"/>
      <c r="J253" s="299"/>
      <c r="K253" s="299"/>
      <c r="L253" s="310"/>
      <c r="M253" s="311"/>
      <c r="N253" s="296">
        <v>1</v>
      </c>
      <c r="O253" s="299"/>
      <c r="P253" s="312"/>
      <c r="Q253" s="278"/>
      <c r="R253" s="278"/>
      <c r="S253" s="279"/>
      <c r="T253" s="278"/>
      <c r="U253" s="278"/>
      <c r="V253" s="278"/>
      <c r="W253" s="278"/>
      <c r="X253" s="278"/>
      <c r="Y253" s="278"/>
    </row>
    <row r="254" s="249" customFormat="1" ht="17.25" spans="1:25">
      <c r="A254" s="313"/>
      <c r="B254" s="314" t="s">
        <v>1164</v>
      </c>
      <c r="C254" s="315" t="s">
        <v>1165</v>
      </c>
      <c r="D254" s="316"/>
      <c r="E254" s="394" t="s">
        <v>1166</v>
      </c>
      <c r="F254" s="317"/>
      <c r="G254" s="318" t="s">
        <v>1167</v>
      </c>
      <c r="H254" s="316"/>
      <c r="I254" s="319">
        <v>8</v>
      </c>
      <c r="J254" s="319">
        <v>7</v>
      </c>
      <c r="K254" s="319">
        <v>7</v>
      </c>
      <c r="L254" s="320" t="s">
        <v>30</v>
      </c>
      <c r="M254" s="321" t="s">
        <v>31</v>
      </c>
      <c r="N254" s="316">
        <v>1</v>
      </c>
      <c r="O254" s="319"/>
      <c r="P254" s="322"/>
      <c r="Q254" s="317"/>
      <c r="R254" s="317"/>
      <c r="S254" s="323">
        <v>46296</v>
      </c>
      <c r="T254" s="317"/>
      <c r="U254" s="317"/>
      <c r="V254" s="317"/>
      <c r="W254" s="317"/>
      <c r="X254" s="317"/>
      <c r="Y254" s="317"/>
    </row>
    <row r="255" s="249" customFormat="1" ht="24" customHeight="1" spans="1:25">
      <c r="A255" s="324" t="s">
        <v>1168</v>
      </c>
      <c r="B255" s="325" t="s">
        <v>1169</v>
      </c>
      <c r="C255" s="325" t="s">
        <v>1170</v>
      </c>
      <c r="D255" s="326" t="s">
        <v>1171</v>
      </c>
      <c r="E255" s="327" t="s">
        <v>1172</v>
      </c>
      <c r="F255" s="328" t="s">
        <v>1173</v>
      </c>
      <c r="G255" s="329" t="s">
        <v>1174</v>
      </c>
      <c r="H255" s="330"/>
      <c r="I255" s="331">
        <v>4</v>
      </c>
      <c r="J255" s="332">
        <v>4</v>
      </c>
      <c r="K255" s="333">
        <v>4</v>
      </c>
      <c r="L255" s="334" t="s">
        <v>69</v>
      </c>
      <c r="M255" s="295">
        <v>1</v>
      </c>
      <c r="N255" s="296">
        <v>1</v>
      </c>
      <c r="O255" s="330"/>
      <c r="P255" s="335" t="s">
        <v>1175</v>
      </c>
      <c r="Q255" s="325"/>
      <c r="R255" s="336"/>
      <c r="S255" s="325"/>
      <c r="T255" s="325"/>
      <c r="U255" s="325"/>
      <c r="V255" s="325"/>
      <c r="W255" s="325"/>
      <c r="X255" s="325"/>
      <c r="Y255" s="325"/>
    </row>
    <row r="256" s="249" customFormat="1" ht="24" customHeight="1" spans="1:25">
      <c r="A256" s="337" t="s">
        <v>1168</v>
      </c>
      <c r="B256" s="278" t="s">
        <v>1176</v>
      </c>
      <c r="C256" s="278" t="s">
        <v>1177</v>
      </c>
      <c r="D256" s="338" t="s">
        <v>1171</v>
      </c>
      <c r="E256" s="339"/>
      <c r="F256" s="272" t="s">
        <v>1178</v>
      </c>
      <c r="G256" s="340"/>
      <c r="H256" s="278"/>
      <c r="I256" s="341">
        <v>4</v>
      </c>
      <c r="J256" s="342">
        <v>3</v>
      </c>
      <c r="K256" s="343">
        <v>3</v>
      </c>
      <c r="L256" s="334" t="s">
        <v>30</v>
      </c>
      <c r="M256" s="295">
        <v>1</v>
      </c>
      <c r="N256" s="296">
        <v>1</v>
      </c>
      <c r="O256" s="344"/>
      <c r="P256" s="345" t="s">
        <v>1175</v>
      </c>
      <c r="Q256" s="278"/>
      <c r="R256" s="346"/>
      <c r="S256" s="278"/>
      <c r="T256" s="278"/>
      <c r="U256" s="278"/>
      <c r="V256" s="278" t="s">
        <v>1179</v>
      </c>
      <c r="W256" s="278"/>
      <c r="X256" s="278"/>
      <c r="Y256" s="278"/>
    </row>
    <row r="257" s="249" customFormat="1" ht="24" customHeight="1" spans="1:25">
      <c r="A257" s="337" t="s">
        <v>1168</v>
      </c>
      <c r="B257" s="278" t="s">
        <v>1180</v>
      </c>
      <c r="C257" s="278" t="s">
        <v>1181</v>
      </c>
      <c r="D257" s="338" t="s">
        <v>1182</v>
      </c>
      <c r="E257" s="347"/>
      <c r="F257" s="272" t="s">
        <v>1183</v>
      </c>
      <c r="G257" s="340"/>
      <c r="H257" s="278"/>
      <c r="I257" s="347">
        <v>3</v>
      </c>
      <c r="J257" s="342">
        <v>3</v>
      </c>
      <c r="K257" s="343">
        <v>3</v>
      </c>
      <c r="L257" s="334" t="s">
        <v>1184</v>
      </c>
      <c r="M257" s="295"/>
      <c r="N257" s="296">
        <v>1</v>
      </c>
      <c r="O257" s="348"/>
      <c r="P257" s="345" t="s">
        <v>1175</v>
      </c>
      <c r="Q257" s="278"/>
      <c r="R257" s="346"/>
      <c r="S257" s="278"/>
      <c r="T257" s="278"/>
      <c r="U257" s="278"/>
      <c r="V257" s="278" t="s">
        <v>1179</v>
      </c>
      <c r="W257" s="278"/>
      <c r="X257" s="278"/>
      <c r="Y257" s="278"/>
    </row>
    <row r="258" s="249" customFormat="1" ht="24" customHeight="1" spans="1:25">
      <c r="A258" s="337" t="s">
        <v>1168</v>
      </c>
      <c r="B258" s="278" t="s">
        <v>1185</v>
      </c>
      <c r="C258" s="278" t="s">
        <v>1186</v>
      </c>
      <c r="D258" s="338" t="s">
        <v>1187</v>
      </c>
      <c r="E258" s="347"/>
      <c r="F258" s="272" t="s">
        <v>1188</v>
      </c>
      <c r="G258" s="340"/>
      <c r="H258" s="278"/>
      <c r="I258" s="347"/>
      <c r="J258" s="342"/>
      <c r="K258" s="342"/>
      <c r="L258" s="334"/>
      <c r="M258" s="295"/>
      <c r="N258" s="296">
        <v>1</v>
      </c>
      <c r="O258" s="344"/>
      <c r="P258" s="349"/>
      <c r="Q258" s="278"/>
      <c r="R258" s="307"/>
      <c r="S258" s="278"/>
      <c r="T258" s="278"/>
      <c r="U258" s="278"/>
      <c r="V258" s="278" t="s">
        <v>1189</v>
      </c>
      <c r="W258" s="278"/>
      <c r="X258" s="278"/>
      <c r="Y258" s="278"/>
    </row>
    <row r="259" s="249" customFormat="1" ht="24" customHeight="1" spans="1:25">
      <c r="A259" s="337" t="s">
        <v>1168</v>
      </c>
      <c r="B259" s="278" t="s">
        <v>1190</v>
      </c>
      <c r="C259" s="278" t="s">
        <v>1191</v>
      </c>
      <c r="D259" s="338" t="s">
        <v>1171</v>
      </c>
      <c r="E259" s="347"/>
      <c r="F259" s="395" t="s">
        <v>1192</v>
      </c>
      <c r="G259" s="340"/>
      <c r="H259" s="278"/>
      <c r="I259" s="347">
        <v>14</v>
      </c>
      <c r="J259" s="342">
        <v>14</v>
      </c>
      <c r="K259" s="342">
        <v>14</v>
      </c>
      <c r="L259" s="334" t="s">
        <v>126</v>
      </c>
      <c r="M259" s="295" t="s">
        <v>40</v>
      </c>
      <c r="N259" s="296">
        <v>1</v>
      </c>
      <c r="O259" s="344"/>
      <c r="P259" s="349" t="s">
        <v>1193</v>
      </c>
      <c r="Q259" s="278"/>
      <c r="R259" s="346"/>
      <c r="S259" s="278"/>
      <c r="T259" s="278"/>
      <c r="U259" s="278"/>
      <c r="V259" s="278" t="s">
        <v>1189</v>
      </c>
      <c r="W259" s="278"/>
      <c r="X259" s="278"/>
      <c r="Y259" s="278"/>
    </row>
    <row r="260" s="249" customFormat="1" ht="24" customHeight="1" spans="1:25">
      <c r="A260" s="337" t="s">
        <v>1168</v>
      </c>
      <c r="B260" s="278" t="s">
        <v>1194</v>
      </c>
      <c r="C260" s="278" t="s">
        <v>1195</v>
      </c>
      <c r="D260" s="338" t="s">
        <v>1196</v>
      </c>
      <c r="E260" s="350" t="s">
        <v>1197</v>
      </c>
      <c r="F260" s="396" t="s">
        <v>1198</v>
      </c>
      <c r="G260" s="329" t="s">
        <v>1199</v>
      </c>
      <c r="H260" s="278"/>
      <c r="I260" s="347">
        <v>4</v>
      </c>
      <c r="J260" s="342">
        <v>4</v>
      </c>
      <c r="K260" s="342">
        <v>4</v>
      </c>
      <c r="L260" s="334" t="s">
        <v>69</v>
      </c>
      <c r="M260" s="295">
        <v>1</v>
      </c>
      <c r="N260" s="296">
        <v>1</v>
      </c>
      <c r="O260" s="344"/>
      <c r="P260" s="349" t="s">
        <v>1193</v>
      </c>
      <c r="Q260" s="278"/>
      <c r="R260" s="346"/>
      <c r="S260" s="278">
        <v>2028.6</v>
      </c>
      <c r="T260" s="278"/>
      <c r="U260" s="278"/>
      <c r="V260" s="278" t="s">
        <v>1189</v>
      </c>
      <c r="W260" s="278"/>
      <c r="X260" s="278"/>
      <c r="Y260" s="278"/>
    </row>
    <row r="261" s="249" customFormat="1" ht="24" customHeight="1" spans="1:25">
      <c r="A261" s="337" t="s">
        <v>1168</v>
      </c>
      <c r="B261" s="278" t="s">
        <v>1200</v>
      </c>
      <c r="C261" s="297" t="s">
        <v>1201</v>
      </c>
      <c r="D261" s="338" t="s">
        <v>1196</v>
      </c>
      <c r="E261" s="347"/>
      <c r="F261" s="272" t="s">
        <v>1202</v>
      </c>
      <c r="G261" s="340" t="s">
        <v>1203</v>
      </c>
      <c r="H261" s="278"/>
      <c r="I261" s="347">
        <v>4</v>
      </c>
      <c r="J261" s="342">
        <v>4</v>
      </c>
      <c r="K261" s="342">
        <v>4</v>
      </c>
      <c r="L261" s="334" t="s">
        <v>30</v>
      </c>
      <c r="M261" s="295">
        <v>1</v>
      </c>
      <c r="N261" s="296">
        <v>1</v>
      </c>
      <c r="O261" s="344"/>
      <c r="P261" s="349" t="s">
        <v>1193</v>
      </c>
      <c r="Q261" s="278"/>
      <c r="R261" s="346"/>
      <c r="S261" s="278"/>
      <c r="T261" s="278"/>
      <c r="U261" s="278"/>
      <c r="V261" s="278" t="s">
        <v>1179</v>
      </c>
      <c r="W261" s="278"/>
      <c r="X261" s="278"/>
      <c r="Y261" s="278"/>
    </row>
    <row r="262" s="249" customFormat="1" ht="24" customHeight="1" spans="1:25">
      <c r="A262" s="397" t="s">
        <v>1204</v>
      </c>
      <c r="B262" s="278" t="s">
        <v>1205</v>
      </c>
      <c r="C262" s="278" t="s">
        <v>1206</v>
      </c>
      <c r="D262" s="338" t="s">
        <v>1207</v>
      </c>
      <c r="E262" s="347"/>
      <c r="F262" s="272" t="s">
        <v>1204</v>
      </c>
      <c r="G262" s="329" t="s">
        <v>1199</v>
      </c>
      <c r="H262" s="278"/>
      <c r="I262" s="347">
        <v>5</v>
      </c>
      <c r="J262" s="342">
        <v>5</v>
      </c>
      <c r="K262" s="342">
        <v>5</v>
      </c>
      <c r="L262" s="334" t="s">
        <v>646</v>
      </c>
      <c r="M262" s="295">
        <v>1</v>
      </c>
      <c r="N262" s="296">
        <v>1</v>
      </c>
      <c r="O262" s="344"/>
      <c r="P262" s="349"/>
      <c r="Q262" s="278"/>
      <c r="R262" s="307"/>
      <c r="S262" s="278"/>
      <c r="T262" s="278"/>
      <c r="U262" s="278"/>
      <c r="V262" s="278" t="s">
        <v>1189</v>
      </c>
      <c r="W262" s="278"/>
      <c r="X262" s="278"/>
      <c r="Y262" s="278"/>
    </row>
    <row r="263" s="250" customFormat="1" ht="24" customHeight="1" spans="1:25">
      <c r="A263" s="352" t="s">
        <v>1208</v>
      </c>
      <c r="B263" s="297" t="s">
        <v>1209</v>
      </c>
      <c r="C263" s="297" t="s">
        <v>1210</v>
      </c>
      <c r="D263" s="351" t="s">
        <v>1211</v>
      </c>
      <c r="E263" s="353"/>
      <c r="F263" s="351" t="s">
        <v>1212</v>
      </c>
      <c r="G263" s="354" t="s">
        <v>1213</v>
      </c>
      <c r="H263" s="297"/>
      <c r="I263" s="250">
        <v>8</v>
      </c>
      <c r="J263" s="355">
        <v>8</v>
      </c>
      <c r="K263" s="355">
        <v>8</v>
      </c>
      <c r="L263" s="334" t="s">
        <v>69</v>
      </c>
      <c r="M263" s="295">
        <v>1.5</v>
      </c>
      <c r="N263" s="296">
        <v>1</v>
      </c>
      <c r="O263" s="356"/>
      <c r="P263" s="357" t="s">
        <v>1214</v>
      </c>
      <c r="Q263" s="297"/>
      <c r="R263" s="358"/>
      <c r="S263" s="297"/>
      <c r="T263" s="297"/>
      <c r="U263" s="297"/>
      <c r="V263" s="278" t="s">
        <v>1189</v>
      </c>
      <c r="W263" s="297"/>
      <c r="X263" s="297"/>
      <c r="Y263" s="297"/>
    </row>
    <row r="264" s="250" customFormat="1" ht="24" customHeight="1" spans="1:25">
      <c r="A264" s="352" t="s">
        <v>1208</v>
      </c>
      <c r="B264" s="297" t="s">
        <v>1209</v>
      </c>
      <c r="C264" s="297" t="s">
        <v>1215</v>
      </c>
      <c r="D264" s="351" t="s">
        <v>1211</v>
      </c>
      <c r="E264" s="353"/>
      <c r="F264" s="351" t="s">
        <v>1216</v>
      </c>
      <c r="G264" s="354" t="s">
        <v>1213</v>
      </c>
      <c r="H264" s="297"/>
      <c r="I264" s="353">
        <v>6</v>
      </c>
      <c r="J264" s="355">
        <v>6</v>
      </c>
      <c r="K264" s="355">
        <v>6</v>
      </c>
      <c r="L264" s="359" t="s">
        <v>69</v>
      </c>
      <c r="M264" s="295">
        <v>1.5</v>
      </c>
      <c r="N264" s="296">
        <v>1</v>
      </c>
      <c r="O264" s="356"/>
      <c r="P264" s="357" t="s">
        <v>1217</v>
      </c>
      <c r="Q264" s="297"/>
      <c r="R264" s="358"/>
      <c r="S264" s="297"/>
      <c r="T264" s="297"/>
      <c r="U264" s="297"/>
      <c r="V264" s="278" t="s">
        <v>1189</v>
      </c>
      <c r="W264" s="297"/>
      <c r="X264" s="297"/>
      <c r="Y264" s="297"/>
    </row>
    <row r="265" s="250" customFormat="1" ht="24" customHeight="1" spans="1:25">
      <c r="A265" s="352" t="s">
        <v>1208</v>
      </c>
      <c r="B265" s="297" t="s">
        <v>1209</v>
      </c>
      <c r="C265" s="297" t="s">
        <v>1218</v>
      </c>
      <c r="D265" s="351" t="s">
        <v>1211</v>
      </c>
      <c r="E265" s="353"/>
      <c r="F265" s="351" t="s">
        <v>1219</v>
      </c>
      <c r="G265" s="354" t="s">
        <v>1213</v>
      </c>
      <c r="H265" s="297"/>
      <c r="I265" s="353">
        <v>6</v>
      </c>
      <c r="J265" s="355">
        <v>6</v>
      </c>
      <c r="K265" s="355">
        <v>6</v>
      </c>
      <c r="L265" s="359" t="s">
        <v>69</v>
      </c>
      <c r="M265" s="295">
        <v>1.5</v>
      </c>
      <c r="N265" s="296">
        <v>1</v>
      </c>
      <c r="O265" s="356"/>
      <c r="P265" s="357" t="s">
        <v>1220</v>
      </c>
      <c r="Q265" s="297"/>
      <c r="R265" s="358"/>
      <c r="S265" s="297"/>
      <c r="T265" s="297"/>
      <c r="U265" s="297"/>
      <c r="V265" s="278" t="s">
        <v>1189</v>
      </c>
      <c r="W265" s="297"/>
      <c r="X265" s="297"/>
      <c r="Y265" s="297"/>
    </row>
    <row r="266" s="250" customFormat="1" ht="24" customHeight="1" spans="1:25">
      <c r="A266" s="352" t="s">
        <v>1208</v>
      </c>
      <c r="B266" s="297" t="s">
        <v>1209</v>
      </c>
      <c r="C266" s="297" t="s">
        <v>1221</v>
      </c>
      <c r="D266" s="351" t="s">
        <v>1211</v>
      </c>
      <c r="E266" s="353"/>
      <c r="F266" s="351" t="s">
        <v>1222</v>
      </c>
      <c r="G266" s="354" t="s">
        <v>1213</v>
      </c>
      <c r="H266" s="297"/>
      <c r="I266" s="353">
        <v>8</v>
      </c>
      <c r="J266" s="355">
        <v>8</v>
      </c>
      <c r="K266" s="355">
        <v>8</v>
      </c>
      <c r="L266" s="359" t="s">
        <v>69</v>
      </c>
      <c r="M266" s="295">
        <v>1.5</v>
      </c>
      <c r="N266" s="296">
        <v>1</v>
      </c>
      <c r="O266" s="356"/>
      <c r="P266" s="357"/>
      <c r="Q266" s="297"/>
      <c r="R266" s="358"/>
      <c r="S266" s="297"/>
      <c r="T266" s="297"/>
      <c r="U266" s="297"/>
      <c r="V266" s="278" t="s">
        <v>1189</v>
      </c>
      <c r="W266" s="297"/>
      <c r="X266" s="297"/>
      <c r="Y266" s="297"/>
    </row>
    <row r="267" s="250" customFormat="1" ht="24" customHeight="1" spans="1:25">
      <c r="A267" s="352" t="s">
        <v>1208</v>
      </c>
      <c r="B267" s="297" t="s">
        <v>1209</v>
      </c>
      <c r="C267" s="297" t="s">
        <v>1223</v>
      </c>
      <c r="D267" s="351" t="s">
        <v>1211</v>
      </c>
      <c r="E267" s="353"/>
      <c r="F267" s="360" t="s">
        <v>1224</v>
      </c>
      <c r="G267" s="354" t="s">
        <v>1213</v>
      </c>
      <c r="H267" s="297"/>
      <c r="I267" s="353">
        <v>8</v>
      </c>
      <c r="J267" s="355">
        <v>8</v>
      </c>
      <c r="K267" s="355">
        <v>9</v>
      </c>
      <c r="L267" s="359" t="s">
        <v>88</v>
      </c>
      <c r="M267" s="295">
        <v>0.5</v>
      </c>
      <c r="N267" s="296">
        <v>1</v>
      </c>
      <c r="O267" s="356"/>
      <c r="P267" s="357"/>
      <c r="Q267" s="297"/>
      <c r="R267" s="358"/>
      <c r="S267" s="297"/>
      <c r="T267" s="297"/>
      <c r="U267" s="297"/>
      <c r="V267" s="278" t="s">
        <v>1189</v>
      </c>
      <c r="W267" s="297"/>
      <c r="X267" s="297"/>
      <c r="Y267" s="297"/>
    </row>
    <row r="268" s="249" customFormat="1" ht="24" customHeight="1" spans="1:25">
      <c r="A268" s="337" t="s">
        <v>1208</v>
      </c>
      <c r="B268" s="278" t="s">
        <v>1225</v>
      </c>
      <c r="C268" s="278" t="s">
        <v>1226</v>
      </c>
      <c r="D268" s="338" t="s">
        <v>1171</v>
      </c>
      <c r="E268" s="347"/>
      <c r="F268" s="282"/>
      <c r="G268" s="340"/>
      <c r="H268" s="278"/>
      <c r="I268" s="347">
        <v>14</v>
      </c>
      <c r="J268" s="342">
        <v>14</v>
      </c>
      <c r="K268" s="342">
        <v>14</v>
      </c>
      <c r="L268" s="359" t="s">
        <v>126</v>
      </c>
      <c r="M268" s="295">
        <v>1.5</v>
      </c>
      <c r="N268" s="296">
        <v>1</v>
      </c>
      <c r="O268" s="344"/>
      <c r="P268" s="349" t="s">
        <v>1193</v>
      </c>
      <c r="Q268" s="278"/>
      <c r="R268" s="307"/>
      <c r="S268" s="278"/>
      <c r="T268" s="278"/>
      <c r="U268" s="278"/>
      <c r="V268" s="278" t="s">
        <v>1179</v>
      </c>
      <c r="W268" s="278"/>
      <c r="X268" s="278"/>
      <c r="Y268" s="278"/>
    </row>
    <row r="269" s="249" customFormat="1" ht="24" customHeight="1" spans="1:25">
      <c r="A269" s="337" t="s">
        <v>1208</v>
      </c>
      <c r="B269" s="361" t="s">
        <v>1227</v>
      </c>
      <c r="C269" s="362" t="s">
        <v>1228</v>
      </c>
      <c r="D269" s="338" t="s">
        <v>1207</v>
      </c>
      <c r="E269" s="347"/>
      <c r="F269" s="398" t="s">
        <v>1229</v>
      </c>
      <c r="G269" s="340"/>
      <c r="H269" s="278"/>
      <c r="I269" s="347">
        <v>3</v>
      </c>
      <c r="J269" s="342">
        <v>3</v>
      </c>
      <c r="K269" s="342">
        <v>3</v>
      </c>
      <c r="L269" s="359" t="s">
        <v>30</v>
      </c>
      <c r="M269" s="295"/>
      <c r="N269" s="296">
        <v>1</v>
      </c>
      <c r="O269" s="344"/>
      <c r="P269" s="349"/>
      <c r="Q269" s="278"/>
      <c r="R269" s="307"/>
      <c r="S269" s="278"/>
      <c r="T269" s="278"/>
      <c r="U269" s="278"/>
      <c r="V269" s="278" t="s">
        <v>1230</v>
      </c>
      <c r="W269" s="278"/>
      <c r="X269" s="278"/>
      <c r="Y269" s="278"/>
    </row>
    <row r="270" s="249" customFormat="1" ht="24" customHeight="1" spans="1:25">
      <c r="A270" s="337" t="s">
        <v>1208</v>
      </c>
      <c r="B270" s="361" t="s">
        <v>1231</v>
      </c>
      <c r="C270" s="278" t="s">
        <v>1232</v>
      </c>
      <c r="D270" s="338" t="s">
        <v>1233</v>
      </c>
      <c r="E270" s="347"/>
      <c r="F270" s="364" t="s">
        <v>1234</v>
      </c>
      <c r="G270" s="365" t="s">
        <v>1235</v>
      </c>
      <c r="H270" s="278"/>
      <c r="I270" s="353">
        <v>7</v>
      </c>
      <c r="J270" s="355">
        <v>7</v>
      </c>
      <c r="K270" s="355">
        <v>7</v>
      </c>
      <c r="L270" s="359" t="s">
        <v>30</v>
      </c>
      <c r="M270" s="295">
        <v>1</v>
      </c>
      <c r="N270" s="296">
        <v>1</v>
      </c>
      <c r="O270" s="356"/>
      <c r="P270" s="357" t="s">
        <v>1236</v>
      </c>
      <c r="Q270" s="297"/>
      <c r="R270" s="358"/>
      <c r="S270" s="278"/>
      <c r="T270" s="278"/>
      <c r="U270" s="278"/>
      <c r="V270" s="297" t="s">
        <v>1230</v>
      </c>
      <c r="W270" s="278"/>
      <c r="X270" s="278"/>
      <c r="Y270" s="278"/>
    </row>
    <row r="271" s="249" customFormat="1" ht="24" customHeight="1" spans="1:25">
      <c r="A271" s="337" t="s">
        <v>1208</v>
      </c>
      <c r="B271" s="361" t="s">
        <v>1231</v>
      </c>
      <c r="C271" s="278" t="s">
        <v>1237</v>
      </c>
      <c r="D271" s="338" t="s">
        <v>1233</v>
      </c>
      <c r="E271" s="347"/>
      <c r="F271" s="364" t="s">
        <v>1238</v>
      </c>
      <c r="G271" s="366" t="s">
        <v>1235</v>
      </c>
      <c r="H271" s="278"/>
      <c r="I271" s="353">
        <v>7</v>
      </c>
      <c r="J271" s="355">
        <v>7</v>
      </c>
      <c r="K271" s="355">
        <v>7</v>
      </c>
      <c r="L271" s="359" t="s">
        <v>30</v>
      </c>
      <c r="M271" s="295">
        <v>1</v>
      </c>
      <c r="N271" s="296">
        <v>1</v>
      </c>
      <c r="O271" s="356"/>
      <c r="P271" s="357" t="s">
        <v>1239</v>
      </c>
      <c r="Q271" s="297"/>
      <c r="R271" s="358"/>
      <c r="S271" s="278"/>
      <c r="T271" s="278"/>
      <c r="U271" s="278"/>
      <c r="V271" s="297" t="s">
        <v>1230</v>
      </c>
      <c r="W271" s="278"/>
      <c r="X271" s="278"/>
      <c r="Y271" s="278"/>
    </row>
    <row r="272" s="249" customFormat="1" ht="24" customHeight="1" spans="1:25">
      <c r="A272" s="337" t="s">
        <v>1208</v>
      </c>
      <c r="B272" s="361" t="s">
        <v>1231</v>
      </c>
      <c r="C272" s="278" t="s">
        <v>1240</v>
      </c>
      <c r="D272" s="338" t="s">
        <v>1233</v>
      </c>
      <c r="E272" s="347"/>
      <c r="F272" s="364" t="s">
        <v>1241</v>
      </c>
      <c r="G272" s="367" t="s">
        <v>1235</v>
      </c>
      <c r="H272" s="278"/>
      <c r="I272" s="353">
        <v>7</v>
      </c>
      <c r="J272" s="355">
        <v>7</v>
      </c>
      <c r="K272" s="355">
        <v>7</v>
      </c>
      <c r="L272" s="359" t="s">
        <v>30</v>
      </c>
      <c r="M272" s="295">
        <v>1</v>
      </c>
      <c r="N272" s="296">
        <v>1</v>
      </c>
      <c r="O272" s="356"/>
      <c r="P272" s="357" t="s">
        <v>1242</v>
      </c>
      <c r="Q272" s="297"/>
      <c r="R272" s="358"/>
      <c r="S272" s="278"/>
      <c r="T272" s="278"/>
      <c r="U272" s="278"/>
      <c r="V272" s="297" t="s">
        <v>1230</v>
      </c>
      <c r="W272" s="278"/>
      <c r="X272" s="278"/>
      <c r="Y272" s="278"/>
    </row>
    <row r="273" s="250" customFormat="1" ht="24" customHeight="1" spans="1:25">
      <c r="A273" s="352" t="s">
        <v>1208</v>
      </c>
      <c r="B273" s="361" t="s">
        <v>1243</v>
      </c>
      <c r="C273" s="297" t="s">
        <v>1244</v>
      </c>
      <c r="D273" s="351" t="s">
        <v>1245</v>
      </c>
      <c r="E273" s="353"/>
      <c r="F273" s="364" t="s">
        <v>1246</v>
      </c>
      <c r="G273" s="366" t="s">
        <v>1247</v>
      </c>
      <c r="H273" s="297"/>
      <c r="I273" s="353">
        <v>3</v>
      </c>
      <c r="J273" s="355">
        <v>3</v>
      </c>
      <c r="K273" s="355">
        <v>4</v>
      </c>
      <c r="L273" s="359" t="s">
        <v>88</v>
      </c>
      <c r="M273" s="295">
        <v>0.5</v>
      </c>
      <c r="N273" s="296">
        <v>1</v>
      </c>
      <c r="O273" s="356"/>
      <c r="P273" s="357" t="s">
        <v>1248</v>
      </c>
      <c r="Q273" s="297"/>
      <c r="R273" s="358"/>
      <c r="S273" s="297"/>
      <c r="T273" s="297"/>
      <c r="U273" s="297"/>
      <c r="V273" s="278" t="s">
        <v>1189</v>
      </c>
      <c r="W273" s="297"/>
      <c r="X273" s="297"/>
      <c r="Y273" s="297"/>
    </row>
    <row r="274" s="250" customFormat="1" ht="24" customHeight="1" spans="1:25">
      <c r="A274" s="352" t="s">
        <v>1208</v>
      </c>
      <c r="B274" s="361" t="s">
        <v>1243</v>
      </c>
      <c r="C274" s="297" t="s">
        <v>1249</v>
      </c>
      <c r="D274" s="351" t="s">
        <v>1245</v>
      </c>
      <c r="E274" s="353"/>
      <c r="F274" s="364" t="s">
        <v>1250</v>
      </c>
      <c r="G274" s="366" t="s">
        <v>1247</v>
      </c>
      <c r="H274" s="297"/>
      <c r="I274" s="353">
        <v>3</v>
      </c>
      <c r="J274" s="355">
        <v>3</v>
      </c>
      <c r="K274" s="355">
        <v>3</v>
      </c>
      <c r="L274" s="359" t="s">
        <v>88</v>
      </c>
      <c r="M274" s="295">
        <v>0.5</v>
      </c>
      <c r="N274" s="296">
        <v>1</v>
      </c>
      <c r="O274" s="356"/>
      <c r="P274" s="357" t="s">
        <v>1248</v>
      </c>
      <c r="Q274" s="297"/>
      <c r="R274" s="358"/>
      <c r="S274" s="297"/>
      <c r="T274" s="297"/>
      <c r="U274" s="297"/>
      <c r="V274" s="278" t="s">
        <v>1189</v>
      </c>
      <c r="W274" s="297"/>
      <c r="X274" s="297"/>
      <c r="Y274" s="297"/>
    </row>
    <row r="275" s="250" customFormat="1" ht="24" customHeight="1" spans="1:25">
      <c r="A275" s="352" t="s">
        <v>1208</v>
      </c>
      <c r="B275" s="361" t="s">
        <v>1243</v>
      </c>
      <c r="C275" s="297" t="s">
        <v>1251</v>
      </c>
      <c r="D275" s="351" t="s">
        <v>1245</v>
      </c>
      <c r="E275" s="353"/>
      <c r="F275" s="364" t="s">
        <v>1252</v>
      </c>
      <c r="G275" s="366" t="s">
        <v>1247</v>
      </c>
      <c r="H275" s="297"/>
      <c r="I275" s="353">
        <v>3</v>
      </c>
      <c r="J275" s="355">
        <v>3</v>
      </c>
      <c r="K275" s="355">
        <v>4</v>
      </c>
      <c r="L275" s="359" t="s">
        <v>88</v>
      </c>
      <c r="M275" s="295">
        <v>0.5</v>
      </c>
      <c r="N275" s="296">
        <v>1</v>
      </c>
      <c r="O275" s="356"/>
      <c r="P275" s="357" t="s">
        <v>1248</v>
      </c>
      <c r="Q275" s="297"/>
      <c r="R275" s="358"/>
      <c r="S275" s="297"/>
      <c r="T275" s="297"/>
      <c r="U275" s="297"/>
      <c r="V275" s="278" t="s">
        <v>1189</v>
      </c>
      <c r="W275" s="297"/>
      <c r="X275" s="297"/>
      <c r="Y275" s="297"/>
    </row>
    <row r="276" s="250" customFormat="1" ht="24" customHeight="1" spans="1:25">
      <c r="A276" s="352" t="s">
        <v>1208</v>
      </c>
      <c r="B276" s="361" t="s">
        <v>1243</v>
      </c>
      <c r="C276" s="297" t="s">
        <v>1253</v>
      </c>
      <c r="D276" s="351" t="s">
        <v>1245</v>
      </c>
      <c r="E276" s="353"/>
      <c r="F276" s="364" t="s">
        <v>1254</v>
      </c>
      <c r="G276" s="367" t="s">
        <v>1247</v>
      </c>
      <c r="H276" s="297"/>
      <c r="I276" s="353">
        <v>3</v>
      </c>
      <c r="J276" s="355">
        <v>3</v>
      </c>
      <c r="K276" s="355">
        <v>3</v>
      </c>
      <c r="L276" s="359" t="s">
        <v>88</v>
      </c>
      <c r="M276" s="295">
        <v>0.5</v>
      </c>
      <c r="N276" s="296">
        <v>1</v>
      </c>
      <c r="O276" s="356"/>
      <c r="P276" s="357" t="s">
        <v>1248</v>
      </c>
      <c r="Q276" s="297"/>
      <c r="R276" s="358"/>
      <c r="S276" s="297"/>
      <c r="T276" s="297"/>
      <c r="U276" s="297"/>
      <c r="V276" s="278" t="s">
        <v>1189</v>
      </c>
      <c r="W276" s="297"/>
      <c r="X276" s="297"/>
      <c r="Y276" s="297"/>
    </row>
    <row r="277" s="249" customFormat="1" ht="24" customHeight="1" spans="1:25">
      <c r="A277" s="337" t="s">
        <v>1208</v>
      </c>
      <c r="B277" s="361" t="s">
        <v>1255</v>
      </c>
      <c r="C277" s="278" t="s">
        <v>1256</v>
      </c>
      <c r="D277" s="338" t="s">
        <v>1257</v>
      </c>
      <c r="E277" s="347"/>
      <c r="F277" s="399" t="s">
        <v>1258</v>
      </c>
      <c r="G277" s="340"/>
      <c r="H277" s="278"/>
      <c r="I277" s="347"/>
      <c r="J277" s="342"/>
      <c r="K277" s="342"/>
      <c r="L277" s="359" t="s">
        <v>88</v>
      </c>
      <c r="M277" s="295">
        <v>0.4</v>
      </c>
      <c r="N277" s="296">
        <v>1</v>
      </c>
      <c r="O277" s="344"/>
      <c r="P277" s="349" t="s">
        <v>1259</v>
      </c>
      <c r="Q277" s="278"/>
      <c r="R277" s="307"/>
      <c r="S277" s="278"/>
      <c r="T277" s="278"/>
      <c r="U277" s="278"/>
      <c r="V277" s="278" t="s">
        <v>1230</v>
      </c>
      <c r="W277" s="278"/>
      <c r="X277" s="278"/>
      <c r="Y277" s="278"/>
    </row>
    <row r="278" s="249" customFormat="1" ht="24" customHeight="1" spans="1:25">
      <c r="A278" s="337" t="s">
        <v>1208</v>
      </c>
      <c r="B278" s="361" t="s">
        <v>1255</v>
      </c>
      <c r="C278" s="278" t="s">
        <v>1256</v>
      </c>
      <c r="D278" s="338" t="s">
        <v>1257</v>
      </c>
      <c r="E278" s="347"/>
      <c r="F278" s="369" t="s">
        <v>1260</v>
      </c>
      <c r="G278" s="340"/>
      <c r="H278" s="278"/>
      <c r="I278" s="347"/>
      <c r="J278" s="342"/>
      <c r="K278" s="342"/>
      <c r="L278" s="359" t="s">
        <v>88</v>
      </c>
      <c r="M278" s="295">
        <v>0.4</v>
      </c>
      <c r="N278" s="296">
        <v>1</v>
      </c>
      <c r="O278" s="344"/>
      <c r="P278" s="349" t="s">
        <v>1259</v>
      </c>
      <c r="Q278" s="278"/>
      <c r="R278" s="307"/>
      <c r="S278" s="278"/>
      <c r="T278" s="278"/>
      <c r="U278" s="278"/>
      <c r="V278" s="278" t="s">
        <v>1261</v>
      </c>
      <c r="W278" s="278"/>
      <c r="X278" s="278"/>
      <c r="Y278" s="278"/>
    </row>
    <row r="279" s="249" customFormat="1" ht="24" customHeight="1" spans="1:25">
      <c r="A279" s="337" t="s">
        <v>1208</v>
      </c>
      <c r="B279" s="297" t="s">
        <v>1262</v>
      </c>
      <c r="C279" s="278" t="s">
        <v>1263</v>
      </c>
      <c r="D279" s="338" t="s">
        <v>1171</v>
      </c>
      <c r="E279" s="347"/>
      <c r="F279" s="272" t="s">
        <v>1264</v>
      </c>
      <c r="G279" s="340"/>
      <c r="H279" s="278"/>
      <c r="I279" s="347">
        <v>6</v>
      </c>
      <c r="J279" s="342">
        <v>6</v>
      </c>
      <c r="K279" s="342">
        <v>6</v>
      </c>
      <c r="L279" s="359" t="s">
        <v>69</v>
      </c>
      <c r="M279" s="295">
        <v>1</v>
      </c>
      <c r="N279" s="296">
        <v>1</v>
      </c>
      <c r="O279" s="344"/>
      <c r="P279" s="349" t="s">
        <v>1193</v>
      </c>
      <c r="Q279" s="278"/>
      <c r="R279" s="307"/>
      <c r="S279" s="278"/>
      <c r="T279" s="278"/>
      <c r="U279" s="278"/>
      <c r="V279" s="278" t="s">
        <v>1179</v>
      </c>
      <c r="W279" s="278"/>
      <c r="X279" s="278"/>
      <c r="Y279" s="278"/>
    </row>
    <row r="280" s="249" customFormat="1" ht="24" customHeight="1" spans="1:25">
      <c r="A280" s="337" t="s">
        <v>1208</v>
      </c>
      <c r="B280" s="361" t="s">
        <v>1265</v>
      </c>
      <c r="C280" s="278" t="s">
        <v>1266</v>
      </c>
      <c r="D280" s="338"/>
      <c r="E280" s="347"/>
      <c r="F280" s="282"/>
      <c r="G280" s="340"/>
      <c r="H280" s="278"/>
      <c r="I280" s="347"/>
      <c r="J280" s="342"/>
      <c r="K280" s="342"/>
      <c r="L280" s="359"/>
      <c r="M280" s="295"/>
      <c r="N280" s="296">
        <v>1</v>
      </c>
      <c r="O280" s="344"/>
      <c r="P280" s="349"/>
      <c r="Q280" s="278"/>
      <c r="R280" s="307"/>
      <c r="S280" s="278"/>
      <c r="T280" s="278"/>
      <c r="U280" s="278"/>
      <c r="V280" s="278"/>
      <c r="W280" s="278"/>
      <c r="X280" s="278"/>
      <c r="Y280" s="278"/>
    </row>
    <row r="281" s="249" customFormat="1" ht="24" customHeight="1" spans="1:25">
      <c r="A281" s="337" t="s">
        <v>1208</v>
      </c>
      <c r="B281" s="278" t="s">
        <v>1267</v>
      </c>
      <c r="C281" s="278" t="s">
        <v>1268</v>
      </c>
      <c r="D281" s="338"/>
      <c r="E281" s="338" t="s">
        <v>1269</v>
      </c>
      <c r="F281" s="272" t="s">
        <v>1270</v>
      </c>
      <c r="G281" s="340"/>
      <c r="H281" s="278"/>
      <c r="I281" s="347">
        <v>14</v>
      </c>
      <c r="J281" s="342">
        <v>14</v>
      </c>
      <c r="K281" s="342"/>
      <c r="L281" s="359" t="s">
        <v>126</v>
      </c>
      <c r="M281" s="295" t="s">
        <v>40</v>
      </c>
      <c r="N281" s="296">
        <v>1</v>
      </c>
      <c r="O281" s="344"/>
      <c r="P281" s="349"/>
      <c r="Q281" s="278"/>
      <c r="R281" s="307"/>
      <c r="S281" s="278"/>
      <c r="T281" s="278">
        <v>2028.09</v>
      </c>
      <c r="U281" s="278"/>
      <c r="V281" s="278" t="s">
        <v>1271</v>
      </c>
      <c r="W281" s="278"/>
      <c r="X281" s="278"/>
      <c r="Y281" s="278"/>
    </row>
    <row r="282" s="249" customFormat="1" ht="24" customHeight="1" spans="1:25">
      <c r="A282" s="337" t="s">
        <v>1208</v>
      </c>
      <c r="B282" s="278" t="s">
        <v>1272</v>
      </c>
      <c r="C282" s="278" t="s">
        <v>1273</v>
      </c>
      <c r="D282" s="338"/>
      <c r="E282" s="338">
        <v>201405001</v>
      </c>
      <c r="F282" s="400" t="s">
        <v>1274</v>
      </c>
      <c r="G282" s="370" t="s">
        <v>1275</v>
      </c>
      <c r="H282" s="278"/>
      <c r="I282" s="347">
        <v>8</v>
      </c>
      <c r="J282" s="342">
        <v>8</v>
      </c>
      <c r="K282" s="342"/>
      <c r="L282" s="359" t="s">
        <v>69</v>
      </c>
      <c r="M282" s="295">
        <v>1</v>
      </c>
      <c r="N282" s="296">
        <v>1</v>
      </c>
      <c r="O282" s="344"/>
      <c r="P282" s="349"/>
      <c r="Q282" s="278"/>
      <c r="R282" s="307"/>
      <c r="S282" s="278"/>
      <c r="T282" s="371" t="s">
        <v>1276</v>
      </c>
      <c r="U282" s="278" t="s">
        <v>1277</v>
      </c>
      <c r="V282" s="278" t="s">
        <v>1189</v>
      </c>
      <c r="X282" s="278"/>
      <c r="Y282" s="278"/>
    </row>
    <row r="283" s="249" customFormat="1" ht="24" customHeight="1" spans="1:25">
      <c r="A283" s="337" t="s">
        <v>1208</v>
      </c>
      <c r="B283" s="278" t="s">
        <v>1278</v>
      </c>
      <c r="C283" s="278" t="s">
        <v>1279</v>
      </c>
      <c r="D283" s="338"/>
      <c r="E283" s="338" t="s">
        <v>1280</v>
      </c>
      <c r="F283" s="342" t="s">
        <v>1281</v>
      </c>
      <c r="G283" s="372" t="s">
        <v>1199</v>
      </c>
      <c r="H283" s="278"/>
      <c r="I283" s="347">
        <v>5</v>
      </c>
      <c r="J283" s="342">
        <v>5</v>
      </c>
      <c r="K283" s="342">
        <v>5</v>
      </c>
      <c r="L283" s="359" t="s">
        <v>69</v>
      </c>
      <c r="M283" s="295">
        <v>1</v>
      </c>
      <c r="N283" s="296">
        <v>1</v>
      </c>
      <c r="O283" s="344"/>
      <c r="P283" s="349"/>
      <c r="Q283" s="278"/>
      <c r="R283" s="307"/>
      <c r="S283" s="278">
        <v>2027.12</v>
      </c>
      <c r="T283" s="278"/>
      <c r="U283" s="278"/>
      <c r="V283" s="278" t="s">
        <v>1189</v>
      </c>
      <c r="W283" s="278"/>
      <c r="X283" s="278"/>
      <c r="Y283" s="278"/>
    </row>
    <row r="284" s="249" customFormat="1" ht="24" customHeight="1" spans="1:25">
      <c r="A284" s="337" t="s">
        <v>1208</v>
      </c>
      <c r="B284" s="278" t="s">
        <v>1282</v>
      </c>
      <c r="C284" s="278" t="s">
        <v>1283</v>
      </c>
      <c r="D284" s="338"/>
      <c r="E284" s="347" t="s">
        <v>1284</v>
      </c>
      <c r="F284" s="400" t="s">
        <v>1285</v>
      </c>
      <c r="G284" s="373" t="s">
        <v>1286</v>
      </c>
      <c r="H284" s="278"/>
      <c r="I284" s="347">
        <v>6</v>
      </c>
      <c r="J284" s="342">
        <v>6</v>
      </c>
      <c r="K284" s="342">
        <v>6</v>
      </c>
      <c r="L284" s="359" t="s">
        <v>69</v>
      </c>
      <c r="M284" s="295" t="s">
        <v>40</v>
      </c>
      <c r="N284" s="296">
        <v>1</v>
      </c>
      <c r="O284" s="344"/>
      <c r="P284" s="349"/>
      <c r="Q284" s="278"/>
      <c r="R284" s="307"/>
      <c r="S284" s="278"/>
      <c r="T284" s="278">
        <v>2027.09</v>
      </c>
      <c r="U284" s="278"/>
      <c r="V284" s="278" t="s">
        <v>1189</v>
      </c>
      <c r="W284" s="278"/>
      <c r="X284" s="278"/>
      <c r="Y284" s="278"/>
    </row>
    <row r="285" s="249" customFormat="1" ht="24" customHeight="1" spans="1:25">
      <c r="A285" s="337" t="s">
        <v>1208</v>
      </c>
      <c r="B285" s="278" t="s">
        <v>1282</v>
      </c>
      <c r="C285" s="278" t="s">
        <v>1287</v>
      </c>
      <c r="D285" s="338"/>
      <c r="E285" s="347" t="s">
        <v>1288</v>
      </c>
      <c r="F285" s="400" t="s">
        <v>1289</v>
      </c>
      <c r="G285" s="373" t="s">
        <v>1286</v>
      </c>
      <c r="H285" s="278"/>
      <c r="I285" s="347">
        <v>6</v>
      </c>
      <c r="J285" s="342">
        <v>6</v>
      </c>
      <c r="K285" s="342">
        <v>6</v>
      </c>
      <c r="L285" s="359" t="s">
        <v>69</v>
      </c>
      <c r="M285" s="295" t="s">
        <v>40</v>
      </c>
      <c r="N285" s="296">
        <v>1</v>
      </c>
      <c r="O285" s="344"/>
      <c r="P285" s="349"/>
      <c r="Q285" s="278"/>
      <c r="R285" s="307"/>
      <c r="S285" s="278"/>
      <c r="T285" s="278">
        <v>2027.09</v>
      </c>
      <c r="U285" s="278"/>
      <c r="V285" s="278" t="s">
        <v>1189</v>
      </c>
      <c r="W285" s="278"/>
      <c r="X285" s="278"/>
      <c r="Y285" s="278"/>
    </row>
    <row r="286" s="249" customFormat="1" ht="24" customHeight="1" spans="1:25">
      <c r="A286" s="337" t="s">
        <v>1208</v>
      </c>
      <c r="B286" s="278" t="s">
        <v>1282</v>
      </c>
      <c r="C286" s="278" t="s">
        <v>1290</v>
      </c>
      <c r="D286" s="338"/>
      <c r="E286" s="347" t="s">
        <v>1291</v>
      </c>
      <c r="F286" s="400" t="s">
        <v>1292</v>
      </c>
      <c r="G286" s="373" t="s">
        <v>1286</v>
      </c>
      <c r="H286" s="278"/>
      <c r="I286" s="347">
        <v>6</v>
      </c>
      <c r="J286" s="342">
        <v>6</v>
      </c>
      <c r="K286" s="342">
        <v>6</v>
      </c>
      <c r="L286" s="359" t="s">
        <v>69</v>
      </c>
      <c r="M286" s="295" t="s">
        <v>40</v>
      </c>
      <c r="N286" s="296">
        <v>1</v>
      </c>
      <c r="O286" s="344"/>
      <c r="P286" s="349"/>
      <c r="Q286" s="278"/>
      <c r="R286" s="307"/>
      <c r="S286" s="278"/>
      <c r="T286" s="278">
        <v>2027.09</v>
      </c>
      <c r="U286" s="278"/>
      <c r="V286" s="278" t="s">
        <v>1189</v>
      </c>
      <c r="W286" s="278"/>
      <c r="X286" s="278"/>
      <c r="Y286" s="278"/>
    </row>
    <row r="287" s="249" customFormat="1" ht="24" customHeight="1" spans="1:25">
      <c r="A287" s="337" t="s">
        <v>1208</v>
      </c>
      <c r="B287" s="278" t="s">
        <v>1282</v>
      </c>
      <c r="C287" s="278" t="s">
        <v>1293</v>
      </c>
      <c r="D287" s="338"/>
      <c r="E287" s="347" t="s">
        <v>1294</v>
      </c>
      <c r="F287" s="400" t="s">
        <v>1295</v>
      </c>
      <c r="G287" s="374" t="s">
        <v>1296</v>
      </c>
      <c r="H287" s="278"/>
      <c r="I287" s="347">
        <v>6</v>
      </c>
      <c r="J287" s="342">
        <v>6</v>
      </c>
      <c r="K287" s="342">
        <v>6</v>
      </c>
      <c r="L287" s="359" t="s">
        <v>69</v>
      </c>
      <c r="M287" s="295" t="s">
        <v>40</v>
      </c>
      <c r="N287" s="296">
        <v>1</v>
      </c>
      <c r="O287" s="344"/>
      <c r="P287" s="349"/>
      <c r="Q287" s="278"/>
      <c r="R287" s="307"/>
      <c r="S287" s="278"/>
      <c r="T287" s="278">
        <v>2027.01</v>
      </c>
      <c r="U287" s="278"/>
      <c r="V287" s="278" t="s">
        <v>1189</v>
      </c>
      <c r="W287" s="278"/>
      <c r="X287" s="278"/>
      <c r="Y287" s="278"/>
    </row>
    <row r="288" s="249" customFormat="1" ht="24" customHeight="1" spans="1:25">
      <c r="A288" s="337" t="s">
        <v>1208</v>
      </c>
      <c r="B288" s="278" t="s">
        <v>1297</v>
      </c>
      <c r="C288" s="278" t="s">
        <v>1298</v>
      </c>
      <c r="D288" s="338"/>
      <c r="E288" s="347" t="s">
        <v>1299</v>
      </c>
      <c r="F288" s="400" t="s">
        <v>1300</v>
      </c>
      <c r="G288" s="375"/>
      <c r="H288" s="278"/>
      <c r="I288" s="347">
        <v>3</v>
      </c>
      <c r="J288" s="342">
        <v>3</v>
      </c>
      <c r="K288" s="342">
        <v>3</v>
      </c>
      <c r="L288" s="359" t="s">
        <v>69</v>
      </c>
      <c r="M288" s="295">
        <v>1</v>
      </c>
      <c r="N288" s="296">
        <v>1</v>
      </c>
      <c r="O288" s="344"/>
      <c r="P288" s="349"/>
      <c r="Q288" s="278"/>
      <c r="R288" s="307"/>
      <c r="S288" s="278"/>
      <c r="T288" s="278"/>
      <c r="U288" s="278"/>
      <c r="V288" s="278" t="s">
        <v>1189</v>
      </c>
      <c r="W288" s="278"/>
      <c r="X288" s="278"/>
      <c r="Y288" s="278"/>
    </row>
    <row r="289" s="249" customFormat="1" ht="24" customHeight="1" spans="1:25">
      <c r="A289" s="337" t="s">
        <v>1208</v>
      </c>
      <c r="B289" s="278" t="s">
        <v>1301</v>
      </c>
      <c r="C289" s="278" t="s">
        <v>1302</v>
      </c>
      <c r="D289" s="338"/>
      <c r="E289" s="347"/>
      <c r="F289" s="338" t="s">
        <v>1303</v>
      </c>
      <c r="G289" s="376" t="s">
        <v>1304</v>
      </c>
      <c r="H289" s="278"/>
      <c r="I289" s="347">
        <v>2</v>
      </c>
      <c r="J289" s="342">
        <v>2</v>
      </c>
      <c r="K289" s="342">
        <v>3</v>
      </c>
      <c r="L289" s="359">
        <v>2000</v>
      </c>
      <c r="M289" s="295">
        <v>0.5</v>
      </c>
      <c r="N289" s="296">
        <v>1</v>
      </c>
      <c r="O289" s="344"/>
      <c r="P289" s="349"/>
      <c r="Q289" s="278"/>
      <c r="R289" s="307"/>
      <c r="S289" s="278"/>
      <c r="T289" s="278"/>
      <c r="U289" s="278"/>
      <c r="V289" s="278" t="s">
        <v>1189</v>
      </c>
      <c r="W289" s="278"/>
      <c r="X289" s="278"/>
      <c r="Y289" s="278"/>
    </row>
    <row r="290" s="249" customFormat="1" ht="24" customHeight="1" spans="1:25">
      <c r="A290" s="337" t="s">
        <v>1208</v>
      </c>
      <c r="B290" s="278" t="s">
        <v>1301</v>
      </c>
      <c r="C290" s="278" t="s">
        <v>1305</v>
      </c>
      <c r="D290" s="338"/>
      <c r="E290" s="347"/>
      <c r="F290" s="338" t="s">
        <v>1306</v>
      </c>
      <c r="G290" s="377" t="s">
        <v>1304</v>
      </c>
      <c r="H290" s="278"/>
      <c r="I290" s="347">
        <v>3</v>
      </c>
      <c r="J290" s="342">
        <v>3</v>
      </c>
      <c r="K290" s="342">
        <v>3</v>
      </c>
      <c r="L290" s="359">
        <v>3000</v>
      </c>
      <c r="M290" s="295">
        <v>0.5</v>
      </c>
      <c r="N290" s="296">
        <v>1</v>
      </c>
      <c r="O290" s="344"/>
      <c r="P290" s="349"/>
      <c r="Q290" s="278"/>
      <c r="R290" s="307"/>
      <c r="S290" s="278"/>
      <c r="T290" s="278"/>
      <c r="U290" s="278"/>
      <c r="V290" s="278" t="s">
        <v>1189</v>
      </c>
      <c r="W290" s="278"/>
      <c r="X290" s="278"/>
      <c r="Y290" s="278"/>
    </row>
    <row r="291" s="249" customFormat="1" ht="24" customHeight="1" spans="1:25">
      <c r="A291" s="337" t="s">
        <v>1208</v>
      </c>
      <c r="B291" s="278" t="s">
        <v>1301</v>
      </c>
      <c r="C291" s="278" t="s">
        <v>1307</v>
      </c>
      <c r="D291" s="338"/>
      <c r="E291" s="347"/>
      <c r="F291" s="338" t="s">
        <v>1308</v>
      </c>
      <c r="G291" s="377" t="s">
        <v>1304</v>
      </c>
      <c r="H291" s="278"/>
      <c r="I291" s="347">
        <v>2</v>
      </c>
      <c r="J291" s="342">
        <v>2</v>
      </c>
      <c r="K291" s="342">
        <v>3</v>
      </c>
      <c r="L291" s="359">
        <v>2000</v>
      </c>
      <c r="M291" s="295">
        <v>0.5</v>
      </c>
      <c r="N291" s="296">
        <v>1</v>
      </c>
      <c r="O291" s="344"/>
      <c r="P291" s="349"/>
      <c r="Q291" s="278"/>
      <c r="R291" s="307"/>
      <c r="S291" s="278"/>
      <c r="T291" s="278"/>
      <c r="U291" s="278"/>
      <c r="V291" s="278" t="s">
        <v>1189</v>
      </c>
      <c r="W291" s="278"/>
      <c r="X291" s="278"/>
      <c r="Y291" s="278"/>
    </row>
    <row r="292" s="249" customFormat="1" ht="24" customHeight="1" spans="1:25">
      <c r="A292" s="337" t="s">
        <v>1208</v>
      </c>
      <c r="B292" s="278" t="s">
        <v>1301</v>
      </c>
      <c r="C292" s="278" t="s">
        <v>1309</v>
      </c>
      <c r="D292" s="338"/>
      <c r="E292" s="347"/>
      <c r="F292" s="338" t="s">
        <v>1310</v>
      </c>
      <c r="G292" s="377" t="s">
        <v>1304</v>
      </c>
      <c r="H292" s="278"/>
      <c r="I292" s="347">
        <v>3</v>
      </c>
      <c r="J292" s="342">
        <v>3</v>
      </c>
      <c r="K292" s="342">
        <v>3</v>
      </c>
      <c r="L292" s="359">
        <v>3000</v>
      </c>
      <c r="M292" s="295">
        <v>0.5</v>
      </c>
      <c r="N292" s="296">
        <v>1</v>
      </c>
      <c r="O292" s="344"/>
      <c r="P292" s="349"/>
      <c r="Q292" s="278"/>
      <c r="R292" s="307"/>
      <c r="S292" s="278"/>
      <c r="T292" s="278"/>
      <c r="U292" s="278"/>
      <c r="V292" s="278" t="s">
        <v>1189</v>
      </c>
      <c r="W292" s="278"/>
      <c r="X292" s="278"/>
      <c r="Y292" s="278"/>
    </row>
    <row r="293" s="249" customFormat="1" ht="24" customHeight="1" spans="1:25">
      <c r="A293" s="337" t="s">
        <v>1208</v>
      </c>
      <c r="B293" s="278" t="s">
        <v>1311</v>
      </c>
      <c r="C293" s="278" t="s">
        <v>1312</v>
      </c>
      <c r="D293" s="338"/>
      <c r="E293" s="347"/>
      <c r="F293" s="338" t="s">
        <v>1313</v>
      </c>
      <c r="G293" s="377" t="s">
        <v>1314</v>
      </c>
      <c r="H293" s="278"/>
      <c r="I293" s="347">
        <v>7</v>
      </c>
      <c r="J293" s="342">
        <v>7</v>
      </c>
      <c r="K293" s="342">
        <v>7</v>
      </c>
      <c r="L293" s="359">
        <v>1350</v>
      </c>
      <c r="M293" s="295">
        <v>1</v>
      </c>
      <c r="N293" s="296">
        <v>1</v>
      </c>
      <c r="O293" s="344"/>
      <c r="P293" s="349"/>
      <c r="Q293" s="278"/>
      <c r="R293" s="307"/>
      <c r="S293" s="278"/>
      <c r="T293" s="278"/>
      <c r="U293" s="278"/>
      <c r="V293" s="278" t="s">
        <v>1189</v>
      </c>
      <c r="W293" s="278"/>
      <c r="X293" s="278"/>
      <c r="Y293" s="278"/>
    </row>
    <row r="294" s="249" customFormat="1" ht="24" customHeight="1" spans="1:25">
      <c r="A294" s="337" t="s">
        <v>1208</v>
      </c>
      <c r="B294" s="278" t="s">
        <v>1311</v>
      </c>
      <c r="C294" s="278" t="s">
        <v>1315</v>
      </c>
      <c r="D294" s="338"/>
      <c r="E294" s="347"/>
      <c r="F294" s="338" t="s">
        <v>1316</v>
      </c>
      <c r="G294" s="377" t="s">
        <v>1314</v>
      </c>
      <c r="H294" s="278"/>
      <c r="I294" s="347">
        <v>6</v>
      </c>
      <c r="J294" s="342">
        <v>6</v>
      </c>
      <c r="K294" s="342">
        <v>6</v>
      </c>
      <c r="L294" s="359">
        <v>1350</v>
      </c>
      <c r="M294" s="295">
        <v>1</v>
      </c>
      <c r="N294" s="296">
        <v>1</v>
      </c>
      <c r="O294" s="344"/>
      <c r="P294" s="349"/>
      <c r="Q294" s="278"/>
      <c r="R294" s="307"/>
      <c r="S294" s="278"/>
      <c r="T294" s="278"/>
      <c r="U294" s="278"/>
      <c r="V294" s="278" t="s">
        <v>1189</v>
      </c>
      <c r="W294" s="278"/>
      <c r="X294" s="278"/>
      <c r="Y294" s="278"/>
    </row>
    <row r="295" s="249" customFormat="1" ht="24" customHeight="1" spans="1:25">
      <c r="A295" s="337" t="s">
        <v>1208</v>
      </c>
      <c r="B295" s="278" t="s">
        <v>1317</v>
      </c>
      <c r="C295" s="278" t="s">
        <v>1318</v>
      </c>
      <c r="D295" s="338"/>
      <c r="E295" s="347"/>
      <c r="F295" s="338" t="s">
        <v>1319</v>
      </c>
      <c r="G295" s="377" t="s">
        <v>1320</v>
      </c>
      <c r="H295" s="278"/>
      <c r="I295" s="347">
        <v>4</v>
      </c>
      <c r="J295" s="342">
        <v>4</v>
      </c>
      <c r="K295" s="342"/>
      <c r="L295" s="359">
        <v>3000</v>
      </c>
      <c r="M295" s="295">
        <v>0.5</v>
      </c>
      <c r="N295" s="296">
        <v>1</v>
      </c>
      <c r="O295" s="344"/>
      <c r="P295" s="349"/>
      <c r="Q295" s="278"/>
      <c r="R295" s="307"/>
      <c r="S295" s="278"/>
      <c r="T295" s="278"/>
      <c r="U295" s="278"/>
      <c r="V295" s="278" t="s">
        <v>1189</v>
      </c>
      <c r="W295" s="278"/>
      <c r="X295" s="278"/>
      <c r="Y295" s="278"/>
    </row>
    <row r="296" s="249" customFormat="1" ht="24" customHeight="1" spans="1:25">
      <c r="A296" s="337" t="s">
        <v>1208</v>
      </c>
      <c r="B296" s="278" t="s">
        <v>1317</v>
      </c>
      <c r="C296" s="278" t="s">
        <v>1321</v>
      </c>
      <c r="D296" s="338"/>
      <c r="E296" s="347"/>
      <c r="F296" s="338" t="s">
        <v>1322</v>
      </c>
      <c r="G296" s="378" t="s">
        <v>1320</v>
      </c>
      <c r="H296" s="278"/>
      <c r="I296" s="379">
        <v>4</v>
      </c>
      <c r="J296" s="380">
        <v>4</v>
      </c>
      <c r="K296" s="380"/>
      <c r="L296" s="359">
        <v>3000</v>
      </c>
      <c r="M296" s="295">
        <v>0.5</v>
      </c>
      <c r="N296" s="296">
        <v>1</v>
      </c>
      <c r="O296" s="381"/>
      <c r="P296" s="382"/>
      <c r="Q296" s="278"/>
      <c r="R296" s="307"/>
      <c r="S296" s="278"/>
      <c r="T296" s="278"/>
      <c r="U296" s="278"/>
      <c r="V296" s="278" t="s">
        <v>1189</v>
      </c>
      <c r="W296" s="278"/>
      <c r="X296" s="278"/>
      <c r="Y296" s="278"/>
    </row>
    <row r="297" s="249" customFormat="1" ht="24" customHeight="1" spans="1:25">
      <c r="A297" s="337" t="s">
        <v>1208</v>
      </c>
      <c r="B297" s="278" t="s">
        <v>1323</v>
      </c>
      <c r="C297" s="278" t="s">
        <v>1324</v>
      </c>
      <c r="D297" s="338"/>
      <c r="E297" s="347"/>
      <c r="F297" s="338" t="s">
        <v>1325</v>
      </c>
      <c r="G297" s="383"/>
      <c r="H297" s="278"/>
      <c r="I297" s="384">
        <v>4</v>
      </c>
      <c r="J297" s="278">
        <v>4</v>
      </c>
      <c r="K297" s="278"/>
      <c r="L297" s="359">
        <v>2000</v>
      </c>
      <c r="M297" s="295">
        <v>0.5</v>
      </c>
      <c r="N297" s="296">
        <v>1</v>
      </c>
      <c r="O297" s="385"/>
      <c r="P297" s="386"/>
      <c r="Q297" s="278"/>
      <c r="R297" s="307"/>
      <c r="S297" s="278"/>
      <c r="T297" s="278"/>
      <c r="U297" s="278"/>
      <c r="V297" s="278" t="s">
        <v>1189</v>
      </c>
      <c r="W297" s="278"/>
      <c r="X297" s="278"/>
      <c r="Y297" s="278"/>
    </row>
    <row r="298" s="249" customFormat="1" ht="24" customHeight="1" spans="1:25">
      <c r="A298" s="337" t="s">
        <v>1208</v>
      </c>
      <c r="B298" s="278" t="s">
        <v>1326</v>
      </c>
      <c r="C298" s="278" t="s">
        <v>1327</v>
      </c>
      <c r="D298" s="338"/>
      <c r="E298" s="347"/>
      <c r="F298" s="338" t="s">
        <v>1328</v>
      </c>
      <c r="G298" s="387" t="s">
        <v>1329</v>
      </c>
      <c r="H298" s="278"/>
      <c r="I298" s="388">
        <v>12</v>
      </c>
      <c r="J298" s="332">
        <v>12</v>
      </c>
      <c r="K298" s="332"/>
      <c r="L298" s="359">
        <v>1000</v>
      </c>
      <c r="M298" s="295">
        <v>1</v>
      </c>
      <c r="N298" s="296">
        <v>1</v>
      </c>
      <c r="O298" s="330"/>
      <c r="P298" s="389"/>
      <c r="Q298" s="278"/>
      <c r="R298" s="307"/>
      <c r="S298" s="278">
        <v>2026.09</v>
      </c>
      <c r="T298" s="278"/>
      <c r="U298" s="278"/>
      <c r="V298" s="278" t="s">
        <v>1179</v>
      </c>
      <c r="W298" s="278"/>
      <c r="X298" s="278"/>
      <c r="Y298" s="278"/>
    </row>
    <row r="299" s="249" customFormat="1" ht="24" customHeight="1" spans="1:25">
      <c r="A299" s="337" t="s">
        <v>1208</v>
      </c>
      <c r="B299" s="278" t="s">
        <v>1326</v>
      </c>
      <c r="C299" s="278" t="s">
        <v>1330</v>
      </c>
      <c r="D299" s="338"/>
      <c r="E299" s="347"/>
      <c r="F299" s="338" t="s">
        <v>1331</v>
      </c>
      <c r="G299" s="390" t="s">
        <v>1329</v>
      </c>
      <c r="H299" s="278"/>
      <c r="I299" s="347">
        <v>12</v>
      </c>
      <c r="J299" s="342">
        <v>12</v>
      </c>
      <c r="K299" s="342"/>
      <c r="L299" s="359">
        <v>1000</v>
      </c>
      <c r="M299" s="295">
        <v>1</v>
      </c>
      <c r="N299" s="296">
        <v>1</v>
      </c>
      <c r="O299" s="344"/>
      <c r="P299" s="349"/>
      <c r="Q299" s="278"/>
      <c r="R299" s="307"/>
      <c r="S299" s="278"/>
      <c r="T299" s="278"/>
      <c r="U299" s="278"/>
      <c r="V299" s="278" t="s">
        <v>1179</v>
      </c>
      <c r="W299" s="278"/>
      <c r="X299" s="278"/>
      <c r="Y299" s="278"/>
    </row>
    <row r="300" s="249" customFormat="1" ht="24" customHeight="1" spans="1:25">
      <c r="A300" s="337" t="s">
        <v>1208</v>
      </c>
      <c r="B300" s="278" t="s">
        <v>1332</v>
      </c>
      <c r="C300" s="278" t="s">
        <v>1333</v>
      </c>
      <c r="D300" s="338"/>
      <c r="E300" s="347"/>
      <c r="F300" s="401" t="s">
        <v>1334</v>
      </c>
      <c r="G300" s="391" t="s">
        <v>1335</v>
      </c>
      <c r="H300" s="278"/>
      <c r="I300" s="347">
        <v>3</v>
      </c>
      <c r="J300" s="342">
        <v>3</v>
      </c>
      <c r="K300" s="342">
        <v>3</v>
      </c>
      <c r="L300" s="359">
        <v>1000</v>
      </c>
      <c r="M300" s="295">
        <v>1</v>
      </c>
      <c r="N300" s="296">
        <v>1</v>
      </c>
      <c r="O300" s="344"/>
      <c r="P300" s="349"/>
      <c r="Q300" s="278"/>
      <c r="R300" s="307"/>
      <c r="S300" s="278">
        <v>2027.01</v>
      </c>
      <c r="T300" s="278"/>
      <c r="U300" s="278"/>
      <c r="V300" s="278" t="s">
        <v>1179</v>
      </c>
      <c r="W300" s="278"/>
      <c r="X300" s="278"/>
      <c r="Y300" s="278"/>
    </row>
    <row r="301" s="249" customFormat="1" ht="24" customHeight="1" spans="1:25">
      <c r="A301" s="337" t="s">
        <v>1208</v>
      </c>
      <c r="B301" s="278" t="s">
        <v>1336</v>
      </c>
      <c r="C301" s="278" t="s">
        <v>1337</v>
      </c>
      <c r="D301" s="338"/>
      <c r="E301" s="392" t="s">
        <v>1338</v>
      </c>
      <c r="F301" s="338" t="s">
        <v>1339</v>
      </c>
      <c r="G301" s="391" t="s">
        <v>1340</v>
      </c>
      <c r="H301" s="278"/>
      <c r="I301" s="347">
        <v>3</v>
      </c>
      <c r="J301" s="342">
        <v>3</v>
      </c>
      <c r="K301" s="342">
        <v>3</v>
      </c>
      <c r="L301" s="359">
        <v>800</v>
      </c>
      <c r="M301" s="295">
        <v>1</v>
      </c>
      <c r="N301" s="296">
        <v>1</v>
      </c>
      <c r="O301" s="344"/>
      <c r="P301" s="349"/>
      <c r="Q301" s="278"/>
      <c r="R301" s="307"/>
      <c r="S301" s="278">
        <v>2027.02</v>
      </c>
      <c r="T301" s="278"/>
      <c r="U301" s="278"/>
      <c r="V301" s="278" t="s">
        <v>1341</v>
      </c>
      <c r="W301" s="278"/>
      <c r="X301" s="278"/>
      <c r="Y301" s="278"/>
    </row>
    <row r="302" s="249" customFormat="1" ht="24" customHeight="1" spans="1:25">
      <c r="A302" s="337" t="s">
        <v>1208</v>
      </c>
      <c r="B302" s="278" t="s">
        <v>1342</v>
      </c>
      <c r="C302" s="278" t="s">
        <v>1343</v>
      </c>
      <c r="D302" s="338"/>
      <c r="E302" s="347"/>
      <c r="F302" s="338" t="s">
        <v>1344</v>
      </c>
      <c r="G302" s="390" t="s">
        <v>1345</v>
      </c>
      <c r="H302" s="278"/>
      <c r="I302" s="347">
        <v>7</v>
      </c>
      <c r="J302" s="342">
        <v>6</v>
      </c>
      <c r="K302" s="342">
        <v>6</v>
      </c>
      <c r="L302" s="359">
        <v>630</v>
      </c>
      <c r="M302" s="295">
        <v>1</v>
      </c>
      <c r="N302" s="296">
        <v>1</v>
      </c>
      <c r="O302" s="344"/>
      <c r="P302" s="349"/>
      <c r="Q302" s="278"/>
      <c r="R302" s="307"/>
      <c r="S302" s="278">
        <v>2027.07</v>
      </c>
      <c r="T302" s="278"/>
      <c r="U302" s="278"/>
      <c r="V302" s="278" t="s">
        <v>1341</v>
      </c>
      <c r="W302" s="278"/>
      <c r="X302" s="278"/>
      <c r="Y302" s="278"/>
    </row>
    <row r="303" s="249" customFormat="1" ht="24" customHeight="1" spans="1:25">
      <c r="A303" s="337" t="s">
        <v>1208</v>
      </c>
      <c r="B303" s="278" t="s">
        <v>1342</v>
      </c>
      <c r="C303" s="278" t="s">
        <v>1346</v>
      </c>
      <c r="D303" s="338"/>
      <c r="E303" s="347"/>
      <c r="F303" s="338" t="s">
        <v>1347</v>
      </c>
      <c r="G303" s="393" t="s">
        <v>1348</v>
      </c>
      <c r="H303" s="278"/>
      <c r="I303" s="347">
        <v>6</v>
      </c>
      <c r="J303" s="342">
        <v>6</v>
      </c>
      <c r="K303" s="342">
        <v>6</v>
      </c>
      <c r="L303" s="359">
        <v>630</v>
      </c>
      <c r="M303" s="295">
        <v>1</v>
      </c>
      <c r="N303" s="296">
        <v>1</v>
      </c>
      <c r="O303" s="344"/>
      <c r="P303" s="349"/>
      <c r="Q303" s="278"/>
      <c r="R303" s="307"/>
      <c r="S303" s="278">
        <v>2026.11</v>
      </c>
      <c r="T303" s="278"/>
      <c r="U303" s="278"/>
      <c r="V303" s="278" t="s">
        <v>1341</v>
      </c>
      <c r="W303" s="278"/>
      <c r="X303" s="278"/>
      <c r="Y303" s="278"/>
    </row>
    <row r="304" s="249" customFormat="1" ht="24" customHeight="1" spans="1:25">
      <c r="A304" s="337" t="s">
        <v>1208</v>
      </c>
      <c r="B304" s="278" t="s">
        <v>1349</v>
      </c>
      <c r="C304" s="278" t="s">
        <v>1350</v>
      </c>
      <c r="D304" s="338"/>
      <c r="E304" s="347"/>
      <c r="F304" s="338"/>
      <c r="G304" s="340"/>
      <c r="H304" s="278"/>
      <c r="I304" s="347"/>
      <c r="J304" s="342"/>
      <c r="K304" s="342"/>
      <c r="L304" s="334"/>
      <c r="M304" s="295"/>
      <c r="N304" s="296">
        <v>1</v>
      </c>
      <c r="O304" s="344"/>
      <c r="P304" s="349"/>
      <c r="Q304" s="278"/>
      <c r="R304" s="307"/>
      <c r="S304" s="278"/>
      <c r="T304" s="278"/>
      <c r="U304" s="278"/>
      <c r="V304" s="278"/>
      <c r="W304" s="278"/>
      <c r="X304" s="278"/>
      <c r="Y304" s="278"/>
    </row>
  </sheetData>
  <autoFilter xmlns:etc="http://www.wps.cn/officeDocument/2017/etCustomData" ref="A1:Y304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"/>
  <sheetViews>
    <sheetView workbookViewId="0">
      <pane xSplit="3" ySplit="2" topLeftCell="J3" activePane="bottomRight" state="frozen"/>
      <selection/>
      <selection pane="topRight"/>
      <selection pane="bottomLeft"/>
      <selection pane="bottomRight" activeCell="T1" sqref="T1"/>
    </sheetView>
  </sheetViews>
  <sheetFormatPr defaultColWidth="9" defaultRowHeight="24" customHeight="1"/>
  <cols>
    <col min="1" max="1" width="4.75" style="19" customWidth="1"/>
    <col min="2" max="2" width="32" style="226" customWidth="1"/>
    <col min="3" max="3" width="21.125" style="19" customWidth="1"/>
    <col min="4" max="4" width="14.5" style="19" customWidth="1"/>
    <col min="5" max="5" width="15.625" style="19" customWidth="1"/>
    <col min="6" max="6" width="13" style="227" customWidth="1"/>
    <col min="7" max="7" width="11.5" style="19" customWidth="1"/>
    <col min="8" max="8" width="9.25" style="19"/>
    <col min="9" max="9" width="6" style="19" customWidth="1"/>
    <col min="10" max="10" width="14.125" style="19"/>
    <col min="11" max="11" width="9" style="19"/>
    <col min="12" max="12" width="12.625" style="19"/>
    <col min="13" max="16384" width="9" style="19"/>
  </cols>
  <sheetData>
    <row r="1" customHeight="1" spans="1:22">
      <c r="A1" s="20" t="s">
        <v>1351</v>
      </c>
      <c r="B1" s="21" t="s">
        <v>1352</v>
      </c>
      <c r="C1" s="22" t="s">
        <v>1353</v>
      </c>
      <c r="D1" s="23" t="s">
        <v>1354</v>
      </c>
      <c r="E1" s="24"/>
      <c r="F1" s="117" t="s">
        <v>1355</v>
      </c>
      <c r="G1" s="119" t="s">
        <v>1356</v>
      </c>
      <c r="H1" s="27" t="s">
        <v>1357</v>
      </c>
      <c r="I1" s="28" t="s">
        <v>1358</v>
      </c>
      <c r="J1" s="29" t="s">
        <v>1359</v>
      </c>
      <c r="K1" s="29" t="s">
        <v>1360</v>
      </c>
      <c r="L1" s="30" t="s">
        <v>1361</v>
      </c>
      <c r="M1" s="31" t="s">
        <v>1362</v>
      </c>
      <c r="N1" s="32" t="s">
        <v>1363</v>
      </c>
      <c r="O1" s="31" t="s">
        <v>1364</v>
      </c>
      <c r="P1" s="32" t="s">
        <v>1365</v>
      </c>
      <c r="Q1" s="32" t="s">
        <v>1366</v>
      </c>
      <c r="R1" s="33" t="s">
        <v>1367</v>
      </c>
      <c r="S1" s="34" t="s">
        <v>1368</v>
      </c>
      <c r="T1" s="35" t="s">
        <v>1369</v>
      </c>
      <c r="U1" s="36" t="s">
        <v>1370</v>
      </c>
      <c r="V1" s="36" t="s">
        <v>1371</v>
      </c>
    </row>
    <row r="2" customHeight="1" spans="1:22">
      <c r="A2" s="37"/>
      <c r="B2" s="38"/>
      <c r="C2" s="39"/>
      <c r="D2" s="40"/>
      <c r="E2" s="40"/>
      <c r="F2" s="228"/>
      <c r="G2" s="229"/>
      <c r="H2" s="41">
        <f>SUM(H3:H1001)</f>
        <v>15</v>
      </c>
      <c r="I2" s="42"/>
      <c r="J2" s="42">
        <f>SUM(J3:J1001)</f>
        <v>56600</v>
      </c>
      <c r="K2" s="42">
        <f>SUM(K3:K1001)</f>
        <v>0</v>
      </c>
      <c r="L2" s="42">
        <f>SUM(L3:L1001)</f>
        <v>56600</v>
      </c>
      <c r="M2" s="43"/>
      <c r="N2" s="42">
        <f t="shared" ref="N2:R2" si="0">SUM(N3:N1001)</f>
        <v>0</v>
      </c>
      <c r="O2" s="43"/>
      <c r="P2" s="42">
        <f t="shared" si="0"/>
        <v>0</v>
      </c>
      <c r="Q2" s="42">
        <f t="shared" si="0"/>
        <v>0</v>
      </c>
      <c r="R2" s="42">
        <f t="shared" si="0"/>
        <v>0</v>
      </c>
      <c r="S2" s="42"/>
      <c r="T2" s="42"/>
      <c r="U2" s="42"/>
      <c r="V2" s="42">
        <f>SUM(V3:V1001)</f>
        <v>0</v>
      </c>
    </row>
    <row r="3" customHeight="1" spans="1:22">
      <c r="B3" s="230" t="s">
        <v>1372</v>
      </c>
      <c r="C3" s="230" t="s">
        <v>1373</v>
      </c>
      <c r="D3" s="231"/>
      <c r="E3" s="231"/>
      <c r="F3" s="213" t="str">
        <f ca="1">IF(E3&lt;TODAY(),"【已到期】",IF(E3-TODAY()&lt;=30,"【即将到期，剩余"&amp;E3-TODAY()&amp;"天】","【正常】"))</f>
        <v>【已到期】</v>
      </c>
      <c r="G3" s="232">
        <v>3000</v>
      </c>
      <c r="H3" s="233">
        <v>1</v>
      </c>
      <c r="I3" s="233">
        <v>1</v>
      </c>
      <c r="J3" s="234">
        <f>G3*H3*I3</f>
        <v>3000</v>
      </c>
      <c r="K3" s="233"/>
      <c r="L3" s="235">
        <f>J3+K3</f>
        <v>3000</v>
      </c>
      <c r="M3" s="233"/>
      <c r="N3" s="233"/>
      <c r="O3" s="233"/>
      <c r="P3" s="233"/>
      <c r="Q3" s="233"/>
      <c r="R3" s="233"/>
      <c r="S3" s="233"/>
      <c r="T3" s="236" t="s">
        <v>1374</v>
      </c>
      <c r="U3" s="233"/>
      <c r="V3" s="233"/>
    </row>
    <row r="4" customHeight="1" spans="1:22">
      <c r="B4" s="230" t="s">
        <v>1375</v>
      </c>
      <c r="C4" s="230" t="s">
        <v>1376</v>
      </c>
      <c r="D4" s="237"/>
      <c r="E4" s="47"/>
      <c r="F4" s="238" t="str">
        <f ca="1" t="shared" ref="F4:F12" si="1">IF(E4&lt;TODAY(),"【已到期】",IF(E4-TODAY()&lt;=30,"【即将到期，剩余"&amp;E4-TODAY()&amp;"天】","【正常】"))</f>
        <v>【已到期】</v>
      </c>
      <c r="G4" s="239">
        <v>3200</v>
      </c>
      <c r="H4" s="47">
        <v>2</v>
      </c>
      <c r="I4" s="47">
        <v>1</v>
      </c>
      <c r="J4" s="240">
        <f t="shared" ref="J4:J12" si="2">G4*H4*I4</f>
        <v>6400</v>
      </c>
      <c r="K4" s="47"/>
      <c r="L4" s="241">
        <f t="shared" ref="L4:L12" si="3">J4+K4</f>
        <v>6400</v>
      </c>
      <c r="M4" s="47"/>
      <c r="N4" s="47"/>
      <c r="O4" s="47"/>
      <c r="P4" s="47"/>
      <c r="Q4" s="47"/>
      <c r="R4" s="47"/>
      <c r="S4" s="47"/>
      <c r="T4" s="242" t="s">
        <v>1374</v>
      </c>
      <c r="U4" s="47"/>
      <c r="V4" s="47"/>
    </row>
    <row r="5" customHeight="1" spans="1:22">
      <c r="B5" s="230" t="s">
        <v>1377</v>
      </c>
      <c r="C5" s="230" t="s">
        <v>1378</v>
      </c>
      <c r="D5" s="243">
        <v>46272</v>
      </c>
      <c r="E5" s="243">
        <v>46636</v>
      </c>
      <c r="F5" s="238" t="str">
        <f ca="1" t="shared" si="1"/>
        <v>【正常】</v>
      </c>
      <c r="G5" s="239">
        <v>3200</v>
      </c>
      <c r="H5" s="47">
        <v>1</v>
      </c>
      <c r="I5" s="47">
        <v>1</v>
      </c>
      <c r="J5" s="240">
        <f t="shared" si="2"/>
        <v>3200</v>
      </c>
      <c r="K5" s="47"/>
      <c r="L5" s="241">
        <f t="shared" si="3"/>
        <v>3200</v>
      </c>
      <c r="M5" s="47"/>
      <c r="N5" s="47"/>
      <c r="O5" s="47"/>
      <c r="P5" s="47"/>
      <c r="Q5" s="47"/>
      <c r="R5" s="47"/>
      <c r="S5" s="47"/>
      <c r="T5" s="242" t="s">
        <v>1374</v>
      </c>
      <c r="U5" s="47"/>
      <c r="V5" s="47"/>
    </row>
    <row r="6" customHeight="1" spans="1:22">
      <c r="B6" s="230" t="s">
        <v>1379</v>
      </c>
      <c r="C6" s="230" t="s">
        <v>1380</v>
      </c>
      <c r="D6" s="237"/>
      <c r="E6" s="47"/>
      <c r="F6" s="238" t="str">
        <f ca="1" t="shared" si="1"/>
        <v>【已到期】</v>
      </c>
      <c r="G6" s="239">
        <v>5000</v>
      </c>
      <c r="H6" s="47">
        <v>1</v>
      </c>
      <c r="I6" s="47">
        <v>1</v>
      </c>
      <c r="J6" s="240">
        <f t="shared" si="2"/>
        <v>5000</v>
      </c>
      <c r="K6" s="47"/>
      <c r="L6" s="241">
        <f t="shared" si="3"/>
        <v>5000</v>
      </c>
      <c r="M6" s="47"/>
      <c r="N6" s="47"/>
      <c r="O6" s="47"/>
      <c r="P6" s="47"/>
      <c r="Q6" s="47"/>
      <c r="R6" s="47"/>
      <c r="S6" s="47"/>
      <c r="T6" s="242" t="s">
        <v>1381</v>
      </c>
      <c r="U6" s="47"/>
      <c r="V6" s="47"/>
    </row>
    <row r="7" customHeight="1" spans="1:22">
      <c r="B7" s="230" t="s">
        <v>1382</v>
      </c>
      <c r="C7" s="230" t="s">
        <v>1383</v>
      </c>
      <c r="D7" s="244"/>
      <c r="E7" s="244"/>
      <c r="F7" s="238" t="str">
        <f ca="1" t="shared" si="1"/>
        <v>【已到期】</v>
      </c>
      <c r="G7" s="239">
        <v>4000</v>
      </c>
      <c r="H7" s="47">
        <v>2</v>
      </c>
      <c r="I7" s="47">
        <v>1</v>
      </c>
      <c r="J7" s="240">
        <f t="shared" si="2"/>
        <v>8000</v>
      </c>
      <c r="K7" s="47"/>
      <c r="L7" s="241">
        <f t="shared" si="3"/>
        <v>8000</v>
      </c>
      <c r="M7" s="47"/>
      <c r="N7" s="47"/>
      <c r="O7" s="47"/>
      <c r="P7" s="47"/>
      <c r="Q7" s="47"/>
      <c r="R7" s="47"/>
      <c r="S7" s="47"/>
      <c r="T7" s="242" t="s">
        <v>1384</v>
      </c>
      <c r="U7" s="47"/>
      <c r="V7" s="47"/>
    </row>
    <row r="8" customHeight="1" spans="1:22">
      <c r="B8" s="230" t="s">
        <v>1385</v>
      </c>
      <c r="C8" s="230" t="s">
        <v>1383</v>
      </c>
      <c r="D8" s="245">
        <v>46327</v>
      </c>
      <c r="E8" s="245">
        <v>46691</v>
      </c>
      <c r="F8" s="238" t="str">
        <f ca="1" t="shared" si="1"/>
        <v>【正常】</v>
      </c>
      <c r="G8" s="239">
        <v>4000</v>
      </c>
      <c r="H8" s="47">
        <v>2</v>
      </c>
      <c r="I8" s="47">
        <v>1</v>
      </c>
      <c r="J8" s="240">
        <f t="shared" si="2"/>
        <v>8000</v>
      </c>
      <c r="K8" s="47"/>
      <c r="L8" s="241">
        <f t="shared" si="3"/>
        <v>8000</v>
      </c>
      <c r="M8" s="47"/>
      <c r="N8" s="47"/>
      <c r="O8" s="47"/>
      <c r="P8" s="47"/>
      <c r="Q8" s="47"/>
      <c r="R8" s="47"/>
      <c r="S8" s="47"/>
      <c r="T8" s="246" t="s">
        <v>1381</v>
      </c>
      <c r="U8" s="47"/>
      <c r="V8" s="47"/>
    </row>
    <row r="9" customHeight="1" spans="1:22">
      <c r="B9" s="230" t="s">
        <v>1386</v>
      </c>
      <c r="C9" s="230" t="s">
        <v>1387</v>
      </c>
      <c r="D9" s="237"/>
      <c r="E9" s="47"/>
      <c r="F9" s="238" t="str">
        <f ca="1" t="shared" si="1"/>
        <v>【已到期】</v>
      </c>
      <c r="G9" s="239">
        <v>3000</v>
      </c>
      <c r="H9" s="47">
        <v>1</v>
      </c>
      <c r="I9" s="47">
        <v>1</v>
      </c>
      <c r="J9" s="240">
        <f t="shared" si="2"/>
        <v>3000</v>
      </c>
      <c r="K9" s="47"/>
      <c r="L9" s="241">
        <f t="shared" si="3"/>
        <v>3000</v>
      </c>
      <c r="M9" s="47"/>
      <c r="N9" s="47"/>
      <c r="O9" s="47"/>
      <c r="P9" s="47"/>
      <c r="Q9" s="47"/>
      <c r="R9" s="47"/>
      <c r="S9" s="47"/>
      <c r="T9" s="242" t="s">
        <v>1374</v>
      </c>
      <c r="U9" s="47"/>
      <c r="V9" s="47"/>
    </row>
    <row r="10" customHeight="1" spans="1:22">
      <c r="B10" s="230" t="s">
        <v>1388</v>
      </c>
      <c r="C10" s="230" t="s">
        <v>1389</v>
      </c>
      <c r="D10" s="247"/>
      <c r="E10" s="248"/>
      <c r="F10" s="238" t="str">
        <f ca="1" t="shared" si="1"/>
        <v>【已到期】</v>
      </c>
      <c r="G10" s="239">
        <v>4000</v>
      </c>
      <c r="H10" s="47">
        <v>2</v>
      </c>
      <c r="I10" s="47">
        <v>1</v>
      </c>
      <c r="J10" s="240">
        <f t="shared" si="2"/>
        <v>8000</v>
      </c>
      <c r="K10" s="47"/>
      <c r="L10" s="241">
        <f t="shared" si="3"/>
        <v>8000</v>
      </c>
      <c r="M10" s="47"/>
      <c r="N10" s="47"/>
      <c r="O10" s="47"/>
      <c r="P10" s="47"/>
      <c r="Q10" s="47"/>
      <c r="R10" s="47"/>
      <c r="S10" s="47"/>
      <c r="T10" s="242" t="s">
        <v>1374</v>
      </c>
      <c r="U10" s="47"/>
      <c r="V10" s="47"/>
    </row>
    <row r="11" customHeight="1" spans="1:22">
      <c r="B11" s="230" t="s">
        <v>1390</v>
      </c>
      <c r="C11" s="230" t="s">
        <v>1391</v>
      </c>
      <c r="D11" s="237"/>
      <c r="E11" s="47"/>
      <c r="F11" s="238" t="str">
        <f ca="1" t="shared" si="1"/>
        <v>【已到期】</v>
      </c>
      <c r="G11" s="239">
        <v>4000</v>
      </c>
      <c r="H11" s="47">
        <v>2</v>
      </c>
      <c r="I11" s="47">
        <v>1</v>
      </c>
      <c r="J11" s="240">
        <f t="shared" si="2"/>
        <v>8000</v>
      </c>
      <c r="K11" s="47"/>
      <c r="L11" s="241">
        <f t="shared" si="3"/>
        <v>8000</v>
      </c>
      <c r="M11" s="47"/>
      <c r="N11" s="47"/>
      <c r="O11" s="47"/>
      <c r="P11" s="47"/>
      <c r="Q11" s="47"/>
      <c r="R11" s="47"/>
      <c r="S11" s="47"/>
      <c r="T11" s="242" t="s">
        <v>1374</v>
      </c>
      <c r="U11" s="47"/>
      <c r="V11" s="47"/>
    </row>
    <row r="12" customHeight="1" spans="1:22">
      <c r="B12" s="230" t="s">
        <v>1392</v>
      </c>
      <c r="C12" s="230" t="s">
        <v>1393</v>
      </c>
      <c r="D12" s="237"/>
      <c r="E12" s="47"/>
      <c r="F12" s="238" t="str">
        <f ca="1" t="shared" si="1"/>
        <v>【已到期】</v>
      </c>
      <c r="G12" s="239">
        <v>4000</v>
      </c>
      <c r="H12" s="47">
        <v>1</v>
      </c>
      <c r="I12" s="47">
        <v>1</v>
      </c>
      <c r="J12" s="240">
        <f t="shared" si="2"/>
        <v>4000</v>
      </c>
      <c r="K12" s="47"/>
      <c r="L12" s="241">
        <f t="shared" si="3"/>
        <v>4000</v>
      </c>
      <c r="M12" s="47"/>
      <c r="N12" s="47"/>
      <c r="O12" s="47"/>
      <c r="P12" s="47"/>
      <c r="Q12" s="47"/>
      <c r="R12" s="47"/>
      <c r="S12" s="47"/>
      <c r="T12" s="242" t="s">
        <v>1374</v>
      </c>
      <c r="U12" s="47"/>
      <c r="V12" s="47"/>
    </row>
  </sheetData>
  <mergeCells count="3">
    <mergeCell ref="A1:A2"/>
    <mergeCell ref="B1:B2"/>
    <mergeCell ref="C1:C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workbookViewId="0">
      <pane xSplit="3" ySplit="2" topLeftCell="O11" activePane="bottomRight" state="frozen"/>
      <selection/>
      <selection pane="topRight"/>
      <selection pane="bottomLeft"/>
      <selection pane="bottomRight" activeCell="T15" sqref="T15"/>
    </sheetView>
  </sheetViews>
  <sheetFormatPr defaultColWidth="9" defaultRowHeight="28" customHeight="1"/>
  <cols>
    <col min="1" max="1" width="10.0083333333333" customWidth="1"/>
    <col min="2" max="2" width="25.5" style="150" customWidth="1"/>
    <col min="3" max="3" width="40.5" customWidth="1"/>
    <col min="4" max="5" width="17.0083333333333" customWidth="1"/>
    <col min="6" max="6" width="12.3416666666667" style="113" customWidth="1"/>
    <col min="7" max="7" width="12.8416666666667" style="114" customWidth="1"/>
    <col min="8" max="8" width="3.625" style="152" customWidth="1"/>
    <col min="9" max="9" width="5.375" customWidth="1"/>
    <col min="10" max="10" width="12.8416666666667" style="197" customWidth="1"/>
    <col min="11" max="11" width="15.125" style="114" customWidth="1"/>
    <col min="12" max="12" width="12.8416666666667" style="114" customWidth="1"/>
    <col min="13" max="13" width="10.5083333333333" customWidth="1"/>
    <col min="14" max="14" width="12.3416666666667" customWidth="1"/>
    <col min="15" max="15" width="13.3416666666667" customWidth="1"/>
    <col min="16" max="16" width="12.3416666666667" customWidth="1"/>
    <col min="17" max="18" width="13.3416666666667" customWidth="1"/>
    <col min="19" max="19" width="14.175" customWidth="1"/>
    <col min="20" max="20" width="22.5083333333333" customWidth="1"/>
    <col min="21" max="21" width="12.3416666666667" customWidth="1"/>
  </cols>
  <sheetData>
    <row r="1" s="19" customFormat="1" ht="39" customHeight="1" spans="1:21">
      <c r="A1" s="153" t="s">
        <v>1394</v>
      </c>
      <c r="B1" s="154" t="s">
        <v>1352</v>
      </c>
      <c r="C1" s="158" t="s">
        <v>1353</v>
      </c>
      <c r="D1" s="198" t="s">
        <v>1354</v>
      </c>
      <c r="E1" s="199"/>
      <c r="F1" s="200" t="s">
        <v>1355</v>
      </c>
      <c r="G1" s="160" t="s">
        <v>1356</v>
      </c>
      <c r="H1" s="161" t="s">
        <v>1357</v>
      </c>
      <c r="I1" s="162" t="s">
        <v>1358</v>
      </c>
      <c r="J1" s="201" t="s">
        <v>1359</v>
      </c>
      <c r="K1" s="160"/>
      <c r="L1" s="160" t="s">
        <v>1395</v>
      </c>
      <c r="M1" s="162" t="s">
        <v>1361</v>
      </c>
      <c r="N1" s="164" t="s">
        <v>1362</v>
      </c>
      <c r="O1" s="165" t="s">
        <v>1363</v>
      </c>
      <c r="P1" s="164" t="s">
        <v>1364</v>
      </c>
      <c r="Q1" s="165" t="s">
        <v>1365</v>
      </c>
      <c r="R1" s="165" t="s">
        <v>1366</v>
      </c>
      <c r="S1" s="166" t="s">
        <v>1367</v>
      </c>
      <c r="T1" s="162" t="s">
        <v>1396</v>
      </c>
      <c r="U1" s="35" t="s">
        <v>1369</v>
      </c>
    </row>
    <row r="2" s="19" customFormat="1" ht="22.5" customHeight="1" spans="1:21">
      <c r="A2" s="202"/>
      <c r="B2" s="203"/>
      <c r="C2" s="173"/>
      <c r="D2" s="204"/>
      <c r="E2" s="204"/>
      <c r="F2" s="205"/>
      <c r="G2" s="206"/>
      <c r="H2" s="207">
        <f>SUM(H3:H1001)</f>
        <v>4</v>
      </c>
      <c r="I2" s="208"/>
      <c r="J2" s="209">
        <f>SUM(J3:J1001)</f>
        <v>14399.998</v>
      </c>
      <c r="K2" s="206"/>
      <c r="L2" s="206">
        <f>SUM(L3:L1001)</f>
        <v>350</v>
      </c>
      <c r="M2" s="208">
        <f>J2+L2</f>
        <v>14749.998</v>
      </c>
      <c r="N2" s="210"/>
      <c r="O2" s="208">
        <f t="shared" ref="O2:S2" si="0">SUM(O3:O1001)</f>
        <v>0</v>
      </c>
      <c r="P2" s="210"/>
      <c r="Q2" s="208">
        <f t="shared" si="0"/>
        <v>0</v>
      </c>
      <c r="R2" s="208">
        <f t="shared" si="0"/>
        <v>0</v>
      </c>
      <c r="S2" s="208">
        <f t="shared" si="0"/>
        <v>0</v>
      </c>
      <c r="T2" s="208"/>
      <c r="U2" s="208"/>
    </row>
    <row r="3" ht="22.5" customHeight="1" spans="1:21">
      <c r="A3" s="211"/>
      <c r="B3" s="190" t="s">
        <v>1397</v>
      </c>
      <c r="C3" s="196" t="s">
        <v>1398</v>
      </c>
      <c r="D3" s="212">
        <v>46291</v>
      </c>
      <c r="E3" s="212">
        <v>46655</v>
      </c>
      <c r="F3" s="213" t="str">
        <f ca="1">IF(E3&lt;TODAY(),"【已到期】",IF(E3-TODAY()&lt;=30,"【即将到期，剩余"&amp;E3-TODAY()&amp;"天】","【正常】"))</f>
        <v>【正常】</v>
      </c>
      <c r="G3" s="214">
        <v>3366.666</v>
      </c>
      <c r="H3" s="215">
        <v>3</v>
      </c>
      <c r="I3" s="211">
        <v>1</v>
      </c>
      <c r="J3" s="216">
        <f>G3*H3*I3</f>
        <v>10099.998</v>
      </c>
      <c r="K3" s="217" t="s">
        <v>1399</v>
      </c>
      <c r="L3" s="214"/>
      <c r="M3" s="211"/>
      <c r="N3" s="211"/>
      <c r="O3" s="211"/>
      <c r="P3" s="211"/>
      <c r="Q3" s="211"/>
      <c r="R3" s="218"/>
      <c r="S3" s="218"/>
      <c r="T3" s="218"/>
      <c r="U3" s="218" t="s">
        <v>1400</v>
      </c>
    </row>
    <row r="4" ht="22.5" customHeight="1" spans="1:21">
      <c r="A4" s="211"/>
      <c r="B4" s="190" t="s">
        <v>1401</v>
      </c>
      <c r="C4" s="196" t="s">
        <v>1402</v>
      </c>
      <c r="D4" s="179"/>
      <c r="E4" s="179"/>
      <c r="F4" s="213" t="str">
        <f ca="1" t="shared" ref="F4:F10" si="1">IF(E4&lt;TODAY(),"【已到期】",IF(E4-TODAY()&lt;=30,"【即将到期，剩余"&amp;E4-TODAY()&amp;"天】","【正常】"))</f>
        <v>【已到期】</v>
      </c>
      <c r="G4" s="219"/>
      <c r="H4" s="194"/>
      <c r="I4" s="179"/>
      <c r="J4" s="220">
        <f t="shared" ref="J4:J15" si="2">G4*H4*I4</f>
        <v>0</v>
      </c>
      <c r="K4" s="217" t="s">
        <v>1399</v>
      </c>
      <c r="L4" s="219"/>
      <c r="M4" s="179"/>
      <c r="N4" s="179"/>
      <c r="O4" s="179"/>
      <c r="P4" s="179"/>
      <c r="Q4" s="221"/>
      <c r="R4" s="222"/>
      <c r="S4" s="222"/>
      <c r="T4" s="222"/>
      <c r="U4" s="222"/>
    </row>
    <row r="5" ht="22.5" customHeight="1" spans="1:21">
      <c r="A5" s="211"/>
      <c r="B5" s="190" t="s">
        <v>1401</v>
      </c>
      <c r="C5" s="196" t="s">
        <v>1403</v>
      </c>
      <c r="D5" s="179"/>
      <c r="E5" s="179"/>
      <c r="F5" s="213" t="str">
        <f ca="1" t="shared" si="1"/>
        <v>【已到期】</v>
      </c>
      <c r="G5" s="219"/>
      <c r="H5" s="194"/>
      <c r="I5" s="179"/>
      <c r="J5" s="220">
        <f t="shared" si="2"/>
        <v>0</v>
      </c>
      <c r="K5" s="217" t="s">
        <v>1399</v>
      </c>
      <c r="L5" s="219"/>
      <c r="M5" s="179"/>
      <c r="N5" s="179"/>
      <c r="O5" s="179"/>
      <c r="P5" s="179"/>
      <c r="Q5" s="221"/>
      <c r="R5" s="222"/>
      <c r="S5" s="222"/>
      <c r="T5" s="222"/>
      <c r="U5" s="222"/>
    </row>
    <row r="6" ht="22.5" customHeight="1" spans="1:21">
      <c r="A6" s="211"/>
      <c r="B6" s="190" t="s">
        <v>1401</v>
      </c>
      <c r="C6" s="196" t="s">
        <v>1404</v>
      </c>
      <c r="D6" s="179"/>
      <c r="E6" s="179"/>
      <c r="F6" s="213" t="str">
        <f ca="1" t="shared" si="1"/>
        <v>【已到期】</v>
      </c>
      <c r="G6" s="219"/>
      <c r="H6" s="194"/>
      <c r="I6" s="179"/>
      <c r="J6" s="220">
        <f t="shared" si="2"/>
        <v>0</v>
      </c>
      <c r="K6" s="219"/>
      <c r="L6" s="219"/>
      <c r="M6" s="179"/>
      <c r="N6" s="179"/>
      <c r="O6" s="179"/>
      <c r="P6" s="179"/>
      <c r="Q6" s="221"/>
      <c r="R6" s="222"/>
      <c r="S6" s="222"/>
      <c r="T6" s="222"/>
      <c r="U6" s="222"/>
    </row>
    <row r="7" ht="22.5" customHeight="1" spans="1:21">
      <c r="A7" s="211" t="s">
        <v>1405</v>
      </c>
      <c r="B7" s="190" t="s">
        <v>1406</v>
      </c>
      <c r="C7" s="181" t="s">
        <v>1407</v>
      </c>
      <c r="D7" s="191">
        <v>46291</v>
      </c>
      <c r="E7" s="191">
        <v>46655</v>
      </c>
      <c r="F7" s="213" t="str">
        <f ca="1" t="shared" si="1"/>
        <v>【正常】</v>
      </c>
      <c r="G7" s="219">
        <v>4300</v>
      </c>
      <c r="H7" s="194">
        <v>1</v>
      </c>
      <c r="I7" s="179">
        <v>1</v>
      </c>
      <c r="J7" s="220">
        <f t="shared" si="2"/>
        <v>4300</v>
      </c>
      <c r="K7" s="219"/>
      <c r="L7" s="219">
        <v>350</v>
      </c>
      <c r="M7" s="179"/>
      <c r="N7" s="179"/>
      <c r="O7" s="179"/>
      <c r="P7" s="179"/>
      <c r="Q7" s="221"/>
      <c r="R7" s="222"/>
      <c r="S7" s="222"/>
      <c r="T7" s="222"/>
      <c r="U7" s="222" t="s">
        <v>1408</v>
      </c>
    </row>
    <row r="8" ht="22.5" customHeight="1" spans="1:21">
      <c r="A8" s="211"/>
      <c r="B8" s="190" t="s">
        <v>1409</v>
      </c>
      <c r="C8" s="181" t="s">
        <v>1410</v>
      </c>
      <c r="D8" s="179"/>
      <c r="E8" s="179"/>
      <c r="F8" s="213" t="str">
        <f ca="1" t="shared" si="1"/>
        <v>【已到期】</v>
      </c>
      <c r="G8" s="219"/>
      <c r="H8" s="194"/>
      <c r="I8" s="179"/>
      <c r="J8" s="220">
        <f t="shared" si="2"/>
        <v>0</v>
      </c>
      <c r="K8" s="219"/>
      <c r="L8" s="219"/>
      <c r="M8" s="179"/>
      <c r="N8" s="179"/>
      <c r="O8" s="179"/>
      <c r="P8" s="179"/>
      <c r="Q8" s="221"/>
      <c r="R8" s="222"/>
      <c r="S8" s="222"/>
      <c r="T8" s="222"/>
      <c r="U8" s="222"/>
    </row>
    <row r="9" ht="22.5" customHeight="1" spans="1:21">
      <c r="A9" s="211"/>
      <c r="B9" s="190" t="s">
        <v>1411</v>
      </c>
      <c r="C9" s="196" t="s">
        <v>1412</v>
      </c>
      <c r="D9" s="179"/>
      <c r="E9" s="179"/>
      <c r="F9" s="213" t="str">
        <f ca="1" t="shared" si="1"/>
        <v>【已到期】</v>
      </c>
      <c r="G9" s="219"/>
      <c r="H9" s="194"/>
      <c r="I9" s="179"/>
      <c r="J9" s="220">
        <f t="shared" si="2"/>
        <v>0</v>
      </c>
      <c r="K9" s="219"/>
      <c r="L9" s="219"/>
      <c r="M9" s="179"/>
      <c r="N9" s="179"/>
      <c r="O9" s="179"/>
      <c r="P9" s="179"/>
      <c r="Q9" s="221"/>
      <c r="R9" s="222"/>
      <c r="S9" s="222"/>
      <c r="T9" s="222"/>
      <c r="U9" s="222"/>
    </row>
    <row r="10" ht="22.5" customHeight="1" spans="1:21">
      <c r="A10" s="211"/>
      <c r="B10" s="190" t="s">
        <v>1413</v>
      </c>
      <c r="C10" s="196" t="s">
        <v>1414</v>
      </c>
      <c r="D10" s="179"/>
      <c r="E10" s="179"/>
      <c r="F10" s="213" t="str">
        <f ca="1" t="shared" si="1"/>
        <v>【已到期】</v>
      </c>
      <c r="G10" s="219"/>
      <c r="H10" s="194"/>
      <c r="I10" s="179"/>
      <c r="J10" s="220">
        <f t="shared" si="2"/>
        <v>0</v>
      </c>
      <c r="K10" s="219"/>
      <c r="L10" s="219"/>
      <c r="M10" s="179"/>
      <c r="N10" s="179"/>
      <c r="O10" s="179"/>
      <c r="P10" s="179"/>
      <c r="Q10" s="221"/>
      <c r="R10" s="222"/>
      <c r="S10" s="222"/>
      <c r="T10" s="222"/>
      <c r="U10" s="222"/>
    </row>
    <row r="11" ht="22.5" customHeight="1" spans="1:21">
      <c r="A11" s="211"/>
      <c r="B11" s="190" t="s">
        <v>1415</v>
      </c>
      <c r="C11" s="181" t="s">
        <v>1416</v>
      </c>
      <c r="D11" s="179"/>
      <c r="E11" s="179"/>
      <c r="F11" s="213" t="str">
        <f ca="1" t="shared" ref="F11:F34" si="3">IF(E11&lt;TODAY(),"【已到期】",IF(E11-TODAY()&lt;=30,"【即将到期，剩余"&amp;E11-TODAY()&amp;"天】","【正常】"))</f>
        <v>【已到期】</v>
      </c>
      <c r="G11" s="219"/>
      <c r="H11" s="194"/>
      <c r="I11" s="179"/>
      <c r="J11" s="220">
        <f t="shared" si="2"/>
        <v>0</v>
      </c>
      <c r="K11" s="219"/>
      <c r="L11" s="219"/>
      <c r="M11" s="179"/>
      <c r="N11" s="179"/>
      <c r="O11" s="179"/>
      <c r="P11" s="179"/>
      <c r="Q11" s="221"/>
      <c r="R11" s="222"/>
      <c r="S11" s="222"/>
      <c r="T11" s="222"/>
      <c r="U11" s="222"/>
    </row>
    <row r="12" ht="22.5" customHeight="1" spans="1:21">
      <c r="A12" s="211"/>
      <c r="B12" s="190" t="s">
        <v>1417</v>
      </c>
      <c r="C12" s="196" t="s">
        <v>1418</v>
      </c>
      <c r="D12" s="179"/>
      <c r="E12" s="179"/>
      <c r="F12" s="213" t="str">
        <f ca="1" t="shared" si="3"/>
        <v>【已到期】</v>
      </c>
      <c r="G12" s="219"/>
      <c r="H12" s="194"/>
      <c r="I12" s="179"/>
      <c r="J12" s="220">
        <f t="shared" si="2"/>
        <v>0</v>
      </c>
      <c r="K12" s="219"/>
      <c r="L12" s="219"/>
      <c r="M12" s="179"/>
      <c r="N12" s="179"/>
      <c r="O12" s="179"/>
      <c r="P12" s="179"/>
      <c r="Q12" s="221"/>
      <c r="R12" s="222"/>
      <c r="S12" s="222"/>
      <c r="T12" s="222"/>
      <c r="U12" s="222"/>
    </row>
    <row r="13" ht="22.5" customHeight="1" spans="1:21">
      <c r="A13" s="211"/>
      <c r="B13" s="190" t="s">
        <v>1417</v>
      </c>
      <c r="C13" s="196" t="s">
        <v>1418</v>
      </c>
      <c r="D13" s="179"/>
      <c r="E13" s="179"/>
      <c r="F13" s="213" t="str">
        <f ca="1" t="shared" si="3"/>
        <v>【已到期】</v>
      </c>
      <c r="G13" s="219"/>
      <c r="H13" s="194"/>
      <c r="I13" s="179"/>
      <c r="J13" s="220">
        <f t="shared" si="2"/>
        <v>0</v>
      </c>
      <c r="K13" s="219"/>
      <c r="L13" s="219"/>
      <c r="M13" s="179"/>
      <c r="N13" s="179"/>
      <c r="O13" s="179"/>
      <c r="P13" s="179"/>
      <c r="Q13" s="221"/>
      <c r="R13" s="222"/>
      <c r="S13" s="222"/>
      <c r="T13" s="222"/>
      <c r="U13" s="222"/>
    </row>
    <row r="14" ht="22.5" customHeight="1" spans="1:21">
      <c r="A14" s="211"/>
      <c r="B14" s="190" t="s">
        <v>1417</v>
      </c>
      <c r="C14" s="196" t="s">
        <v>1419</v>
      </c>
      <c r="D14" s="179"/>
      <c r="E14" s="179"/>
      <c r="F14" s="213" t="str">
        <f ca="1" t="shared" si="3"/>
        <v>【已到期】</v>
      </c>
      <c r="G14" s="219"/>
      <c r="H14" s="194"/>
      <c r="I14" s="179"/>
      <c r="J14" s="220">
        <f t="shared" si="2"/>
        <v>0</v>
      </c>
      <c r="K14" s="219"/>
      <c r="L14" s="219"/>
      <c r="M14" s="179"/>
      <c r="N14" s="179"/>
      <c r="O14" s="179"/>
      <c r="P14" s="179"/>
      <c r="Q14" s="221"/>
      <c r="R14" s="222"/>
      <c r="S14" s="222"/>
      <c r="T14" s="222"/>
      <c r="U14" s="222"/>
    </row>
    <row r="15" ht="22.5" customHeight="1" spans="1:21">
      <c r="A15" s="211"/>
      <c r="B15" s="190"/>
      <c r="C15" s="196" t="s">
        <v>1420</v>
      </c>
      <c r="D15" s="179"/>
      <c r="E15" s="179"/>
      <c r="F15" s="213" t="str">
        <f ca="1" t="shared" si="3"/>
        <v>【已到期】</v>
      </c>
      <c r="G15" s="219"/>
      <c r="H15" s="194"/>
      <c r="I15" s="179"/>
      <c r="J15" s="220">
        <f t="shared" si="2"/>
        <v>0</v>
      </c>
      <c r="K15" s="219"/>
      <c r="L15" s="219"/>
      <c r="M15" s="179"/>
      <c r="N15" s="179"/>
      <c r="O15" s="179"/>
      <c r="P15" s="179"/>
      <c r="Q15" s="221"/>
      <c r="R15" s="222"/>
      <c r="S15" s="222"/>
      <c r="T15" s="222"/>
      <c r="U15" s="222"/>
    </row>
    <row r="16" ht="22.5" customHeight="1" spans="1:21">
      <c r="A16" s="211"/>
      <c r="B16" s="190"/>
      <c r="C16" s="196" t="s">
        <v>1420</v>
      </c>
      <c r="D16" s="179"/>
      <c r="E16" s="179"/>
      <c r="F16" s="213" t="str">
        <f ca="1" t="shared" si="3"/>
        <v>【已到期】</v>
      </c>
      <c r="G16" s="219"/>
      <c r="H16" s="194"/>
      <c r="I16" s="179"/>
      <c r="J16" s="220"/>
      <c r="K16" s="219"/>
      <c r="L16" s="219"/>
      <c r="M16" s="179"/>
      <c r="N16" s="179"/>
      <c r="O16" s="179"/>
      <c r="P16" s="179"/>
      <c r="Q16" s="221"/>
      <c r="R16" s="222"/>
      <c r="S16" s="222"/>
      <c r="T16" s="222"/>
      <c r="U16" s="222"/>
    </row>
    <row r="17" ht="22.5" customHeight="1" spans="1:21">
      <c r="A17" s="211"/>
      <c r="B17" s="190" t="s">
        <v>1421</v>
      </c>
      <c r="C17" s="196" t="s">
        <v>1422</v>
      </c>
      <c r="D17" s="179"/>
      <c r="E17" s="179"/>
      <c r="F17" s="213" t="str">
        <f ca="1" t="shared" si="3"/>
        <v>【已到期】</v>
      </c>
      <c r="G17" s="219"/>
      <c r="H17" s="194"/>
      <c r="I17" s="179"/>
      <c r="J17" s="220"/>
      <c r="K17" s="219"/>
      <c r="L17" s="219"/>
      <c r="M17" s="179"/>
      <c r="N17" s="179"/>
      <c r="O17" s="179"/>
      <c r="P17" s="179"/>
      <c r="Q17" s="221"/>
      <c r="R17" s="222"/>
      <c r="S17" s="222"/>
      <c r="T17" s="222"/>
      <c r="U17" s="222"/>
    </row>
    <row r="18" ht="22.5" customHeight="1" spans="1:21">
      <c r="A18" s="211"/>
      <c r="B18" s="190" t="s">
        <v>1421</v>
      </c>
      <c r="C18" s="196" t="s">
        <v>1423</v>
      </c>
      <c r="D18" s="179"/>
      <c r="E18" s="179"/>
      <c r="F18" s="213" t="str">
        <f ca="1" t="shared" si="3"/>
        <v>【已到期】</v>
      </c>
      <c r="G18" s="219"/>
      <c r="H18" s="194"/>
      <c r="I18" s="179"/>
      <c r="J18" s="220"/>
      <c r="K18" s="219"/>
      <c r="L18" s="219"/>
      <c r="M18" s="179"/>
      <c r="N18" s="179"/>
      <c r="O18" s="179"/>
      <c r="P18" s="179"/>
      <c r="Q18" s="221"/>
      <c r="R18" s="222"/>
      <c r="S18" s="222"/>
      <c r="T18" s="222"/>
      <c r="U18" s="222"/>
    </row>
    <row r="19" ht="22.5" customHeight="1" spans="1:21">
      <c r="A19" s="211"/>
      <c r="B19" s="190" t="s">
        <v>1421</v>
      </c>
      <c r="C19" s="196" t="s">
        <v>1424</v>
      </c>
      <c r="D19" s="179"/>
      <c r="E19" s="179"/>
      <c r="F19" s="213" t="str">
        <f ca="1" t="shared" si="3"/>
        <v>【已到期】</v>
      </c>
      <c r="G19" s="219"/>
      <c r="H19" s="194"/>
      <c r="I19" s="179"/>
      <c r="J19" s="220"/>
      <c r="K19" s="219"/>
      <c r="L19" s="219"/>
      <c r="M19" s="179"/>
      <c r="N19" s="179"/>
      <c r="O19" s="179"/>
      <c r="P19" s="179"/>
      <c r="Q19" s="221"/>
      <c r="R19" s="222"/>
      <c r="S19" s="222"/>
      <c r="T19" s="222"/>
      <c r="U19" s="222"/>
    </row>
    <row r="20" ht="22.5" customHeight="1" spans="1:21">
      <c r="A20" s="211"/>
      <c r="B20" s="190" t="s">
        <v>1421</v>
      </c>
      <c r="C20" s="196" t="s">
        <v>1425</v>
      </c>
      <c r="D20" s="179"/>
      <c r="E20" s="179"/>
      <c r="F20" s="213" t="str">
        <f ca="1" t="shared" si="3"/>
        <v>【已到期】</v>
      </c>
      <c r="G20" s="219"/>
      <c r="H20" s="194"/>
      <c r="I20" s="179"/>
      <c r="J20" s="220"/>
      <c r="K20" s="219"/>
      <c r="L20" s="219"/>
      <c r="M20" s="179"/>
      <c r="N20" s="179"/>
      <c r="O20" s="179"/>
      <c r="P20" s="179"/>
      <c r="Q20" s="179"/>
      <c r="R20" s="188"/>
      <c r="S20" s="188"/>
      <c r="T20" s="188"/>
      <c r="U20" s="188"/>
    </row>
    <row r="21" ht="22.5" customHeight="1" spans="1:21">
      <c r="A21" s="211"/>
      <c r="B21" s="190" t="s">
        <v>1426</v>
      </c>
      <c r="C21" s="181" t="s">
        <v>1427</v>
      </c>
      <c r="D21" s="179"/>
      <c r="E21" s="179"/>
      <c r="F21" s="213" t="str">
        <f ca="1" t="shared" si="3"/>
        <v>【已到期】</v>
      </c>
      <c r="G21" s="219"/>
      <c r="H21" s="194"/>
      <c r="I21" s="179"/>
      <c r="J21" s="220"/>
      <c r="K21" s="219"/>
      <c r="L21" s="219"/>
      <c r="M21" s="179"/>
      <c r="N21" s="179"/>
      <c r="O21" s="179"/>
      <c r="P21" s="179"/>
      <c r="Q21" s="179"/>
      <c r="R21" s="179"/>
      <c r="S21" s="179"/>
      <c r="T21" s="179"/>
      <c r="U21" s="179"/>
    </row>
    <row r="22" ht="22.5" customHeight="1" spans="1:21">
      <c r="A22" s="211"/>
      <c r="B22" s="190" t="s">
        <v>1426</v>
      </c>
      <c r="C22" s="181" t="s">
        <v>1428</v>
      </c>
      <c r="D22" s="179"/>
      <c r="E22" s="179"/>
      <c r="F22" s="213" t="str">
        <f ca="1" t="shared" si="3"/>
        <v>【已到期】</v>
      </c>
      <c r="G22" s="219"/>
      <c r="H22" s="194"/>
      <c r="I22" s="179"/>
      <c r="J22" s="220"/>
      <c r="K22" s="219"/>
      <c r="L22" s="219"/>
      <c r="M22" s="179"/>
      <c r="N22" s="179"/>
      <c r="O22" s="179"/>
      <c r="P22" s="179"/>
      <c r="Q22" s="179"/>
      <c r="R22" s="179"/>
      <c r="S22" s="179"/>
      <c r="T22" s="179"/>
      <c r="U22" s="179"/>
    </row>
    <row r="23" ht="22.5" customHeight="1" spans="1:21">
      <c r="A23" s="211"/>
      <c r="B23" s="190" t="s">
        <v>1429</v>
      </c>
      <c r="C23" s="181" t="s">
        <v>1430</v>
      </c>
      <c r="D23" s="179"/>
      <c r="E23" s="179"/>
      <c r="F23" s="213" t="str">
        <f ca="1" t="shared" si="3"/>
        <v>【已到期】</v>
      </c>
      <c r="G23" s="219"/>
      <c r="H23" s="194"/>
      <c r="I23" s="179"/>
      <c r="J23" s="220"/>
      <c r="K23" s="219"/>
      <c r="L23" s="219"/>
      <c r="M23" s="179"/>
      <c r="N23" s="179"/>
      <c r="O23" s="179"/>
      <c r="P23" s="179"/>
      <c r="Q23" s="179"/>
      <c r="R23" s="179"/>
      <c r="S23" s="179"/>
      <c r="T23" s="179"/>
      <c r="U23" s="179"/>
    </row>
    <row r="24" ht="22.5" customHeight="1" spans="1:21">
      <c r="A24" s="211"/>
      <c r="B24" s="190" t="s">
        <v>1431</v>
      </c>
      <c r="C24" s="181" t="s">
        <v>1432</v>
      </c>
      <c r="D24" s="179"/>
      <c r="E24" s="179"/>
      <c r="F24" s="213" t="str">
        <f ca="1" t="shared" si="3"/>
        <v>【已到期】</v>
      </c>
      <c r="G24" s="219"/>
      <c r="H24" s="194"/>
      <c r="I24" s="179"/>
      <c r="J24" s="220"/>
      <c r="K24" s="219"/>
      <c r="L24" s="219"/>
      <c r="M24" s="179"/>
      <c r="N24" s="179"/>
      <c r="O24" s="179"/>
      <c r="P24" s="179"/>
      <c r="Q24" s="179"/>
      <c r="R24" s="179"/>
      <c r="S24" s="179"/>
      <c r="T24" s="179"/>
      <c r="U24" s="179"/>
    </row>
    <row r="25" ht="22.5" customHeight="1" spans="1:21">
      <c r="A25" s="211"/>
      <c r="B25" s="190" t="s">
        <v>1433</v>
      </c>
      <c r="C25" s="181" t="s">
        <v>1434</v>
      </c>
      <c r="D25" s="179"/>
      <c r="E25" s="179"/>
      <c r="F25" s="213" t="str">
        <f ca="1" t="shared" si="3"/>
        <v>【已到期】</v>
      </c>
      <c r="G25" s="219"/>
      <c r="H25" s="194"/>
      <c r="I25" s="179"/>
      <c r="J25" s="220"/>
      <c r="K25" s="219"/>
      <c r="L25" s="219"/>
      <c r="M25" s="179"/>
      <c r="N25" s="179"/>
      <c r="O25" s="179"/>
      <c r="P25" s="179"/>
      <c r="Q25" s="179"/>
      <c r="R25" s="179"/>
      <c r="S25" s="179"/>
      <c r="T25" s="179"/>
      <c r="U25" s="179"/>
    </row>
    <row r="26" ht="22.5" customHeight="1" spans="1:21">
      <c r="A26" s="211"/>
      <c r="B26" s="190" t="s">
        <v>1435</v>
      </c>
      <c r="C26" s="181" t="s">
        <v>1436</v>
      </c>
      <c r="D26" s="179"/>
      <c r="E26" s="179"/>
      <c r="F26" s="213" t="str">
        <f ca="1" t="shared" si="3"/>
        <v>【已到期】</v>
      </c>
      <c r="G26" s="219"/>
      <c r="H26" s="194"/>
      <c r="I26" s="179"/>
      <c r="J26" s="220"/>
      <c r="K26" s="219"/>
      <c r="L26" s="219"/>
      <c r="M26" s="179"/>
      <c r="N26" s="179"/>
      <c r="O26" s="179"/>
      <c r="P26" s="179"/>
      <c r="Q26" s="179"/>
      <c r="R26" s="179"/>
      <c r="S26" s="179"/>
      <c r="T26" s="179"/>
      <c r="U26" s="179"/>
    </row>
    <row r="27" ht="22.5" customHeight="1" spans="1:21">
      <c r="A27" s="211"/>
      <c r="B27" s="190" t="s">
        <v>1437</v>
      </c>
      <c r="C27" s="196" t="s">
        <v>1438</v>
      </c>
      <c r="D27" s="179"/>
      <c r="E27" s="179"/>
      <c r="F27" s="213" t="str">
        <f ca="1" t="shared" si="3"/>
        <v>【已到期】</v>
      </c>
      <c r="G27" s="219"/>
      <c r="H27" s="194"/>
      <c r="I27" s="179"/>
      <c r="J27" s="220"/>
      <c r="K27" s="219"/>
      <c r="L27" s="219"/>
      <c r="M27" s="179"/>
      <c r="N27" s="179"/>
      <c r="O27" s="179"/>
      <c r="P27" s="179"/>
      <c r="Q27" s="179"/>
      <c r="R27" s="179"/>
      <c r="S27" s="179"/>
      <c r="T27" s="179"/>
      <c r="U27" s="179"/>
    </row>
    <row r="28" ht="39" customHeight="1" spans="1:21">
      <c r="A28" s="211"/>
      <c r="B28" s="190" t="s">
        <v>1439</v>
      </c>
      <c r="C28" s="196" t="s">
        <v>1440</v>
      </c>
      <c r="D28" s="179"/>
      <c r="E28" s="179"/>
      <c r="F28" s="213" t="str">
        <f ca="1" t="shared" si="3"/>
        <v>【已到期】</v>
      </c>
      <c r="G28" s="219"/>
      <c r="H28" s="194"/>
      <c r="I28" s="179"/>
      <c r="J28" s="220"/>
      <c r="K28" s="219"/>
      <c r="L28" s="219"/>
      <c r="M28" s="179"/>
      <c r="N28" s="179"/>
      <c r="O28" s="179"/>
      <c r="P28" s="179"/>
      <c r="Q28" s="179"/>
      <c r="R28" s="179"/>
      <c r="S28" s="179"/>
      <c r="T28" s="179"/>
      <c r="U28" s="179"/>
    </row>
    <row r="29" ht="22.5" customHeight="1" spans="1:21">
      <c r="A29" s="211"/>
      <c r="B29" s="190"/>
      <c r="C29" s="196" t="s">
        <v>1441</v>
      </c>
      <c r="D29" s="179"/>
      <c r="E29" s="179"/>
      <c r="F29" s="213" t="str">
        <f ca="1" t="shared" si="3"/>
        <v>【已到期】</v>
      </c>
      <c r="G29" s="219"/>
      <c r="H29" s="194"/>
      <c r="I29" s="179"/>
      <c r="J29" s="220"/>
      <c r="K29" s="219"/>
      <c r="L29" s="219"/>
      <c r="M29" s="179"/>
      <c r="N29" s="179"/>
      <c r="O29" s="179"/>
      <c r="P29" s="179"/>
      <c r="Q29" s="179"/>
      <c r="R29" s="179"/>
      <c r="S29" s="179"/>
      <c r="T29" s="179"/>
      <c r="U29" s="179"/>
    </row>
    <row r="30" ht="22.5" customHeight="1" spans="1:21">
      <c r="A30" s="211"/>
      <c r="B30" s="190"/>
      <c r="C30" s="181" t="s">
        <v>1442</v>
      </c>
      <c r="D30" s="179"/>
      <c r="E30" s="179"/>
      <c r="F30" s="213" t="str">
        <f ca="1" t="shared" si="3"/>
        <v>【已到期】</v>
      </c>
      <c r="G30" s="219"/>
      <c r="H30" s="194"/>
      <c r="I30" s="179"/>
      <c r="J30" s="220"/>
      <c r="K30" s="219"/>
      <c r="L30" s="219"/>
      <c r="M30" s="179"/>
      <c r="N30" s="179"/>
      <c r="O30" s="179"/>
      <c r="P30" s="179"/>
      <c r="Q30" s="179"/>
      <c r="R30" s="179"/>
      <c r="S30" s="179"/>
      <c r="T30" s="179"/>
      <c r="U30" s="179"/>
    </row>
    <row r="31" ht="22.5" customHeight="1" spans="1:21">
      <c r="A31" s="211"/>
      <c r="B31" s="190" t="s">
        <v>1443</v>
      </c>
      <c r="C31" s="181" t="s">
        <v>1444</v>
      </c>
      <c r="D31" s="179"/>
      <c r="E31" s="179"/>
      <c r="F31" s="213" t="str">
        <f ca="1" t="shared" si="3"/>
        <v>【已到期】</v>
      </c>
      <c r="G31" s="219"/>
      <c r="H31" s="194"/>
      <c r="I31" s="179"/>
      <c r="J31" s="220"/>
      <c r="K31" s="219"/>
      <c r="L31" s="219"/>
      <c r="M31" s="179"/>
      <c r="N31" s="179"/>
      <c r="O31" s="179"/>
      <c r="P31" s="179"/>
      <c r="Q31" s="179"/>
      <c r="R31" s="179"/>
      <c r="S31" s="179"/>
      <c r="T31" s="179"/>
      <c r="U31" s="179"/>
    </row>
    <row r="32" ht="22.5" customHeight="1" spans="1:21">
      <c r="A32" s="211"/>
      <c r="B32" s="190"/>
      <c r="C32" s="181" t="s">
        <v>1445</v>
      </c>
      <c r="D32" s="179"/>
      <c r="E32" s="179"/>
      <c r="F32" s="213" t="str">
        <f ca="1" t="shared" si="3"/>
        <v>【已到期】</v>
      </c>
      <c r="G32" s="219"/>
      <c r="H32" s="194"/>
      <c r="I32" s="179"/>
      <c r="J32" s="220"/>
      <c r="K32" s="219"/>
      <c r="L32" s="219"/>
      <c r="M32" s="179"/>
      <c r="N32" s="179"/>
      <c r="O32" s="179"/>
      <c r="P32" s="179"/>
      <c r="Q32" s="179"/>
      <c r="R32" s="179"/>
      <c r="S32" s="179"/>
      <c r="T32" s="179"/>
      <c r="U32" s="179"/>
    </row>
    <row r="33" ht="22.5" customHeight="1" spans="1:21">
      <c r="A33" s="211"/>
      <c r="B33" s="190"/>
      <c r="C33" s="181" t="s">
        <v>1446</v>
      </c>
      <c r="D33" s="179"/>
      <c r="E33" s="179"/>
      <c r="F33" s="213" t="str">
        <f ca="1" t="shared" si="3"/>
        <v>【已到期】</v>
      </c>
      <c r="G33" s="219"/>
      <c r="H33" s="194"/>
      <c r="I33" s="179"/>
      <c r="J33" s="220"/>
      <c r="K33" s="219"/>
      <c r="L33" s="219"/>
      <c r="M33" s="179"/>
      <c r="N33" s="179"/>
      <c r="O33" s="179"/>
      <c r="P33" s="179"/>
      <c r="Q33" s="179"/>
      <c r="R33" s="179"/>
      <c r="S33" s="179"/>
      <c r="T33" s="179"/>
      <c r="U33" s="179"/>
    </row>
    <row r="34" customHeight="1" spans="1:21">
      <c r="B34" s="140"/>
      <c r="C34" s="223"/>
      <c r="D34" s="57"/>
      <c r="E34" s="57"/>
      <c r="F34" s="213" t="str">
        <f ca="1" t="shared" si="3"/>
        <v>【已到期】</v>
      </c>
      <c r="G34" s="135"/>
      <c r="H34" s="224"/>
      <c r="I34" s="57"/>
      <c r="J34" s="225"/>
      <c r="K34" s="135"/>
      <c r="L34" s="135"/>
      <c r="M34" s="57"/>
      <c r="N34" s="57"/>
      <c r="O34" s="57"/>
      <c r="P34" s="57"/>
      <c r="Q34" s="57"/>
      <c r="R34" s="57"/>
      <c r="S34" s="57"/>
      <c r="T34" s="57"/>
      <c r="U34" s="57"/>
    </row>
  </sheetData>
  <mergeCells count="3">
    <mergeCell ref="A1:A2"/>
    <mergeCell ref="B1:B2"/>
    <mergeCell ref="C1:C2"/>
  </mergeCells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"/>
  <sheetViews>
    <sheetView workbookViewId="0">
      <pane xSplit="3" ySplit="2" topLeftCell="P3" activePane="bottomRight" state="frozen"/>
      <selection/>
      <selection pane="topRight"/>
      <selection pane="bottomLeft"/>
      <selection pane="bottomRight" activeCell="T13" sqref="T13"/>
    </sheetView>
  </sheetViews>
  <sheetFormatPr defaultColWidth="9" defaultRowHeight="24" customHeight="1"/>
  <cols>
    <col min="1" max="1" width="3.875" customWidth="1"/>
    <col min="2" max="2" width="36.25" style="150" customWidth="1"/>
    <col min="3" max="3" width="51.125" style="150" customWidth="1"/>
    <col min="4" max="4" width="14.0083333333333" style="112" customWidth="1"/>
    <col min="5" max="5" width="15.625" style="112"/>
    <col min="6" max="6" width="10.3416666666667" style="113" customWidth="1"/>
    <col min="7" max="7" width="31.625" style="151" customWidth="1"/>
    <col min="8" max="8" width="10.8416666666667" style="114" customWidth="1"/>
    <col min="9" max="9" width="5.5" style="152" customWidth="1"/>
    <col min="10" max="10" width="6.675" customWidth="1"/>
    <col min="11" max="12" width="15.0083333333333" customWidth="1"/>
    <col min="13" max="13" width="8.50833333333333" customWidth="1"/>
    <col min="14" max="14" width="10.3416666666667" customWidth="1"/>
    <col min="15" max="15" width="11.3416666666667" customWidth="1"/>
    <col min="16" max="16" width="10.3416666666667" customWidth="1"/>
    <col min="17" max="18" width="11.3416666666667" customWidth="1"/>
    <col min="19" max="19" width="12.175" customWidth="1"/>
    <col min="20" max="20" width="19.5083333333333" customWidth="1"/>
    <col min="21" max="21" width="10.3416666666667" customWidth="1"/>
    <col min="22" max="22" width="6.675" customWidth="1"/>
    <col min="23" max="23" width="10.3416666666667" customWidth="1"/>
  </cols>
  <sheetData>
    <row r="1" s="19" customFormat="1" ht="35" customHeight="1" spans="1:24">
      <c r="A1" s="153" t="s">
        <v>1394</v>
      </c>
      <c r="B1" s="154" t="s">
        <v>1352</v>
      </c>
      <c r="C1" s="155" t="s">
        <v>1353</v>
      </c>
      <c r="D1" s="156" t="s">
        <v>1354</v>
      </c>
      <c r="E1" s="157"/>
      <c r="F1" s="158" t="s">
        <v>1355</v>
      </c>
      <c r="G1" s="159" t="s">
        <v>1447</v>
      </c>
      <c r="H1" s="160" t="s">
        <v>1356</v>
      </c>
      <c r="I1" s="161" t="s">
        <v>1357</v>
      </c>
      <c r="J1" s="162" t="s">
        <v>1358</v>
      </c>
      <c r="K1" s="163" t="s">
        <v>1359</v>
      </c>
      <c r="L1" s="163" t="s">
        <v>1360</v>
      </c>
      <c r="M1" s="162" t="s">
        <v>1361</v>
      </c>
      <c r="N1" s="164" t="s">
        <v>1362</v>
      </c>
      <c r="O1" s="165" t="s">
        <v>1363</v>
      </c>
      <c r="P1" s="164" t="s">
        <v>1364</v>
      </c>
      <c r="Q1" s="165" t="s">
        <v>1365</v>
      </c>
      <c r="R1" s="165" t="s">
        <v>1366</v>
      </c>
      <c r="S1" s="166" t="s">
        <v>1367</v>
      </c>
      <c r="T1" s="162" t="s">
        <v>1396</v>
      </c>
      <c r="U1" s="35" t="s">
        <v>1369</v>
      </c>
      <c r="V1" s="167" t="s">
        <v>1370</v>
      </c>
      <c r="W1" s="167" t="s">
        <v>1371</v>
      </c>
    </row>
    <row r="2" s="19" customFormat="1" ht="18.5" customHeight="1" spans="1:24">
      <c r="A2" s="168"/>
      <c r="B2" s="169"/>
      <c r="C2" s="170" t="s">
        <v>1448</v>
      </c>
      <c r="D2" s="171"/>
      <c r="E2" s="172"/>
      <c r="F2" s="173"/>
      <c r="G2" s="174"/>
      <c r="H2" s="175"/>
      <c r="I2" s="176">
        <f>SUM(I3:I1002)</f>
        <v>55</v>
      </c>
      <c r="J2" s="176"/>
      <c r="K2" s="177">
        <f>SUM(K3:K1002)</f>
        <v>0</v>
      </c>
      <c r="L2" s="177">
        <f>SUM(L3:L1002)</f>
        <v>0</v>
      </c>
      <c r="M2" s="177">
        <f>SUM(M3:M1002)</f>
        <v>0</v>
      </c>
      <c r="N2" s="178"/>
      <c r="O2" s="177">
        <f>SUM(O3:O1002)</f>
        <v>0</v>
      </c>
      <c r="P2" s="178"/>
      <c r="Q2" s="177">
        <f>SUM(Q3:Q1002)</f>
        <v>0</v>
      </c>
      <c r="R2" s="177">
        <f>SUM(R3:R1002)</f>
        <v>0</v>
      </c>
      <c r="S2" s="177">
        <f>SUM(S3:S1002)</f>
        <v>0</v>
      </c>
      <c r="T2" s="177"/>
      <c r="U2" s="177"/>
      <c r="V2" s="177"/>
      <c r="W2" s="177">
        <f>SUM(W3:W1002)</f>
        <v>0</v>
      </c>
    </row>
    <row r="3" customFormat="1" ht="18.5" customHeight="1" spans="1:24">
      <c r="A3" s="179"/>
      <c r="B3" s="180" t="s">
        <v>1449</v>
      </c>
      <c r="C3" s="181" t="s">
        <v>1450</v>
      </c>
      <c r="D3" s="182"/>
      <c r="E3" s="183"/>
      <c r="F3" s="184"/>
      <c r="G3" s="185" t="s">
        <v>1451</v>
      </c>
      <c r="H3" s="186"/>
      <c r="I3" s="187">
        <v>44</v>
      </c>
      <c r="J3" s="188">
        <v>1</v>
      </c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9"/>
    </row>
    <row r="4" ht="18.5" customHeight="1" spans="1:24">
      <c r="A4" s="179"/>
      <c r="B4" s="190" t="s">
        <v>1452</v>
      </c>
      <c r="C4" s="181" t="s">
        <v>1453</v>
      </c>
      <c r="D4" s="191"/>
      <c r="E4" s="132"/>
      <c r="F4" s="192"/>
      <c r="G4" s="185" t="s">
        <v>1454</v>
      </c>
      <c r="H4" s="193"/>
      <c r="I4" s="194">
        <v>1</v>
      </c>
      <c r="J4" s="179">
        <v>1</v>
      </c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</row>
    <row r="5" ht="18.5" customHeight="1" spans="1:24">
      <c r="A5" s="179"/>
      <c r="B5" s="195" t="s">
        <v>1455</v>
      </c>
      <c r="C5" s="181" t="s">
        <v>1456</v>
      </c>
      <c r="D5" s="191">
        <v>46313</v>
      </c>
      <c r="E5" s="132">
        <v>46677</v>
      </c>
      <c r="F5" s="192"/>
      <c r="G5" s="185" t="s">
        <v>1457</v>
      </c>
      <c r="H5" s="193"/>
      <c r="I5" s="194">
        <v>1</v>
      </c>
      <c r="J5" s="179">
        <v>1</v>
      </c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</row>
    <row r="6" ht="18.5" customHeight="1" spans="1:24">
      <c r="A6" s="179"/>
      <c r="B6" s="150" t="s">
        <v>1458</v>
      </c>
      <c r="C6" s="181" t="s">
        <v>1459</v>
      </c>
      <c r="D6" s="191"/>
      <c r="E6" s="132"/>
      <c r="F6" s="192"/>
      <c r="G6" s="185" t="s">
        <v>1460</v>
      </c>
      <c r="H6" s="193"/>
      <c r="I6" s="194">
        <v>2</v>
      </c>
      <c r="J6" s="179">
        <v>1</v>
      </c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</row>
    <row r="7" ht="18.5" customHeight="1" spans="1:24">
      <c r="A7" s="179"/>
      <c r="B7" s="150" t="s">
        <v>1458</v>
      </c>
      <c r="C7" s="181" t="s">
        <v>1461</v>
      </c>
      <c r="D7" s="191"/>
      <c r="E7" s="132"/>
      <c r="F7" s="192"/>
      <c r="G7" s="185"/>
      <c r="H7" s="193"/>
      <c r="I7" s="194">
        <v>1</v>
      </c>
      <c r="J7" s="179">
        <v>1</v>
      </c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</row>
    <row r="8" ht="18.5" customHeight="1" spans="1:24">
      <c r="A8" s="179"/>
      <c r="B8" s="150" t="s">
        <v>1458</v>
      </c>
      <c r="C8" s="181" t="s">
        <v>1462</v>
      </c>
      <c r="D8" s="191"/>
      <c r="E8" s="132"/>
      <c r="F8" s="192"/>
      <c r="G8" s="185"/>
      <c r="H8" s="193"/>
      <c r="I8" s="194">
        <v>1</v>
      </c>
      <c r="J8" s="179">
        <v>1</v>
      </c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</row>
    <row r="9" ht="18.5" customHeight="1" spans="1:24">
      <c r="A9" s="179"/>
      <c r="B9" s="190"/>
      <c r="C9" s="181" t="s">
        <v>1463</v>
      </c>
      <c r="D9" s="191"/>
      <c r="E9" s="132"/>
      <c r="F9" s="192"/>
      <c r="G9" s="185" t="s">
        <v>1464</v>
      </c>
      <c r="H9" s="193">
        <v>6000</v>
      </c>
      <c r="I9" s="194">
        <v>1</v>
      </c>
      <c r="J9" s="179">
        <v>1</v>
      </c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</row>
    <row r="10" ht="18.5" customHeight="1" spans="1:24">
      <c r="A10" s="179"/>
      <c r="B10" s="190"/>
      <c r="C10" s="181" t="s">
        <v>1465</v>
      </c>
      <c r="D10" s="191"/>
      <c r="E10" s="132"/>
      <c r="F10" s="192"/>
      <c r="G10" s="185"/>
      <c r="H10" s="193">
        <v>4000</v>
      </c>
      <c r="I10" s="194">
        <v>1</v>
      </c>
      <c r="J10" s="179">
        <v>1</v>
      </c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</row>
    <row r="11" ht="18.5" customHeight="1" spans="1:24">
      <c r="A11" s="179"/>
      <c r="B11" s="180" t="s">
        <v>1466</v>
      </c>
      <c r="C11" s="181" t="s">
        <v>1467</v>
      </c>
      <c r="D11" s="191"/>
      <c r="E11" s="132"/>
      <c r="F11" s="192"/>
      <c r="G11" s="185"/>
      <c r="H11" s="193"/>
      <c r="I11" s="194">
        <v>1</v>
      </c>
      <c r="J11" s="179">
        <v>1</v>
      </c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</row>
    <row r="12" ht="18.5" customHeight="1" spans="1:24">
      <c r="A12" s="179"/>
      <c r="B12" s="180" t="s">
        <v>1466</v>
      </c>
      <c r="C12" s="181" t="s">
        <v>1468</v>
      </c>
      <c r="D12" s="191"/>
      <c r="E12" s="132"/>
      <c r="F12" s="192"/>
      <c r="G12" s="185"/>
      <c r="H12" s="193"/>
      <c r="I12" s="194">
        <v>1</v>
      </c>
      <c r="J12" s="179">
        <v>1</v>
      </c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</row>
    <row r="13" ht="18.5" customHeight="1" spans="1:24">
      <c r="A13" s="179"/>
      <c r="B13" s="190"/>
      <c r="C13" s="196" t="s">
        <v>1469</v>
      </c>
      <c r="D13" s="191"/>
      <c r="E13" s="132"/>
      <c r="F13" s="192"/>
      <c r="G13" s="185" t="s">
        <v>1470</v>
      </c>
      <c r="H13" s="193"/>
      <c r="I13" s="194">
        <v>1</v>
      </c>
      <c r="J13" s="179">
        <v>1</v>
      </c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</row>
  </sheetData>
  <mergeCells count="4">
    <mergeCell ref="A1:A2"/>
    <mergeCell ref="B1:B2"/>
    <mergeCell ref="F1:F2"/>
    <mergeCell ref="D1:E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5"/>
  <sheetViews>
    <sheetView workbookViewId="0">
      <pane xSplit="6" ySplit="2" topLeftCell="U3" activePane="bottomRight" state="frozen"/>
      <selection/>
      <selection pane="topRight"/>
      <selection pane="bottomLeft"/>
      <selection pane="bottomRight" activeCell="U7" sqref="U7"/>
    </sheetView>
  </sheetViews>
  <sheetFormatPr defaultColWidth="9" defaultRowHeight="18" customHeight="1"/>
  <cols>
    <col min="1" max="1" width="3.625" customWidth="1"/>
    <col min="2" max="2" width="17.875" customWidth="1"/>
    <col min="3" max="3" width="59" style="111" customWidth="1"/>
    <col min="4" max="4" width="13.375" style="112" customWidth="1"/>
    <col min="5" max="5" width="14.5" style="112" customWidth="1"/>
    <col min="6" max="6" width="9" style="113"/>
    <col min="8" max="8" width="11.5" style="114"/>
    <col min="9" max="9" width="5.125" style="115" customWidth="1"/>
    <col min="11" max="11" width="12.625" style="114" customWidth="1"/>
    <col min="12" max="12" width="9.375" style="114"/>
    <col min="13" max="13" width="12.625" style="114"/>
    <col min="21" max="21" width="63.625" customWidth="1"/>
  </cols>
  <sheetData>
    <row r="1" s="19" customFormat="1" ht="24" customHeight="1" spans="1:23">
      <c r="A1" s="20" t="s">
        <v>1394</v>
      </c>
      <c r="B1" s="21" t="s">
        <v>1352</v>
      </c>
      <c r="C1" s="116" t="s">
        <v>1353</v>
      </c>
      <c r="D1" s="23" t="s">
        <v>1354</v>
      </c>
      <c r="E1" s="24"/>
      <c r="F1" s="117" t="s">
        <v>1355</v>
      </c>
      <c r="G1" s="118" t="s">
        <v>1447</v>
      </c>
      <c r="H1" s="119" t="s">
        <v>1356</v>
      </c>
      <c r="I1" s="27" t="s">
        <v>1357</v>
      </c>
      <c r="J1" s="28" t="s">
        <v>1358</v>
      </c>
      <c r="K1" s="29" t="s">
        <v>1359</v>
      </c>
      <c r="L1" s="29" t="s">
        <v>1360</v>
      </c>
      <c r="M1" s="120" t="s">
        <v>1361</v>
      </c>
      <c r="N1" s="31" t="s">
        <v>1362</v>
      </c>
      <c r="O1" s="32" t="s">
        <v>1363</v>
      </c>
      <c r="P1" s="31" t="s">
        <v>1364</v>
      </c>
      <c r="Q1" s="32" t="s">
        <v>1365</v>
      </c>
      <c r="R1" s="32" t="s">
        <v>1366</v>
      </c>
      <c r="S1" s="33" t="s">
        <v>1367</v>
      </c>
      <c r="T1" s="34" t="s">
        <v>1368</v>
      </c>
      <c r="U1" s="35" t="s">
        <v>1369</v>
      </c>
      <c r="V1" s="36" t="s">
        <v>1370</v>
      </c>
      <c r="W1" s="36" t="s">
        <v>1371</v>
      </c>
    </row>
    <row r="2" s="19" customFormat="1" customHeight="1" spans="1:23">
      <c r="A2" s="121"/>
      <c r="B2" s="122"/>
      <c r="C2" s="123"/>
      <c r="D2" s="124"/>
      <c r="E2" s="124"/>
      <c r="F2" s="125"/>
      <c r="G2" s="126"/>
      <c r="H2" s="127"/>
      <c r="I2" s="128">
        <f>SUM(I3:I994)</f>
        <v>95</v>
      </c>
      <c r="J2" s="129"/>
      <c r="K2" s="129">
        <f>SUM(K3:K994)</f>
        <v>25300</v>
      </c>
      <c r="L2" s="129">
        <f>SUM(L3:L994)</f>
        <v>0</v>
      </c>
      <c r="M2" s="129">
        <f>SUM(M3:M994)</f>
        <v>25300</v>
      </c>
      <c r="N2" s="130"/>
      <c r="O2" s="129">
        <f>SUM(O3:O994)</f>
        <v>0</v>
      </c>
      <c r="P2" s="130"/>
      <c r="Q2" s="129">
        <f>SUM(Q3:Q994)</f>
        <v>0</v>
      </c>
      <c r="R2" s="129">
        <f>SUM(R3:R994)</f>
        <v>0</v>
      </c>
      <c r="S2" s="129">
        <f>SUM(S3:S994)</f>
        <v>0</v>
      </c>
      <c r="T2" s="129"/>
      <c r="U2" s="129"/>
      <c r="V2" s="129"/>
      <c r="W2" s="129">
        <f>SUM(W3:W994)</f>
        <v>0</v>
      </c>
    </row>
    <row r="3" customHeight="1" spans="1:23">
      <c r="A3" s="57"/>
      <c r="B3" s="57"/>
      <c r="C3" s="131" t="s">
        <v>1471</v>
      </c>
      <c r="D3" s="132"/>
      <c r="E3" s="132"/>
      <c r="F3" s="133" t="str">
        <f ca="1">IF(E3&lt;TODAY(),"【已到期】",IF(E3-TODAY()&lt;=30,"【即将到期，剩余"&amp;E3-TODAY()&amp;"天】","【正常】"))</f>
        <v>【已到期】</v>
      </c>
      <c r="G3" s="134"/>
      <c r="H3" s="135"/>
      <c r="I3" s="49">
        <v>1</v>
      </c>
      <c r="J3" s="57"/>
      <c r="K3" s="51">
        <f>H3*I3*J3</f>
        <v>0</v>
      </c>
      <c r="L3" s="51"/>
      <c r="M3" s="51">
        <f>K3+L3</f>
        <v>0</v>
      </c>
      <c r="N3" s="57"/>
      <c r="O3" s="57"/>
      <c r="P3" s="57"/>
      <c r="Q3" s="57"/>
      <c r="R3" s="57"/>
      <c r="S3" s="57"/>
      <c r="T3" s="57"/>
      <c r="U3" s="57"/>
      <c r="V3" s="57"/>
      <c r="W3" s="57"/>
    </row>
    <row r="4" customHeight="1" spans="1:23">
      <c r="A4" s="57"/>
      <c r="B4" s="57"/>
      <c r="C4" s="131" t="s">
        <v>1472</v>
      </c>
      <c r="D4" s="132"/>
      <c r="E4" s="132"/>
      <c r="F4" s="133" t="str">
        <f ca="1" t="shared" ref="F4:F23" si="0">IF(E4&lt;TODAY(),"【已到期】",IF(E4-TODAY()&lt;=30,"【即将到期，剩余"&amp;E4-TODAY()&amp;"天】","【正常】"))</f>
        <v>【已到期】</v>
      </c>
      <c r="G4" s="134"/>
      <c r="H4" s="135"/>
      <c r="I4" s="49">
        <v>1</v>
      </c>
      <c r="J4" s="57"/>
      <c r="K4" s="51">
        <f t="shared" ref="K4:K35" si="1">H4*I4*J4</f>
        <v>0</v>
      </c>
      <c r="L4" s="51"/>
      <c r="M4" s="51">
        <f t="shared" ref="M4:M35" si="2">K4+L4</f>
        <v>0</v>
      </c>
      <c r="N4" s="57"/>
      <c r="O4" s="57"/>
      <c r="P4" s="57"/>
      <c r="Q4" s="57"/>
      <c r="R4" s="57"/>
      <c r="S4" s="57"/>
      <c r="T4" s="57"/>
      <c r="U4" s="57"/>
      <c r="V4" s="57"/>
      <c r="W4" s="57"/>
    </row>
    <row r="5" customHeight="1" spans="1:23">
      <c r="A5" s="57"/>
      <c r="B5" s="57"/>
      <c r="C5" s="131" t="s">
        <v>1473</v>
      </c>
      <c r="D5" s="132"/>
      <c r="E5" s="132"/>
      <c r="F5" s="133" t="str">
        <f ca="1" t="shared" si="0"/>
        <v>【已到期】</v>
      </c>
      <c r="G5" s="134"/>
      <c r="H5" s="135"/>
      <c r="I5" s="49">
        <v>1</v>
      </c>
      <c r="J5" s="57"/>
      <c r="K5" s="51">
        <f t="shared" si="1"/>
        <v>0</v>
      </c>
      <c r="L5" s="51"/>
      <c r="M5" s="51">
        <f t="shared" si="2"/>
        <v>0</v>
      </c>
      <c r="N5" s="57"/>
      <c r="O5" s="57"/>
      <c r="P5" s="57"/>
      <c r="Q5" s="57"/>
      <c r="R5" s="57"/>
      <c r="S5" s="57"/>
      <c r="T5" s="57"/>
      <c r="U5" s="57"/>
      <c r="V5" s="57"/>
      <c r="W5" s="57"/>
    </row>
    <row r="6" customHeight="1" spans="1:23">
      <c r="A6" s="57"/>
      <c r="B6" s="57"/>
      <c r="C6" s="131" t="s">
        <v>1474</v>
      </c>
      <c r="D6" s="132"/>
      <c r="E6" s="132"/>
      <c r="F6" s="133" t="str">
        <f ca="1" t="shared" si="0"/>
        <v>【已到期】</v>
      </c>
      <c r="G6" s="134"/>
      <c r="H6" s="135"/>
      <c r="I6" s="49">
        <v>1</v>
      </c>
      <c r="J6" s="57"/>
      <c r="K6" s="51">
        <f t="shared" si="1"/>
        <v>0</v>
      </c>
      <c r="L6" s="51"/>
      <c r="M6" s="51">
        <f t="shared" si="2"/>
        <v>0</v>
      </c>
      <c r="N6" s="57"/>
      <c r="O6" s="57"/>
      <c r="P6" s="57"/>
      <c r="Q6" s="57"/>
      <c r="R6" s="57"/>
      <c r="S6" s="57"/>
      <c r="T6" s="57"/>
      <c r="U6" s="57"/>
      <c r="V6" s="57"/>
      <c r="W6" s="57"/>
    </row>
    <row r="7" customHeight="1" spans="1:23">
      <c r="A7" s="57"/>
      <c r="B7" s="57"/>
      <c r="C7" s="131" t="s">
        <v>1475</v>
      </c>
      <c r="D7" s="132"/>
      <c r="E7" s="132"/>
      <c r="F7" s="133" t="str">
        <f ca="1" t="shared" si="0"/>
        <v>【已到期】</v>
      </c>
      <c r="G7" s="134"/>
      <c r="H7" s="135"/>
      <c r="I7" s="49">
        <v>1</v>
      </c>
      <c r="J7" s="57"/>
      <c r="K7" s="51">
        <f t="shared" si="1"/>
        <v>0</v>
      </c>
      <c r="L7" s="51"/>
      <c r="M7" s="51">
        <f t="shared" si="2"/>
        <v>0</v>
      </c>
      <c r="N7" s="57"/>
      <c r="O7" s="57"/>
      <c r="P7" s="57"/>
      <c r="Q7" s="57"/>
      <c r="R7" s="57"/>
      <c r="S7" s="57"/>
      <c r="T7" s="57"/>
      <c r="U7" s="57"/>
      <c r="V7" s="57"/>
      <c r="W7" s="57"/>
    </row>
    <row r="8" customHeight="1" spans="1:23">
      <c r="A8" s="57"/>
      <c r="B8" s="57"/>
      <c r="C8" s="131" t="s">
        <v>1476</v>
      </c>
      <c r="D8" s="132"/>
      <c r="E8" s="132"/>
      <c r="F8" s="133" t="str">
        <f ca="1" t="shared" si="0"/>
        <v>【已到期】</v>
      </c>
      <c r="G8" s="134"/>
      <c r="H8" s="135"/>
      <c r="I8" s="49">
        <v>1</v>
      </c>
      <c r="J8" s="57"/>
      <c r="K8" s="51">
        <f t="shared" si="1"/>
        <v>0</v>
      </c>
      <c r="L8" s="51"/>
      <c r="M8" s="51">
        <f t="shared" si="2"/>
        <v>0</v>
      </c>
      <c r="N8" s="57"/>
      <c r="O8" s="57"/>
      <c r="P8" s="57"/>
      <c r="Q8" s="57"/>
      <c r="R8" s="57"/>
      <c r="S8" s="57"/>
      <c r="T8" s="57"/>
      <c r="U8" s="57"/>
      <c r="V8" s="57"/>
      <c r="W8" s="57"/>
    </row>
    <row r="9" customHeight="1" spans="1:23">
      <c r="A9" s="57"/>
      <c r="B9" s="57"/>
      <c r="C9" s="131" t="s">
        <v>1477</v>
      </c>
      <c r="D9" s="132"/>
      <c r="E9" s="132"/>
      <c r="F9" s="133" t="str">
        <f ca="1" t="shared" si="0"/>
        <v>【已到期】</v>
      </c>
      <c r="G9" s="134"/>
      <c r="H9" s="135"/>
      <c r="I9" s="49">
        <v>1</v>
      </c>
      <c r="J9" s="57"/>
      <c r="K9" s="51">
        <f t="shared" si="1"/>
        <v>0</v>
      </c>
      <c r="L9" s="51"/>
      <c r="M9" s="51">
        <f t="shared" si="2"/>
        <v>0</v>
      </c>
      <c r="N9" s="57"/>
      <c r="O9" s="57"/>
      <c r="P9" s="57"/>
      <c r="Q9" s="57"/>
      <c r="R9" s="57"/>
      <c r="S9" s="57"/>
      <c r="T9" s="57"/>
      <c r="U9" s="57"/>
      <c r="V9" s="57"/>
      <c r="W9" s="57"/>
    </row>
    <row r="10" customHeight="1" spans="1:23">
      <c r="A10" s="57"/>
      <c r="B10" s="57"/>
      <c r="C10" s="136" t="s">
        <v>1478</v>
      </c>
      <c r="D10" s="132"/>
      <c r="E10" s="132"/>
      <c r="F10" s="133" t="str">
        <f ca="1" t="shared" si="0"/>
        <v>【已到期】</v>
      </c>
      <c r="G10" s="134"/>
      <c r="H10" s="135"/>
      <c r="I10" s="49">
        <v>1</v>
      </c>
      <c r="J10" s="57"/>
      <c r="K10" s="51">
        <f t="shared" si="1"/>
        <v>0</v>
      </c>
      <c r="L10" s="51"/>
      <c r="M10" s="51">
        <f t="shared" si="2"/>
        <v>0</v>
      </c>
      <c r="N10" s="57"/>
      <c r="O10" s="57"/>
      <c r="P10" s="57"/>
      <c r="Q10" s="57"/>
      <c r="R10" s="57"/>
      <c r="S10" s="57"/>
      <c r="T10" s="57"/>
      <c r="U10" s="57"/>
      <c r="V10" s="57"/>
      <c r="W10" s="57"/>
    </row>
    <row r="11" customHeight="1" spans="1:23">
      <c r="A11" s="57"/>
      <c r="B11" s="57"/>
      <c r="C11" s="136" t="s">
        <v>1479</v>
      </c>
      <c r="D11" s="132"/>
      <c r="E11" s="132"/>
      <c r="F11" s="133" t="str">
        <f ca="1" t="shared" si="0"/>
        <v>【已到期】</v>
      </c>
      <c r="G11" s="134"/>
      <c r="H11" s="135"/>
      <c r="I11" s="49">
        <v>1</v>
      </c>
      <c r="J11" s="57"/>
      <c r="K11" s="51">
        <f t="shared" si="1"/>
        <v>0</v>
      </c>
      <c r="L11" s="51"/>
      <c r="M11" s="51">
        <f t="shared" si="2"/>
        <v>0</v>
      </c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customHeight="1" spans="1:23">
      <c r="A12" s="57"/>
      <c r="B12" s="57"/>
      <c r="C12" s="131" t="s">
        <v>1480</v>
      </c>
      <c r="D12" s="132"/>
      <c r="E12" s="132"/>
      <c r="F12" s="133" t="str">
        <f ca="1" t="shared" si="0"/>
        <v>【已到期】</v>
      </c>
      <c r="G12" s="134"/>
      <c r="H12" s="135"/>
      <c r="I12" s="49">
        <v>1</v>
      </c>
      <c r="J12" s="57"/>
      <c r="K12" s="51">
        <f t="shared" si="1"/>
        <v>0</v>
      </c>
      <c r="L12" s="51"/>
      <c r="M12" s="51">
        <f t="shared" si="2"/>
        <v>0</v>
      </c>
      <c r="N12" s="57"/>
      <c r="O12" s="57"/>
      <c r="P12" s="57"/>
      <c r="Q12" s="57"/>
      <c r="R12" s="57"/>
      <c r="S12" s="57"/>
      <c r="T12" s="57"/>
      <c r="U12" s="57"/>
      <c r="V12" s="57"/>
      <c r="W12" s="57"/>
    </row>
    <row r="13" customHeight="1" spans="1:23">
      <c r="A13" s="57"/>
      <c r="B13" s="57"/>
      <c r="C13" s="131" t="s">
        <v>1481</v>
      </c>
      <c r="D13" s="132"/>
      <c r="E13" s="132"/>
      <c r="F13" s="133" t="str">
        <f ca="1" t="shared" si="0"/>
        <v>【已到期】</v>
      </c>
      <c r="G13" s="134"/>
      <c r="H13" s="135"/>
      <c r="I13" s="49">
        <v>1</v>
      </c>
      <c r="J13" s="57"/>
      <c r="K13" s="51">
        <f t="shared" si="1"/>
        <v>0</v>
      </c>
      <c r="L13" s="51"/>
      <c r="M13" s="51">
        <f t="shared" si="2"/>
        <v>0</v>
      </c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customHeight="1" spans="1:23">
      <c r="A14" s="57"/>
      <c r="B14" s="57"/>
      <c r="C14" s="136" t="s">
        <v>1482</v>
      </c>
      <c r="D14" s="132"/>
      <c r="E14" s="132"/>
      <c r="F14" s="133" t="str">
        <f ca="1" t="shared" si="0"/>
        <v>【已到期】</v>
      </c>
      <c r="G14" s="134"/>
      <c r="H14" s="135"/>
      <c r="I14" s="49">
        <v>1</v>
      </c>
      <c r="J14" s="57"/>
      <c r="K14" s="51">
        <f t="shared" si="1"/>
        <v>0</v>
      </c>
      <c r="L14" s="51"/>
      <c r="M14" s="51">
        <f t="shared" si="2"/>
        <v>0</v>
      </c>
      <c r="N14" s="57"/>
      <c r="O14" s="57"/>
      <c r="P14" s="57"/>
      <c r="Q14" s="57"/>
      <c r="R14" s="57"/>
      <c r="S14" s="57"/>
      <c r="T14" s="57"/>
      <c r="U14" s="57"/>
      <c r="V14" s="57"/>
      <c r="W14" s="57"/>
    </row>
    <row r="15" customHeight="1" spans="1:23">
      <c r="A15" s="57"/>
      <c r="B15" s="57"/>
      <c r="C15" s="136" t="s">
        <v>1483</v>
      </c>
      <c r="D15" s="132"/>
      <c r="E15" s="132"/>
      <c r="F15" s="133" t="str">
        <f ca="1" t="shared" si="0"/>
        <v>【已到期】</v>
      </c>
      <c r="G15" s="134"/>
      <c r="H15" s="135"/>
      <c r="I15" s="49">
        <v>1</v>
      </c>
      <c r="J15" s="57"/>
      <c r="K15" s="51">
        <f t="shared" si="1"/>
        <v>0</v>
      </c>
      <c r="L15" s="51"/>
      <c r="M15" s="51">
        <f t="shared" si="2"/>
        <v>0</v>
      </c>
      <c r="N15" s="57"/>
      <c r="O15" s="57"/>
      <c r="P15" s="57"/>
      <c r="Q15" s="57"/>
      <c r="R15" s="57"/>
      <c r="S15" s="57"/>
      <c r="T15" s="57"/>
      <c r="U15" s="57"/>
      <c r="V15" s="57"/>
      <c r="W15" s="57"/>
    </row>
    <row r="16" customHeight="1" spans="1:23">
      <c r="A16" s="57"/>
      <c r="B16" s="57"/>
      <c r="C16" s="131" t="s">
        <v>1484</v>
      </c>
      <c r="D16" s="132"/>
      <c r="E16" s="132"/>
      <c r="F16" s="133" t="str">
        <f ca="1" t="shared" si="0"/>
        <v>【已到期】</v>
      </c>
      <c r="G16" s="134"/>
      <c r="H16" s="135"/>
      <c r="I16" s="49">
        <v>1</v>
      </c>
      <c r="J16" s="57"/>
      <c r="K16" s="51">
        <f t="shared" si="1"/>
        <v>0</v>
      </c>
      <c r="L16" s="51"/>
      <c r="M16" s="51">
        <f t="shared" si="2"/>
        <v>0</v>
      </c>
      <c r="N16" s="57"/>
      <c r="O16" s="57"/>
      <c r="P16" s="57"/>
      <c r="Q16" s="57"/>
      <c r="R16" s="57"/>
      <c r="S16" s="57"/>
      <c r="T16" s="57"/>
      <c r="U16" s="57"/>
      <c r="V16" s="57"/>
      <c r="W16" s="57"/>
    </row>
    <row r="17" customHeight="1" spans="1:23">
      <c r="A17" s="57"/>
      <c r="B17" s="57"/>
      <c r="C17" s="137" t="s">
        <v>1485</v>
      </c>
      <c r="D17" s="138">
        <v>46255</v>
      </c>
      <c r="E17" s="16">
        <v>46619</v>
      </c>
      <c r="F17" s="133" t="str">
        <f ca="1" t="shared" si="0"/>
        <v>【正常】</v>
      </c>
      <c r="G17" s="134"/>
      <c r="H17" s="135">
        <v>6500</v>
      </c>
      <c r="I17" s="49">
        <v>1</v>
      </c>
      <c r="J17" s="57">
        <v>1</v>
      </c>
      <c r="K17" s="51">
        <f t="shared" si="1"/>
        <v>6500</v>
      </c>
      <c r="L17" s="51"/>
      <c r="M17" s="51">
        <f t="shared" si="2"/>
        <v>6500</v>
      </c>
      <c r="N17" s="57"/>
      <c r="O17" s="57"/>
      <c r="P17" s="57"/>
      <c r="Q17" s="57"/>
      <c r="R17" s="57"/>
      <c r="S17" s="57"/>
      <c r="T17" s="57"/>
      <c r="U17" s="18" t="s">
        <v>1486</v>
      </c>
      <c r="V17" s="57"/>
      <c r="W17" s="57"/>
    </row>
    <row r="18" customHeight="1" spans="1:23">
      <c r="A18" s="57"/>
      <c r="B18" s="57"/>
      <c r="C18" s="131" t="s">
        <v>1487</v>
      </c>
      <c r="D18" s="132"/>
      <c r="E18" s="132"/>
      <c r="F18" s="133" t="str">
        <f ca="1" t="shared" si="0"/>
        <v>【已到期】</v>
      </c>
      <c r="G18" s="134"/>
      <c r="H18" s="135"/>
      <c r="I18" s="49">
        <v>1</v>
      </c>
      <c r="J18" s="57"/>
      <c r="K18" s="51">
        <f t="shared" si="1"/>
        <v>0</v>
      </c>
      <c r="L18" s="51"/>
      <c r="M18" s="51">
        <f t="shared" si="2"/>
        <v>0</v>
      </c>
      <c r="N18" s="57"/>
      <c r="O18" s="57"/>
      <c r="P18" s="57"/>
      <c r="Q18" s="57"/>
      <c r="R18" s="57"/>
      <c r="S18" s="57"/>
      <c r="T18" s="57"/>
      <c r="U18" s="57"/>
      <c r="V18" s="57"/>
      <c r="W18" s="57"/>
    </row>
    <row r="19" customHeight="1" spans="1:23">
      <c r="A19" s="57"/>
      <c r="B19" s="57"/>
      <c r="C19" s="131" t="s">
        <v>1488</v>
      </c>
      <c r="D19" s="132"/>
      <c r="E19" s="132"/>
      <c r="F19" s="133" t="str">
        <f ca="1" t="shared" si="0"/>
        <v>【已到期】</v>
      </c>
      <c r="G19" s="134"/>
      <c r="H19" s="135"/>
      <c r="I19" s="49">
        <v>1</v>
      </c>
      <c r="J19" s="57"/>
      <c r="K19" s="51">
        <f t="shared" si="1"/>
        <v>0</v>
      </c>
      <c r="L19" s="51"/>
      <c r="M19" s="51">
        <f t="shared" si="2"/>
        <v>0</v>
      </c>
      <c r="N19" s="57"/>
      <c r="O19" s="57"/>
      <c r="P19" s="57"/>
      <c r="Q19" s="57"/>
      <c r="R19" s="57"/>
      <c r="S19" s="57"/>
      <c r="T19" s="57"/>
      <c r="U19" s="57"/>
      <c r="V19" s="57"/>
      <c r="W19" s="57"/>
    </row>
    <row r="20" customHeight="1" spans="1:23">
      <c r="A20" s="57"/>
      <c r="B20" s="57"/>
      <c r="C20" s="139" t="s">
        <v>1489</v>
      </c>
      <c r="D20" s="132"/>
      <c r="E20" s="132"/>
      <c r="F20" s="133" t="str">
        <f ca="1" t="shared" si="0"/>
        <v>【已到期】</v>
      </c>
      <c r="G20" s="134"/>
      <c r="H20" s="135"/>
      <c r="I20" s="49">
        <v>1</v>
      </c>
      <c r="J20" s="57"/>
      <c r="K20" s="51">
        <f t="shared" si="1"/>
        <v>0</v>
      </c>
      <c r="L20" s="51"/>
      <c r="M20" s="51">
        <f t="shared" si="2"/>
        <v>0</v>
      </c>
      <c r="N20" s="57"/>
      <c r="O20" s="57"/>
      <c r="P20" s="57"/>
      <c r="Q20" s="57"/>
      <c r="R20" s="57"/>
      <c r="S20" s="57"/>
      <c r="T20" s="57"/>
      <c r="U20" s="57"/>
      <c r="V20" s="57"/>
      <c r="W20" s="57"/>
    </row>
    <row r="21" customHeight="1" spans="1:23">
      <c r="A21" s="57"/>
      <c r="B21" s="57"/>
      <c r="C21" s="139" t="s">
        <v>1490</v>
      </c>
      <c r="D21" s="132"/>
      <c r="E21" s="132"/>
      <c r="F21" s="133" t="str">
        <f ca="1" t="shared" si="0"/>
        <v>【已到期】</v>
      </c>
      <c r="G21" s="134"/>
      <c r="H21" s="135"/>
      <c r="I21" s="49">
        <v>1</v>
      </c>
      <c r="J21" s="57"/>
      <c r="K21" s="51">
        <f t="shared" si="1"/>
        <v>0</v>
      </c>
      <c r="L21" s="51"/>
      <c r="M21" s="51">
        <f t="shared" si="2"/>
        <v>0</v>
      </c>
      <c r="N21" s="57"/>
      <c r="O21" s="57"/>
      <c r="P21" s="57"/>
      <c r="Q21" s="57"/>
      <c r="R21" s="57"/>
      <c r="S21" s="57"/>
      <c r="T21" s="57"/>
      <c r="U21" s="57"/>
      <c r="V21" s="57"/>
      <c r="W21" s="57"/>
    </row>
    <row r="22" customHeight="1" spans="1:23">
      <c r="A22" s="57"/>
      <c r="B22" s="57"/>
      <c r="C22" s="139" t="s">
        <v>1491</v>
      </c>
      <c r="D22" s="132"/>
      <c r="E22" s="132"/>
      <c r="F22" s="133" t="str">
        <f ca="1" t="shared" si="0"/>
        <v>【已到期】</v>
      </c>
      <c r="G22" s="134"/>
      <c r="H22" s="135"/>
      <c r="I22" s="49">
        <v>1</v>
      </c>
      <c r="J22" s="57"/>
      <c r="K22" s="51">
        <f t="shared" si="1"/>
        <v>0</v>
      </c>
      <c r="L22" s="51"/>
      <c r="M22" s="51">
        <f t="shared" si="2"/>
        <v>0</v>
      </c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customHeight="1" spans="1:23">
      <c r="A23" s="57"/>
      <c r="B23" s="57"/>
      <c r="C23" s="139" t="s">
        <v>1492</v>
      </c>
      <c r="D23" s="132"/>
      <c r="E23" s="132"/>
      <c r="F23" s="133" t="str">
        <f ca="1" t="shared" si="0"/>
        <v>【已到期】</v>
      </c>
      <c r="G23" s="134"/>
      <c r="H23" s="135"/>
      <c r="I23" s="49">
        <v>1</v>
      </c>
      <c r="J23" s="57"/>
      <c r="K23" s="51">
        <f t="shared" si="1"/>
        <v>0</v>
      </c>
      <c r="L23" s="51"/>
      <c r="M23" s="51">
        <f t="shared" si="2"/>
        <v>0</v>
      </c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customHeight="1" spans="1:23">
      <c r="A24" s="57"/>
      <c r="B24" s="57"/>
      <c r="C24" s="139" t="s">
        <v>1493</v>
      </c>
      <c r="D24" s="132"/>
      <c r="E24" s="132"/>
      <c r="F24" s="133" t="str">
        <f ca="1" t="shared" ref="F24:F55" si="3">IF(E24&lt;TODAY(),"【已到期】",IF(E24-TODAY()&lt;=30,"【即将到期，剩余"&amp;E24-TODAY()&amp;"天】","【正常】"))</f>
        <v>【已到期】</v>
      </c>
      <c r="G24" s="134"/>
      <c r="H24" s="135"/>
      <c r="I24" s="49">
        <v>1</v>
      </c>
      <c r="J24" s="57"/>
      <c r="K24" s="51">
        <f t="shared" si="1"/>
        <v>0</v>
      </c>
      <c r="L24" s="51"/>
      <c r="M24" s="51">
        <f t="shared" si="2"/>
        <v>0</v>
      </c>
      <c r="N24" s="57"/>
      <c r="O24" s="57"/>
      <c r="P24" s="57"/>
      <c r="Q24" s="57"/>
      <c r="R24" s="57"/>
      <c r="S24" s="57"/>
      <c r="T24" s="57"/>
      <c r="U24" s="57"/>
      <c r="V24" s="57"/>
      <c r="W24" s="57"/>
    </row>
    <row r="25" customHeight="1" spans="1:23">
      <c r="A25" s="57"/>
      <c r="B25" s="57"/>
      <c r="C25" s="139" t="s">
        <v>1494</v>
      </c>
      <c r="D25" s="132"/>
      <c r="E25" s="132"/>
      <c r="F25" s="133" t="str">
        <f ca="1" t="shared" si="3"/>
        <v>【已到期】</v>
      </c>
      <c r="G25" s="134"/>
      <c r="H25" s="135"/>
      <c r="I25" s="49">
        <v>1</v>
      </c>
      <c r="J25" s="57"/>
      <c r="K25" s="51">
        <f t="shared" si="1"/>
        <v>0</v>
      </c>
      <c r="L25" s="51"/>
      <c r="M25" s="51">
        <f t="shared" si="2"/>
        <v>0</v>
      </c>
      <c r="N25" s="57"/>
      <c r="O25" s="57"/>
      <c r="P25" s="57"/>
      <c r="Q25" s="57"/>
      <c r="R25" s="57"/>
      <c r="S25" s="57"/>
      <c r="T25" s="57"/>
      <c r="U25" s="57"/>
      <c r="V25" s="57"/>
      <c r="W25" s="57"/>
    </row>
    <row r="26" customHeight="1" spans="1:23">
      <c r="A26" s="57"/>
      <c r="B26" s="140" t="s">
        <v>1495</v>
      </c>
      <c r="C26" s="139" t="s">
        <v>1496</v>
      </c>
      <c r="D26" s="132">
        <v>46235</v>
      </c>
      <c r="E26" s="132">
        <v>46599</v>
      </c>
      <c r="F26" s="133" t="str">
        <f ca="1" t="shared" si="3"/>
        <v>【正常】</v>
      </c>
      <c r="G26" s="134"/>
      <c r="H26" s="135"/>
      <c r="I26" s="49">
        <v>1</v>
      </c>
      <c r="J26" s="57"/>
      <c r="K26" s="51">
        <f t="shared" si="1"/>
        <v>0</v>
      </c>
      <c r="L26" s="51"/>
      <c r="M26" s="51">
        <f t="shared" si="2"/>
        <v>0</v>
      </c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customHeight="1" spans="1:23">
      <c r="A27" s="57"/>
      <c r="B27" s="57"/>
      <c r="C27" s="139" t="s">
        <v>1497</v>
      </c>
      <c r="D27" s="132"/>
      <c r="E27" s="132"/>
      <c r="F27" s="133" t="str">
        <f ca="1" t="shared" si="3"/>
        <v>【已到期】</v>
      </c>
      <c r="G27" s="134"/>
      <c r="H27" s="135"/>
      <c r="I27" s="49">
        <v>1</v>
      </c>
      <c r="J27" s="57"/>
      <c r="K27" s="51">
        <f t="shared" si="1"/>
        <v>0</v>
      </c>
      <c r="L27" s="51"/>
      <c r="M27" s="51">
        <f t="shared" si="2"/>
        <v>0</v>
      </c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customHeight="1" spans="1:23">
      <c r="A28" s="57"/>
      <c r="B28" s="57"/>
      <c r="C28" s="139" t="s">
        <v>1498</v>
      </c>
      <c r="D28" s="132"/>
      <c r="E28" s="132"/>
      <c r="F28" s="133" t="str">
        <f ca="1" t="shared" si="3"/>
        <v>【已到期】</v>
      </c>
      <c r="G28" s="134"/>
      <c r="H28" s="135"/>
      <c r="I28" s="49">
        <v>1</v>
      </c>
      <c r="J28" s="57"/>
      <c r="K28" s="51">
        <f t="shared" si="1"/>
        <v>0</v>
      </c>
      <c r="L28" s="51"/>
      <c r="M28" s="51">
        <f t="shared" si="2"/>
        <v>0</v>
      </c>
      <c r="N28" s="57"/>
      <c r="O28" s="57"/>
      <c r="P28" s="57"/>
      <c r="Q28" s="57"/>
      <c r="R28" s="57"/>
      <c r="S28" s="57"/>
      <c r="T28" s="57"/>
      <c r="U28" s="57"/>
      <c r="V28" s="57"/>
      <c r="W28" s="57"/>
    </row>
    <row r="29" customHeight="1" spans="1:23">
      <c r="A29" s="57"/>
      <c r="B29" s="57"/>
      <c r="C29" s="136" t="s">
        <v>1499</v>
      </c>
      <c r="D29" s="132"/>
      <c r="E29" s="132"/>
      <c r="F29" s="133" t="str">
        <f ca="1" t="shared" si="3"/>
        <v>【已到期】</v>
      </c>
      <c r="G29" s="134"/>
      <c r="H29" s="135"/>
      <c r="I29" s="49">
        <v>1</v>
      </c>
      <c r="J29" s="57"/>
      <c r="K29" s="51">
        <f t="shared" si="1"/>
        <v>0</v>
      </c>
      <c r="L29" s="51"/>
      <c r="M29" s="51">
        <f t="shared" si="2"/>
        <v>0</v>
      </c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customHeight="1" spans="1:23">
      <c r="A30" s="57"/>
      <c r="B30" s="57"/>
      <c r="C30" s="136" t="s">
        <v>1500</v>
      </c>
      <c r="D30" s="132"/>
      <c r="E30" s="132"/>
      <c r="F30" s="133" t="str">
        <f ca="1" t="shared" si="3"/>
        <v>【已到期】</v>
      </c>
      <c r="G30" s="134"/>
      <c r="H30" s="135"/>
      <c r="I30" s="49">
        <v>1</v>
      </c>
      <c r="J30" s="57"/>
      <c r="K30" s="51">
        <f t="shared" si="1"/>
        <v>0</v>
      </c>
      <c r="L30" s="51"/>
      <c r="M30" s="51">
        <f t="shared" si="2"/>
        <v>0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</row>
    <row r="31" customHeight="1" spans="1:23">
      <c r="A31" s="57"/>
      <c r="B31" s="57"/>
      <c r="C31" s="136" t="s">
        <v>1501</v>
      </c>
      <c r="D31" s="132"/>
      <c r="E31" s="132"/>
      <c r="F31" s="133" t="str">
        <f ca="1" t="shared" si="3"/>
        <v>【已到期】</v>
      </c>
      <c r="G31" s="134"/>
      <c r="H31" s="135"/>
      <c r="I31" s="49">
        <v>1</v>
      </c>
      <c r="J31" s="57"/>
      <c r="K31" s="51">
        <f t="shared" si="1"/>
        <v>0</v>
      </c>
      <c r="L31" s="51"/>
      <c r="M31" s="51">
        <f t="shared" si="2"/>
        <v>0</v>
      </c>
      <c r="N31" s="57"/>
      <c r="O31" s="57"/>
      <c r="P31" s="57"/>
      <c r="Q31" s="57"/>
      <c r="R31" s="57"/>
      <c r="S31" s="57"/>
      <c r="T31" s="57"/>
      <c r="U31" s="57"/>
      <c r="V31" s="57"/>
      <c r="W31" s="57"/>
    </row>
    <row r="32" customHeight="1" spans="1:23">
      <c r="A32" s="57"/>
      <c r="B32" s="57"/>
      <c r="C32" s="136" t="s">
        <v>1502</v>
      </c>
      <c r="D32" s="138">
        <v>46197</v>
      </c>
      <c r="E32" s="16">
        <v>46561</v>
      </c>
      <c r="F32" s="133" t="str">
        <f ca="1" t="shared" si="3"/>
        <v>【正常】</v>
      </c>
      <c r="G32" s="134"/>
      <c r="H32" s="135"/>
      <c r="I32" s="49">
        <v>1</v>
      </c>
      <c r="J32" s="57"/>
      <c r="K32" s="51">
        <f t="shared" si="1"/>
        <v>0</v>
      </c>
      <c r="L32" s="51"/>
      <c r="M32" s="51">
        <f t="shared" si="2"/>
        <v>0</v>
      </c>
      <c r="N32" s="57"/>
      <c r="O32" s="57"/>
      <c r="P32" s="57"/>
      <c r="Q32" s="57"/>
      <c r="R32" s="57"/>
      <c r="S32" s="57"/>
      <c r="T32" s="57"/>
      <c r="U32" s="18" t="s">
        <v>1503</v>
      </c>
      <c r="V32" s="57"/>
      <c r="W32" s="57"/>
    </row>
    <row r="33" customHeight="1" spans="1:23">
      <c r="A33" s="57"/>
      <c r="B33" s="57"/>
      <c r="C33" s="131"/>
      <c r="D33" s="132"/>
      <c r="E33" s="132"/>
      <c r="F33" s="133" t="str">
        <f ca="1" t="shared" si="3"/>
        <v>【已到期】</v>
      </c>
      <c r="G33" s="134"/>
      <c r="H33" s="135"/>
      <c r="I33" s="49">
        <v>1</v>
      </c>
      <c r="J33" s="57"/>
      <c r="K33" s="51">
        <f t="shared" si="1"/>
        <v>0</v>
      </c>
      <c r="L33" s="51"/>
      <c r="M33" s="51">
        <f t="shared" si="2"/>
        <v>0</v>
      </c>
      <c r="N33" s="57"/>
      <c r="O33" s="57"/>
      <c r="P33" s="57"/>
      <c r="Q33" s="57"/>
      <c r="R33" s="57"/>
      <c r="S33" s="57"/>
      <c r="T33" s="57"/>
      <c r="U33" s="57"/>
      <c r="V33" s="57"/>
      <c r="W33" s="57"/>
    </row>
    <row r="34" customHeight="1" spans="1:23">
      <c r="A34" s="57"/>
      <c r="B34" s="57" t="s">
        <v>1504</v>
      </c>
      <c r="C34" s="136" t="s">
        <v>1505</v>
      </c>
      <c r="D34" s="132"/>
      <c r="E34" s="132"/>
      <c r="F34" s="133" t="str">
        <f ca="1" t="shared" si="3"/>
        <v>【已到期】</v>
      </c>
      <c r="G34" s="134"/>
      <c r="H34" s="135"/>
      <c r="I34" s="49">
        <v>1</v>
      </c>
      <c r="J34" s="57"/>
      <c r="K34" s="51">
        <f t="shared" si="1"/>
        <v>0</v>
      </c>
      <c r="L34" s="51"/>
      <c r="M34" s="51">
        <f t="shared" si="2"/>
        <v>0</v>
      </c>
      <c r="N34" s="57"/>
      <c r="O34" s="57"/>
      <c r="P34" s="57"/>
      <c r="Q34" s="57"/>
      <c r="R34" s="57"/>
      <c r="S34" s="57"/>
      <c r="T34" s="57"/>
      <c r="U34" s="57"/>
      <c r="V34" s="57"/>
      <c r="W34" s="57"/>
    </row>
    <row r="35" customHeight="1" spans="1:23">
      <c r="A35" s="57"/>
      <c r="B35" s="57" t="s">
        <v>1506</v>
      </c>
      <c r="C35" s="131" t="s">
        <v>1507</v>
      </c>
      <c r="D35" s="138">
        <v>46235</v>
      </c>
      <c r="E35" s="16">
        <v>46599</v>
      </c>
      <c r="F35" s="133" t="str">
        <f ca="1" t="shared" si="3"/>
        <v>【正常】</v>
      </c>
      <c r="G35" s="134"/>
      <c r="H35" s="135">
        <v>4000</v>
      </c>
      <c r="I35" s="49">
        <v>1</v>
      </c>
      <c r="J35" s="57">
        <v>1</v>
      </c>
      <c r="K35" s="51">
        <f t="shared" si="1"/>
        <v>4000</v>
      </c>
      <c r="L35" s="51"/>
      <c r="M35" s="51">
        <f t="shared" si="2"/>
        <v>4000</v>
      </c>
      <c r="N35" s="57"/>
      <c r="O35" s="57"/>
      <c r="P35" s="57"/>
      <c r="Q35" s="57"/>
      <c r="R35" s="57"/>
      <c r="S35" s="57"/>
      <c r="T35" s="57"/>
      <c r="U35" s="18" t="s">
        <v>1454</v>
      </c>
      <c r="V35" s="57"/>
      <c r="W35" s="57"/>
    </row>
    <row r="36" customHeight="1" spans="1:23">
      <c r="A36" s="57"/>
      <c r="B36" s="57" t="s">
        <v>1508</v>
      </c>
      <c r="C36" s="131" t="s">
        <v>1509</v>
      </c>
      <c r="D36" s="132"/>
      <c r="E36" s="132"/>
      <c r="F36" s="133" t="str">
        <f ca="1" t="shared" si="3"/>
        <v>【已到期】</v>
      </c>
      <c r="G36" s="134"/>
      <c r="H36" s="135"/>
      <c r="I36" s="49">
        <v>5</v>
      </c>
      <c r="J36" s="57"/>
      <c r="K36" s="51">
        <f t="shared" ref="K36:K58" si="4">H36*I36*J36</f>
        <v>0</v>
      </c>
      <c r="L36" s="51"/>
      <c r="M36" s="51">
        <f t="shared" ref="M36:M67" si="5">K36+L36</f>
        <v>0</v>
      </c>
      <c r="N36" s="57"/>
      <c r="O36" s="57"/>
      <c r="P36" s="57"/>
      <c r="Q36" s="57"/>
      <c r="R36" s="57"/>
      <c r="S36" s="57"/>
      <c r="T36" s="57"/>
      <c r="U36" s="57"/>
      <c r="V36" s="57"/>
      <c r="W36" s="57"/>
    </row>
    <row r="37" customHeight="1" spans="1:23">
      <c r="A37" s="57"/>
      <c r="B37" s="57" t="s">
        <v>1510</v>
      </c>
      <c r="C37" s="131" t="s">
        <v>1511</v>
      </c>
      <c r="D37" s="132"/>
      <c r="E37" s="132"/>
      <c r="F37" s="133" t="str">
        <f ca="1" t="shared" si="3"/>
        <v>【已到期】</v>
      </c>
      <c r="G37" s="134"/>
      <c r="H37" s="135"/>
      <c r="I37" s="49"/>
      <c r="J37" s="57"/>
      <c r="K37" s="51">
        <f t="shared" si="4"/>
        <v>0</v>
      </c>
      <c r="L37" s="51"/>
      <c r="M37" s="51">
        <f t="shared" si="5"/>
        <v>0</v>
      </c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customHeight="1" spans="1:23">
      <c r="A38" s="57"/>
      <c r="B38" s="57" t="s">
        <v>1512</v>
      </c>
      <c r="C38" s="136" t="s">
        <v>1513</v>
      </c>
      <c r="D38" s="132"/>
      <c r="E38" s="132"/>
      <c r="F38" s="133" t="str">
        <f ca="1" t="shared" si="3"/>
        <v>【已到期】</v>
      </c>
      <c r="G38" s="134"/>
      <c r="H38" s="135"/>
      <c r="I38" s="49">
        <v>1</v>
      </c>
      <c r="J38" s="57"/>
      <c r="K38" s="51">
        <f t="shared" si="4"/>
        <v>0</v>
      </c>
      <c r="L38" s="51"/>
      <c r="M38" s="51">
        <f t="shared" si="5"/>
        <v>0</v>
      </c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 customHeight="1" spans="1:23">
      <c r="A39" s="57"/>
      <c r="B39" s="57" t="s">
        <v>1514</v>
      </c>
      <c r="C39" s="136" t="s">
        <v>1515</v>
      </c>
      <c r="D39" s="132"/>
      <c r="E39" s="132"/>
      <c r="F39" s="133" t="str">
        <f ca="1" t="shared" si="3"/>
        <v>【已到期】</v>
      </c>
      <c r="G39" s="134"/>
      <c r="H39" s="135"/>
      <c r="I39" s="49">
        <v>1</v>
      </c>
      <c r="J39" s="57"/>
      <c r="K39" s="51">
        <f t="shared" si="4"/>
        <v>0</v>
      </c>
      <c r="L39" s="51"/>
      <c r="M39" s="51">
        <f t="shared" si="5"/>
        <v>0</v>
      </c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customHeight="1" spans="1:23">
      <c r="A40" s="57"/>
      <c r="B40" s="57" t="s">
        <v>1516</v>
      </c>
      <c r="C40" s="136" t="s">
        <v>1517</v>
      </c>
      <c r="D40" s="132"/>
      <c r="E40" s="132"/>
      <c r="F40" s="133" t="str">
        <f ca="1" t="shared" si="3"/>
        <v>【已到期】</v>
      </c>
      <c r="G40" s="134"/>
      <c r="H40" s="135"/>
      <c r="I40" s="49">
        <v>1</v>
      </c>
      <c r="J40" s="57"/>
      <c r="K40" s="51">
        <f t="shared" si="4"/>
        <v>0</v>
      </c>
      <c r="L40" s="51"/>
      <c r="M40" s="51">
        <f t="shared" si="5"/>
        <v>0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</row>
    <row r="41" customHeight="1" spans="1:23">
      <c r="A41" s="57"/>
      <c r="B41" s="57"/>
      <c r="C41" s="136" t="s">
        <v>1518</v>
      </c>
      <c r="D41" s="132"/>
      <c r="E41" s="132"/>
      <c r="F41" s="133" t="str">
        <f ca="1" t="shared" si="3"/>
        <v>【已到期】</v>
      </c>
      <c r="G41" s="134"/>
      <c r="H41" s="135"/>
      <c r="I41" s="49">
        <v>1</v>
      </c>
      <c r="J41" s="57"/>
      <c r="K41" s="51">
        <f t="shared" si="4"/>
        <v>0</v>
      </c>
      <c r="L41" s="51"/>
      <c r="M41" s="51">
        <f t="shared" si="5"/>
        <v>0</v>
      </c>
      <c r="N41" s="57"/>
      <c r="O41" s="57"/>
      <c r="P41" s="57"/>
      <c r="Q41" s="57"/>
      <c r="R41" s="57"/>
      <c r="S41" s="57"/>
      <c r="T41" s="57"/>
      <c r="U41" s="57"/>
      <c r="V41" s="57"/>
      <c r="W41" s="57"/>
    </row>
    <row r="42" customHeight="1" spans="1:23">
      <c r="A42" s="57"/>
      <c r="B42" s="57"/>
      <c r="C42" s="131" t="s">
        <v>1519</v>
      </c>
      <c r="D42" s="132"/>
      <c r="E42" s="132"/>
      <c r="F42" s="133" t="str">
        <f ca="1" t="shared" si="3"/>
        <v>【已到期】</v>
      </c>
      <c r="G42" s="134"/>
      <c r="H42" s="135"/>
      <c r="I42" s="49">
        <v>1</v>
      </c>
      <c r="J42" s="57"/>
      <c r="K42" s="51">
        <f t="shared" si="4"/>
        <v>0</v>
      </c>
      <c r="L42" s="51"/>
      <c r="M42" s="51">
        <f t="shared" si="5"/>
        <v>0</v>
      </c>
      <c r="N42" s="57"/>
      <c r="O42" s="57"/>
      <c r="P42" s="57"/>
      <c r="Q42" s="57"/>
      <c r="R42" s="57"/>
      <c r="S42" s="57"/>
      <c r="T42" s="57"/>
      <c r="U42" s="57"/>
      <c r="V42" s="57"/>
      <c r="W42" s="57"/>
    </row>
    <row r="43" customHeight="1" spans="1:23">
      <c r="A43" s="57"/>
      <c r="B43" s="57"/>
      <c r="C43" s="131" t="s">
        <v>1520</v>
      </c>
      <c r="D43" s="132"/>
      <c r="E43" s="132"/>
      <c r="F43" s="133" t="str">
        <f ca="1" t="shared" si="3"/>
        <v>【已到期】</v>
      </c>
      <c r="G43" s="134"/>
      <c r="H43" s="135"/>
      <c r="I43" s="49">
        <v>1</v>
      </c>
      <c r="J43" s="57"/>
      <c r="K43" s="51">
        <f t="shared" si="4"/>
        <v>0</v>
      </c>
      <c r="L43" s="51"/>
      <c r="M43" s="51">
        <f t="shared" si="5"/>
        <v>0</v>
      </c>
      <c r="N43" s="57"/>
      <c r="O43" s="57"/>
      <c r="P43" s="57"/>
      <c r="Q43" s="57"/>
      <c r="R43" s="57"/>
      <c r="S43" s="57"/>
      <c r="T43" s="57"/>
      <c r="U43" s="57"/>
      <c r="V43" s="57"/>
      <c r="W43" s="57"/>
    </row>
    <row r="44" customHeight="1" spans="1:23">
      <c r="A44" s="57"/>
      <c r="B44" s="57"/>
      <c r="C44" s="131" t="s">
        <v>1521</v>
      </c>
      <c r="D44" s="132"/>
      <c r="E44" s="132"/>
      <c r="F44" s="133" t="str">
        <f ca="1" t="shared" si="3"/>
        <v>【已到期】</v>
      </c>
      <c r="G44" s="134"/>
      <c r="H44" s="141">
        <v>5000</v>
      </c>
      <c r="I44" s="50">
        <v>2</v>
      </c>
      <c r="J44" s="50">
        <v>1</v>
      </c>
      <c r="K44" s="51">
        <f t="shared" si="4"/>
        <v>10000</v>
      </c>
      <c r="L44" s="51"/>
      <c r="M44" s="51">
        <f t="shared" si="5"/>
        <v>10000</v>
      </c>
      <c r="N44" s="57"/>
      <c r="O44" s="57"/>
      <c r="P44" s="57"/>
      <c r="Q44" s="57"/>
      <c r="R44" s="57"/>
      <c r="S44" s="57"/>
      <c r="T44" s="57"/>
      <c r="U44" s="57"/>
      <c r="V44" s="57"/>
      <c r="W44" s="57"/>
    </row>
    <row r="45" customHeight="1" spans="1:23">
      <c r="A45" s="57"/>
      <c r="B45" s="57"/>
      <c r="C45" s="131" t="s">
        <v>1522</v>
      </c>
      <c r="D45" s="132"/>
      <c r="E45" s="132"/>
      <c r="F45" s="133" t="str">
        <f ca="1" t="shared" si="3"/>
        <v>【已到期】</v>
      </c>
      <c r="G45" s="134"/>
      <c r="H45" s="135"/>
      <c r="I45" s="49">
        <v>1</v>
      </c>
      <c r="J45" s="57"/>
      <c r="K45" s="51">
        <f t="shared" si="4"/>
        <v>0</v>
      </c>
      <c r="L45" s="51"/>
      <c r="M45" s="51">
        <f t="shared" si="5"/>
        <v>0</v>
      </c>
      <c r="N45" s="57"/>
      <c r="O45" s="57"/>
      <c r="P45" s="57"/>
      <c r="Q45" s="57"/>
      <c r="R45" s="57"/>
      <c r="S45" s="57"/>
      <c r="T45" s="57"/>
      <c r="U45" s="57"/>
      <c r="V45" s="57"/>
      <c r="W45" s="57"/>
    </row>
    <row r="46" customHeight="1" spans="1:23">
      <c r="A46" s="57"/>
      <c r="B46" s="57"/>
      <c r="C46" s="136" t="s">
        <v>1523</v>
      </c>
      <c r="D46" s="132"/>
      <c r="E46" s="132"/>
      <c r="F46" s="133" t="str">
        <f ca="1" t="shared" si="3"/>
        <v>【已到期】</v>
      </c>
      <c r="G46" s="134"/>
      <c r="H46" s="135"/>
      <c r="I46" s="49">
        <v>1</v>
      </c>
      <c r="J46" s="57"/>
      <c r="K46" s="51">
        <f t="shared" si="4"/>
        <v>0</v>
      </c>
      <c r="L46" s="51"/>
      <c r="M46" s="51">
        <f t="shared" si="5"/>
        <v>0</v>
      </c>
      <c r="N46" s="57"/>
      <c r="O46" s="57"/>
      <c r="P46" s="57"/>
      <c r="Q46" s="57"/>
      <c r="R46" s="57"/>
      <c r="S46" s="57"/>
      <c r="T46" s="57"/>
      <c r="U46" s="57"/>
      <c r="V46" s="57"/>
      <c r="W46" s="57"/>
    </row>
    <row r="47" customHeight="1" spans="1:23">
      <c r="A47" s="57"/>
      <c r="B47" s="57"/>
      <c r="C47" s="131" t="s">
        <v>1524</v>
      </c>
      <c r="D47" s="132"/>
      <c r="E47" s="132"/>
      <c r="F47" s="133" t="str">
        <f ca="1" t="shared" si="3"/>
        <v>【已到期】</v>
      </c>
      <c r="G47" s="134"/>
      <c r="H47" s="135"/>
      <c r="I47" s="49">
        <v>1</v>
      </c>
      <c r="J47" s="57"/>
      <c r="K47" s="51">
        <f t="shared" si="4"/>
        <v>0</v>
      </c>
      <c r="L47" s="51"/>
      <c r="M47" s="51">
        <f t="shared" si="5"/>
        <v>0</v>
      </c>
      <c r="N47" s="57"/>
      <c r="O47" s="57"/>
      <c r="P47" s="57"/>
      <c r="Q47" s="57"/>
      <c r="R47" s="57"/>
      <c r="S47" s="57"/>
      <c r="T47" s="57"/>
      <c r="U47" s="57"/>
      <c r="V47" s="57"/>
      <c r="W47" s="57"/>
    </row>
    <row r="48" customHeight="1" spans="1:23">
      <c r="A48" s="57"/>
      <c r="B48" s="57"/>
      <c r="C48" s="131" t="s">
        <v>1525</v>
      </c>
      <c r="D48" s="132"/>
      <c r="E48" s="132"/>
      <c r="F48" s="133" t="str">
        <f ca="1" t="shared" si="3"/>
        <v>【已到期】</v>
      </c>
      <c r="G48" s="134"/>
      <c r="H48" s="135"/>
      <c r="I48" s="49">
        <v>1</v>
      </c>
      <c r="J48" s="57"/>
      <c r="K48" s="51">
        <f t="shared" si="4"/>
        <v>0</v>
      </c>
      <c r="L48" s="51"/>
      <c r="M48" s="51">
        <f t="shared" si="5"/>
        <v>0</v>
      </c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 customHeight="1" spans="1:23">
      <c r="A49" s="57"/>
      <c r="B49" s="57"/>
      <c r="C49" s="131" t="s">
        <v>1526</v>
      </c>
      <c r="D49" s="132"/>
      <c r="E49" s="132"/>
      <c r="F49" s="133" t="str">
        <f ca="1" t="shared" si="3"/>
        <v>【已到期】</v>
      </c>
      <c r="G49" s="134"/>
      <c r="H49" s="135"/>
      <c r="I49" s="49">
        <v>1</v>
      </c>
      <c r="J49" s="57"/>
      <c r="K49" s="51">
        <f t="shared" si="4"/>
        <v>0</v>
      </c>
      <c r="L49" s="51"/>
      <c r="M49" s="51">
        <f t="shared" si="5"/>
        <v>0</v>
      </c>
      <c r="N49" s="57"/>
      <c r="O49" s="57"/>
      <c r="P49" s="57"/>
      <c r="Q49" s="57"/>
      <c r="R49" s="57"/>
      <c r="S49" s="57"/>
      <c r="T49" s="57"/>
      <c r="U49" s="57"/>
      <c r="V49" s="57"/>
      <c r="W49" s="57"/>
    </row>
    <row r="50" customHeight="1" spans="1:23">
      <c r="A50" s="57"/>
      <c r="B50" s="57"/>
      <c r="C50" s="136" t="s">
        <v>1527</v>
      </c>
      <c r="D50" s="132"/>
      <c r="E50" s="132"/>
      <c r="F50" s="133" t="str">
        <f ca="1" t="shared" si="3"/>
        <v>【已到期】</v>
      </c>
      <c r="G50" s="134"/>
      <c r="H50" s="135"/>
      <c r="I50" s="49">
        <v>1</v>
      </c>
      <c r="J50" s="57"/>
      <c r="K50" s="51">
        <f t="shared" si="4"/>
        <v>0</v>
      </c>
      <c r="L50" s="51"/>
      <c r="M50" s="51">
        <f t="shared" si="5"/>
        <v>0</v>
      </c>
      <c r="N50" s="57"/>
      <c r="O50" s="57"/>
      <c r="P50" s="57"/>
      <c r="Q50" s="57"/>
      <c r="R50" s="57"/>
      <c r="S50" s="57"/>
      <c r="T50" s="57"/>
      <c r="U50" s="57"/>
      <c r="V50" s="57"/>
      <c r="W50" s="57"/>
    </row>
    <row r="51" customHeight="1" spans="1:23">
      <c r="A51" s="57"/>
      <c r="B51" s="57"/>
      <c r="C51" s="136" t="s">
        <v>1528</v>
      </c>
      <c r="D51" s="132"/>
      <c r="E51" s="132"/>
      <c r="F51" s="133" t="str">
        <f ca="1" t="shared" si="3"/>
        <v>【已到期】</v>
      </c>
      <c r="G51" s="134"/>
      <c r="H51" s="135"/>
      <c r="I51" s="49">
        <v>1</v>
      </c>
      <c r="J51" s="57"/>
      <c r="K51" s="51">
        <f t="shared" si="4"/>
        <v>0</v>
      </c>
      <c r="L51" s="51"/>
      <c r="M51" s="51">
        <f t="shared" si="5"/>
        <v>0</v>
      </c>
      <c r="N51" s="57"/>
      <c r="O51" s="57"/>
      <c r="P51" s="57"/>
      <c r="Q51" s="57"/>
      <c r="R51" s="57"/>
      <c r="S51" s="57"/>
      <c r="T51" s="57"/>
      <c r="U51" s="57"/>
      <c r="V51" s="57"/>
      <c r="W51" s="57"/>
    </row>
    <row r="52" customHeight="1" spans="1:23">
      <c r="A52" s="57"/>
      <c r="B52" s="57"/>
      <c r="C52" s="136" t="s">
        <v>1529</v>
      </c>
      <c r="D52" s="132"/>
      <c r="E52" s="132"/>
      <c r="F52" s="133" t="str">
        <f ca="1" t="shared" si="3"/>
        <v>【已到期】</v>
      </c>
      <c r="G52" s="134"/>
      <c r="H52" s="135"/>
      <c r="I52" s="49">
        <v>1</v>
      </c>
      <c r="J52" s="57"/>
      <c r="K52" s="51">
        <f t="shared" si="4"/>
        <v>0</v>
      </c>
      <c r="L52" s="51"/>
      <c r="M52" s="51">
        <f t="shared" si="5"/>
        <v>0</v>
      </c>
      <c r="N52" s="57"/>
      <c r="O52" s="57"/>
      <c r="P52" s="57"/>
      <c r="Q52" s="57"/>
      <c r="R52" s="57"/>
      <c r="S52" s="57"/>
      <c r="T52" s="57"/>
      <c r="U52" s="57"/>
      <c r="V52" s="57"/>
      <c r="W52" s="57"/>
    </row>
    <row r="53" customHeight="1" spans="1:23">
      <c r="A53" s="57"/>
      <c r="B53" s="57"/>
      <c r="C53" s="136" t="s">
        <v>1530</v>
      </c>
      <c r="D53" s="132"/>
      <c r="E53" s="132"/>
      <c r="F53" s="133" t="str">
        <f ca="1" t="shared" si="3"/>
        <v>【已到期】</v>
      </c>
      <c r="G53" s="134"/>
      <c r="H53" s="135"/>
      <c r="I53" s="49">
        <v>1</v>
      </c>
      <c r="J53" s="57"/>
      <c r="K53" s="51">
        <f t="shared" si="4"/>
        <v>0</v>
      </c>
      <c r="L53" s="51"/>
      <c r="M53" s="51">
        <f t="shared" si="5"/>
        <v>0</v>
      </c>
      <c r="N53" s="57"/>
      <c r="O53" s="57"/>
      <c r="P53" s="57"/>
      <c r="Q53" s="57"/>
      <c r="R53" s="57"/>
      <c r="S53" s="57"/>
      <c r="T53" s="57"/>
      <c r="U53" s="57"/>
      <c r="V53" s="57"/>
      <c r="W53" s="57"/>
    </row>
    <row r="54" customHeight="1" spans="1:23">
      <c r="A54" s="57"/>
      <c r="B54" s="57"/>
      <c r="C54" s="131" t="s">
        <v>1531</v>
      </c>
      <c r="D54" s="132"/>
      <c r="E54" s="132"/>
      <c r="F54" s="133" t="str">
        <f ca="1" t="shared" si="3"/>
        <v>【已到期】</v>
      </c>
      <c r="G54" s="134"/>
      <c r="H54" s="135"/>
      <c r="I54" s="49">
        <v>1</v>
      </c>
      <c r="J54" s="57"/>
      <c r="K54" s="51">
        <f t="shared" si="4"/>
        <v>0</v>
      </c>
      <c r="L54" s="51"/>
      <c r="M54" s="51">
        <f t="shared" si="5"/>
        <v>0</v>
      </c>
      <c r="N54" s="57"/>
      <c r="O54" s="57"/>
      <c r="P54" s="57"/>
      <c r="Q54" s="57"/>
      <c r="R54" s="57"/>
      <c r="S54" s="57"/>
      <c r="T54" s="57"/>
      <c r="U54" s="57"/>
      <c r="V54" s="57"/>
      <c r="W54" s="57"/>
    </row>
    <row r="55" customHeight="1" spans="1:23">
      <c r="A55" s="57"/>
      <c r="B55" s="57"/>
      <c r="C55" s="136" t="s">
        <v>1532</v>
      </c>
      <c r="D55" s="132"/>
      <c r="E55" s="132"/>
      <c r="F55" s="133" t="str">
        <f ca="1" t="shared" si="3"/>
        <v>【已到期】</v>
      </c>
      <c r="G55" s="134"/>
      <c r="H55" s="135"/>
      <c r="I55" s="49">
        <v>1</v>
      </c>
      <c r="J55" s="57"/>
      <c r="K55" s="51">
        <f t="shared" si="4"/>
        <v>0</v>
      </c>
      <c r="L55" s="51"/>
      <c r="M55" s="51">
        <f t="shared" si="5"/>
        <v>0</v>
      </c>
      <c r="N55" s="57"/>
      <c r="O55" s="57"/>
      <c r="P55" s="57"/>
      <c r="Q55" s="57"/>
      <c r="R55" s="57"/>
      <c r="S55" s="57"/>
      <c r="T55" s="57"/>
      <c r="U55" s="57"/>
      <c r="V55" s="57"/>
      <c r="W55" s="57"/>
    </row>
    <row r="56" customHeight="1" spans="1:23">
      <c r="A56" s="57"/>
      <c r="B56" s="57"/>
      <c r="C56" s="136" t="s">
        <v>1533</v>
      </c>
      <c r="D56" s="132"/>
      <c r="E56" s="132"/>
      <c r="F56" s="133" t="str">
        <f ca="1" t="shared" ref="F56:F92" si="6">IF(E56&lt;TODAY(),"【已到期】",IF(E56-TODAY()&lt;=30,"【即将到期，剩余"&amp;E56-TODAY()&amp;"天】","【正常】"))</f>
        <v>【已到期】</v>
      </c>
      <c r="G56" s="134"/>
      <c r="H56" s="135"/>
      <c r="I56" s="49">
        <v>1</v>
      </c>
      <c r="J56" s="57"/>
      <c r="K56" s="51">
        <f t="shared" si="4"/>
        <v>0</v>
      </c>
      <c r="L56" s="51"/>
      <c r="M56" s="51">
        <f t="shared" si="5"/>
        <v>0</v>
      </c>
      <c r="N56" s="57"/>
      <c r="O56" s="57"/>
      <c r="P56" s="57"/>
      <c r="Q56" s="57"/>
      <c r="R56" s="57"/>
      <c r="S56" s="57"/>
      <c r="T56" s="57"/>
      <c r="U56" s="57"/>
      <c r="V56" s="57"/>
      <c r="W56" s="57"/>
    </row>
    <row r="57" customHeight="1" spans="1:23">
      <c r="A57" s="57"/>
      <c r="B57" s="57"/>
      <c r="C57" s="136" t="s">
        <v>1534</v>
      </c>
      <c r="D57" s="132"/>
      <c r="E57" s="132"/>
      <c r="F57" s="133" t="str">
        <f ca="1" t="shared" si="6"/>
        <v>【已到期】</v>
      </c>
      <c r="G57" s="134"/>
      <c r="H57" s="135"/>
      <c r="I57" s="49">
        <v>1</v>
      </c>
      <c r="J57" s="57"/>
      <c r="K57" s="51">
        <f t="shared" si="4"/>
        <v>0</v>
      </c>
      <c r="L57" s="51"/>
      <c r="M57" s="51">
        <f t="shared" si="5"/>
        <v>0</v>
      </c>
      <c r="N57" s="57"/>
      <c r="O57" s="57"/>
      <c r="P57" s="57"/>
      <c r="Q57" s="57"/>
      <c r="R57" s="57"/>
      <c r="S57" s="57"/>
      <c r="T57" s="57"/>
      <c r="U57" s="57"/>
      <c r="V57" s="57"/>
      <c r="W57" s="57"/>
    </row>
    <row r="58" customHeight="1" spans="1:23">
      <c r="A58" s="57"/>
      <c r="B58" s="57"/>
      <c r="C58" s="136" t="s">
        <v>1535</v>
      </c>
      <c r="D58" s="132"/>
      <c r="E58" s="132"/>
      <c r="F58" s="133" t="str">
        <f ca="1" t="shared" si="6"/>
        <v>【已到期】</v>
      </c>
      <c r="G58" s="134"/>
      <c r="H58" s="135"/>
      <c r="I58" s="49">
        <v>1</v>
      </c>
      <c r="J58" s="57"/>
      <c r="K58" s="51">
        <f t="shared" si="4"/>
        <v>0</v>
      </c>
      <c r="L58" s="51"/>
      <c r="M58" s="51">
        <f t="shared" si="5"/>
        <v>0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</row>
    <row r="59" customHeight="1" spans="1:23">
      <c r="A59" s="57"/>
      <c r="B59" s="140" t="s">
        <v>1466</v>
      </c>
      <c r="C59" s="142" t="s">
        <v>1536</v>
      </c>
      <c r="D59" s="132"/>
      <c r="E59" s="132"/>
      <c r="F59" s="133" t="str">
        <f ca="1" t="shared" si="6"/>
        <v>【已到期】</v>
      </c>
      <c r="G59" s="134"/>
      <c r="H59" s="135"/>
      <c r="I59" s="49">
        <v>1</v>
      </c>
      <c r="J59" s="57"/>
      <c r="K59" s="51">
        <f t="shared" ref="K59:K90" si="7">H59*I59*J59</f>
        <v>0</v>
      </c>
      <c r="L59" s="51"/>
      <c r="M59" s="51">
        <f t="shared" si="5"/>
        <v>0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</row>
    <row r="60" customHeight="1" spans="1:23">
      <c r="A60" s="57"/>
      <c r="B60" s="57"/>
      <c r="C60" s="136"/>
      <c r="D60" s="132"/>
      <c r="E60" s="132"/>
      <c r="F60" s="133" t="str">
        <f ca="1" t="shared" si="6"/>
        <v>【已到期】</v>
      </c>
      <c r="G60" s="134"/>
      <c r="H60" s="135"/>
      <c r="I60" s="49">
        <v>1</v>
      </c>
      <c r="J60" s="57"/>
      <c r="K60" s="51">
        <f t="shared" si="7"/>
        <v>0</v>
      </c>
      <c r="L60" s="51"/>
      <c r="M60" s="51">
        <f t="shared" si="5"/>
        <v>0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</row>
    <row r="61" customHeight="1" spans="1:23">
      <c r="A61" s="57"/>
      <c r="B61" s="57"/>
      <c r="C61" s="131" t="s">
        <v>1537</v>
      </c>
      <c r="D61" s="132"/>
      <c r="E61" s="132"/>
      <c r="F61" s="133" t="str">
        <f ca="1" t="shared" si="6"/>
        <v>【已到期】</v>
      </c>
      <c r="G61" s="134"/>
      <c r="H61" s="135"/>
      <c r="I61" s="49">
        <v>1</v>
      </c>
      <c r="J61" s="57"/>
      <c r="K61" s="51">
        <f t="shared" si="7"/>
        <v>0</v>
      </c>
      <c r="L61" s="51"/>
      <c r="M61" s="51">
        <f t="shared" si="5"/>
        <v>0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</row>
    <row r="62" customHeight="1" spans="1:23">
      <c r="A62" s="57" t="s">
        <v>1538</v>
      </c>
      <c r="B62" s="57"/>
      <c r="C62" s="136" t="s">
        <v>1539</v>
      </c>
      <c r="D62" s="138">
        <v>46247</v>
      </c>
      <c r="E62" s="143">
        <v>46611</v>
      </c>
      <c r="F62" s="133" t="str">
        <f ca="1" t="shared" si="6"/>
        <v>【正常】</v>
      </c>
      <c r="G62" s="134"/>
      <c r="H62" s="135">
        <v>4800</v>
      </c>
      <c r="I62" s="49">
        <v>1</v>
      </c>
      <c r="J62" s="57">
        <v>1</v>
      </c>
      <c r="K62" s="51">
        <f t="shared" si="7"/>
        <v>4800</v>
      </c>
      <c r="L62" s="51"/>
      <c r="M62" s="51">
        <f t="shared" si="5"/>
        <v>4800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</row>
    <row r="63" customHeight="1" spans="1:23">
      <c r="A63" s="57"/>
      <c r="B63" s="57"/>
      <c r="C63" s="136"/>
      <c r="D63" s="132"/>
      <c r="E63" s="132"/>
      <c r="F63" s="133" t="str">
        <f ca="1" t="shared" si="6"/>
        <v>【已到期】</v>
      </c>
      <c r="G63" s="134"/>
      <c r="H63" s="135"/>
      <c r="I63" s="49">
        <v>1</v>
      </c>
      <c r="J63" s="57"/>
      <c r="K63" s="51">
        <f t="shared" si="7"/>
        <v>0</v>
      </c>
      <c r="L63" s="51"/>
      <c r="M63" s="51">
        <f t="shared" si="5"/>
        <v>0</v>
      </c>
      <c r="N63" s="57"/>
      <c r="O63" s="57"/>
      <c r="P63" s="57"/>
      <c r="Q63" s="57"/>
      <c r="R63" s="57"/>
      <c r="S63" s="57"/>
      <c r="T63" s="57"/>
      <c r="U63" s="57"/>
      <c r="V63" s="57"/>
      <c r="W63" s="57"/>
    </row>
    <row r="64" customHeight="1" spans="1:23">
      <c r="A64" s="57"/>
      <c r="B64" s="57"/>
      <c r="C64" s="136" t="s">
        <v>1540</v>
      </c>
      <c r="D64" s="132"/>
      <c r="E64" s="132"/>
      <c r="F64" s="133" t="str">
        <f ca="1" t="shared" si="6"/>
        <v>【已到期】</v>
      </c>
      <c r="G64" s="134"/>
      <c r="H64" s="135"/>
      <c r="I64" s="49">
        <v>1</v>
      </c>
      <c r="J64" s="57"/>
      <c r="K64" s="51">
        <f t="shared" si="7"/>
        <v>0</v>
      </c>
      <c r="L64" s="51"/>
      <c r="M64" s="51">
        <f t="shared" si="5"/>
        <v>0</v>
      </c>
      <c r="N64" s="57"/>
      <c r="O64" s="57"/>
      <c r="P64" s="57"/>
      <c r="Q64" s="57"/>
      <c r="R64" s="57"/>
      <c r="S64" s="57"/>
      <c r="T64" s="57"/>
      <c r="U64" s="57"/>
      <c r="V64" s="57"/>
      <c r="W64" s="57"/>
    </row>
    <row r="65" customHeight="1" spans="1:23">
      <c r="A65" s="57"/>
      <c r="B65" s="57"/>
      <c r="C65" s="136" t="s">
        <v>1541</v>
      </c>
      <c r="D65" s="132"/>
      <c r="E65" s="132"/>
      <c r="F65" s="133" t="str">
        <f ca="1" t="shared" si="6"/>
        <v>【已到期】</v>
      </c>
      <c r="G65" s="134"/>
      <c r="H65" s="135"/>
      <c r="I65" s="49">
        <v>1</v>
      </c>
      <c r="J65" s="57"/>
      <c r="K65" s="51">
        <f t="shared" si="7"/>
        <v>0</v>
      </c>
      <c r="L65" s="51"/>
      <c r="M65" s="51">
        <f t="shared" si="5"/>
        <v>0</v>
      </c>
      <c r="N65" s="57"/>
      <c r="O65" s="57"/>
      <c r="P65" s="57"/>
      <c r="Q65" s="57"/>
      <c r="R65" s="57"/>
      <c r="S65" s="57"/>
      <c r="T65" s="57"/>
      <c r="U65" s="57"/>
      <c r="V65" s="57"/>
      <c r="W65" s="57"/>
    </row>
    <row r="66" customHeight="1" spans="1:23">
      <c r="A66" s="57"/>
      <c r="B66" s="57"/>
      <c r="C66" s="131" t="s">
        <v>1542</v>
      </c>
      <c r="D66" s="132"/>
      <c r="E66" s="132"/>
      <c r="F66" s="133" t="str">
        <f ca="1" t="shared" si="6"/>
        <v>【已到期】</v>
      </c>
      <c r="G66" s="134"/>
      <c r="H66" s="135"/>
      <c r="I66" s="49">
        <v>1</v>
      </c>
      <c r="J66" s="57"/>
      <c r="K66" s="51">
        <f t="shared" si="7"/>
        <v>0</v>
      </c>
      <c r="L66" s="51"/>
      <c r="M66" s="51">
        <f t="shared" si="5"/>
        <v>0</v>
      </c>
      <c r="N66" s="57"/>
      <c r="O66" s="57"/>
      <c r="P66" s="57"/>
      <c r="Q66" s="57"/>
      <c r="R66" s="57"/>
      <c r="S66" s="57"/>
      <c r="T66" s="57"/>
      <c r="U66" s="57"/>
      <c r="V66" s="57"/>
      <c r="W66" s="57"/>
    </row>
    <row r="67" customHeight="1" spans="1:23">
      <c r="A67" s="57"/>
      <c r="B67" s="57"/>
      <c r="C67" s="131" t="s">
        <v>1543</v>
      </c>
      <c r="D67" s="132"/>
      <c r="E67" s="132"/>
      <c r="F67" s="133" t="str">
        <f ca="1" t="shared" si="6"/>
        <v>【已到期】</v>
      </c>
      <c r="G67" s="134"/>
      <c r="H67" s="135"/>
      <c r="I67" s="49">
        <v>1</v>
      </c>
      <c r="J67" s="57"/>
      <c r="K67" s="51">
        <f t="shared" si="7"/>
        <v>0</v>
      </c>
      <c r="L67" s="51"/>
      <c r="M67" s="51">
        <f t="shared" si="5"/>
        <v>0</v>
      </c>
      <c r="N67" s="57"/>
      <c r="O67" s="57"/>
      <c r="P67" s="57"/>
      <c r="Q67" s="57"/>
      <c r="R67" s="57"/>
      <c r="S67" s="57"/>
      <c r="T67" s="57"/>
      <c r="U67" s="57"/>
      <c r="V67" s="57"/>
      <c r="W67" s="57"/>
    </row>
    <row r="68" customHeight="1" spans="1:23">
      <c r="A68" s="57"/>
      <c r="B68" s="140" t="s">
        <v>1495</v>
      </c>
      <c r="C68" s="142" t="s">
        <v>1544</v>
      </c>
      <c r="D68" s="132"/>
      <c r="E68" s="132"/>
      <c r="F68" s="133" t="str">
        <f ca="1" t="shared" si="6"/>
        <v>【已到期】</v>
      </c>
      <c r="G68" s="134"/>
      <c r="H68" s="135"/>
      <c r="I68" s="49">
        <v>1</v>
      </c>
      <c r="J68" s="57"/>
      <c r="K68" s="51">
        <f t="shared" si="7"/>
        <v>0</v>
      </c>
      <c r="L68" s="51"/>
      <c r="M68" s="51">
        <f t="shared" ref="M68:M90" si="8">K68+L68</f>
        <v>0</v>
      </c>
      <c r="N68" s="57"/>
      <c r="O68" s="57"/>
      <c r="P68" s="57"/>
      <c r="Q68" s="57"/>
      <c r="R68" s="57"/>
      <c r="S68" s="57"/>
      <c r="T68" s="57"/>
      <c r="U68" s="57"/>
      <c r="V68" s="57"/>
      <c r="W68" s="57"/>
    </row>
    <row r="69" customHeight="1" spans="1:23">
      <c r="A69" s="57"/>
      <c r="B69" s="140" t="s">
        <v>1466</v>
      </c>
      <c r="C69" s="142" t="s">
        <v>1545</v>
      </c>
      <c r="D69" s="132"/>
      <c r="E69" s="132"/>
      <c r="F69" s="133" t="str">
        <f ca="1" t="shared" si="6"/>
        <v>【已到期】</v>
      </c>
      <c r="G69" s="134"/>
      <c r="H69" s="135"/>
      <c r="I69" s="49">
        <v>1</v>
      </c>
      <c r="J69" s="57"/>
      <c r="K69" s="51">
        <f t="shared" si="7"/>
        <v>0</v>
      </c>
      <c r="L69" s="51"/>
      <c r="M69" s="51">
        <f t="shared" si="8"/>
        <v>0</v>
      </c>
      <c r="N69" s="57"/>
      <c r="O69" s="57"/>
      <c r="P69" s="57"/>
      <c r="Q69" s="57"/>
      <c r="R69" s="57"/>
      <c r="S69" s="57"/>
      <c r="T69" s="57"/>
      <c r="U69" s="57"/>
      <c r="V69" s="57"/>
      <c r="W69" s="57"/>
    </row>
    <row r="70" customHeight="1" spans="1:23">
      <c r="A70" s="57"/>
      <c r="B70" s="57"/>
      <c r="C70" s="131" t="s">
        <v>1546</v>
      </c>
      <c r="D70" s="132"/>
      <c r="E70" s="132"/>
      <c r="F70" s="133" t="str">
        <f ca="1" t="shared" si="6"/>
        <v>【已到期】</v>
      </c>
      <c r="G70" s="134"/>
      <c r="H70" s="135"/>
      <c r="I70" s="49">
        <v>1</v>
      </c>
      <c r="J70" s="57"/>
      <c r="K70" s="51">
        <f t="shared" si="7"/>
        <v>0</v>
      </c>
      <c r="L70" s="51"/>
      <c r="M70" s="51">
        <f t="shared" si="8"/>
        <v>0</v>
      </c>
      <c r="N70" s="57"/>
      <c r="O70" s="57"/>
      <c r="P70" s="57"/>
      <c r="Q70" s="57"/>
      <c r="R70" s="57"/>
      <c r="S70" s="57"/>
      <c r="T70" s="57"/>
      <c r="U70" s="57"/>
      <c r="V70" s="57"/>
      <c r="W70" s="57"/>
    </row>
    <row r="71" customHeight="1" spans="1:23">
      <c r="A71" s="57"/>
      <c r="B71" s="57"/>
      <c r="C71" s="131" t="s">
        <v>1547</v>
      </c>
      <c r="D71" s="132"/>
      <c r="E71" s="132"/>
      <c r="F71" s="133" t="str">
        <f ca="1" t="shared" si="6"/>
        <v>【已到期】</v>
      </c>
      <c r="G71" s="134"/>
      <c r="H71" s="135"/>
      <c r="I71" s="49">
        <v>1</v>
      </c>
      <c r="J71" s="57"/>
      <c r="K71" s="51">
        <f t="shared" si="7"/>
        <v>0</v>
      </c>
      <c r="L71" s="51"/>
      <c r="M71" s="51">
        <f t="shared" si="8"/>
        <v>0</v>
      </c>
      <c r="N71" s="57"/>
      <c r="O71" s="57"/>
      <c r="P71" s="57"/>
      <c r="Q71" s="57"/>
      <c r="R71" s="57"/>
      <c r="S71" s="57"/>
      <c r="T71" s="57"/>
      <c r="U71" s="57"/>
      <c r="V71" s="57"/>
      <c r="W71" s="57"/>
    </row>
    <row r="72" customHeight="1" spans="1:23">
      <c r="A72" s="57"/>
      <c r="B72" s="57"/>
      <c r="C72" s="131" t="s">
        <v>1548</v>
      </c>
      <c r="D72" s="132"/>
      <c r="E72" s="132"/>
      <c r="F72" s="133" t="str">
        <f ca="1" t="shared" si="6"/>
        <v>【已到期】</v>
      </c>
      <c r="G72" s="134"/>
      <c r="H72" s="135"/>
      <c r="I72" s="49">
        <v>1</v>
      </c>
      <c r="J72" s="57"/>
      <c r="K72" s="51">
        <f t="shared" si="7"/>
        <v>0</v>
      </c>
      <c r="L72" s="51"/>
      <c r="M72" s="51">
        <f t="shared" si="8"/>
        <v>0</v>
      </c>
      <c r="N72" s="57"/>
      <c r="O72" s="57"/>
      <c r="P72" s="57"/>
      <c r="Q72" s="57"/>
      <c r="R72" s="57"/>
      <c r="S72" s="57"/>
      <c r="T72" s="57"/>
      <c r="U72" s="57"/>
      <c r="V72" s="57"/>
      <c r="W72" s="57"/>
    </row>
    <row r="73" customHeight="1" spans="1:23">
      <c r="A73" s="57"/>
      <c r="B73" s="57"/>
      <c r="C73" s="136" t="s">
        <v>1549</v>
      </c>
      <c r="D73" s="132"/>
      <c r="E73" s="132"/>
      <c r="F73" s="133" t="str">
        <f ca="1" t="shared" si="6"/>
        <v>【已到期】</v>
      </c>
      <c r="G73" s="134"/>
      <c r="H73" s="135"/>
      <c r="I73" s="49">
        <v>1</v>
      </c>
      <c r="J73" s="57"/>
      <c r="K73" s="51">
        <f t="shared" si="7"/>
        <v>0</v>
      </c>
      <c r="L73" s="51"/>
      <c r="M73" s="51">
        <f t="shared" si="8"/>
        <v>0</v>
      </c>
      <c r="N73" s="57"/>
      <c r="O73" s="57"/>
      <c r="P73" s="57"/>
      <c r="Q73" s="57"/>
      <c r="R73" s="57"/>
      <c r="S73" s="57"/>
      <c r="T73" s="57"/>
      <c r="U73" s="57"/>
      <c r="V73" s="57"/>
      <c r="W73" s="57"/>
    </row>
    <row r="74" customHeight="1" spans="1:23">
      <c r="A74" s="57"/>
      <c r="B74" s="57"/>
      <c r="C74" s="131" t="s">
        <v>1550</v>
      </c>
      <c r="D74" s="132"/>
      <c r="E74" s="132"/>
      <c r="F74" s="133" t="str">
        <f ca="1" t="shared" si="6"/>
        <v>【已到期】</v>
      </c>
      <c r="G74" s="134"/>
      <c r="H74" s="135"/>
      <c r="I74" s="49">
        <v>1</v>
      </c>
      <c r="J74" s="57"/>
      <c r="K74" s="51">
        <f t="shared" si="7"/>
        <v>0</v>
      </c>
      <c r="L74" s="51"/>
      <c r="M74" s="51">
        <f t="shared" si="8"/>
        <v>0</v>
      </c>
      <c r="N74" s="57"/>
      <c r="O74" s="57"/>
      <c r="P74" s="57"/>
      <c r="Q74" s="57"/>
      <c r="R74" s="57"/>
      <c r="S74" s="57"/>
      <c r="T74" s="57"/>
      <c r="U74" s="57"/>
      <c r="V74" s="57"/>
      <c r="W74" s="57"/>
    </row>
    <row r="75" customHeight="1" spans="1:23">
      <c r="A75" s="57"/>
      <c r="B75" s="57"/>
      <c r="C75" s="136" t="s">
        <v>1551</v>
      </c>
      <c r="D75" s="132"/>
      <c r="E75" s="132"/>
      <c r="F75" s="133" t="str">
        <f ca="1" t="shared" si="6"/>
        <v>【已到期】</v>
      </c>
      <c r="G75" s="134"/>
      <c r="H75" s="135"/>
      <c r="I75" s="49">
        <v>1</v>
      </c>
      <c r="J75" s="57"/>
      <c r="K75" s="51">
        <f t="shared" si="7"/>
        <v>0</v>
      </c>
      <c r="L75" s="51"/>
      <c r="M75" s="51">
        <f t="shared" si="8"/>
        <v>0</v>
      </c>
      <c r="N75" s="57"/>
      <c r="O75" s="57"/>
      <c r="P75" s="57"/>
      <c r="Q75" s="57"/>
      <c r="R75" s="57"/>
      <c r="S75" s="57"/>
      <c r="T75" s="57"/>
      <c r="U75" s="57"/>
      <c r="V75" s="57"/>
      <c r="W75" s="57"/>
    </row>
    <row r="76" customHeight="1" spans="1:23">
      <c r="A76" s="57"/>
      <c r="B76" s="57"/>
      <c r="C76" s="131" t="s">
        <v>1552</v>
      </c>
      <c r="D76" s="132"/>
      <c r="E76" s="132"/>
      <c r="F76" s="133" t="str">
        <f ca="1" t="shared" si="6"/>
        <v>【已到期】</v>
      </c>
      <c r="G76" s="134"/>
      <c r="H76" s="135"/>
      <c r="I76" s="49">
        <v>1</v>
      </c>
      <c r="J76" s="57"/>
      <c r="K76" s="51">
        <f t="shared" si="7"/>
        <v>0</v>
      </c>
      <c r="L76" s="51"/>
      <c r="M76" s="51">
        <f t="shared" si="8"/>
        <v>0</v>
      </c>
      <c r="N76" s="57"/>
      <c r="O76" s="57"/>
      <c r="P76" s="57"/>
      <c r="Q76" s="57"/>
      <c r="R76" s="57"/>
      <c r="S76" s="57"/>
      <c r="T76" s="57"/>
      <c r="U76" s="57"/>
      <c r="V76" s="57"/>
      <c r="W76" s="57"/>
    </row>
    <row r="77" customHeight="1" spans="1:23">
      <c r="A77" s="57"/>
      <c r="B77" s="140" t="s">
        <v>1495</v>
      </c>
      <c r="C77" s="142" t="s">
        <v>1553</v>
      </c>
      <c r="D77" s="132"/>
      <c r="E77" s="132"/>
      <c r="F77" s="133" t="str">
        <f ca="1" t="shared" si="6"/>
        <v>【已到期】</v>
      </c>
      <c r="G77" s="134"/>
      <c r="H77" s="135"/>
      <c r="I77" s="49">
        <v>1</v>
      </c>
      <c r="J77" s="57"/>
      <c r="K77" s="51">
        <f t="shared" si="7"/>
        <v>0</v>
      </c>
      <c r="L77" s="51"/>
      <c r="M77" s="51">
        <f t="shared" si="8"/>
        <v>0</v>
      </c>
      <c r="N77" s="57"/>
      <c r="O77" s="57"/>
      <c r="P77" s="57"/>
      <c r="Q77" s="57"/>
      <c r="R77" s="57"/>
      <c r="S77" s="57"/>
      <c r="T77" s="57"/>
      <c r="U77" s="57"/>
      <c r="V77" s="57"/>
      <c r="W77" s="57"/>
    </row>
    <row r="78" customHeight="1" spans="1:23">
      <c r="A78" s="57"/>
      <c r="B78" s="57"/>
      <c r="C78" s="136" t="s">
        <v>1554</v>
      </c>
      <c r="D78" s="132"/>
      <c r="E78" s="132"/>
      <c r="F78" s="133" t="str">
        <f ca="1" t="shared" si="6"/>
        <v>【已到期】</v>
      </c>
      <c r="G78" s="134"/>
      <c r="H78" s="135"/>
      <c r="I78" s="49">
        <v>1</v>
      </c>
      <c r="J78" s="57"/>
      <c r="K78" s="51">
        <f t="shared" si="7"/>
        <v>0</v>
      </c>
      <c r="L78" s="51"/>
      <c r="M78" s="51">
        <f t="shared" si="8"/>
        <v>0</v>
      </c>
      <c r="N78" s="57"/>
      <c r="O78" s="57"/>
      <c r="P78" s="57"/>
      <c r="Q78" s="57"/>
      <c r="R78" s="57"/>
      <c r="S78" s="57"/>
      <c r="T78" s="57"/>
      <c r="U78" s="57"/>
      <c r="V78" s="57"/>
      <c r="W78" s="57"/>
    </row>
    <row r="79" customHeight="1" spans="1:23">
      <c r="A79" s="57"/>
      <c r="B79" s="57"/>
      <c r="C79" s="136" t="s">
        <v>1555</v>
      </c>
      <c r="D79" s="132"/>
      <c r="E79" s="132"/>
      <c r="F79" s="133" t="str">
        <f ca="1" t="shared" si="6"/>
        <v>【已到期】</v>
      </c>
      <c r="G79" s="134"/>
      <c r="H79" s="135"/>
      <c r="I79" s="49">
        <v>1</v>
      </c>
      <c r="J79" s="57"/>
      <c r="K79" s="51">
        <f t="shared" si="7"/>
        <v>0</v>
      </c>
      <c r="L79" s="51"/>
      <c r="M79" s="51">
        <f t="shared" si="8"/>
        <v>0</v>
      </c>
      <c r="N79" s="57"/>
      <c r="O79" s="57"/>
      <c r="P79" s="57"/>
      <c r="Q79" s="57"/>
      <c r="R79" s="57"/>
      <c r="S79" s="57"/>
      <c r="T79" s="57"/>
      <c r="U79" s="57"/>
      <c r="V79" s="57"/>
      <c r="W79" s="57"/>
    </row>
    <row r="80" customHeight="1" spans="1:23">
      <c r="A80" s="57"/>
      <c r="B80" s="57"/>
      <c r="C80" s="136" t="s">
        <v>1556</v>
      </c>
      <c r="D80" s="132"/>
      <c r="E80" s="132"/>
      <c r="F80" s="133" t="str">
        <f ca="1" t="shared" si="6"/>
        <v>【已到期】</v>
      </c>
      <c r="G80" s="134"/>
      <c r="H80" s="135"/>
      <c r="I80" s="49">
        <v>1</v>
      </c>
      <c r="J80" s="57"/>
      <c r="K80" s="51">
        <f t="shared" si="7"/>
        <v>0</v>
      </c>
      <c r="L80" s="51"/>
      <c r="M80" s="51">
        <f t="shared" si="8"/>
        <v>0</v>
      </c>
      <c r="N80" s="57"/>
      <c r="O80" s="57"/>
      <c r="P80" s="57"/>
      <c r="Q80" s="57"/>
      <c r="R80" s="57"/>
      <c r="S80" s="57"/>
      <c r="T80" s="57"/>
      <c r="U80" s="57"/>
      <c r="V80" s="57"/>
      <c r="W80" s="57"/>
    </row>
    <row r="81" customHeight="1" spans="1:23">
      <c r="A81" s="57"/>
      <c r="B81" s="57"/>
      <c r="C81" s="136" t="s">
        <v>1557</v>
      </c>
      <c r="D81" s="132"/>
      <c r="E81" s="132"/>
      <c r="F81" s="133" t="str">
        <f ca="1" t="shared" si="6"/>
        <v>【已到期】</v>
      </c>
      <c r="G81" s="134"/>
      <c r="H81" s="135"/>
      <c r="I81" s="49">
        <v>1</v>
      </c>
      <c r="J81" s="57"/>
      <c r="K81" s="51">
        <f t="shared" si="7"/>
        <v>0</v>
      </c>
      <c r="L81" s="51"/>
      <c r="M81" s="51">
        <f t="shared" si="8"/>
        <v>0</v>
      </c>
      <c r="N81" s="57"/>
      <c r="O81" s="57"/>
      <c r="P81" s="57"/>
      <c r="Q81" s="57"/>
      <c r="R81" s="57"/>
      <c r="S81" s="57"/>
      <c r="T81" s="57"/>
      <c r="U81" s="57"/>
      <c r="V81" s="57"/>
      <c r="W81" s="57"/>
    </row>
    <row r="82" customHeight="1" spans="1:23">
      <c r="A82" s="57"/>
      <c r="B82" s="57"/>
      <c r="C82" s="136" t="s">
        <v>1558</v>
      </c>
      <c r="D82" s="132"/>
      <c r="E82" s="132"/>
      <c r="F82" s="133" t="str">
        <f ca="1" t="shared" si="6"/>
        <v>【已到期】</v>
      </c>
      <c r="G82" s="134"/>
      <c r="H82" s="135"/>
      <c r="I82" s="49">
        <v>1</v>
      </c>
      <c r="J82" s="57"/>
      <c r="K82" s="51">
        <f t="shared" si="7"/>
        <v>0</v>
      </c>
      <c r="L82" s="51"/>
      <c r="M82" s="51">
        <f t="shared" si="8"/>
        <v>0</v>
      </c>
      <c r="N82" s="57"/>
      <c r="O82" s="57"/>
      <c r="P82" s="57"/>
      <c r="Q82" s="57"/>
      <c r="R82" s="57"/>
      <c r="S82" s="57"/>
      <c r="T82" s="57"/>
      <c r="U82" s="57"/>
      <c r="V82" s="57"/>
      <c r="W82" s="57"/>
    </row>
    <row r="83" customHeight="1" spans="1:23">
      <c r="A83" s="57"/>
      <c r="B83" s="57"/>
      <c r="C83" s="136" t="s">
        <v>1559</v>
      </c>
      <c r="D83" s="132"/>
      <c r="E83" s="132"/>
      <c r="F83" s="133" t="str">
        <f ca="1" t="shared" si="6"/>
        <v>【已到期】</v>
      </c>
      <c r="G83" s="134"/>
      <c r="H83" s="135"/>
      <c r="I83" s="49">
        <v>1</v>
      </c>
      <c r="J83" s="57"/>
      <c r="K83" s="51">
        <f t="shared" si="7"/>
        <v>0</v>
      </c>
      <c r="L83" s="51"/>
      <c r="M83" s="51">
        <f t="shared" si="8"/>
        <v>0</v>
      </c>
      <c r="N83" s="57"/>
      <c r="O83" s="57"/>
      <c r="P83" s="57"/>
      <c r="Q83" s="57"/>
      <c r="R83" s="57"/>
      <c r="S83" s="57"/>
      <c r="T83" s="57"/>
      <c r="U83" s="57"/>
      <c r="V83" s="57"/>
      <c r="W83" s="57"/>
    </row>
    <row r="84" customHeight="1" spans="1:23">
      <c r="A84" s="57"/>
      <c r="B84" s="140" t="s">
        <v>1495</v>
      </c>
      <c r="C84" s="142" t="s">
        <v>1560</v>
      </c>
      <c r="D84" s="132"/>
      <c r="E84" s="132"/>
      <c r="F84" s="133" t="str">
        <f ca="1" t="shared" si="6"/>
        <v>【已到期】</v>
      </c>
      <c r="G84" s="134"/>
      <c r="H84" s="135"/>
      <c r="I84" s="49">
        <v>1</v>
      </c>
      <c r="J84" s="57"/>
      <c r="K84" s="51">
        <f t="shared" si="7"/>
        <v>0</v>
      </c>
      <c r="L84" s="51"/>
      <c r="M84" s="51">
        <f t="shared" si="8"/>
        <v>0</v>
      </c>
      <c r="N84" s="57"/>
      <c r="O84" s="57"/>
      <c r="P84" s="57"/>
      <c r="Q84" s="57"/>
      <c r="R84" s="57"/>
      <c r="S84" s="57"/>
      <c r="T84" s="57"/>
      <c r="U84" s="57"/>
      <c r="V84" s="57"/>
      <c r="W84" s="57"/>
    </row>
    <row r="85" customHeight="1" spans="1:23">
      <c r="A85" s="57"/>
      <c r="B85" s="57"/>
      <c r="C85" s="136" t="s">
        <v>1561</v>
      </c>
      <c r="D85" s="132"/>
      <c r="E85" s="132"/>
      <c r="F85" s="133" t="str">
        <f ca="1" t="shared" si="6"/>
        <v>【已到期】</v>
      </c>
      <c r="G85" s="134"/>
      <c r="H85" s="135"/>
      <c r="I85" s="49">
        <v>1</v>
      </c>
      <c r="J85" s="57"/>
      <c r="K85" s="51">
        <f t="shared" si="7"/>
        <v>0</v>
      </c>
      <c r="L85" s="51"/>
      <c r="M85" s="51">
        <f t="shared" si="8"/>
        <v>0</v>
      </c>
      <c r="N85" s="57"/>
      <c r="O85" s="57"/>
      <c r="P85" s="57"/>
      <c r="Q85" s="57"/>
      <c r="R85" s="57"/>
      <c r="S85" s="57"/>
      <c r="T85" s="57"/>
      <c r="U85" s="57"/>
      <c r="V85" s="57"/>
      <c r="W85" s="57"/>
    </row>
    <row r="86" customHeight="1" spans="1:23">
      <c r="A86" s="57"/>
      <c r="B86" s="57"/>
      <c r="C86" s="136" t="s">
        <v>1562</v>
      </c>
      <c r="D86" s="132">
        <v>46428</v>
      </c>
      <c r="E86" s="132"/>
      <c r="F86" s="133" t="str">
        <f ca="1" t="shared" si="6"/>
        <v>【已到期】</v>
      </c>
      <c r="G86" s="134"/>
      <c r="H86" s="135"/>
      <c r="I86" s="49">
        <v>1</v>
      </c>
      <c r="J86" s="57"/>
      <c r="K86" s="51">
        <f t="shared" si="7"/>
        <v>0</v>
      </c>
      <c r="L86" s="51"/>
      <c r="M86" s="51">
        <f t="shared" si="8"/>
        <v>0</v>
      </c>
      <c r="N86" s="57"/>
      <c r="O86" s="57"/>
      <c r="P86" s="57"/>
      <c r="Q86" s="57"/>
      <c r="R86" s="57"/>
      <c r="S86" s="57"/>
      <c r="T86" s="57"/>
      <c r="U86" s="57"/>
      <c r="V86" s="57"/>
      <c r="W86" s="57"/>
    </row>
    <row r="87" customHeight="1" spans="1:23">
      <c r="A87" s="57"/>
      <c r="B87" s="57"/>
      <c r="C87" s="136" t="s">
        <v>1563</v>
      </c>
      <c r="D87" s="132">
        <v>46490</v>
      </c>
      <c r="E87" s="132"/>
      <c r="F87" s="133" t="str">
        <f ca="1" t="shared" si="6"/>
        <v>【已到期】</v>
      </c>
      <c r="G87" s="134"/>
      <c r="H87" s="135"/>
      <c r="I87" s="49">
        <v>1</v>
      </c>
      <c r="J87" s="57"/>
      <c r="K87" s="51">
        <f t="shared" si="7"/>
        <v>0</v>
      </c>
      <c r="L87" s="51"/>
      <c r="M87" s="51">
        <f t="shared" si="8"/>
        <v>0</v>
      </c>
      <c r="N87" s="57"/>
      <c r="O87" s="57"/>
      <c r="P87" s="57"/>
      <c r="Q87" s="57"/>
      <c r="R87" s="57"/>
      <c r="S87" s="57"/>
      <c r="T87" s="57"/>
      <c r="U87" s="57"/>
      <c r="V87" s="57"/>
      <c r="W87" s="57"/>
    </row>
    <row r="88" customHeight="1" spans="1:23">
      <c r="A88" s="57"/>
      <c r="B88" s="57"/>
      <c r="C88" s="136" t="s">
        <v>1564</v>
      </c>
      <c r="D88" s="132">
        <v>46547</v>
      </c>
      <c r="E88" s="132"/>
      <c r="F88" s="133" t="str">
        <f ca="1" t="shared" si="6"/>
        <v>【已到期】</v>
      </c>
      <c r="G88" s="134"/>
      <c r="H88" s="135"/>
      <c r="I88" s="49">
        <v>1</v>
      </c>
      <c r="J88" s="57"/>
      <c r="K88" s="51">
        <f t="shared" si="7"/>
        <v>0</v>
      </c>
      <c r="L88" s="51"/>
      <c r="M88" s="51">
        <f t="shared" si="8"/>
        <v>0</v>
      </c>
      <c r="N88" s="57"/>
      <c r="O88" s="57"/>
      <c r="P88" s="57"/>
      <c r="Q88" s="57"/>
      <c r="R88" s="57"/>
      <c r="S88" s="57"/>
      <c r="T88" s="57"/>
      <c r="U88" s="57"/>
      <c r="V88" s="57"/>
      <c r="W88" s="57"/>
    </row>
    <row r="89" customHeight="1" spans="1:23">
      <c r="A89" s="57"/>
      <c r="B89" s="57" t="s">
        <v>1565</v>
      </c>
      <c r="C89" s="144" t="s">
        <v>1566</v>
      </c>
      <c r="D89" s="132"/>
      <c r="E89" s="132"/>
      <c r="F89" s="133" t="str">
        <f ca="1" t="shared" si="6"/>
        <v>【已到期】</v>
      </c>
      <c r="G89" s="134"/>
      <c r="H89" s="135"/>
      <c r="I89" s="49">
        <v>1</v>
      </c>
      <c r="J89" s="57"/>
      <c r="K89" s="51">
        <f t="shared" si="7"/>
        <v>0</v>
      </c>
      <c r="L89" s="51"/>
      <c r="M89" s="51">
        <f t="shared" si="8"/>
        <v>0</v>
      </c>
      <c r="N89" s="57"/>
      <c r="O89" s="57"/>
      <c r="P89" s="57"/>
      <c r="Q89" s="57"/>
      <c r="R89" s="57"/>
      <c r="S89" s="57"/>
      <c r="T89" s="57"/>
      <c r="U89" s="57"/>
      <c r="V89" s="57"/>
      <c r="W89" s="57"/>
    </row>
    <row r="90" customHeight="1" spans="1:23">
      <c r="A90" s="57"/>
      <c r="B90" s="57" t="s">
        <v>1565</v>
      </c>
      <c r="C90" s="142" t="s">
        <v>1567</v>
      </c>
      <c r="D90" s="132"/>
      <c r="E90" s="132"/>
      <c r="F90" s="133" t="str">
        <f ca="1" t="shared" si="6"/>
        <v>【已到期】</v>
      </c>
      <c r="G90" s="134"/>
      <c r="H90" s="135"/>
      <c r="I90" s="49">
        <v>1</v>
      </c>
      <c r="J90" s="57"/>
      <c r="K90" s="51">
        <f t="shared" si="7"/>
        <v>0</v>
      </c>
      <c r="L90" s="51"/>
      <c r="M90" s="51">
        <f t="shared" si="8"/>
        <v>0</v>
      </c>
      <c r="N90" s="57"/>
      <c r="O90" s="57"/>
      <c r="P90" s="57"/>
      <c r="Q90" s="57"/>
      <c r="R90" s="57"/>
      <c r="S90" s="57"/>
      <c r="T90" s="57"/>
      <c r="U90" s="57"/>
      <c r="V90" s="57"/>
      <c r="W90" s="57"/>
    </row>
    <row r="91" customHeight="1" spans="1:23">
      <c r="A91" s="57"/>
      <c r="B91" s="140" t="s">
        <v>1495</v>
      </c>
      <c r="C91" s="142" t="s">
        <v>1568</v>
      </c>
      <c r="D91" s="132"/>
      <c r="E91" s="132"/>
      <c r="F91" s="133" t="str">
        <f ca="1" t="shared" si="6"/>
        <v>【已到期】</v>
      </c>
      <c r="G91" s="134"/>
      <c r="H91" s="135"/>
      <c r="I91" s="49">
        <v>1</v>
      </c>
      <c r="J91" s="57"/>
      <c r="K91" s="51"/>
      <c r="L91" s="51"/>
      <c r="M91" s="51"/>
      <c r="N91" s="57"/>
      <c r="O91" s="57"/>
      <c r="P91" s="57"/>
      <c r="Q91" s="57"/>
      <c r="R91" s="57"/>
      <c r="S91" s="57"/>
      <c r="T91" s="57"/>
      <c r="U91" s="57"/>
      <c r="V91" s="57"/>
      <c r="W91" s="57"/>
    </row>
    <row r="92" customHeight="1" spans="1:23">
      <c r="A92" s="57"/>
      <c r="B92" s="145" t="s">
        <v>1569</v>
      </c>
      <c r="C92" s="131" t="s">
        <v>1570</v>
      </c>
      <c r="D92" s="132"/>
      <c r="E92" s="132"/>
      <c r="F92" s="133" t="str">
        <f ca="1" t="shared" si="6"/>
        <v>【已到期】</v>
      </c>
      <c r="G92" s="134"/>
      <c r="H92" s="135"/>
      <c r="I92" s="49">
        <v>1</v>
      </c>
      <c r="J92" s="57"/>
      <c r="K92" s="51"/>
      <c r="L92" s="51"/>
      <c r="M92" s="51"/>
      <c r="N92" s="57"/>
      <c r="O92" s="57"/>
      <c r="P92" s="57"/>
      <c r="Q92" s="57"/>
      <c r="R92" s="57"/>
      <c r="S92" s="57"/>
      <c r="T92" s="57"/>
      <c r="U92" s="57"/>
      <c r="V92" s="57"/>
      <c r="W92" s="57"/>
    </row>
    <row r="93" customHeight="1" spans="1:23">
      <c r="A93" s="57"/>
      <c r="B93" s="146" t="s">
        <v>1571</v>
      </c>
      <c r="C93" s="147" t="s">
        <v>1572</v>
      </c>
      <c r="D93" s="132"/>
      <c r="E93" s="132"/>
      <c r="F93" s="148"/>
      <c r="G93" s="149"/>
      <c r="H93" s="135"/>
      <c r="I93" s="49">
        <v>1</v>
      </c>
      <c r="J93" s="57"/>
      <c r="K93" s="51"/>
      <c r="L93" s="51"/>
      <c r="M93" s="51"/>
      <c r="N93" s="57"/>
      <c r="O93" s="57"/>
      <c r="P93" s="57"/>
      <c r="Q93" s="57"/>
      <c r="R93" s="57"/>
      <c r="S93" s="57"/>
      <c r="T93" s="57"/>
      <c r="U93" s="57"/>
      <c r="V93" s="57"/>
      <c r="W93" s="57"/>
    </row>
    <row r="94" customHeight="1" spans="1:23">
      <c r="A94" s="57"/>
      <c r="B94" s="57"/>
      <c r="C94" s="142"/>
      <c r="D94" s="132"/>
      <c r="E94" s="132"/>
      <c r="F94" s="148"/>
      <c r="G94" s="149"/>
      <c r="H94" s="135"/>
      <c r="I94" s="49"/>
      <c r="J94" s="57"/>
      <c r="K94" s="51"/>
      <c r="L94" s="51"/>
      <c r="M94" s="51"/>
      <c r="N94" s="57"/>
      <c r="O94" s="57"/>
      <c r="P94" s="57"/>
      <c r="Q94" s="57"/>
      <c r="R94" s="57"/>
      <c r="S94" s="57"/>
      <c r="T94" s="57"/>
      <c r="U94" s="57"/>
      <c r="V94" s="57"/>
      <c r="W94" s="57"/>
    </row>
    <row r="95" customHeight="1" spans="1:23">
      <c r="A95" s="57"/>
      <c r="B95" s="57"/>
      <c r="C95" s="142"/>
      <c r="D95" s="132"/>
      <c r="E95" s="132"/>
      <c r="F95" s="148"/>
      <c r="G95" s="149"/>
      <c r="H95" s="135"/>
      <c r="I95" s="49"/>
      <c r="J95" s="57"/>
      <c r="K95" s="51"/>
      <c r="L95" s="51"/>
      <c r="M95" s="51"/>
      <c r="N95" s="57"/>
      <c r="O95" s="57"/>
      <c r="P95" s="57"/>
      <c r="Q95" s="57"/>
      <c r="R95" s="57"/>
      <c r="S95" s="57"/>
      <c r="T95" s="57"/>
      <c r="U95" s="57"/>
      <c r="V95" s="57"/>
      <c r="W95" s="57"/>
    </row>
    <row r="96" customHeight="1" spans="1:23">
      <c r="A96" s="57"/>
      <c r="B96" s="57"/>
      <c r="C96" s="142"/>
      <c r="D96" s="132"/>
      <c r="E96" s="132"/>
      <c r="F96" s="148"/>
      <c r="G96" s="149"/>
      <c r="H96" s="135"/>
      <c r="I96" s="49"/>
      <c r="J96" s="57"/>
      <c r="K96" s="51"/>
      <c r="L96" s="51"/>
      <c r="M96" s="51"/>
      <c r="N96" s="57"/>
      <c r="O96" s="57"/>
      <c r="P96" s="57"/>
      <c r="Q96" s="57"/>
      <c r="R96" s="57"/>
      <c r="S96" s="57"/>
      <c r="T96" s="57"/>
      <c r="U96" s="57"/>
      <c r="V96" s="57"/>
      <c r="W96" s="57"/>
    </row>
    <row r="97" customHeight="1" spans="1:23">
      <c r="A97" s="57"/>
      <c r="B97" s="57"/>
      <c r="C97" s="142"/>
      <c r="D97" s="132"/>
      <c r="E97" s="132"/>
      <c r="F97" s="148"/>
      <c r="G97" s="149"/>
      <c r="H97" s="135"/>
      <c r="I97" s="49"/>
      <c r="J97" s="57"/>
      <c r="K97" s="51"/>
      <c r="L97" s="51"/>
      <c r="M97" s="51"/>
      <c r="N97" s="57"/>
      <c r="O97" s="57"/>
      <c r="P97" s="57"/>
      <c r="Q97" s="57"/>
      <c r="R97" s="57"/>
      <c r="S97" s="57"/>
      <c r="T97" s="57"/>
      <c r="U97" s="57"/>
      <c r="V97" s="57"/>
      <c r="W97" s="57"/>
    </row>
    <row r="98" customHeight="1" spans="1:23">
      <c r="A98" s="57"/>
      <c r="B98" s="57"/>
      <c r="C98" s="142"/>
      <c r="D98" s="132"/>
      <c r="E98" s="132"/>
      <c r="F98" s="148"/>
      <c r="G98" s="149"/>
      <c r="H98" s="135"/>
      <c r="I98" s="49"/>
      <c r="J98" s="57"/>
      <c r="K98" s="51"/>
      <c r="L98" s="51"/>
      <c r="M98" s="51"/>
      <c r="N98" s="57"/>
      <c r="O98" s="57"/>
      <c r="P98" s="57"/>
      <c r="Q98" s="57"/>
      <c r="R98" s="57"/>
      <c r="S98" s="57"/>
      <c r="T98" s="57"/>
      <c r="U98" s="57"/>
      <c r="V98" s="57"/>
      <c r="W98" s="57"/>
    </row>
    <row r="99" customHeight="1" spans="1:23">
      <c r="A99" s="57"/>
      <c r="B99" s="57"/>
      <c r="C99" s="142"/>
      <c r="D99" s="132"/>
      <c r="E99" s="132"/>
      <c r="F99" s="148"/>
      <c r="G99" s="149"/>
      <c r="H99" s="135"/>
      <c r="I99" s="49"/>
      <c r="J99" s="57"/>
      <c r="K99" s="51"/>
      <c r="L99" s="51"/>
      <c r="M99" s="51"/>
      <c r="N99" s="57"/>
      <c r="O99" s="57"/>
      <c r="P99" s="57"/>
      <c r="Q99" s="57"/>
      <c r="R99" s="57"/>
      <c r="S99" s="57"/>
      <c r="T99" s="57"/>
      <c r="U99" s="57"/>
      <c r="V99" s="57"/>
      <c r="W99" s="57"/>
    </row>
    <row r="100" customHeight="1" spans="1:23">
      <c r="A100" s="57"/>
      <c r="B100" s="57"/>
      <c r="C100" s="142"/>
      <c r="D100" s="132"/>
      <c r="E100" s="132"/>
      <c r="F100" s="148"/>
      <c r="G100" s="149"/>
      <c r="H100" s="135"/>
      <c r="I100" s="49"/>
      <c r="J100" s="57"/>
      <c r="K100" s="51"/>
      <c r="L100" s="51"/>
      <c r="M100" s="51"/>
      <c r="N100" s="57"/>
      <c r="O100" s="57"/>
      <c r="P100" s="57"/>
      <c r="Q100" s="57"/>
      <c r="R100" s="57"/>
      <c r="S100" s="57"/>
      <c r="T100" s="57"/>
      <c r="U100" s="57"/>
      <c r="V100" s="57"/>
      <c r="W100" s="57"/>
    </row>
    <row r="101" customHeight="1" spans="1:23">
      <c r="A101" s="57"/>
      <c r="B101" s="57"/>
      <c r="C101" s="142"/>
      <c r="D101" s="132"/>
      <c r="E101" s="132"/>
      <c r="F101" s="148"/>
      <c r="G101" s="149"/>
      <c r="H101" s="135"/>
      <c r="I101" s="49"/>
      <c r="J101" s="57"/>
      <c r="K101" s="51"/>
      <c r="L101" s="51"/>
      <c r="M101" s="51"/>
      <c r="N101" s="57"/>
      <c r="O101" s="57"/>
      <c r="P101" s="57"/>
      <c r="Q101" s="57"/>
      <c r="R101" s="57"/>
      <c r="S101" s="57"/>
      <c r="T101" s="57"/>
      <c r="U101" s="57"/>
      <c r="V101" s="57"/>
      <c r="W101" s="57"/>
    </row>
    <row r="102" customHeight="1" spans="1:23">
      <c r="A102" s="57"/>
      <c r="B102" s="57"/>
      <c r="C102" s="142"/>
      <c r="D102" s="132"/>
      <c r="E102" s="132"/>
      <c r="F102" s="148"/>
      <c r="G102" s="149"/>
      <c r="H102" s="135"/>
      <c r="I102" s="49"/>
      <c r="J102" s="57"/>
      <c r="K102" s="51"/>
      <c r="L102" s="51"/>
      <c r="M102" s="51"/>
      <c r="N102" s="57"/>
      <c r="O102" s="57"/>
      <c r="P102" s="57"/>
      <c r="Q102" s="57"/>
      <c r="R102" s="57"/>
      <c r="S102" s="57"/>
      <c r="T102" s="57"/>
      <c r="U102" s="57"/>
      <c r="V102" s="57"/>
      <c r="W102" s="57"/>
    </row>
    <row r="103" customHeight="1" spans="1:23">
      <c r="A103" s="57"/>
      <c r="B103" s="57"/>
      <c r="C103" s="142"/>
      <c r="D103" s="132"/>
      <c r="E103" s="132"/>
      <c r="F103" s="148"/>
      <c r="G103" s="149"/>
      <c r="H103" s="135"/>
      <c r="I103" s="49"/>
      <c r="J103" s="57"/>
      <c r="K103" s="51"/>
      <c r="L103" s="51"/>
      <c r="M103" s="51"/>
      <c r="N103" s="57"/>
      <c r="O103" s="57"/>
      <c r="P103" s="57"/>
      <c r="Q103" s="57"/>
      <c r="R103" s="57"/>
      <c r="S103" s="57"/>
      <c r="T103" s="57"/>
      <c r="U103" s="57"/>
      <c r="V103" s="57"/>
      <c r="W103" s="57"/>
    </row>
    <row r="104" customHeight="1" spans="1:23">
      <c r="A104" s="57"/>
      <c r="B104" s="57"/>
      <c r="C104" s="142"/>
      <c r="D104" s="132"/>
      <c r="E104" s="132"/>
      <c r="F104" s="148"/>
      <c r="G104" s="149"/>
      <c r="H104" s="135"/>
      <c r="I104" s="49"/>
      <c r="J104" s="57"/>
      <c r="K104" s="51"/>
      <c r="L104" s="51"/>
      <c r="M104" s="51"/>
      <c r="N104" s="57"/>
      <c r="O104" s="57"/>
      <c r="P104" s="57"/>
      <c r="Q104" s="57"/>
      <c r="R104" s="57"/>
      <c r="S104" s="57"/>
      <c r="T104" s="57"/>
      <c r="U104" s="57"/>
      <c r="V104" s="57"/>
      <c r="W104" s="57"/>
    </row>
    <row r="105" customHeight="1" spans="1:23">
      <c r="A105" s="57"/>
      <c r="B105" s="57"/>
      <c r="C105" s="142"/>
      <c r="D105" s="132"/>
      <c r="E105" s="132"/>
      <c r="F105" s="148"/>
      <c r="G105" s="149"/>
      <c r="H105" s="135"/>
      <c r="I105" s="49"/>
      <c r="J105" s="57"/>
      <c r="K105" s="51"/>
      <c r="L105" s="51"/>
      <c r="M105" s="51"/>
      <c r="N105" s="57"/>
      <c r="O105" s="57"/>
      <c r="P105" s="57"/>
      <c r="Q105" s="57"/>
      <c r="R105" s="57"/>
      <c r="S105" s="57"/>
      <c r="T105" s="57"/>
      <c r="U105" s="57"/>
      <c r="V105" s="57"/>
      <c r="W105" s="57"/>
    </row>
    <row r="106" customHeight="1" spans="1:23">
      <c r="A106" s="57"/>
      <c r="B106" s="57"/>
      <c r="C106" s="142"/>
      <c r="D106" s="132"/>
      <c r="E106" s="132"/>
      <c r="F106" s="148"/>
      <c r="G106" s="149"/>
      <c r="H106" s="135"/>
      <c r="I106" s="49"/>
      <c r="J106" s="57"/>
      <c r="K106" s="51"/>
      <c r="L106" s="51"/>
      <c r="M106" s="51"/>
      <c r="N106" s="57"/>
      <c r="O106" s="57"/>
      <c r="P106" s="57"/>
      <c r="Q106" s="57"/>
      <c r="R106" s="57"/>
      <c r="S106" s="57"/>
      <c r="T106" s="57"/>
      <c r="U106" s="57"/>
      <c r="V106" s="57"/>
      <c r="W106" s="57"/>
    </row>
    <row r="107" customHeight="1" spans="1:23">
      <c r="A107" s="57"/>
      <c r="B107" s="57"/>
      <c r="C107" s="142"/>
      <c r="D107" s="132"/>
      <c r="E107" s="132"/>
      <c r="F107" s="148"/>
      <c r="G107" s="149"/>
      <c r="H107" s="135"/>
      <c r="I107" s="49"/>
      <c r="J107" s="57"/>
      <c r="K107" s="51"/>
      <c r="L107" s="51"/>
      <c r="M107" s="51"/>
      <c r="N107" s="57"/>
      <c r="O107" s="57"/>
      <c r="P107" s="57"/>
      <c r="Q107" s="57"/>
      <c r="R107" s="57"/>
      <c r="S107" s="57"/>
      <c r="T107" s="57"/>
      <c r="U107" s="57"/>
      <c r="V107" s="57"/>
      <c r="W107" s="57"/>
    </row>
    <row r="108" customHeight="1" spans="1:23">
      <c r="A108" s="57"/>
      <c r="B108" s="57"/>
      <c r="C108" s="142"/>
      <c r="D108" s="132"/>
      <c r="E108" s="132"/>
      <c r="F108" s="148"/>
      <c r="G108" s="149"/>
      <c r="H108" s="135"/>
      <c r="I108" s="49"/>
      <c r="J108" s="57"/>
      <c r="K108" s="51"/>
      <c r="L108" s="51"/>
      <c r="M108" s="51"/>
      <c r="N108" s="57"/>
      <c r="O108" s="57"/>
      <c r="P108" s="57"/>
      <c r="Q108" s="57"/>
      <c r="R108" s="57"/>
      <c r="S108" s="57"/>
      <c r="T108" s="57"/>
      <c r="U108" s="57"/>
      <c r="V108" s="57"/>
      <c r="W108" s="57"/>
    </row>
    <row r="109" customHeight="1" spans="1:23">
      <c r="A109" s="57"/>
      <c r="B109" s="57"/>
      <c r="C109" s="142"/>
      <c r="D109" s="132"/>
      <c r="E109" s="132"/>
      <c r="F109" s="148"/>
      <c r="G109" s="149"/>
      <c r="H109" s="135"/>
      <c r="I109" s="49"/>
      <c r="J109" s="57"/>
      <c r="K109" s="51"/>
      <c r="L109" s="51"/>
      <c r="M109" s="51"/>
      <c r="N109" s="57"/>
      <c r="O109" s="57"/>
      <c r="P109" s="57"/>
      <c r="Q109" s="57"/>
      <c r="R109" s="57"/>
      <c r="S109" s="57"/>
      <c r="T109" s="57"/>
      <c r="U109" s="57"/>
      <c r="V109" s="57"/>
      <c r="W109" s="57"/>
    </row>
    <row r="110" customHeight="1" spans="1:23">
      <c r="A110" s="57"/>
      <c r="B110" s="57"/>
      <c r="C110" s="142"/>
      <c r="D110" s="132"/>
      <c r="E110" s="132"/>
      <c r="F110" s="148"/>
      <c r="G110" s="149"/>
      <c r="H110" s="135"/>
      <c r="I110" s="49"/>
      <c r="J110" s="57"/>
      <c r="K110" s="51"/>
      <c r="L110" s="51"/>
      <c r="M110" s="51"/>
      <c r="N110" s="57"/>
      <c r="O110" s="57"/>
      <c r="P110" s="57"/>
      <c r="Q110" s="57"/>
      <c r="R110" s="57"/>
      <c r="S110" s="57"/>
      <c r="T110" s="57"/>
      <c r="U110" s="57"/>
      <c r="V110" s="57"/>
      <c r="W110" s="57"/>
    </row>
    <row r="111" customHeight="1" spans="1:23">
      <c r="A111" s="57"/>
      <c r="B111" s="57"/>
      <c r="C111" s="142"/>
      <c r="D111" s="132"/>
      <c r="E111" s="132"/>
      <c r="F111" s="148"/>
      <c r="G111" s="149"/>
      <c r="H111" s="135"/>
      <c r="I111" s="49"/>
      <c r="J111" s="57"/>
      <c r="K111" s="51"/>
      <c r="L111" s="51"/>
      <c r="M111" s="51"/>
      <c r="N111" s="57"/>
      <c r="O111" s="57"/>
      <c r="P111" s="57"/>
      <c r="Q111" s="57"/>
      <c r="R111" s="57"/>
      <c r="S111" s="57"/>
      <c r="T111" s="57"/>
      <c r="U111" s="57"/>
      <c r="V111" s="57"/>
      <c r="W111" s="57"/>
    </row>
    <row r="112" customHeight="1" spans="1:23">
      <c r="A112" s="57"/>
      <c r="B112" s="57"/>
      <c r="C112" s="142"/>
      <c r="D112" s="132"/>
      <c r="E112" s="132"/>
      <c r="F112" s="148"/>
      <c r="G112" s="149"/>
      <c r="H112" s="135"/>
      <c r="I112" s="49"/>
      <c r="J112" s="57"/>
      <c r="K112" s="51"/>
      <c r="L112" s="51"/>
      <c r="M112" s="51"/>
      <c r="N112" s="57"/>
      <c r="O112" s="57"/>
      <c r="P112" s="57"/>
      <c r="Q112" s="57"/>
      <c r="R112" s="57"/>
      <c r="S112" s="57"/>
      <c r="T112" s="57"/>
      <c r="U112" s="57"/>
      <c r="V112" s="57"/>
      <c r="W112" s="57"/>
    </row>
    <row r="113" customHeight="1" spans="1:23">
      <c r="A113" s="57"/>
      <c r="B113" s="57"/>
      <c r="C113" s="142"/>
      <c r="D113" s="132"/>
      <c r="E113" s="132"/>
      <c r="F113" s="148"/>
      <c r="G113" s="149"/>
      <c r="H113" s="135"/>
      <c r="I113" s="49"/>
      <c r="J113" s="57"/>
      <c r="K113" s="51"/>
      <c r="L113" s="51"/>
      <c r="M113" s="51"/>
      <c r="N113" s="57"/>
      <c r="O113" s="57"/>
      <c r="P113" s="57"/>
      <c r="Q113" s="57"/>
      <c r="R113" s="57"/>
      <c r="S113" s="57"/>
      <c r="T113" s="57"/>
      <c r="U113" s="57"/>
      <c r="V113" s="57"/>
      <c r="W113" s="57"/>
    </row>
    <row r="114" customHeight="1" spans="1:23">
      <c r="A114" s="57"/>
      <c r="B114" s="57"/>
      <c r="C114" s="142"/>
      <c r="D114" s="132"/>
      <c r="E114" s="132"/>
      <c r="F114" s="148"/>
      <c r="G114" s="149"/>
      <c r="H114" s="135"/>
      <c r="I114" s="49"/>
      <c r="J114" s="57"/>
      <c r="K114" s="51"/>
      <c r="L114" s="51"/>
      <c r="M114" s="51"/>
      <c r="N114" s="57"/>
      <c r="O114" s="57"/>
      <c r="P114" s="57"/>
      <c r="Q114" s="57"/>
      <c r="R114" s="57"/>
      <c r="S114" s="57"/>
      <c r="T114" s="57"/>
      <c r="U114" s="57"/>
      <c r="V114" s="57"/>
      <c r="W114" s="57"/>
    </row>
    <row r="115" customHeight="1" spans="1:23">
      <c r="A115" s="57"/>
      <c r="B115" s="57"/>
      <c r="C115" s="142"/>
      <c r="D115" s="132"/>
      <c r="E115" s="132"/>
      <c r="F115" s="148"/>
      <c r="G115" s="149"/>
      <c r="H115" s="135"/>
      <c r="I115" s="49"/>
      <c r="J115" s="57"/>
      <c r="K115" s="51"/>
      <c r="L115" s="51"/>
      <c r="M115" s="51"/>
      <c r="N115" s="57"/>
      <c r="O115" s="57"/>
      <c r="P115" s="57"/>
      <c r="Q115" s="57"/>
      <c r="R115" s="57"/>
      <c r="S115" s="57"/>
      <c r="T115" s="57"/>
      <c r="U115" s="57"/>
      <c r="V115" s="57"/>
      <c r="W115" s="57"/>
    </row>
  </sheetData>
  <autoFilter xmlns:etc="http://www.wps.cn/officeDocument/2017/etCustomData" ref="A2:D93" etc:filterBottomFollowUsedRange="0">
    <extLst/>
  </autoFilter>
  <mergeCells count="3">
    <mergeCell ref="A1:A2"/>
    <mergeCell ref="B1:B2"/>
    <mergeCell ref="C1:C2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7"/>
  <sheetViews>
    <sheetView tabSelected="1" workbookViewId="0">
      <pane xSplit="2" ySplit="2" topLeftCell="J31" activePane="bottomRight" state="frozen"/>
      <selection/>
      <selection pane="topRight"/>
      <selection pane="bottomLeft"/>
      <selection pane="bottomRight" activeCell="S37" sqref="S37"/>
    </sheetView>
  </sheetViews>
  <sheetFormatPr defaultColWidth="9" defaultRowHeight="18" customHeight="1"/>
  <cols>
    <col min="1" max="1" width="9.125" style="44" customWidth="1"/>
    <col min="2" max="2" width="42.625" style="45" customWidth="1"/>
    <col min="3" max="3" width="27.125" style="46" customWidth="1"/>
    <col min="4" max="4" width="14.875" style="47" customWidth="1"/>
    <col min="5" max="5" width="16" style="47" customWidth="1"/>
    <col min="6" max="6" width="12.25" style="47" customWidth="1"/>
    <col min="7" max="7" width="11.625" style="48" customWidth="1"/>
    <col min="8" max="8" width="8.375" style="49" customWidth="1"/>
    <col min="9" max="9" width="4.75" style="50" customWidth="1"/>
    <col min="10" max="10" width="12.625" style="51" customWidth="1"/>
    <col min="11" max="11" width="10.375" style="52" customWidth="1"/>
    <col min="12" max="12" width="14.125" style="53"/>
    <col min="13" max="13" width="11.125" style="54" customWidth="1"/>
    <col min="14" max="14" width="14.125" style="55"/>
    <col min="15" max="15" width="11.125" style="45" customWidth="1"/>
    <col min="16" max="16" width="12.875" style="55"/>
    <col min="17" max="17" width="7.95833333333333" style="55" customWidth="1"/>
    <col min="18" max="18" width="13.375" style="56" customWidth="1"/>
    <col min="19" max="19" width="18.375" style="57" customWidth="1"/>
    <col min="20" max="20" width="9.75" style="57" customWidth="1"/>
    <col min="21" max="21" width="6.5" style="58" customWidth="1"/>
    <col min="22" max="22" width="12.625" style="59"/>
  </cols>
  <sheetData>
    <row r="1" ht="29" customHeight="1" spans="1:22">
      <c r="A1" s="60" t="s">
        <v>1351</v>
      </c>
      <c r="B1" s="61" t="s">
        <v>1352</v>
      </c>
      <c r="C1" s="62" t="s">
        <v>1353</v>
      </c>
      <c r="D1" s="63" t="s">
        <v>1354</v>
      </c>
      <c r="E1" s="64"/>
      <c r="F1" s="65" t="s">
        <v>1355</v>
      </c>
      <c r="G1" s="66" t="s">
        <v>1356</v>
      </c>
      <c r="H1" s="67" t="s">
        <v>1357</v>
      </c>
      <c r="I1" s="68" t="s">
        <v>1358</v>
      </c>
      <c r="J1" s="69" t="s">
        <v>1359</v>
      </c>
      <c r="K1" s="70" t="s">
        <v>1360</v>
      </c>
      <c r="L1" s="71" t="s">
        <v>1361</v>
      </c>
      <c r="M1" s="72" t="s">
        <v>1362</v>
      </c>
      <c r="N1" s="73" t="s">
        <v>1363</v>
      </c>
      <c r="O1" s="74" t="s">
        <v>1364</v>
      </c>
      <c r="P1" s="73" t="s">
        <v>1365</v>
      </c>
      <c r="Q1" s="73" t="s">
        <v>1366</v>
      </c>
      <c r="R1" s="75" t="s">
        <v>1367</v>
      </c>
      <c r="S1" s="76" t="s">
        <v>1573</v>
      </c>
      <c r="T1" s="35" t="s">
        <v>1369</v>
      </c>
      <c r="U1" s="77" t="s">
        <v>1370</v>
      </c>
      <c r="V1" s="77" t="s">
        <v>1371</v>
      </c>
    </row>
    <row r="2" ht="21" customHeight="1" spans="1:22">
      <c r="A2" s="78"/>
      <c r="B2" s="79"/>
      <c r="C2" s="80"/>
      <c r="D2" s="81"/>
      <c r="E2" s="81"/>
      <c r="F2" s="81"/>
      <c r="G2" s="81"/>
      <c r="H2" s="82">
        <f t="shared" ref="H2:L2" si="0">SUM(H3:H1001)</f>
        <v>49</v>
      </c>
      <c r="I2" s="83"/>
      <c r="J2" s="83">
        <f t="shared" si="0"/>
        <v>77400</v>
      </c>
      <c r="K2" s="84">
        <f t="shared" si="0"/>
        <v>-20</v>
      </c>
      <c r="L2" s="85">
        <f t="shared" si="0"/>
        <v>68980</v>
      </c>
      <c r="M2" s="86"/>
      <c r="N2" s="83">
        <f t="shared" ref="N2:R2" si="1">SUM(N3:N1001)</f>
        <v>15480</v>
      </c>
      <c r="O2" s="87"/>
      <c r="P2" s="83">
        <f t="shared" si="1"/>
        <v>7700</v>
      </c>
      <c r="Q2" s="83">
        <f t="shared" si="1"/>
        <v>0</v>
      </c>
      <c r="R2" s="83">
        <f t="shared" si="1"/>
        <v>7780</v>
      </c>
      <c r="S2" s="83"/>
      <c r="T2" s="83"/>
      <c r="U2" s="83"/>
      <c r="V2" s="83">
        <f>SUM(V3:V1001)</f>
        <v>876.226415094339</v>
      </c>
    </row>
    <row r="3" customFormat="1" ht="28" customHeight="1" spans="1:22">
      <c r="A3" s="88" t="s">
        <v>1574</v>
      </c>
      <c r="B3" s="89" t="s">
        <v>1575</v>
      </c>
      <c r="C3" s="47" t="s">
        <v>1576</v>
      </c>
      <c r="D3" s="90">
        <v>46266</v>
      </c>
      <c r="E3" s="91">
        <v>46630</v>
      </c>
      <c r="F3" s="92" t="str">
        <f ca="1" t="shared" ref="F3:F22" si="2">IF(E3&lt;TODAY(),"【已到期】",IF(E3-TODAY()&lt;=30,"【即将到期，剩余"&amp;E3-TODAY()&amp;"天】","【正常】"))</f>
        <v>【正常】</v>
      </c>
      <c r="G3" s="93">
        <v>3600</v>
      </c>
      <c r="H3" s="94">
        <v>1</v>
      </c>
      <c r="I3" s="95">
        <v>1</v>
      </c>
      <c r="J3" s="96">
        <f t="shared" ref="J3:J16" si="3">G3*H3*I3</f>
        <v>3600</v>
      </c>
      <c r="K3" s="97"/>
      <c r="L3" s="98">
        <f t="shared" ref="L3:L11" si="4">J3+K3</f>
        <v>3600</v>
      </c>
      <c r="M3" s="99">
        <v>46267</v>
      </c>
      <c r="N3" s="100">
        <v>3600</v>
      </c>
      <c r="O3" s="101"/>
      <c r="P3" s="100"/>
      <c r="Q3" s="100"/>
      <c r="R3" s="100">
        <f t="shared" ref="R3:R11" si="5">N3-P3</f>
        <v>3600</v>
      </c>
      <c r="S3" s="57"/>
      <c r="T3" s="57"/>
      <c r="U3" s="58">
        <v>0.06</v>
      </c>
      <c r="V3" s="59">
        <f t="shared" ref="V3:V11" si="6">N3/1.06*U3</f>
        <v>203.77358490566</v>
      </c>
    </row>
    <row r="4" customFormat="1" customHeight="1" spans="1:22">
      <c r="A4" s="88" t="s">
        <v>1574</v>
      </c>
      <c r="B4" s="89" t="s">
        <v>1577</v>
      </c>
      <c r="C4" s="47" t="s">
        <v>1578</v>
      </c>
      <c r="D4" s="90">
        <v>46266</v>
      </c>
      <c r="E4" s="91">
        <v>46630</v>
      </c>
      <c r="F4" s="92" t="str">
        <f ca="1" t="shared" si="2"/>
        <v>【正常】</v>
      </c>
      <c r="G4" s="102">
        <v>3600</v>
      </c>
      <c r="H4" s="94">
        <v>1</v>
      </c>
      <c r="I4" s="95">
        <v>1</v>
      </c>
      <c r="J4" s="96">
        <v>3600</v>
      </c>
      <c r="K4" s="97"/>
      <c r="L4" s="98">
        <f t="shared" si="4"/>
        <v>3600</v>
      </c>
      <c r="M4" s="99"/>
      <c r="N4" s="100"/>
      <c r="O4" s="101"/>
      <c r="P4" s="100"/>
      <c r="Q4" s="100"/>
      <c r="R4" s="100"/>
      <c r="S4" s="57"/>
      <c r="T4" s="57"/>
      <c r="U4" s="58"/>
      <c r="V4" s="59"/>
    </row>
    <row r="5" customFormat="1" customHeight="1" spans="1:22">
      <c r="A5" s="88" t="s">
        <v>1574</v>
      </c>
      <c r="B5" s="103" t="s">
        <v>1579</v>
      </c>
      <c r="C5" s="46" t="s">
        <v>1580</v>
      </c>
      <c r="D5" s="90">
        <v>46265</v>
      </c>
      <c r="E5" s="91">
        <v>46629</v>
      </c>
      <c r="F5" s="92" t="str">
        <f ca="1" t="shared" si="2"/>
        <v>【正常】</v>
      </c>
      <c r="G5" s="48">
        <v>3600</v>
      </c>
      <c r="H5" s="49">
        <v>1</v>
      </c>
      <c r="I5" s="50">
        <v>1</v>
      </c>
      <c r="J5" s="51">
        <f t="shared" si="3"/>
        <v>3600</v>
      </c>
      <c r="K5" s="52"/>
      <c r="L5" s="104">
        <f t="shared" si="4"/>
        <v>3600</v>
      </c>
      <c r="M5" s="54"/>
      <c r="N5" s="55"/>
      <c r="O5" s="45"/>
      <c r="P5" s="55"/>
      <c r="Q5" s="55"/>
      <c r="R5" s="100">
        <f t="shared" si="5"/>
        <v>0</v>
      </c>
      <c r="S5" s="57" t="s">
        <v>1581</v>
      </c>
      <c r="T5" s="57" t="s">
        <v>1582</v>
      </c>
      <c r="U5" s="58">
        <v>0.06</v>
      </c>
      <c r="V5" s="59">
        <f t="shared" si="6"/>
        <v>0</v>
      </c>
    </row>
    <row r="6" customFormat="1" customHeight="1" spans="1:22">
      <c r="A6" s="88" t="s">
        <v>1574</v>
      </c>
      <c r="B6" s="103" t="s">
        <v>1583</v>
      </c>
      <c r="C6" s="46" t="s">
        <v>1584</v>
      </c>
      <c r="D6" s="90">
        <v>46023</v>
      </c>
      <c r="E6" s="91">
        <v>46387</v>
      </c>
      <c r="F6" s="92" t="str">
        <f ca="1" t="shared" si="2"/>
        <v>【正常】</v>
      </c>
      <c r="G6" s="48">
        <v>3600</v>
      </c>
      <c r="H6" s="49">
        <v>1</v>
      </c>
      <c r="I6" s="50">
        <v>1</v>
      </c>
      <c r="J6" s="51">
        <f t="shared" si="3"/>
        <v>3600</v>
      </c>
      <c r="K6" s="52"/>
      <c r="L6" s="104">
        <f t="shared" si="4"/>
        <v>3600</v>
      </c>
      <c r="M6" s="54"/>
      <c r="N6" s="55"/>
      <c r="O6" s="45"/>
      <c r="P6" s="55"/>
      <c r="Q6" s="55"/>
      <c r="R6" s="100">
        <f t="shared" si="5"/>
        <v>0</v>
      </c>
      <c r="S6" s="57" t="s">
        <v>1581</v>
      </c>
      <c r="T6" s="57"/>
      <c r="U6" s="58">
        <v>0.06</v>
      </c>
      <c r="V6" s="59">
        <f t="shared" si="6"/>
        <v>0</v>
      </c>
    </row>
    <row r="7" customFormat="1" customHeight="1" spans="1:22">
      <c r="A7" s="88" t="s">
        <v>1574</v>
      </c>
      <c r="B7" s="103" t="s">
        <v>1585</v>
      </c>
      <c r="C7" s="46" t="s">
        <v>1586</v>
      </c>
      <c r="D7" s="90">
        <v>46266</v>
      </c>
      <c r="E7" s="91">
        <v>46630</v>
      </c>
      <c r="F7" s="92" t="str">
        <f ca="1" t="shared" si="2"/>
        <v>【正常】</v>
      </c>
      <c r="G7" s="48">
        <v>4350</v>
      </c>
      <c r="H7" s="49">
        <v>1</v>
      </c>
      <c r="I7" s="50">
        <v>1</v>
      </c>
      <c r="J7" s="51">
        <f t="shared" si="3"/>
        <v>4350</v>
      </c>
      <c r="K7" s="52"/>
      <c r="L7" s="104">
        <f t="shared" si="4"/>
        <v>4350</v>
      </c>
      <c r="M7" s="54"/>
      <c r="N7" s="55"/>
      <c r="O7" s="45"/>
      <c r="P7" s="55"/>
      <c r="Q7" s="55"/>
      <c r="R7" s="100">
        <f t="shared" si="5"/>
        <v>0</v>
      </c>
      <c r="S7" s="57" t="s">
        <v>1581</v>
      </c>
      <c r="T7" s="57"/>
      <c r="U7" s="58">
        <v>0.06</v>
      </c>
      <c r="V7" s="59">
        <f t="shared" si="6"/>
        <v>0</v>
      </c>
    </row>
    <row r="8" customFormat="1" customHeight="1" spans="1:22">
      <c r="A8" s="88" t="s">
        <v>1574</v>
      </c>
      <c r="B8" s="103" t="s">
        <v>1587</v>
      </c>
      <c r="C8" s="47" t="s">
        <v>1588</v>
      </c>
      <c r="D8" s="90">
        <v>46204</v>
      </c>
      <c r="E8" s="91">
        <v>46568</v>
      </c>
      <c r="F8" s="92" t="str">
        <f ca="1" t="shared" si="2"/>
        <v>【正常】</v>
      </c>
      <c r="G8" s="48">
        <v>3950</v>
      </c>
      <c r="H8" s="49">
        <v>1</v>
      </c>
      <c r="I8" s="50">
        <v>1</v>
      </c>
      <c r="J8" s="51">
        <f t="shared" si="3"/>
        <v>3950</v>
      </c>
      <c r="K8" s="52"/>
      <c r="L8" s="104">
        <f t="shared" si="4"/>
        <v>3950</v>
      </c>
      <c r="M8" s="54"/>
      <c r="N8" s="55"/>
      <c r="O8" s="45"/>
      <c r="P8" s="55"/>
      <c r="Q8" s="55"/>
      <c r="R8" s="100">
        <f t="shared" si="5"/>
        <v>0</v>
      </c>
      <c r="S8" s="57" t="s">
        <v>1581</v>
      </c>
      <c r="T8" s="57"/>
      <c r="U8" s="58">
        <v>0.06</v>
      </c>
      <c r="V8" s="59">
        <f t="shared" si="6"/>
        <v>0</v>
      </c>
    </row>
    <row r="9" customFormat="1" customHeight="1" spans="1:22">
      <c r="A9" s="88" t="s">
        <v>1574</v>
      </c>
      <c r="B9" s="103" t="s">
        <v>1589</v>
      </c>
      <c r="C9" s="46" t="s">
        <v>1590</v>
      </c>
      <c r="D9" s="90">
        <v>46204</v>
      </c>
      <c r="E9" s="91">
        <v>46568</v>
      </c>
      <c r="F9" s="92" t="str">
        <f ca="1" t="shared" si="2"/>
        <v>【正常】</v>
      </c>
      <c r="G9" s="48">
        <v>3600</v>
      </c>
      <c r="H9" s="49">
        <v>1</v>
      </c>
      <c r="I9" s="50">
        <v>1</v>
      </c>
      <c r="J9" s="51">
        <f t="shared" si="3"/>
        <v>3600</v>
      </c>
      <c r="K9" s="52"/>
      <c r="L9" s="104">
        <f t="shared" si="4"/>
        <v>3600</v>
      </c>
      <c r="M9" s="54"/>
      <c r="N9" s="55"/>
      <c r="O9" s="45"/>
      <c r="P9" s="55"/>
      <c r="Q9" s="55"/>
      <c r="R9" s="100">
        <f t="shared" si="5"/>
        <v>0</v>
      </c>
      <c r="S9" s="57" t="s">
        <v>1581</v>
      </c>
      <c r="T9" s="57"/>
      <c r="U9" s="58">
        <v>0.06</v>
      </c>
      <c r="V9" s="59">
        <f t="shared" si="6"/>
        <v>0</v>
      </c>
    </row>
    <row r="10" customFormat="1" customHeight="1" spans="1:22">
      <c r="A10" s="88" t="s">
        <v>1574</v>
      </c>
      <c r="B10" s="103" t="s">
        <v>1591</v>
      </c>
      <c r="C10" s="47" t="s">
        <v>1592</v>
      </c>
      <c r="D10" s="90">
        <v>46082</v>
      </c>
      <c r="E10" s="91">
        <v>46446</v>
      </c>
      <c r="F10" s="92" t="str">
        <f ca="1" t="shared" si="2"/>
        <v>【正常】</v>
      </c>
      <c r="G10" s="48">
        <v>3600</v>
      </c>
      <c r="H10" s="49">
        <v>1</v>
      </c>
      <c r="I10" s="50">
        <v>1</v>
      </c>
      <c r="J10" s="51">
        <f t="shared" si="3"/>
        <v>3600</v>
      </c>
      <c r="K10" s="52"/>
      <c r="L10" s="104">
        <f t="shared" si="4"/>
        <v>3600</v>
      </c>
      <c r="M10" s="54"/>
      <c r="N10" s="55"/>
      <c r="O10" s="45"/>
      <c r="P10" s="55"/>
      <c r="Q10" s="55"/>
      <c r="R10" s="100">
        <f t="shared" si="5"/>
        <v>0</v>
      </c>
      <c r="S10" s="57" t="s">
        <v>1581</v>
      </c>
      <c r="T10" s="57"/>
      <c r="U10" s="58">
        <v>0.06</v>
      </c>
      <c r="V10" s="59">
        <f t="shared" si="6"/>
        <v>0</v>
      </c>
    </row>
    <row r="11" customFormat="1" customHeight="1" spans="1:22">
      <c r="A11" s="44" t="s">
        <v>1593</v>
      </c>
      <c r="B11" s="103" t="s">
        <v>1594</v>
      </c>
      <c r="C11" s="105" t="s">
        <v>1595</v>
      </c>
      <c r="D11" s="106">
        <v>45969</v>
      </c>
      <c r="E11" s="107">
        <v>46333</v>
      </c>
      <c r="F11" s="92" t="str">
        <f ca="1" t="shared" si="2"/>
        <v>【正常】</v>
      </c>
      <c r="G11" s="48">
        <v>2800</v>
      </c>
      <c r="H11" s="49">
        <v>2</v>
      </c>
      <c r="I11" s="50">
        <v>1</v>
      </c>
      <c r="J11" s="51">
        <f t="shared" si="3"/>
        <v>5600</v>
      </c>
      <c r="K11" s="52"/>
      <c r="L11" s="104">
        <f t="shared" si="4"/>
        <v>5600</v>
      </c>
      <c r="M11" s="54"/>
      <c r="N11" s="55"/>
      <c r="O11" s="45"/>
      <c r="P11" s="55"/>
      <c r="Q11" s="55"/>
      <c r="R11" s="100">
        <f t="shared" si="5"/>
        <v>0</v>
      </c>
      <c r="S11" s="57" t="s">
        <v>1582</v>
      </c>
      <c r="T11" s="57"/>
      <c r="U11" s="58">
        <v>0.06</v>
      </c>
      <c r="V11" s="59">
        <f t="shared" si="6"/>
        <v>0</v>
      </c>
    </row>
    <row r="12" customFormat="1" customHeight="1" spans="1:22">
      <c r="A12" s="44" t="s">
        <v>1593</v>
      </c>
      <c r="B12" s="103" t="s">
        <v>1594</v>
      </c>
      <c r="C12" s="105" t="s">
        <v>1595</v>
      </c>
      <c r="D12" s="106">
        <v>45969</v>
      </c>
      <c r="E12" s="107">
        <v>46333</v>
      </c>
      <c r="F12" s="92" t="str">
        <f ca="1" t="shared" si="2"/>
        <v>【正常】</v>
      </c>
      <c r="G12" s="48">
        <v>2800</v>
      </c>
      <c r="H12" s="49">
        <v>2</v>
      </c>
      <c r="I12" s="50">
        <v>1</v>
      </c>
      <c r="J12" s="51">
        <f t="shared" si="3"/>
        <v>5600</v>
      </c>
      <c r="K12" s="52"/>
      <c r="L12" s="104"/>
      <c r="M12" s="54"/>
      <c r="N12" s="55"/>
      <c r="O12" s="45"/>
      <c r="P12" s="55"/>
      <c r="Q12" s="55"/>
      <c r="R12" s="100"/>
      <c r="S12" s="57"/>
      <c r="T12" s="57"/>
      <c r="U12" s="58"/>
      <c r="V12" s="59"/>
    </row>
    <row r="13" customFormat="1" customHeight="1" spans="1:22">
      <c r="A13" s="44" t="s">
        <v>1593</v>
      </c>
      <c r="B13" s="103" t="s">
        <v>1594</v>
      </c>
      <c r="C13" s="105" t="s">
        <v>1595</v>
      </c>
      <c r="D13" s="106">
        <v>45969</v>
      </c>
      <c r="E13" s="107">
        <v>46333</v>
      </c>
      <c r="F13" s="92" t="str">
        <f ca="1" t="shared" si="2"/>
        <v>【正常】</v>
      </c>
      <c r="G13" s="48">
        <v>2800</v>
      </c>
      <c r="H13" s="49">
        <v>1</v>
      </c>
      <c r="I13" s="50">
        <v>1</v>
      </c>
      <c r="J13" s="51">
        <f t="shared" si="3"/>
        <v>2800</v>
      </c>
      <c r="K13" s="52"/>
      <c r="L13" s="104"/>
      <c r="M13" s="54"/>
      <c r="N13" s="55"/>
      <c r="O13" s="45"/>
      <c r="P13" s="55"/>
      <c r="Q13" s="55"/>
      <c r="R13" s="100"/>
      <c r="S13" s="57"/>
      <c r="T13" s="57"/>
      <c r="U13" s="58"/>
      <c r="V13" s="59"/>
    </row>
    <row r="14" customFormat="1" customHeight="1" spans="1:22">
      <c r="A14" s="88" t="s">
        <v>1574</v>
      </c>
      <c r="B14" s="103" t="s">
        <v>1596</v>
      </c>
      <c r="C14" s="46" t="s">
        <v>1597</v>
      </c>
      <c r="D14" s="106">
        <v>46266</v>
      </c>
      <c r="E14" s="107">
        <v>46630</v>
      </c>
      <c r="F14" s="92" t="str">
        <f ca="1" t="shared" si="2"/>
        <v>【正常】</v>
      </c>
      <c r="G14" s="48">
        <v>4350</v>
      </c>
      <c r="H14" s="49">
        <v>1</v>
      </c>
      <c r="I14" s="50">
        <v>1</v>
      </c>
      <c r="J14" s="51">
        <f t="shared" si="3"/>
        <v>4350</v>
      </c>
      <c r="K14" s="52"/>
      <c r="L14" s="104">
        <f t="shared" ref="L14:L16" si="7">J14+K14</f>
        <v>4350</v>
      </c>
      <c r="M14" s="54">
        <v>46272</v>
      </c>
      <c r="N14" s="55">
        <v>4350</v>
      </c>
      <c r="O14" s="45">
        <v>46273</v>
      </c>
      <c r="P14" s="55">
        <v>4350</v>
      </c>
      <c r="Q14" s="55"/>
      <c r="R14" s="100">
        <f t="shared" ref="R14:R16" si="8">N14-P14</f>
        <v>0</v>
      </c>
      <c r="S14" s="57" t="s">
        <v>1582</v>
      </c>
      <c r="T14" s="57"/>
      <c r="U14" s="58">
        <v>0.06</v>
      </c>
      <c r="V14" s="59">
        <f t="shared" ref="V14:V16" si="9">N14/1.06*U14</f>
        <v>246.22641509434</v>
      </c>
    </row>
    <row r="15" customFormat="1" customHeight="1" spans="1:22">
      <c r="A15" s="44" t="s">
        <v>1593</v>
      </c>
      <c r="B15" s="103" t="s">
        <v>1598</v>
      </c>
      <c r="C15" s="46" t="s">
        <v>1598</v>
      </c>
      <c r="D15" s="90">
        <v>46082</v>
      </c>
      <c r="E15" s="91">
        <v>46447</v>
      </c>
      <c r="F15" s="92" t="str">
        <f ca="1" t="shared" si="2"/>
        <v>【正常】</v>
      </c>
      <c r="G15" s="48">
        <v>3600</v>
      </c>
      <c r="H15" s="49">
        <v>1</v>
      </c>
      <c r="I15" s="50">
        <v>1</v>
      </c>
      <c r="J15" s="51">
        <f t="shared" si="3"/>
        <v>3600</v>
      </c>
      <c r="K15" s="52"/>
      <c r="L15" s="104">
        <f t="shared" si="7"/>
        <v>3600</v>
      </c>
      <c r="M15" s="54"/>
      <c r="N15" s="55"/>
      <c r="O15" s="45"/>
      <c r="P15" s="55"/>
      <c r="Q15" s="55"/>
      <c r="R15" s="100">
        <f t="shared" si="8"/>
        <v>0</v>
      </c>
      <c r="S15" s="57" t="s">
        <v>1581</v>
      </c>
      <c r="T15" s="57"/>
      <c r="U15" s="58">
        <v>0.06</v>
      </c>
      <c r="V15" s="59">
        <f t="shared" si="9"/>
        <v>0</v>
      </c>
    </row>
    <row r="16" customFormat="1" customHeight="1" spans="1:22">
      <c r="A16" s="44" t="s">
        <v>1593</v>
      </c>
      <c r="B16" s="103" t="s">
        <v>1599</v>
      </c>
      <c r="C16" s="46" t="s">
        <v>1599</v>
      </c>
      <c r="D16" s="90">
        <v>46174</v>
      </c>
      <c r="E16" s="91">
        <v>46538</v>
      </c>
      <c r="F16" s="92" t="str">
        <f ca="1" t="shared" si="2"/>
        <v>【正常】</v>
      </c>
      <c r="G16" s="48">
        <v>3600</v>
      </c>
      <c r="H16" s="49">
        <v>3</v>
      </c>
      <c r="I16" s="50">
        <v>1</v>
      </c>
      <c r="J16" s="51">
        <f t="shared" si="3"/>
        <v>10800</v>
      </c>
      <c r="K16" s="52"/>
      <c r="L16" s="104">
        <f t="shared" si="7"/>
        <v>10800</v>
      </c>
      <c r="M16" s="54"/>
      <c r="N16" s="55"/>
      <c r="O16" s="45"/>
      <c r="P16" s="55"/>
      <c r="Q16" s="55"/>
      <c r="R16" s="100">
        <f t="shared" si="8"/>
        <v>0</v>
      </c>
      <c r="S16" s="57" t="s">
        <v>1581</v>
      </c>
      <c r="T16" s="57"/>
      <c r="U16" s="58">
        <v>0.06</v>
      </c>
      <c r="V16" s="59">
        <f t="shared" si="9"/>
        <v>0</v>
      </c>
    </row>
    <row r="17" customFormat="1" customHeight="1" spans="1:22">
      <c r="A17" s="44" t="s">
        <v>1593</v>
      </c>
      <c r="B17" s="89" t="s">
        <v>1600</v>
      </c>
      <c r="C17" s="47" t="s">
        <v>1601</v>
      </c>
      <c r="D17" s="90">
        <v>45992</v>
      </c>
      <c r="E17" s="91">
        <v>46356</v>
      </c>
      <c r="F17" s="92" t="str">
        <f ca="1" t="shared" si="2"/>
        <v>【正常】</v>
      </c>
      <c r="G17" s="48">
        <v>3600</v>
      </c>
      <c r="H17" s="49">
        <v>1</v>
      </c>
      <c r="I17" s="50">
        <v>1</v>
      </c>
      <c r="J17" s="51"/>
      <c r="K17" s="52"/>
      <c r="L17" s="53"/>
      <c r="M17" s="54"/>
      <c r="N17" s="55"/>
      <c r="O17" s="45"/>
      <c r="P17" s="55"/>
      <c r="Q17" s="55"/>
      <c r="R17" s="56"/>
      <c r="S17" s="57"/>
      <c r="T17" s="57"/>
      <c r="U17" s="58"/>
      <c r="V17" s="59"/>
    </row>
    <row r="18" customFormat="1" customHeight="1" spans="1:22">
      <c r="A18" s="44" t="s">
        <v>1593</v>
      </c>
      <c r="B18" s="89" t="s">
        <v>1600</v>
      </c>
      <c r="C18" s="47" t="s">
        <v>1602</v>
      </c>
      <c r="D18" s="90">
        <v>45992</v>
      </c>
      <c r="E18" s="91">
        <v>46356</v>
      </c>
      <c r="F18" s="92" t="str">
        <f ca="1" t="shared" si="2"/>
        <v>【正常】</v>
      </c>
      <c r="G18" s="48">
        <v>3600</v>
      </c>
      <c r="H18" s="49">
        <v>1</v>
      </c>
      <c r="I18" s="50">
        <v>1</v>
      </c>
      <c r="J18" s="51"/>
      <c r="K18" s="52"/>
      <c r="L18" s="53"/>
      <c r="M18" s="54"/>
      <c r="N18" s="55"/>
      <c r="O18" s="45"/>
      <c r="P18" s="55"/>
      <c r="Q18" s="55"/>
      <c r="R18" s="56"/>
      <c r="S18" s="57"/>
      <c r="T18" s="57"/>
      <c r="U18" s="58"/>
      <c r="V18" s="59"/>
    </row>
    <row r="19" customFormat="1" customHeight="1" spans="1:22">
      <c r="A19" s="44" t="s">
        <v>1593</v>
      </c>
      <c r="B19" s="89" t="s">
        <v>1600</v>
      </c>
      <c r="C19" s="47" t="s">
        <v>1603</v>
      </c>
      <c r="D19" s="90">
        <v>45992</v>
      </c>
      <c r="E19" s="91">
        <v>46356</v>
      </c>
      <c r="F19" s="92" t="str">
        <f ca="1" t="shared" si="2"/>
        <v>【正常】</v>
      </c>
      <c r="G19" s="48">
        <v>3600</v>
      </c>
      <c r="H19" s="49">
        <v>1</v>
      </c>
      <c r="I19" s="50">
        <v>1</v>
      </c>
      <c r="J19" s="51"/>
      <c r="K19" s="52"/>
      <c r="L19" s="53"/>
      <c r="M19" s="54"/>
      <c r="N19" s="55"/>
      <c r="O19" s="45"/>
      <c r="P19" s="55"/>
      <c r="Q19" s="55"/>
      <c r="R19" s="56"/>
      <c r="S19" s="57"/>
      <c r="T19" s="57"/>
      <c r="U19" s="58"/>
      <c r="V19" s="59"/>
    </row>
    <row r="20" customFormat="1" customHeight="1" spans="1:22">
      <c r="A20" s="44" t="s">
        <v>1593</v>
      </c>
      <c r="B20" s="89" t="s">
        <v>1600</v>
      </c>
      <c r="C20" s="47" t="s">
        <v>1604</v>
      </c>
      <c r="D20" s="90">
        <v>45992</v>
      </c>
      <c r="E20" s="91">
        <v>46356</v>
      </c>
      <c r="F20" s="92" t="str">
        <f ca="1" t="shared" si="2"/>
        <v>【正常】</v>
      </c>
      <c r="G20" s="48">
        <v>3600</v>
      </c>
      <c r="H20" s="49">
        <v>1</v>
      </c>
      <c r="I20" s="50">
        <v>1</v>
      </c>
      <c r="J20" s="51"/>
      <c r="K20" s="52"/>
      <c r="L20" s="53"/>
      <c r="M20" s="54"/>
      <c r="N20" s="55"/>
      <c r="O20" s="45"/>
      <c r="P20" s="55"/>
      <c r="Q20" s="55"/>
      <c r="R20" s="56"/>
      <c r="S20" s="57"/>
      <c r="T20" s="57"/>
      <c r="U20" s="58"/>
      <c r="V20" s="59"/>
    </row>
    <row r="21" customFormat="1" customHeight="1" spans="1:22">
      <c r="A21" s="44" t="s">
        <v>1593</v>
      </c>
      <c r="B21" s="103" t="s">
        <v>1605</v>
      </c>
      <c r="C21" s="46" t="s">
        <v>1606</v>
      </c>
      <c r="D21" s="90">
        <v>46139</v>
      </c>
      <c r="E21" s="91">
        <v>46503</v>
      </c>
      <c r="F21" s="92" t="str">
        <f ca="1" t="shared" si="2"/>
        <v>【正常】</v>
      </c>
      <c r="G21" s="48">
        <v>3600</v>
      </c>
      <c r="H21" s="49">
        <v>2</v>
      </c>
      <c r="I21" s="50">
        <v>1</v>
      </c>
      <c r="J21" s="51">
        <f t="shared" ref="J21:J27" si="10">G21*H21*I21</f>
        <v>7200</v>
      </c>
      <c r="K21" s="52"/>
      <c r="L21" s="104">
        <f t="shared" ref="L21:L25" si="11">J21+K21</f>
        <v>7200</v>
      </c>
      <c r="M21" s="54"/>
      <c r="N21" s="55"/>
      <c r="O21" s="45"/>
      <c r="P21" s="55"/>
      <c r="Q21" s="55"/>
      <c r="R21" s="100">
        <f t="shared" ref="R21:R24" si="12">N21-P21</f>
        <v>0</v>
      </c>
      <c r="S21" s="57" t="s">
        <v>1581</v>
      </c>
      <c r="T21" s="57"/>
      <c r="U21" s="58">
        <v>0.06</v>
      </c>
      <c r="V21" s="59">
        <f t="shared" ref="V21:V25" si="13">N21/1.06*U21</f>
        <v>0</v>
      </c>
    </row>
    <row r="22" customFormat="1" customHeight="1" spans="1:22">
      <c r="A22" s="88" t="s">
        <v>1574</v>
      </c>
      <c r="B22" s="103" t="s">
        <v>1607</v>
      </c>
      <c r="C22" s="108" t="s">
        <v>1608</v>
      </c>
      <c r="D22" s="90">
        <v>46266</v>
      </c>
      <c r="E22" s="91">
        <v>46630</v>
      </c>
      <c r="F22" s="92" t="str">
        <f ca="1" t="shared" si="2"/>
        <v>【正常】</v>
      </c>
      <c r="G22" s="48">
        <v>3950</v>
      </c>
      <c r="H22" s="49">
        <v>1</v>
      </c>
      <c r="I22" s="50">
        <v>1</v>
      </c>
      <c r="J22" s="51">
        <f t="shared" si="10"/>
        <v>3950</v>
      </c>
      <c r="K22" s="52">
        <v>-600</v>
      </c>
      <c r="L22" s="104">
        <f t="shared" si="11"/>
        <v>3350</v>
      </c>
      <c r="M22" s="54">
        <v>46253</v>
      </c>
      <c r="N22" s="55">
        <v>3350</v>
      </c>
      <c r="O22" s="45">
        <v>46253</v>
      </c>
      <c r="P22" s="55">
        <v>3350</v>
      </c>
      <c r="Q22" s="55"/>
      <c r="R22" s="100">
        <f t="shared" si="12"/>
        <v>0</v>
      </c>
      <c r="S22" s="57"/>
      <c r="T22" s="57"/>
      <c r="U22" s="58">
        <v>0.06</v>
      </c>
      <c r="V22" s="59">
        <f t="shared" si="13"/>
        <v>189.622641509434</v>
      </c>
    </row>
    <row r="23" customFormat="1" customHeight="1" spans="1:22">
      <c r="A23" s="44" t="s">
        <v>1593</v>
      </c>
      <c r="B23" s="103" t="s">
        <v>1609</v>
      </c>
      <c r="C23" s="46" t="s">
        <v>1610</v>
      </c>
      <c r="D23" s="47"/>
      <c r="E23" s="47"/>
      <c r="F23" s="47"/>
      <c r="G23" s="48">
        <v>3600</v>
      </c>
      <c r="H23" s="49">
        <v>1</v>
      </c>
      <c r="I23" s="50">
        <v>1</v>
      </c>
      <c r="J23" s="51">
        <f t="shared" si="10"/>
        <v>3600</v>
      </c>
      <c r="K23" s="52">
        <f>250+330</f>
        <v>580</v>
      </c>
      <c r="L23" s="104">
        <f t="shared" si="11"/>
        <v>4180</v>
      </c>
      <c r="M23" s="54">
        <v>46253</v>
      </c>
      <c r="N23" s="55">
        <v>4180</v>
      </c>
      <c r="O23" s="45"/>
      <c r="P23" s="55"/>
      <c r="Q23" s="55"/>
      <c r="R23" s="100">
        <f t="shared" si="12"/>
        <v>4180</v>
      </c>
      <c r="S23" s="57"/>
      <c r="T23" s="57"/>
      <c r="U23" s="58">
        <v>0.06</v>
      </c>
      <c r="V23" s="59">
        <f t="shared" si="13"/>
        <v>236.603773584906</v>
      </c>
    </row>
    <row r="24" customFormat="1" ht="30" customHeight="1" spans="1:22">
      <c r="A24" s="44" t="s">
        <v>1611</v>
      </c>
      <c r="B24" s="103" t="s">
        <v>1612</v>
      </c>
      <c r="C24" s="46" t="s">
        <v>1613</v>
      </c>
      <c r="D24" s="47"/>
      <c r="E24" s="47"/>
      <c r="F24" s="47"/>
      <c r="G24" s="48"/>
      <c r="H24" s="49">
        <v>1</v>
      </c>
      <c r="I24" s="50"/>
      <c r="J24" s="51">
        <f t="shared" si="10"/>
        <v>0</v>
      </c>
      <c r="K24" s="52"/>
      <c r="L24" s="104">
        <f t="shared" si="11"/>
        <v>0</v>
      </c>
      <c r="M24" s="54"/>
      <c r="N24" s="55"/>
      <c r="O24" s="45"/>
      <c r="P24" s="55"/>
      <c r="Q24" s="55"/>
      <c r="R24" s="100">
        <f t="shared" si="12"/>
        <v>0</v>
      </c>
      <c r="S24" s="57"/>
      <c r="T24" s="57"/>
      <c r="U24" s="58">
        <v>0.06</v>
      </c>
      <c r="V24" s="59">
        <f t="shared" si="13"/>
        <v>0</v>
      </c>
    </row>
    <row r="25" customFormat="1" customHeight="1" spans="1:22">
      <c r="A25" s="44" t="s">
        <v>1611</v>
      </c>
      <c r="B25" s="89" t="s">
        <v>1614</v>
      </c>
      <c r="C25" s="47" t="s">
        <v>1615</v>
      </c>
      <c r="D25" s="47"/>
      <c r="E25" s="47"/>
      <c r="F25" s="47"/>
      <c r="G25" s="48"/>
      <c r="H25" s="49">
        <v>1</v>
      </c>
      <c r="I25" s="50"/>
      <c r="J25" s="51">
        <f t="shared" si="10"/>
        <v>0</v>
      </c>
      <c r="K25" s="52"/>
      <c r="L25" s="104">
        <f t="shared" si="11"/>
        <v>0</v>
      </c>
      <c r="M25" s="54"/>
      <c r="N25" s="55"/>
      <c r="O25" s="45"/>
      <c r="P25" s="55"/>
      <c r="Q25" s="55"/>
      <c r="R25" s="100" t="str">
        <f t="shared" ref="R25:R27" si="14">IF(IF(N25&lt;&gt;"",MAX(N25-P25-O25,0),MAX(M25-P25-O25,0))=0,"‑",IF(N25&lt;&gt;"",MAX(N25-P25-O25,0),MAX(M25-P25-O25,0)))</f>
        <v>‑</v>
      </c>
      <c r="S25" s="57"/>
      <c r="T25" s="57"/>
      <c r="U25" s="58">
        <v>0.06</v>
      </c>
      <c r="V25" s="59">
        <f t="shared" si="13"/>
        <v>0</v>
      </c>
    </row>
    <row r="26" customFormat="1" customHeight="1" spans="1:22">
      <c r="A26" s="44" t="s">
        <v>1611</v>
      </c>
      <c r="B26" s="89" t="s">
        <v>1616</v>
      </c>
      <c r="C26" s="47" t="s">
        <v>1617</v>
      </c>
      <c r="D26" s="47"/>
      <c r="E26" s="47"/>
      <c r="F26" s="47"/>
      <c r="G26" s="48"/>
      <c r="H26" s="49">
        <v>1</v>
      </c>
      <c r="I26" s="50"/>
      <c r="J26" s="51">
        <f t="shared" si="10"/>
        <v>0</v>
      </c>
      <c r="K26" s="52"/>
      <c r="L26" s="53"/>
      <c r="M26" s="54"/>
      <c r="N26" s="55"/>
      <c r="O26" s="45"/>
      <c r="P26" s="55"/>
      <c r="Q26" s="55"/>
      <c r="R26" s="100" t="str">
        <f t="shared" si="14"/>
        <v>‑</v>
      </c>
      <c r="S26" s="57"/>
      <c r="T26" s="57"/>
      <c r="U26" s="58">
        <v>0.06</v>
      </c>
      <c r="V26" s="59"/>
    </row>
    <row r="27" customFormat="1" customHeight="1" spans="1:22">
      <c r="A27" s="44" t="s">
        <v>1611</v>
      </c>
      <c r="B27" s="89" t="s">
        <v>1618</v>
      </c>
      <c r="C27" s="47" t="s">
        <v>1619</v>
      </c>
      <c r="D27" s="47"/>
      <c r="E27" s="47"/>
      <c r="F27" s="47"/>
      <c r="G27" s="48"/>
      <c r="H27" s="49">
        <v>1</v>
      </c>
      <c r="I27" s="50"/>
      <c r="J27" s="51">
        <f t="shared" si="10"/>
        <v>0</v>
      </c>
      <c r="K27" s="52"/>
      <c r="L27" s="53"/>
      <c r="M27" s="54"/>
      <c r="N27" s="55"/>
      <c r="O27" s="45"/>
      <c r="P27" s="55"/>
      <c r="Q27" s="55"/>
      <c r="R27" s="100" t="str">
        <f t="shared" si="14"/>
        <v>‑</v>
      </c>
      <c r="S27" s="57"/>
      <c r="T27" s="57"/>
      <c r="U27" s="58">
        <v>0.06</v>
      </c>
      <c r="V27" s="59"/>
    </row>
    <row r="28" customFormat="1" customHeight="1" spans="1:22">
      <c r="A28" s="44" t="s">
        <v>1611</v>
      </c>
      <c r="B28" s="89" t="s">
        <v>1618</v>
      </c>
      <c r="C28" s="47" t="s">
        <v>1620</v>
      </c>
      <c r="D28" s="47"/>
      <c r="E28" s="47"/>
      <c r="F28" s="47"/>
      <c r="G28" s="48"/>
      <c r="H28" s="49">
        <v>1</v>
      </c>
      <c r="I28" s="50"/>
      <c r="J28" s="51"/>
      <c r="K28" s="52"/>
      <c r="L28" s="53"/>
      <c r="M28" s="54"/>
      <c r="N28" s="55"/>
      <c r="O28" s="45"/>
      <c r="P28" s="55"/>
      <c r="Q28" s="55"/>
      <c r="R28" s="109"/>
      <c r="S28" s="57"/>
      <c r="T28" s="57"/>
      <c r="U28" s="58">
        <v>0.06</v>
      </c>
      <c r="V28" s="59"/>
    </row>
    <row r="29" customFormat="1" customHeight="1" spans="1:22">
      <c r="A29" s="44" t="s">
        <v>1611</v>
      </c>
      <c r="B29" s="89" t="s">
        <v>1618</v>
      </c>
      <c r="C29" s="47" t="s">
        <v>1621</v>
      </c>
      <c r="D29" s="47"/>
      <c r="E29" s="47"/>
      <c r="F29" s="47"/>
      <c r="G29" s="48"/>
      <c r="H29" s="49">
        <v>1</v>
      </c>
      <c r="I29" s="50"/>
      <c r="J29" s="51"/>
      <c r="K29" s="52"/>
      <c r="L29" s="53"/>
      <c r="M29" s="54"/>
      <c r="N29" s="55"/>
      <c r="O29" s="45"/>
      <c r="P29" s="55"/>
      <c r="Q29" s="55"/>
      <c r="R29" s="56"/>
      <c r="S29" s="57"/>
      <c r="T29" s="57"/>
      <c r="U29" s="58">
        <v>0.06</v>
      </c>
      <c r="V29" s="59"/>
    </row>
    <row r="30" customFormat="1" customHeight="1" spans="1:22">
      <c r="A30" s="44" t="s">
        <v>1611</v>
      </c>
      <c r="B30" s="89" t="s">
        <v>1618</v>
      </c>
      <c r="C30" s="47" t="s">
        <v>1622</v>
      </c>
      <c r="D30" s="47"/>
      <c r="E30" s="47"/>
      <c r="F30" s="47"/>
      <c r="G30" s="48"/>
      <c r="H30" s="49">
        <v>1</v>
      </c>
      <c r="I30" s="50"/>
      <c r="J30" s="51"/>
      <c r="K30" s="52"/>
      <c r="L30" s="53"/>
      <c r="M30" s="54"/>
      <c r="N30" s="55"/>
      <c r="O30" s="45"/>
      <c r="P30" s="55"/>
      <c r="Q30" s="55"/>
      <c r="R30" s="56"/>
      <c r="S30" s="57"/>
      <c r="T30" s="57"/>
      <c r="U30" s="58">
        <v>0.06</v>
      </c>
      <c r="V30" s="59"/>
    </row>
    <row r="31" customFormat="1" customHeight="1" spans="1:22">
      <c r="A31" s="44" t="s">
        <v>1611</v>
      </c>
      <c r="B31" s="89" t="s">
        <v>1623</v>
      </c>
      <c r="C31" s="47" t="s">
        <v>1624</v>
      </c>
      <c r="D31" s="47"/>
      <c r="E31" s="47"/>
      <c r="F31" s="47"/>
      <c r="G31" s="48"/>
      <c r="H31" s="49">
        <v>1</v>
      </c>
      <c r="I31" s="50"/>
      <c r="J31" s="51"/>
      <c r="K31" s="52"/>
      <c r="L31" s="53"/>
      <c r="M31" s="54"/>
      <c r="N31" s="55"/>
      <c r="O31" s="45"/>
      <c r="P31" s="55"/>
      <c r="Q31" s="55"/>
      <c r="R31" s="56"/>
      <c r="S31" s="57"/>
      <c r="T31" s="57"/>
      <c r="U31" s="58">
        <v>0.06</v>
      </c>
      <c r="V31" s="59"/>
    </row>
    <row r="32" customFormat="1" customHeight="1" spans="1:22">
      <c r="A32" s="44" t="s">
        <v>1611</v>
      </c>
      <c r="B32" s="89" t="s">
        <v>1625</v>
      </c>
      <c r="C32" s="47" t="s">
        <v>1626</v>
      </c>
      <c r="D32" s="47"/>
      <c r="E32" s="47"/>
      <c r="F32" s="47"/>
      <c r="G32" s="48"/>
      <c r="H32" s="49">
        <v>1</v>
      </c>
      <c r="I32" s="50"/>
      <c r="J32" s="51"/>
      <c r="K32" s="52"/>
      <c r="L32" s="53"/>
      <c r="M32" s="54"/>
      <c r="N32" s="55"/>
      <c r="O32" s="45"/>
      <c r="P32" s="55"/>
      <c r="Q32" s="55"/>
      <c r="R32" s="56"/>
      <c r="S32" s="57"/>
      <c r="T32" s="57"/>
      <c r="U32" s="58">
        <v>0.06</v>
      </c>
      <c r="V32" s="59"/>
    </row>
    <row r="33" customFormat="1" customHeight="1" spans="1:22">
      <c r="A33" s="44" t="s">
        <v>1611</v>
      </c>
      <c r="B33" s="89" t="s">
        <v>1625</v>
      </c>
      <c r="C33" s="47" t="s">
        <v>1627</v>
      </c>
      <c r="D33" s="47"/>
      <c r="E33" s="47"/>
      <c r="F33" s="47"/>
      <c r="G33" s="48"/>
      <c r="H33" s="49">
        <v>1</v>
      </c>
      <c r="I33" s="50"/>
      <c r="J33" s="51"/>
      <c r="K33" s="52"/>
      <c r="L33" s="53"/>
      <c r="M33" s="54"/>
      <c r="N33" s="55"/>
      <c r="O33" s="45"/>
      <c r="P33" s="55"/>
      <c r="Q33" s="55"/>
      <c r="R33" s="56"/>
      <c r="S33" s="57"/>
      <c r="T33" s="57"/>
      <c r="U33" s="58">
        <v>0.06</v>
      </c>
      <c r="V33" s="59"/>
    </row>
    <row r="34" customFormat="1" customHeight="1" spans="1:22">
      <c r="A34" s="44" t="s">
        <v>1611</v>
      </c>
      <c r="B34" s="89" t="s">
        <v>1625</v>
      </c>
      <c r="C34" s="47" t="s">
        <v>1628</v>
      </c>
      <c r="D34" s="47"/>
      <c r="E34" s="47"/>
      <c r="F34" s="47"/>
      <c r="G34" s="48"/>
      <c r="H34" s="49">
        <v>1</v>
      </c>
      <c r="I34" s="50"/>
      <c r="J34" s="51"/>
      <c r="K34" s="52"/>
      <c r="L34" s="53"/>
      <c r="M34" s="54"/>
      <c r="N34" s="55"/>
      <c r="O34" s="45"/>
      <c r="P34" s="55"/>
      <c r="Q34" s="55"/>
      <c r="R34" s="56"/>
      <c r="S34" s="57"/>
      <c r="T34" s="57"/>
      <c r="U34" s="58">
        <v>0.06</v>
      </c>
      <c r="V34" s="59"/>
    </row>
    <row r="35" customFormat="1" customHeight="1" spans="1:22">
      <c r="A35" s="44" t="s">
        <v>1611</v>
      </c>
      <c r="B35" s="89" t="s">
        <v>1625</v>
      </c>
      <c r="C35" s="47" t="s">
        <v>1629</v>
      </c>
      <c r="D35" s="47"/>
      <c r="E35" s="47"/>
      <c r="F35" s="47"/>
      <c r="G35" s="48"/>
      <c r="H35" s="49">
        <v>1</v>
      </c>
      <c r="I35" s="50"/>
      <c r="J35" s="51"/>
      <c r="K35" s="52"/>
      <c r="L35" s="53"/>
      <c r="M35" s="54"/>
      <c r="N35" s="55"/>
      <c r="O35" s="45"/>
      <c r="P35" s="55"/>
      <c r="Q35" s="55"/>
      <c r="R35" s="56"/>
      <c r="S35" s="57"/>
      <c r="T35" s="57"/>
      <c r="U35" s="58">
        <v>0.06</v>
      </c>
      <c r="V35" s="59"/>
    </row>
    <row r="36" customFormat="1" customHeight="1" spans="1:22">
      <c r="A36" s="44" t="s">
        <v>1611</v>
      </c>
      <c r="B36" s="89" t="s">
        <v>1630</v>
      </c>
      <c r="C36" s="47" t="s">
        <v>1631</v>
      </c>
      <c r="D36" s="47"/>
      <c r="E36" s="47"/>
      <c r="F36" s="47"/>
      <c r="G36" s="48"/>
      <c r="H36" s="49">
        <v>1</v>
      </c>
      <c r="I36" s="50"/>
      <c r="J36" s="51"/>
      <c r="K36" s="52"/>
      <c r="L36" s="53"/>
      <c r="M36" s="54"/>
      <c r="N36" s="55"/>
      <c r="O36" s="45"/>
      <c r="P36" s="55"/>
      <c r="Q36" s="55"/>
      <c r="R36" s="56"/>
      <c r="S36" s="57"/>
      <c r="T36" s="57"/>
      <c r="U36" s="58">
        <v>0.06</v>
      </c>
      <c r="V36" s="59"/>
    </row>
    <row r="37" customFormat="1" customHeight="1" spans="1:22">
      <c r="A37" s="44" t="s">
        <v>1611</v>
      </c>
      <c r="B37" s="89" t="s">
        <v>1630</v>
      </c>
      <c r="C37" s="47" t="s">
        <v>1632</v>
      </c>
      <c r="D37" s="47"/>
      <c r="E37" s="47"/>
      <c r="F37" s="47"/>
      <c r="G37" s="48"/>
      <c r="H37" s="49">
        <v>1</v>
      </c>
      <c r="I37" s="50"/>
      <c r="J37" s="51"/>
      <c r="K37" s="52"/>
      <c r="L37" s="53"/>
      <c r="M37" s="54"/>
      <c r="N37" s="55"/>
      <c r="O37" s="45"/>
      <c r="P37" s="55"/>
      <c r="Q37" s="55"/>
      <c r="R37" s="56"/>
      <c r="S37" s="57"/>
      <c r="T37" s="57"/>
      <c r="U37" s="58"/>
      <c r="V37" s="59"/>
    </row>
    <row r="38" customFormat="1" customHeight="1" spans="1:22">
      <c r="A38" s="44" t="s">
        <v>1611</v>
      </c>
      <c r="B38" s="89" t="s">
        <v>1633</v>
      </c>
      <c r="C38" s="47" t="s">
        <v>1634</v>
      </c>
      <c r="D38" s="47"/>
      <c r="E38" s="47"/>
      <c r="F38" s="47"/>
      <c r="G38" s="48"/>
      <c r="H38" s="49">
        <v>1</v>
      </c>
      <c r="I38" s="50"/>
      <c r="J38" s="51"/>
      <c r="K38" s="52"/>
      <c r="L38" s="53"/>
      <c r="M38" s="54"/>
      <c r="N38" s="55"/>
      <c r="O38" s="45"/>
      <c r="P38" s="55"/>
      <c r="Q38" s="55"/>
      <c r="R38" s="56"/>
      <c r="S38" s="57"/>
      <c r="T38" s="57"/>
      <c r="U38" s="58"/>
      <c r="V38" s="59"/>
    </row>
    <row r="39" customFormat="1" customHeight="1" spans="1:22">
      <c r="A39" s="44" t="s">
        <v>1611</v>
      </c>
      <c r="B39" s="89" t="s">
        <v>1633</v>
      </c>
      <c r="C39" s="47" t="s">
        <v>1635</v>
      </c>
      <c r="D39" s="47"/>
      <c r="E39" s="47"/>
      <c r="F39" s="47"/>
      <c r="G39" s="48"/>
      <c r="H39" s="49">
        <v>1</v>
      </c>
      <c r="I39" s="50"/>
      <c r="J39" s="51"/>
      <c r="K39" s="52"/>
      <c r="L39" s="53"/>
      <c r="M39" s="54"/>
      <c r="N39" s="55"/>
      <c r="O39" s="45"/>
      <c r="P39" s="55"/>
      <c r="Q39" s="55"/>
      <c r="R39" s="56"/>
      <c r="S39" s="57"/>
      <c r="T39" s="57"/>
      <c r="U39" s="58"/>
      <c r="V39" s="59"/>
    </row>
    <row r="40" customFormat="1" customHeight="1" spans="1:22">
      <c r="A40" s="44" t="s">
        <v>1611</v>
      </c>
      <c r="B40" s="89" t="s">
        <v>1636</v>
      </c>
      <c r="C40" s="46" t="s">
        <v>1637</v>
      </c>
      <c r="D40" s="47"/>
      <c r="E40" s="47"/>
      <c r="F40" s="47"/>
      <c r="G40" s="48"/>
      <c r="H40" s="49">
        <v>1</v>
      </c>
      <c r="I40" s="50"/>
      <c r="J40" s="51"/>
      <c r="K40" s="52"/>
      <c r="L40" s="53"/>
      <c r="M40" s="54"/>
      <c r="N40" s="55"/>
      <c r="O40" s="45"/>
      <c r="P40" s="55"/>
      <c r="Q40" s="55"/>
      <c r="R40" s="56"/>
      <c r="S40" s="57"/>
      <c r="T40" s="57"/>
      <c r="U40" s="58"/>
      <c r="V40" s="59"/>
    </row>
    <row r="41" customFormat="1" customHeight="1" spans="1:22">
      <c r="A41" s="44" t="s">
        <v>1611</v>
      </c>
      <c r="B41" s="89" t="s">
        <v>1638</v>
      </c>
      <c r="C41" s="47" t="s">
        <v>1639</v>
      </c>
      <c r="D41" s="47"/>
      <c r="E41" s="47"/>
      <c r="F41" s="47"/>
      <c r="G41" s="48"/>
      <c r="H41" s="49">
        <v>1</v>
      </c>
      <c r="I41" s="50"/>
      <c r="J41" s="51"/>
      <c r="K41" s="52"/>
      <c r="L41" s="53"/>
      <c r="M41" s="54"/>
      <c r="N41" s="55"/>
      <c r="O41" s="45"/>
      <c r="P41" s="55"/>
      <c r="Q41" s="55"/>
      <c r="R41" s="56"/>
      <c r="S41" s="57"/>
      <c r="T41" s="57"/>
      <c r="U41" s="58"/>
      <c r="V41" s="59"/>
    </row>
    <row r="42" customFormat="1" customHeight="1" spans="1:22">
      <c r="A42" s="44" t="s">
        <v>1611</v>
      </c>
      <c r="B42" s="89" t="s">
        <v>1638</v>
      </c>
      <c r="C42" s="47" t="s">
        <v>1640</v>
      </c>
      <c r="D42" s="47"/>
      <c r="E42" s="47"/>
      <c r="F42" s="47"/>
      <c r="G42" s="48"/>
      <c r="H42" s="49">
        <v>1</v>
      </c>
      <c r="I42" s="50"/>
      <c r="J42" s="51"/>
      <c r="K42" s="52"/>
      <c r="L42" s="53"/>
      <c r="M42" s="54"/>
      <c r="N42" s="55"/>
      <c r="O42" s="45"/>
      <c r="P42" s="55"/>
      <c r="Q42" s="55"/>
      <c r="R42" s="56"/>
      <c r="S42" s="57"/>
      <c r="T42" s="57"/>
      <c r="U42" s="58"/>
      <c r="V42" s="59"/>
    </row>
    <row r="43" customFormat="1" customHeight="1" spans="1:22">
      <c r="A43" s="44" t="s">
        <v>1611</v>
      </c>
      <c r="B43" s="89" t="s">
        <v>1641</v>
      </c>
      <c r="C43" s="47" t="s">
        <v>1642</v>
      </c>
      <c r="D43" s="47"/>
      <c r="E43" s="47"/>
      <c r="F43" s="47"/>
      <c r="G43" s="48"/>
      <c r="H43" s="49">
        <v>1</v>
      </c>
      <c r="I43" s="50"/>
      <c r="J43" s="51"/>
      <c r="K43" s="52"/>
      <c r="L43" s="53"/>
      <c r="M43" s="54"/>
      <c r="N43" s="55"/>
      <c r="O43" s="45"/>
      <c r="P43" s="55"/>
      <c r="Q43" s="55"/>
      <c r="R43" s="56"/>
      <c r="S43" s="57"/>
      <c r="T43" s="57"/>
      <c r="U43" s="58"/>
      <c r="V43" s="59"/>
    </row>
    <row r="44" customFormat="1" customHeight="1" spans="1:22">
      <c r="A44" s="44" t="s">
        <v>1611</v>
      </c>
      <c r="B44" s="110" t="s">
        <v>1643</v>
      </c>
      <c r="C44" s="47" t="s">
        <v>1644</v>
      </c>
      <c r="D44" s="47"/>
      <c r="E44" s="47"/>
      <c r="F44" s="47"/>
      <c r="G44" s="48"/>
      <c r="H44" s="49">
        <v>1</v>
      </c>
      <c r="I44" s="50"/>
      <c r="J44" s="51"/>
      <c r="K44" s="52"/>
      <c r="L44" s="53"/>
      <c r="M44" s="54"/>
      <c r="N44" s="55"/>
      <c r="O44" s="45"/>
      <c r="P44" s="55"/>
      <c r="Q44" s="55"/>
      <c r="R44" s="56"/>
      <c r="S44" s="57"/>
      <c r="T44" s="57"/>
      <c r="U44" s="58"/>
      <c r="V44" s="59"/>
    </row>
    <row r="45" customFormat="1" customHeight="1" spans="1:22">
      <c r="A45" s="44" t="s">
        <v>1611</v>
      </c>
      <c r="B45" s="110" t="s">
        <v>1645</v>
      </c>
      <c r="C45" s="47" t="s">
        <v>1646</v>
      </c>
      <c r="D45" s="47"/>
      <c r="E45" s="47"/>
      <c r="F45" s="47"/>
      <c r="G45" s="48"/>
      <c r="H45" s="49">
        <v>1</v>
      </c>
      <c r="I45" s="50"/>
      <c r="J45" s="51"/>
      <c r="K45" s="52"/>
      <c r="L45" s="53"/>
      <c r="M45" s="54"/>
      <c r="N45" s="55"/>
      <c r="O45" s="45"/>
      <c r="P45" s="55"/>
      <c r="Q45" s="55"/>
      <c r="R45" s="56"/>
      <c r="S45" s="57"/>
      <c r="T45" s="57"/>
      <c r="U45" s="58"/>
      <c r="V45" s="59"/>
    </row>
    <row r="46" customFormat="1" customHeight="1" spans="1:22">
      <c r="A46" s="44" t="s">
        <v>1611</v>
      </c>
      <c r="B46" s="110" t="s">
        <v>1647</v>
      </c>
      <c r="C46" s="47" t="s">
        <v>1648</v>
      </c>
      <c r="D46" s="47"/>
      <c r="E46" s="47"/>
      <c r="F46" s="47"/>
      <c r="G46" s="48"/>
      <c r="H46" s="49">
        <v>1</v>
      </c>
      <c r="I46" s="50"/>
      <c r="J46" s="51"/>
      <c r="K46" s="52"/>
      <c r="L46" s="53"/>
      <c r="M46" s="54"/>
      <c r="N46" s="55"/>
      <c r="O46" s="45"/>
      <c r="P46" s="55"/>
      <c r="Q46" s="55"/>
      <c r="R46" s="56"/>
      <c r="S46" s="57"/>
      <c r="T46" s="57"/>
      <c r="U46" s="58"/>
      <c r="V46" s="59"/>
    </row>
    <row r="47" customFormat="1" customHeight="1" spans="1:22">
      <c r="A47" s="44" t="s">
        <v>1611</v>
      </c>
      <c r="B47" s="89" t="s">
        <v>1571</v>
      </c>
      <c r="C47" s="47" t="s">
        <v>1572</v>
      </c>
      <c r="D47" s="47"/>
      <c r="E47" s="47"/>
      <c r="F47" s="47"/>
      <c r="G47" s="48"/>
      <c r="H47" s="49"/>
      <c r="I47" s="50"/>
      <c r="J47" s="51"/>
      <c r="K47" s="52"/>
      <c r="L47" s="53"/>
      <c r="M47" s="54"/>
      <c r="N47" s="55"/>
      <c r="O47" s="45"/>
      <c r="P47" s="55"/>
      <c r="Q47" s="55"/>
      <c r="R47" s="56"/>
      <c r="S47" s="57"/>
      <c r="T47" s="57"/>
      <c r="U47" s="58"/>
      <c r="V47" s="59"/>
    </row>
  </sheetData>
  <autoFilter xmlns:etc="http://www.wps.cn/officeDocument/2017/etCustomData" ref="A1:V47" etc:filterBottomFollowUsedRange="0">
    <extLst/>
  </autoFilter>
  <mergeCells count="3">
    <mergeCell ref="A1:A2"/>
    <mergeCell ref="B1:B2"/>
    <mergeCell ref="C1:C2"/>
  </mergeCell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workbookViewId="0">
      <selection activeCell="I27" sqref="I27"/>
    </sheetView>
  </sheetViews>
  <sheetFormatPr defaultColWidth="9" defaultRowHeight="13.5" outlineLevelRow="2"/>
  <sheetData>
    <row r="1" s="19" customFormat="1" ht="24" customHeight="1" spans="1:22">
      <c r="A1" s="20" t="s">
        <v>1351</v>
      </c>
      <c r="B1" s="21" t="s">
        <v>1352</v>
      </c>
      <c r="C1" s="22" t="s">
        <v>1353</v>
      </c>
      <c r="D1" s="23" t="s">
        <v>1354</v>
      </c>
      <c r="E1" s="24"/>
      <c r="F1" s="25" t="s">
        <v>1355</v>
      </c>
      <c r="G1" s="26" t="s">
        <v>1356</v>
      </c>
      <c r="H1" s="27" t="s">
        <v>1357</v>
      </c>
      <c r="I1" s="28" t="s">
        <v>1358</v>
      </c>
      <c r="J1" s="29" t="s">
        <v>1359</v>
      </c>
      <c r="K1" s="29" t="s">
        <v>1360</v>
      </c>
      <c r="L1" s="30" t="s">
        <v>1361</v>
      </c>
      <c r="M1" s="31" t="s">
        <v>1362</v>
      </c>
      <c r="N1" s="32" t="s">
        <v>1363</v>
      </c>
      <c r="O1" s="31" t="s">
        <v>1364</v>
      </c>
      <c r="P1" s="32" t="s">
        <v>1365</v>
      </c>
      <c r="Q1" s="32" t="s">
        <v>1366</v>
      </c>
      <c r="R1" s="33" t="s">
        <v>1367</v>
      </c>
      <c r="S1" s="34" t="s">
        <v>1368</v>
      </c>
      <c r="T1" s="35" t="s">
        <v>1649</v>
      </c>
      <c r="U1" s="36" t="s">
        <v>1370</v>
      </c>
      <c r="V1" s="36" t="s">
        <v>1371</v>
      </c>
    </row>
    <row r="2" s="19" customFormat="1" ht="24" customHeight="1" spans="1:22">
      <c r="A2" s="37"/>
      <c r="B2" s="38"/>
      <c r="C2" s="39"/>
      <c r="D2" s="40"/>
      <c r="E2" s="40"/>
      <c r="F2" s="40"/>
      <c r="G2" s="40"/>
      <c r="H2" s="41">
        <f t="shared" ref="H2:L2" si="0">SUM(H3:H1001)</f>
        <v>0</v>
      </c>
      <c r="I2" s="42"/>
      <c r="J2" s="42">
        <f t="shared" si="0"/>
        <v>0</v>
      </c>
      <c r="K2" s="42">
        <f t="shared" si="0"/>
        <v>0</v>
      </c>
      <c r="L2" s="42">
        <f t="shared" si="0"/>
        <v>0</v>
      </c>
      <c r="M2" s="43"/>
      <c r="N2" s="42">
        <f t="shared" ref="N2:R2" si="1">SUM(N3:N1001)</f>
        <v>0</v>
      </c>
      <c r="O2" s="43"/>
      <c r="P2" s="42">
        <f t="shared" si="1"/>
        <v>0</v>
      </c>
      <c r="Q2" s="42">
        <f t="shared" si="1"/>
        <v>0</v>
      </c>
      <c r="R2" s="42">
        <f t="shared" si="1"/>
        <v>0</v>
      </c>
      <c r="S2" s="42"/>
      <c r="T2" s="42"/>
      <c r="U2" s="42"/>
      <c r="V2" s="42">
        <f>SUM(V3:V1001)</f>
        <v>0</v>
      </c>
    </row>
    <row r="3" ht="14.25"/>
  </sheetData>
  <mergeCells count="3">
    <mergeCell ref="A1:A2"/>
    <mergeCell ref="B1:B2"/>
    <mergeCell ref="C1:C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G15" sqref="G15"/>
    </sheetView>
  </sheetViews>
  <sheetFormatPr defaultColWidth="9" defaultRowHeight="13.5"/>
  <cols>
    <col min="3" max="3" width="19.375" customWidth="1"/>
    <col min="4" max="5" width="14.5" customWidth="1"/>
    <col min="6" max="6" width="11.5" customWidth="1"/>
    <col min="13" max="13" width="34.5" customWidth="1"/>
  </cols>
  <sheetData>
    <row r="1" s="1" customFormat="1" ht="30" customHeight="1" spans="1:14">
      <c r="A1" s="2" t="s">
        <v>1650</v>
      </c>
      <c r="B1" s="3" t="s">
        <v>1651</v>
      </c>
      <c r="C1" s="4" t="s">
        <v>1652</v>
      </c>
      <c r="D1" s="5" t="s">
        <v>1653</v>
      </c>
      <c r="E1" s="6"/>
      <c r="F1" s="7" t="s">
        <v>1654</v>
      </c>
      <c r="G1" s="7" t="s">
        <v>1655</v>
      </c>
      <c r="H1" s="7" t="s">
        <v>1656</v>
      </c>
      <c r="I1" s="8" t="s">
        <v>1364</v>
      </c>
      <c r="J1" s="9" t="s">
        <v>1365</v>
      </c>
      <c r="K1" s="10" t="s">
        <v>1657</v>
      </c>
      <c r="L1" s="11" t="s">
        <v>1658</v>
      </c>
      <c r="M1" s="12" t="s">
        <v>1659</v>
      </c>
      <c r="N1" s="13"/>
    </row>
    <row r="2" ht="14.25" spans="1:14">
      <c r="C2" s="14" t="s">
        <v>1471</v>
      </c>
      <c r="D2" s="15">
        <v>45896</v>
      </c>
      <c r="E2" s="16">
        <v>46260</v>
      </c>
      <c r="F2" s="17">
        <v>6000</v>
      </c>
      <c r="M2" s="18" t="s">
        <v>1660</v>
      </c>
    </row>
    <row r="3" ht="14.25" spans="1:14">
      <c r="C3" s="14" t="s">
        <v>1471</v>
      </c>
      <c r="D3" s="15">
        <v>46261</v>
      </c>
      <c r="E3" s="16">
        <v>46625</v>
      </c>
      <c r="F3" s="17">
        <v>6000</v>
      </c>
      <c r="M3" s="18" t="s">
        <v>1660</v>
      </c>
    </row>
    <row r="4" spans="1:14">
      <c r="F4" s="17"/>
    </row>
    <row r="5" spans="1:14">
      <c r="F5" s="17"/>
    </row>
    <row r="6" spans="1:14">
      <c r="F6" s="17"/>
    </row>
    <row r="7" spans="1:14">
      <c r="F7" s="17"/>
    </row>
    <row r="8" spans="1:14">
      <c r="F8" s="17"/>
    </row>
    <row r="9" spans="1:14">
      <c r="F9" s="17"/>
    </row>
    <row r="10" spans="1:14">
      <c r="F10" s="1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电梯档案</vt:lpstr>
      <vt:lpstr>刘丕斌徐少斌夏凯</vt:lpstr>
      <vt:lpstr>陆莹杨凯</vt:lpstr>
      <vt:lpstr>刘坤田超</vt:lpstr>
      <vt:lpstr>陈彪姚永华梅思阳</vt:lpstr>
      <vt:lpstr>胡春平</vt:lpstr>
      <vt:lpstr>Sheet5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一寸时光</cp:lastModifiedBy>
  <dcterms:created xsi:type="dcterms:W3CDTF">2023-05-12T11:15:00Z</dcterms:created>
  <dcterms:modified xsi:type="dcterms:W3CDTF">2026-09-23T02:35:28Z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D5810EE392BF417BB7ACDDA94B93EB09_12</vt:lpwstr>
  </property>
  <property fmtid="{D5CDD505-2E9C-101B-9397-08002B2CF9AE}" pid="4" name="CalculationRule">
    <vt:i4>0</vt:i4>
  </property>
</Properties>
</file>