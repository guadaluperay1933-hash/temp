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F:\微信\xwechat_files\wxid_zxwmsuqw4qi729_d4c6\msg\file\2026-09\"/>
    </mc:Choice>
  </mc:AlternateContent>
  <bookViews>
    <workbookView windowWidth="28800" windowHeight="12375"/>
  </bookViews>
  <sheets>
    <sheet name="明细表" sheetId="1" r:id="rId1"/>
    <sheet name="海运费" sheetId="3" r:id="rId2"/>
  </sheets>
  <calcPr calcId="191029" iterate="1" iterateCount="1"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<sst xmlns="http://schemas.openxmlformats.org/spreadsheetml/2006/main" count="478" uniqueCount="290">
  <si>
    <t>嘉禾采购清单明细</t>
  </si>
  <si>
    <t xml:space="preserve">提单号：XMCX60772400                  柜号： MSKU9402161                         合同号：FJMZL-JH2026013
                                                              </t>
  </si>
  <si>
    <t>序号</t>
  </si>
  <si>
    <t>品名</t>
  </si>
  <si>
    <t>品牌</t>
  </si>
  <si>
    <t>规格型号</t>
  </si>
  <si>
    <t>单位</t>
  </si>
  <si>
    <t>数量</t>
  </si>
  <si>
    <t>单价</t>
  </si>
  <si>
    <t>金额</t>
  </si>
  <si>
    <t>备注</t>
  </si>
  <si>
    <t>一米芸YMY-9222G22寸液晶监视器</t>
  </si>
  <si>
    <t>台</t>
  </si>
  <si>
    <t>寄FJMZL-JH202606货柜</t>
  </si>
  <si>
    <t>道夹板+螺丝</t>
  </si>
  <si>
    <t>套</t>
  </si>
  <si>
    <t>寄FJMZL-JH202605货柜</t>
  </si>
  <si>
    <t>KSY-12D-16 温度控制器</t>
  </si>
  <si>
    <t>寄FJMZL-JH202607货柜</t>
  </si>
  <si>
    <t>热电偶</t>
  </si>
  <si>
    <t>根</t>
  </si>
  <si>
    <t>旋片式真空泵</t>
  </si>
  <si>
    <t>上海双鹅</t>
  </si>
  <si>
    <t>白管</t>
  </si>
  <si>
    <t>重量24.4/24.5/24.7/24.6/24.6</t>
  </si>
  <si>
    <t>KG</t>
  </si>
  <si>
    <t>尖嘴钳</t>
  </si>
  <si>
    <t>支</t>
  </si>
  <si>
    <t>正泰手柄</t>
  </si>
  <si>
    <t>个</t>
  </si>
  <si>
    <t>正泰 XJ3-G</t>
  </si>
  <si>
    <t>只</t>
  </si>
  <si>
    <t>老虎钳（好的）</t>
  </si>
  <si>
    <t>把</t>
  </si>
  <si>
    <t>空压机空滤</t>
  </si>
  <si>
    <t>铜铝鼻子240</t>
  </si>
  <si>
    <t>铜铝鼻子150</t>
  </si>
  <si>
    <t>铜铝鼻子120</t>
  </si>
  <si>
    <t>铜铝鼻子95</t>
  </si>
  <si>
    <t>铜铝鼻子70</t>
  </si>
  <si>
    <t>铜铝鼻子50</t>
  </si>
  <si>
    <t>铜铝鼻子35</t>
  </si>
  <si>
    <t>铝芯电缆</t>
  </si>
  <si>
    <t>米</t>
  </si>
  <si>
    <t>正泰空气开关</t>
  </si>
  <si>
    <t>电机综合保护器</t>
  </si>
  <si>
    <t>监控视频线</t>
  </si>
  <si>
    <t>305米/箱   4箱</t>
  </si>
  <si>
    <t>正泰三相四线400A塑壳式断路器</t>
  </si>
  <si>
    <t>240mm铜铝鼻子</t>
  </si>
  <si>
    <t>120mm铜铝鼻子</t>
  </si>
  <si>
    <t>95mm铜铝鼻子</t>
  </si>
  <si>
    <t>50mm铜铝鼻子</t>
  </si>
  <si>
    <t>100A铜线开口鼻子</t>
  </si>
  <si>
    <t>150A铜线开口鼻子</t>
  </si>
  <si>
    <t>250A铜线开口鼻子</t>
  </si>
  <si>
    <t>400A铜线开口鼻子</t>
  </si>
  <si>
    <t>6米10吨吊带 /6倍国标</t>
  </si>
  <si>
    <t>6米5吨吊带/6倍国标</t>
  </si>
  <si>
    <t>4米5吨吊带/6倍国标</t>
  </si>
  <si>
    <t>4米10吨吊带/6倍国标</t>
  </si>
  <si>
    <t>10米绑带</t>
  </si>
  <si>
    <t>20号钢丝绳卡子（猫爪卡子）</t>
  </si>
  <si>
    <t>吊装环U型环55T带螺母</t>
  </si>
  <si>
    <t>铁锹</t>
  </si>
  <si>
    <t>镐子</t>
  </si>
  <si>
    <t>耙子把</t>
  </si>
  <si>
    <t>电锯链条</t>
  </si>
  <si>
    <t>美工刀</t>
  </si>
  <si>
    <t>羊角锤</t>
  </si>
  <si>
    <t>卷尺（5米）</t>
  </si>
  <si>
    <t>万里马盒/12个</t>
  </si>
  <si>
    <t>盒</t>
  </si>
  <si>
    <t>黑色电工胶带</t>
  </si>
  <si>
    <t>卷</t>
  </si>
  <si>
    <t>花色电工胶带（红.黄.蓝.绿）</t>
  </si>
  <si>
    <t>套筒扳手</t>
  </si>
  <si>
    <t>4分阀门</t>
  </si>
  <si>
    <t>6分阀门</t>
  </si>
  <si>
    <t>6分镀锌丝牙</t>
  </si>
  <si>
    <t>4分镀锌丝牙</t>
  </si>
  <si>
    <t>等离子割嘴</t>
  </si>
  <si>
    <t>焊把钳</t>
  </si>
  <si>
    <t>焊把接头</t>
  </si>
  <si>
    <t>螺丝刀（一字）</t>
  </si>
  <si>
    <t>螺丝刀（十字）</t>
  </si>
  <si>
    <t>老虎钳</t>
  </si>
  <si>
    <t>活动扳手（300*36）</t>
  </si>
  <si>
    <t>氧气管</t>
  </si>
  <si>
    <t>盘</t>
  </si>
  <si>
    <t>博尔格手套608</t>
  </si>
  <si>
    <t>副</t>
  </si>
  <si>
    <t>矿灯本安KL5LM(C)</t>
  </si>
  <si>
    <t>充电两用</t>
  </si>
  <si>
    <t>真空泵（2XZ-2型旋片式）</t>
  </si>
  <si>
    <t>内六角扳手</t>
  </si>
  <si>
    <t>5套</t>
  </si>
  <si>
    <t>黄油枪头</t>
  </si>
  <si>
    <t>黄油枪头嘴</t>
  </si>
  <si>
    <t>手动攻丝头（内外丝）2分到3寸</t>
  </si>
  <si>
    <t>实验室用电子秤</t>
  </si>
  <si>
    <t>牛郎星手套</t>
  </si>
  <si>
    <t>铁簸箕</t>
  </si>
  <si>
    <t>三角耙子</t>
  </si>
  <si>
    <t>高筒工矿靴</t>
  </si>
  <si>
    <t>飞鹤</t>
  </si>
  <si>
    <t>40.41.42.44/各50</t>
  </si>
  <si>
    <t>双</t>
  </si>
  <si>
    <t>45-46/个50</t>
  </si>
  <si>
    <t>扒钉</t>
  </si>
  <si>
    <t>12*200*60</t>
  </si>
  <si>
    <t>吨</t>
  </si>
  <si>
    <t>江淮叉车CPC35H3</t>
  </si>
  <si>
    <t>江淮</t>
  </si>
  <si>
    <t>配新昌 4D29V41,3米门架，
二级自由提升，
1.3米加宽货叉架；
侧移器，前轮双胎
（充气）；后轮实心胎；
双空滤，
1.37米货叉，3.5吨。</t>
  </si>
  <si>
    <t>8吨越野叉车</t>
  </si>
  <si>
    <t>潍坊4105增压发电机国二，
2节3米门架，
12R-22.5真空钢丝轮胎，
1520货叉，送首保一套。</t>
  </si>
  <si>
    <t>越野轮胎</t>
  </si>
  <si>
    <t>12R22.5</t>
  </si>
  <si>
    <t>铜芯电缆ZC-YJV</t>
  </si>
  <si>
    <t>永通中策杭缆</t>
  </si>
  <si>
    <t>3*10</t>
  </si>
  <si>
    <t>3*16</t>
  </si>
  <si>
    <t>铜芯电缆ZC-RVV</t>
  </si>
  <si>
    <t>3*6</t>
  </si>
  <si>
    <t>3*35</t>
  </si>
  <si>
    <t>1*16</t>
  </si>
  <si>
    <t>屏蔽铜芯电缆 ZC-KVVP</t>
  </si>
  <si>
    <t>5*2.5</t>
  </si>
  <si>
    <t>7*2.5</t>
  </si>
  <si>
    <t>YT28短气腿</t>
  </si>
  <si>
    <t>钎卡</t>
  </si>
  <si>
    <t>YT24---2.07</t>
  </si>
  <si>
    <t>钎卡螺栓及母</t>
  </si>
  <si>
    <t>YT24---2.06</t>
  </si>
  <si>
    <t>管接套</t>
  </si>
  <si>
    <t>Q/LB14-92-A25</t>
  </si>
  <si>
    <t>花键母</t>
  </si>
  <si>
    <t>YT28---2.09</t>
  </si>
  <si>
    <t>螺旋母</t>
  </si>
  <si>
    <t>YT28---1.08</t>
  </si>
  <si>
    <t>I型非金属 嵌件六角锁紧螺母</t>
  </si>
  <si>
    <t>GB889   M16-Zn.B</t>
  </si>
  <si>
    <t>岩机修理包</t>
  </si>
  <si>
    <t>包</t>
  </si>
  <si>
    <t>气针</t>
  </si>
  <si>
    <t>YT28---3.05</t>
  </si>
  <si>
    <t>水针</t>
  </si>
  <si>
    <t>YT28---3.04</t>
  </si>
  <si>
    <t>铝管</t>
  </si>
  <si>
    <t>YT28</t>
  </si>
  <si>
    <t>注水阀总成</t>
  </si>
  <si>
    <t>气腿气针（管）</t>
  </si>
  <si>
    <t>长螺杆</t>
  </si>
  <si>
    <t>YT28---3.02</t>
  </si>
  <si>
    <t>操作把</t>
  </si>
  <si>
    <t>操作把插销</t>
  </si>
  <si>
    <t>调压阀总成</t>
  </si>
  <si>
    <t>YT28---3.14</t>
  </si>
  <si>
    <t>扳 机</t>
  </si>
  <si>
    <t>YT24---3.12</t>
  </si>
  <si>
    <t>弹性圆柱销</t>
  </si>
  <si>
    <t>GB8798×24</t>
  </si>
  <si>
    <t>气腿顶尖螺丝带弹簧垫</t>
  </si>
  <si>
    <t>气腿上管座（气腿柄体总成）</t>
  </si>
  <si>
    <t>气腿下管座</t>
  </si>
  <si>
    <t>气管弯头</t>
  </si>
  <si>
    <t>YT28---3.11</t>
  </si>
  <si>
    <t>水管弯头</t>
  </si>
  <si>
    <t>YT28---3.18</t>
  </si>
  <si>
    <t>电机2.2KW-6 380V/50赫兹/B</t>
  </si>
  <si>
    <t>永辉风机</t>
  </si>
  <si>
    <t>101A-2干燥箱温控器</t>
  </si>
  <si>
    <t>南昌力源</t>
  </si>
  <si>
    <t>HH-4型20孔水浴锅</t>
  </si>
  <si>
    <t>KTY-7100A温控器</t>
  </si>
  <si>
    <t>HH-4型陶瓷碗</t>
  </si>
  <si>
    <t>徐工500铲车F斗齿-配套</t>
  </si>
  <si>
    <t>徐工500铲车F边齿-配套</t>
  </si>
  <si>
    <t>左</t>
  </si>
  <si>
    <t>右</t>
  </si>
  <si>
    <t xml:space="preserve">徐工斗齿螺丝及螺帽 </t>
  </si>
  <si>
    <t>柳工50C齿套-配套</t>
  </si>
  <si>
    <t>柳工50C斗齿捎及垫</t>
  </si>
  <si>
    <t>临工50C铲车-边齿-配套</t>
  </si>
  <si>
    <t>72A0008左</t>
  </si>
  <si>
    <t>72A0006右</t>
  </si>
  <si>
    <t>临工953斗齿-配套</t>
  </si>
  <si>
    <t>合金耐磨型</t>
  </si>
  <si>
    <t>临工953边齿-配套</t>
  </si>
  <si>
    <t>罗孔距8CM/左</t>
  </si>
  <si>
    <t>罗孔距8CM/右</t>
  </si>
  <si>
    <t>临工953斗齿螺丝及帽</t>
  </si>
  <si>
    <t>桥罗丝及帽（30*110）</t>
  </si>
  <si>
    <t>桥罗丝及帽（30*130）</t>
  </si>
  <si>
    <t>潜水泵</t>
  </si>
  <si>
    <t>天河北斗星</t>
  </si>
  <si>
    <t>WQ10-45-3</t>
  </si>
  <si>
    <t>污水潜水电泵</t>
  </si>
  <si>
    <t>WQ40-60-13</t>
  </si>
  <si>
    <t>水泵木箱</t>
  </si>
  <si>
    <t>1150*270*270</t>
  </si>
  <si>
    <t>900*300*380</t>
  </si>
  <si>
    <t>1.2米加厚压条取出器</t>
  </si>
  <si>
    <t>1.2米加厚轮胎击杆</t>
  </si>
  <si>
    <t>1米锰钢撬棍</t>
  </si>
  <si>
    <t>螺纹丝锥4分</t>
  </si>
  <si>
    <t>螺纹丝锥6分</t>
  </si>
  <si>
    <t>螺纹丝锥1寸</t>
  </si>
  <si>
    <t>螺纹丝锥1.2寸</t>
  </si>
  <si>
    <t>螺纹丝锥1.5寸</t>
  </si>
  <si>
    <t>螺纹丝锥2寸</t>
  </si>
  <si>
    <t>自卸车机油滤清总成</t>
  </si>
  <si>
    <t>UJ-034A</t>
  </si>
  <si>
    <t>燃油精滤器</t>
  </si>
  <si>
    <t>WK962/7（2047）C12</t>
  </si>
  <si>
    <t>滤芯和滤总成</t>
  </si>
  <si>
    <t>PRELINE420(2411)C12</t>
  </si>
  <si>
    <t>黄油嘴10#</t>
  </si>
  <si>
    <t>M10</t>
  </si>
  <si>
    <t>黄油嘴12#</t>
  </si>
  <si>
    <t>M12</t>
  </si>
  <si>
    <t>集装箱（柜号：MSKU9402161)</t>
  </si>
  <si>
    <t>柜</t>
  </si>
  <si>
    <t>运费-扒钉（邯郸 -漳州）</t>
  </si>
  <si>
    <t>趟</t>
  </si>
  <si>
    <t>运费-水泵（山西-漳州）</t>
  </si>
  <si>
    <t>运费-8吨叉车（青岛-漳州）</t>
  </si>
  <si>
    <t>运费（苏州-漳州）
永辉风机电机2个</t>
  </si>
  <si>
    <t>装柜搬运费</t>
  </si>
  <si>
    <t>叉车装卸费</t>
  </si>
  <si>
    <t>装柜餐费</t>
  </si>
  <si>
    <t>人</t>
  </si>
  <si>
    <t>装柜水费</t>
  </si>
  <si>
    <t>海运费</t>
  </si>
  <si>
    <t>合计</t>
  </si>
  <si>
    <t/>
  </si>
  <si>
    <t>福建全力供应链管理有限公司</t>
  </si>
  <si>
    <t>费用确认单</t>
  </si>
  <si>
    <t>TO:福建马扎罗贸易有限公司</t>
  </si>
  <si>
    <t xml:space="preserve">ATTN:  </t>
  </si>
  <si>
    <t xml:space="preserve">TEL:  </t>
  </si>
  <si>
    <t>FAX:</t>
  </si>
  <si>
    <t>制单日期：2026.07.09</t>
  </si>
  <si>
    <t>托 运 人</t>
  </si>
  <si>
    <t>福建马扎罗贸易有限公司</t>
  </si>
  <si>
    <t>船名航次</t>
  </si>
  <si>
    <t>SHUN TAI 88 V.260705000000</t>
  </si>
  <si>
    <t>开航日期</t>
  </si>
  <si>
    <t>工 作 号</t>
  </si>
  <si>
    <t>TPXMAF26070028</t>
  </si>
  <si>
    <t>提单号</t>
  </si>
  <si>
    <t>XMCX60772400</t>
  </si>
  <si>
    <t>起 运 港</t>
  </si>
  <si>
    <t>XIAMEN</t>
  </si>
  <si>
    <t>委 托 号</t>
  </si>
  <si>
    <t>FJMZL-JH2026013</t>
  </si>
  <si>
    <t>箱  量</t>
  </si>
  <si>
    <t xml:space="preserve"> 1X40HC(FCL)</t>
  </si>
  <si>
    <t>目 的 港</t>
  </si>
  <si>
    <t>DAR ES SALAAM</t>
  </si>
  <si>
    <t>业务员</t>
  </si>
  <si>
    <t>梁艺燕</t>
  </si>
  <si>
    <t>HB/L#</t>
  </si>
  <si>
    <t>P/O#</t>
  </si>
  <si>
    <t>费用名称</t>
  </si>
  <si>
    <t>币 别</t>
  </si>
  <si>
    <t>报关费</t>
  </si>
  <si>
    <t>RMB</t>
  </si>
  <si>
    <t xml:space="preserve"> </t>
  </si>
  <si>
    <t>港杂费</t>
  </si>
  <si>
    <t>续单费</t>
  </si>
  <si>
    <t>★★小计</t>
  </si>
  <si>
    <t>附我司帐户：</t>
  </si>
  <si>
    <t xml:space="preserve">RMB 账户名:福建全力供应链管理有限公司 
RMB 开户行:厦门银行股份有限公司厦门自贸试验区象屿支行 
RMB 账号:80112600001542
</t>
  </si>
  <si>
    <t>尊敬的客户，请尽快给予确认以上费用，以便顺利发放提单，并将水单传至我司，谢谢合作！</t>
  </si>
  <si>
    <t xml:space="preserve">如需核查到帐情况，请联系我司工作人员! </t>
  </si>
  <si>
    <t>*** 船东签单期限为10天，为了我司能尽快签单给贵司，请在开航后10日内付款，</t>
  </si>
  <si>
    <t>如因没有及时付款而造成无法及时放单或超过签单时限而产生的费用和责任由贵司自行承担，谢谢！</t>
  </si>
  <si>
    <t>--------------------------------------------------------------</t>
  </si>
  <si>
    <t>我公司确认上述费用并同意按时如数支付！</t>
  </si>
  <si>
    <t>确认传真件与正本具有同样效力！</t>
  </si>
  <si>
    <t>确认人(签章)：</t>
  </si>
  <si>
    <t>XMCX60772400厦门出金额:41169</t>
  </si>
  <si>
    <t>1.电子专票(6个点):代理报关费150---全力开(备注:提单号:，报关单号:);;</t>
  </si>
  <si>
    <t>2.货物运输发票(9个点):代理拖车费1400---全力开
(备注:提单号:，备注运输工具种类:公路运输运输工具牌号:起运地:到达地:运输货物名称:);</t>
  </si>
  <si>
    <t>3.电子专票(6个点):港杂费400---全力开(备注:提单号);</t>
  </si>
  <si>
    <t>4.电子普票(0税率):代理运杂费3450---全力开(备注:提单号);</t>
  </si>
  <si>
    <t>5.对私付款不开票:代理海运费37169;</t>
  </si>
  <si>
    <t>备注:对公转4000元，对私37169元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</si>
</sst>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Red]###0;#"/>
    <numFmt numFmtId="177" formatCode="0.00_ ;[Red]\-0.00\ "/>
    <numFmt numFmtId="178" formatCode="0_);[Red]\(0\)"/>
  </numFmts>
  <fonts count="39">
    <font>
      <sz val="11"/>
      <color theme="1"/>
      <name val="宋体"/>
      <charset val="134"/>
      <scheme val="minor"/>
    </font>
    <font>
      <sz val="10"/>
      <name val="宋体"/>
      <charset val="134"/>
    </font>
    <font>
      <sz val="12"/>
      <name val="楷体_GB2312"/>
      <charset val="134"/>
    </font>
    <font>
      <sz val="11"/>
      <name val="宋体"/>
      <charset val="134"/>
    </font>
    <font>
      <sz val="12"/>
      <name val="宋体"/>
      <charset val="134"/>
      <scheme val="minor"/>
    </font>
    <font>
      <b/>
      <sz val="18"/>
      <name val="宋体"/>
      <charset val="134"/>
      <scheme val="minor"/>
    </font>
    <font>
      <sz val="11"/>
      <name val="宋体"/>
      <charset val="134"/>
      <scheme val="minor"/>
    </font>
    <font>
      <b/>
      <sz val="11"/>
      <name val="宋体"/>
      <charset val="134"/>
      <scheme val="minor"/>
    </font>
    <font>
      <sz val="10"/>
      <name val="宋体"/>
      <charset val="134"/>
      <scheme val="minor"/>
    </font>
    <font>
      <sz val="11"/>
      <name val="Times New Roman"/>
      <charset val="0"/>
    </font>
    <font>
      <sz val="14"/>
      <color theme="1"/>
      <name val="宋体"/>
      <charset val="134"/>
      <scheme val="minor"/>
    </font>
    <font>
      <b/>
      <sz val="14"/>
      <color theme="1"/>
      <name val="宋体"/>
      <charset val="134"/>
      <scheme val="minor"/>
    </font>
    <font>
      <sz val="14"/>
      <color theme="1"/>
      <name val="黑体"/>
      <charset val="134"/>
    </font>
    <font>
      <sz val="14"/>
      <color theme="1"/>
      <name val="华文楷体"/>
      <charset val="134"/>
    </font>
    <font>
      <sz val="11"/>
      <color theme="1"/>
      <name val="华文楷体"/>
      <charset val="134"/>
    </font>
    <font>
      <sz val="9"/>
      <color theme="1"/>
      <name val="宋体"/>
      <charset val="134"/>
      <scheme val="minor"/>
    </font>
    <font>
      <sz val="11"/>
      <name val="华文楷体"/>
      <charset val="134"/>
    </font>
    <font>
      <sz val="11"/>
      <color rgb="FF000000"/>
      <name val="华文楷体"/>
      <charset val="134"/>
    </font>
    <font>
      <sz val="11"/>
      <color indexed="8"/>
      <name val="华文楷体"/>
      <charset val="134"/>
    </font>
    <font>
      <b/>
      <sz val="11"/>
      <color theme="1"/>
      <name val="华文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3" borderId="14"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5" applyNumberFormat="0" applyFill="0" applyAlignment="0" applyProtection="0">
      <alignment vertical="center"/>
    </xf>
    <xf numFmtId="0" fontId="26" fillId="0" borderId="15" applyNumberFormat="0" applyFill="0" applyAlignment="0" applyProtection="0">
      <alignment vertical="center"/>
    </xf>
    <xf numFmtId="0" fontId="27" fillId="0" borderId="16" applyNumberFormat="0" applyFill="0" applyAlignment="0" applyProtection="0">
      <alignment vertical="center"/>
    </xf>
    <xf numFmtId="0" fontId="27" fillId="0" borderId="0" applyNumberFormat="0" applyFill="0" applyBorder="0" applyAlignment="0" applyProtection="0">
      <alignment vertical="center"/>
    </xf>
    <xf numFmtId="0" fontId="28" fillId="4" borderId="17" applyNumberFormat="0" applyAlignment="0" applyProtection="0">
      <alignment vertical="center"/>
    </xf>
    <xf numFmtId="0" fontId="29" fillId="5" borderId="18" applyNumberFormat="0" applyAlignment="0" applyProtection="0">
      <alignment vertical="center"/>
    </xf>
    <xf numFmtId="0" fontId="30" fillId="5" borderId="17" applyNumberFormat="0" applyAlignment="0" applyProtection="0">
      <alignment vertical="center"/>
    </xf>
    <xf numFmtId="0" fontId="31" fillId="6" borderId="19" applyNumberFormat="0" applyAlignment="0" applyProtection="0">
      <alignment vertical="center"/>
    </xf>
    <xf numFmtId="0" fontId="32" fillId="0" borderId="20" applyNumberFormat="0" applyFill="0" applyAlignment="0" applyProtection="0">
      <alignment vertical="center"/>
    </xf>
    <xf numFmtId="0" fontId="33" fillId="0" borderId="21" applyNumberFormat="0" applyFill="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0" fillId="0" borderId="0">
      <alignment vertical="center"/>
    </xf>
    <xf numFmtId="0" fontId="1" fillId="0" borderId="0"/>
  </cellStyleXfs>
  <cellXfs count="87">
    <xf numFmtId="0" fontId="0" fillId="0" borderId="0" xfId="0">
      <alignment vertical="center"/>
    </xf>
    <xf numFmtId="0" fontId="1" fillId="0" borderId="0" xfId="0" applyFont="1" applyFill="1" applyBorder="1" applyAlignment="1"/>
    <xf numFmtId="0" fontId="2" fillId="0" borderId="0" xfId="0" applyFont="1" applyFill="1" applyBorder="1" applyAlignment="1">
      <alignment horizontal="left"/>
    </xf>
    <xf numFmtId="0" fontId="3" fillId="0" borderId="0" xfId="0" applyFont="1" applyFill="1" applyBorder="1" applyAlignment="1"/>
    <xf numFmtId="0" fontId="3" fillId="0" borderId="0" xfId="0" applyFont="1" applyFill="1" applyBorder="1" applyAlignment="1">
      <alignment horizontal="left" vertical="center"/>
    </xf>
    <xf numFmtId="0" fontId="3" fillId="0" borderId="0" xfId="0" applyFont="1" applyFill="1" applyBorder="1" applyAlignment="1">
      <alignment vertical="center"/>
    </xf>
    <xf numFmtId="0" fontId="2" fillId="0" borderId="0" xfId="0" applyFont="1" applyFill="1" applyBorder="1" applyAlignment="1"/>
    <xf numFmtId="0" fontId="4" fillId="0" borderId="0" xfId="0" applyFont="1" applyFill="1" applyBorder="1" applyAlignment="1"/>
    <xf numFmtId="0" fontId="5" fillId="0" borderId="0" xfId="0" applyFont="1" applyFill="1" applyBorder="1" applyAlignment="1">
      <alignment horizontal="centerContinuous" vertical="center"/>
    </xf>
    <xf numFmtId="0" fontId="4" fillId="0" borderId="0" xfId="0" applyFont="1" applyFill="1" applyBorder="1" applyAlignment="1">
      <alignment horizontal="centerContinuous"/>
    </xf>
    <xf numFmtId="0" fontId="6" fillId="0" borderId="0" xfId="0" applyFont="1" applyFill="1" applyBorder="1" applyAlignment="1">
      <alignment horizontal="centerContinuous" vertical="center"/>
    </xf>
    <xf numFmtId="0" fontId="7" fillId="0" borderId="0" xfId="0" applyFont="1" applyFill="1" applyBorder="1" applyAlignment="1">
      <alignment horizontal="centerContinuous" vertical="center"/>
    </xf>
    <xf numFmtId="0" fontId="6" fillId="0" borderId="0" xfId="49" applyFont="1" applyFill="1" applyBorder="1" applyAlignment="1">
      <alignment horizontal="left" vertical="center"/>
    </xf>
    <xf numFmtId="0" fontId="8" fillId="0" borderId="0" xfId="49" applyFont="1" applyFill="1" applyBorder="1" applyAlignment="1"/>
    <xf numFmtId="0" fontId="9" fillId="0" borderId="0" xfId="49" applyFont="1" applyFill="1" applyBorder="1" applyAlignment="1">
      <alignment horizontal="left" vertical="center"/>
    </xf>
    <xf numFmtId="0" fontId="6" fillId="0" borderId="0" xfId="0" applyFont="1" applyFill="1" applyBorder="1" applyAlignment="1"/>
    <xf numFmtId="0" fontId="6" fillId="0" borderId="1" xfId="0" applyFont="1" applyFill="1" applyBorder="1" applyAlignment="1">
      <alignment horizontal="left" vertical="center"/>
    </xf>
    <xf numFmtId="0" fontId="6" fillId="0" borderId="2" xfId="0" applyFont="1" applyFill="1" applyBorder="1" applyAlignment="1">
      <alignment horizontal="left" vertical="center"/>
    </xf>
    <xf numFmtId="0" fontId="6" fillId="0" borderId="3" xfId="0" applyFont="1" applyFill="1" applyBorder="1" applyAlignment="1">
      <alignment horizontal="left" vertical="center"/>
    </xf>
    <xf numFmtId="0" fontId="6" fillId="0" borderId="4" xfId="0" applyFont="1" applyFill="1" applyBorder="1" applyAlignment="1">
      <alignment horizontal="left" vertical="center"/>
    </xf>
    <xf numFmtId="49" fontId="6" fillId="0" borderId="3" xfId="0" applyNumberFormat="1" applyFont="1" applyFill="1" applyBorder="1" applyAlignment="1">
      <alignment horizontal="left" vertical="center"/>
    </xf>
    <xf numFmtId="49" fontId="6" fillId="0" borderId="5" xfId="0" applyNumberFormat="1" applyFont="1" applyFill="1" applyBorder="1" applyAlignment="1">
      <alignment horizontal="left" vertical="center"/>
    </xf>
    <xf numFmtId="0" fontId="6" fillId="0" borderId="0" xfId="0" applyFont="1" applyFill="1" applyBorder="1" applyAlignment="1">
      <alignment horizontal="left" vertical="center"/>
    </xf>
    <xf numFmtId="0" fontId="6" fillId="0" borderId="6" xfId="0" applyFont="1" applyFill="1" applyBorder="1" applyAlignment="1">
      <alignment horizontal="left" vertical="center"/>
    </xf>
    <xf numFmtId="0" fontId="6" fillId="0" borderId="7" xfId="0" applyFont="1" applyFill="1" applyBorder="1" applyAlignment="1">
      <alignment horizontal="left" vertical="center"/>
    </xf>
    <xf numFmtId="0" fontId="6" fillId="0" borderId="8" xfId="0" applyFont="1" applyFill="1" applyBorder="1" applyAlignment="1">
      <alignment horizontal="left" vertical="center"/>
    </xf>
    <xf numFmtId="0" fontId="6" fillId="0" borderId="9" xfId="0" applyFont="1" applyFill="1" applyBorder="1" applyAlignment="1">
      <alignment horizontal="left" vertical="center"/>
    </xf>
    <xf numFmtId="0" fontId="6" fillId="0" borderId="7" xfId="0" applyFont="1" applyFill="1" applyBorder="1" applyAlignment="1">
      <alignment horizontal="center" vertical="center"/>
    </xf>
    <xf numFmtId="0" fontId="6" fillId="0" borderId="8" xfId="0" applyFont="1" applyFill="1" applyBorder="1" applyAlignment="1"/>
    <xf numFmtId="0" fontId="6" fillId="0" borderId="9" xfId="0" applyFont="1" applyFill="1" applyBorder="1" applyAlignment="1"/>
    <xf numFmtId="0" fontId="6" fillId="0" borderId="10"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11" xfId="0" applyFont="1" applyFill="1" applyBorder="1" applyAlignment="1">
      <alignment horizontal="centerContinuous" vertical="center"/>
    </xf>
    <xf numFmtId="176" fontId="6" fillId="0" borderId="10" xfId="49" applyNumberFormat="1" applyFont="1" applyFill="1" applyBorder="1" applyAlignment="1">
      <alignment horizontal="left" vertical="center"/>
    </xf>
    <xf numFmtId="176" fontId="6" fillId="0" borderId="0" xfId="49" applyNumberFormat="1" applyFont="1" applyFill="1" applyBorder="1" applyAlignment="1">
      <alignment horizontal="left" vertical="center"/>
    </xf>
    <xf numFmtId="177" fontId="6" fillId="0" borderId="0" xfId="49" applyNumberFormat="1" applyFont="1" applyFill="1" applyBorder="1" applyAlignment="1">
      <alignment horizontal="center" vertical="center"/>
    </xf>
    <xf numFmtId="0" fontId="6" fillId="0" borderId="0" xfId="49" applyFont="1" applyFill="1" applyBorder="1" applyAlignment="1">
      <alignment horizontal="right" vertical="center"/>
    </xf>
    <xf numFmtId="177" fontId="6" fillId="0" borderId="0" xfId="49" applyNumberFormat="1" applyFont="1" applyFill="1" applyBorder="1" applyAlignment="1">
      <alignment horizontal="right" vertical="center"/>
    </xf>
    <xf numFmtId="4" fontId="6" fillId="0" borderId="0" xfId="0" applyNumberFormat="1" applyFont="1" applyFill="1" applyBorder="1" applyAlignment="1">
      <alignment horizontal="right" vertical="center"/>
    </xf>
    <xf numFmtId="0" fontId="6" fillId="0" borderId="11" xfId="0" applyFont="1" applyFill="1" applyBorder="1" applyAlignment="1">
      <alignment horizontal="left" vertical="center"/>
    </xf>
    <xf numFmtId="178" fontId="6" fillId="0" borderId="0" xfId="49" applyNumberFormat="1" applyFont="1" applyFill="1" applyBorder="1" applyAlignment="1">
      <alignment horizontal="right" vertical="center"/>
    </xf>
    <xf numFmtId="4" fontId="6" fillId="0" borderId="0" xfId="49" applyNumberFormat="1" applyFont="1" applyFill="1" applyBorder="1" applyAlignment="1">
      <alignment horizontal="left" vertical="center"/>
    </xf>
    <xf numFmtId="176" fontId="6" fillId="0" borderId="12" xfId="49" applyNumberFormat="1" applyFont="1" applyFill="1" applyBorder="1" applyAlignment="1">
      <alignment horizontal="left" vertical="center"/>
    </xf>
    <xf numFmtId="176" fontId="6" fillId="0" borderId="4" xfId="49" applyNumberFormat="1" applyFont="1" applyFill="1" applyBorder="1" applyAlignment="1">
      <alignment horizontal="left" vertical="center"/>
    </xf>
    <xf numFmtId="177" fontId="6" fillId="0" borderId="4" xfId="49" applyNumberFormat="1" applyFont="1" applyFill="1" applyBorder="1" applyAlignment="1">
      <alignment horizontal="center" vertical="center"/>
    </xf>
    <xf numFmtId="178" fontId="6" fillId="0" borderId="4" xfId="49" applyNumberFormat="1" applyFont="1" applyFill="1" applyBorder="1" applyAlignment="1">
      <alignment horizontal="right" vertical="center"/>
    </xf>
    <xf numFmtId="177" fontId="6" fillId="0" borderId="4" xfId="49" applyNumberFormat="1" applyFont="1" applyFill="1" applyBorder="1" applyAlignment="1">
      <alignment horizontal="right" vertical="center"/>
    </xf>
    <xf numFmtId="4" fontId="6" fillId="0" borderId="4" xfId="49" applyNumberFormat="1" applyFont="1" applyFill="1" applyBorder="1" applyAlignment="1">
      <alignment horizontal="left" vertical="center"/>
    </xf>
    <xf numFmtId="4" fontId="6" fillId="0" borderId="4" xfId="0" applyNumberFormat="1" applyFont="1" applyFill="1" applyBorder="1" applyAlignment="1">
      <alignment horizontal="right" vertical="center"/>
    </xf>
    <xf numFmtId="0" fontId="6" fillId="0" borderId="13" xfId="0" applyFont="1" applyFill="1" applyBorder="1" applyAlignment="1">
      <alignment horizontal="left" vertical="center"/>
    </xf>
    <xf numFmtId="0" fontId="6" fillId="0" borderId="0" xfId="0" applyFont="1" applyFill="1" applyBorder="1" applyAlignment="1">
      <alignment horizontal="left" vertical="top" wrapText="1"/>
    </xf>
    <xf numFmtId="0" fontId="9" fillId="0" borderId="0" xfId="0" applyFont="1" applyFill="1" applyBorder="1" applyAlignment="1">
      <alignment horizontal="left" vertical="top" wrapText="1"/>
    </xf>
    <xf numFmtId="0" fontId="6" fillId="0" borderId="0" xfId="50" applyFont="1"/>
    <xf numFmtId="0" fontId="6" fillId="0" borderId="0" xfId="50" applyFont="1" applyAlignment="1">
      <alignment horizontal="left" vertical="center"/>
    </xf>
    <xf numFmtId="0" fontId="3" fillId="0" borderId="0" xfId="50" applyFont="1"/>
    <xf numFmtId="0" fontId="3" fillId="0" borderId="0" xfId="0" applyFont="1" applyFill="1" applyBorder="1" applyAlignment="1">
      <alignment horizontal="left" wrapText="1"/>
    </xf>
    <xf numFmtId="0" fontId="10" fillId="0" borderId="0" xfId="0" applyFont="1">
      <alignment vertical="center"/>
    </xf>
    <xf numFmtId="0" fontId="10" fillId="0" borderId="0" xfId="0" applyFont="1" applyFill="1" applyAlignment="1">
      <alignment vertical="center"/>
    </xf>
    <xf numFmtId="0" fontId="0" fillId="2" borderId="0" xfId="0" applyFont="1" applyFill="1">
      <alignment vertical="center"/>
    </xf>
    <xf numFmtId="0" fontId="0" fillId="0" borderId="0" xfId="0" applyFont="1">
      <alignment vertical="center"/>
    </xf>
    <xf numFmtId="0" fontId="0" fillId="0" borderId="0" xfId="0" applyFont="1" applyAlignment="1">
      <alignment horizontal="left" vertical="center"/>
    </xf>
    <xf numFmtId="0" fontId="11" fillId="2" borderId="3" xfId="0" applyFont="1" applyFill="1" applyBorder="1" applyAlignment="1">
      <alignment horizontal="center" vertical="center"/>
    </xf>
    <xf numFmtId="0" fontId="11" fillId="2" borderId="2" xfId="0" applyFont="1" applyFill="1" applyBorder="1" applyAlignment="1">
      <alignment horizontal="left" vertical="center"/>
    </xf>
    <xf numFmtId="0" fontId="11" fillId="2" borderId="2" xfId="0" applyFont="1" applyFill="1" applyBorder="1" applyAlignment="1">
      <alignment horizontal="center" vertical="center"/>
    </xf>
    <xf numFmtId="0" fontId="11" fillId="2" borderId="5" xfId="0" applyFont="1" applyFill="1" applyBorder="1" applyAlignment="1">
      <alignment horizontal="left" vertical="center"/>
    </xf>
    <xf numFmtId="0" fontId="12" fillId="2" borderId="1" xfId="49" applyFont="1" applyFill="1" applyBorder="1" applyAlignment="1">
      <alignment vertical="center" wrapText="1"/>
    </xf>
    <xf numFmtId="0" fontId="12" fillId="2" borderId="1" xfId="49" applyFont="1" applyFill="1" applyBorder="1" applyAlignment="1">
      <alignment horizontal="left" vertical="center"/>
    </xf>
    <xf numFmtId="0" fontId="12" fillId="2" borderId="1" xfId="49" applyFont="1" applyFill="1" applyBorder="1" applyAlignment="1">
      <alignment vertical="center"/>
    </xf>
    <xf numFmtId="0" fontId="13" fillId="2"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left" vertical="center"/>
    </xf>
    <xf numFmtId="0" fontId="15" fillId="0" borderId="1" xfId="0" applyFont="1" applyBorder="1">
      <alignment vertical="center"/>
    </xf>
    <xf numFmtId="0" fontId="15" fillId="0" borderId="0" xfId="0" applyFont="1">
      <alignment vertical="center"/>
    </xf>
    <xf numFmtId="0" fontId="16" fillId="0" borderId="1" xfId="0" applyFont="1" applyFill="1" applyBorder="1" applyAlignment="1">
      <alignment horizontal="left" vertical="center"/>
    </xf>
    <xf numFmtId="0" fontId="16" fillId="0" borderId="1" xfId="0" applyFont="1" applyFill="1" applyBorder="1" applyAlignment="1">
      <alignment horizontal="center" vertical="center"/>
    </xf>
    <xf numFmtId="0" fontId="14" fillId="0" borderId="1" xfId="0" applyFont="1" applyFill="1" applyBorder="1" applyAlignment="1">
      <alignment horizontal="center" vertical="center"/>
    </xf>
    <xf numFmtId="0" fontId="14" fillId="0" borderId="1" xfId="0" applyFont="1" applyFill="1" applyBorder="1" applyAlignment="1">
      <alignment horizontal="left" vertical="center"/>
    </xf>
    <xf numFmtId="0" fontId="14" fillId="2" borderId="1" xfId="0" applyFont="1" applyFill="1" applyBorder="1" applyAlignment="1">
      <alignment horizontal="center" vertical="center"/>
    </xf>
    <xf numFmtId="0" fontId="14" fillId="2" borderId="1" xfId="0" applyFont="1" applyFill="1" applyBorder="1" applyAlignment="1">
      <alignment horizontal="left" vertical="center"/>
    </xf>
    <xf numFmtId="0" fontId="14" fillId="0" borderId="1" xfId="0" applyFont="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8" fillId="0" borderId="1" xfId="0" applyFont="1" applyFill="1" applyBorder="1" applyAlignment="1">
      <alignment horizontal="left" vertical="center"/>
    </xf>
    <xf numFmtId="0" fontId="18" fillId="0" borderId="1" xfId="0" applyFont="1" applyFill="1" applyBorder="1" applyAlignment="1">
      <alignment horizontal="center" vertical="center"/>
    </xf>
    <xf numFmtId="0" fontId="19" fillId="0" borderId="1" xfId="0" applyFont="1" applyFill="1" applyBorder="1" applyAlignment="1">
      <alignment horizontal="center" vertical="center" wrapText="1"/>
    </xf>
    <xf numFmtId="10" fontId="18" fillId="0" borderId="1" xfId="0" applyNumberFormat="1" applyFont="1" applyFill="1" applyBorder="1" applyAlignment="1">
      <alignment horizontal="lef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226695</xdr:colOff>
      <xdr:row>1</xdr:row>
      <xdr:rowOff>76200</xdr:rowOff>
    </xdr:from>
    <xdr:to>
      <xdr:col>1</xdr:col>
      <xdr:colOff>172720</xdr:colOff>
      <xdr:row>1</xdr:row>
      <xdr:rowOff>640715</xdr:rowOff>
    </xdr:to>
    <xdr:pic>
      <xdr:nvPicPr>
        <xdr:cNvPr id="2" name="图片 2"/>
        <xdr:cNvPicPr>
          <a:picLocks noChangeAspect="1"/>
        </xdr:cNvPicPr>
      </xdr:nvPicPr>
      <xdr:blipFill>
        <a:blip r:embed="rId1"/>
        <a:stretch>
          <a:fillRect/>
        </a:stretch>
      </xdr:blipFill>
      <xdr:spPr>
        <a:xfrm>
          <a:off x="226695" y="293370"/>
          <a:ext cx="687705" cy="564515"/>
        </a:xfrm>
        <a:prstGeom prst="rect">
          <a:avLst/>
        </a:prstGeom>
        <a:solidFill>
          <a:srgbClr val="FFFFFF">
            <a:alpha val="100000"/>
          </a:srgbClr>
        </a:solidFill>
        <a:ln w="9525">
          <a:noFill/>
        </a:ln>
      </xdr:spPr>
    </xdr:pic>
    <xdr:clientData fLocksWithSheet="0"/>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160"/>
  <sheetViews>
    <sheetView tabSelected="1" workbookViewId="0">
      <selection activeCell="C162" sqref="C162"/>
    </sheetView>
  </sheetViews>
  <sheetFormatPr defaultColWidth="8.725" defaultRowHeight="13.5"/>
  <cols>
    <col min="1" max="1" width="6.09166666666667" style="59" customWidth="1"/>
    <col min="2" max="2" width="33.9083333333333" style="60" customWidth="1"/>
    <col min="3" max="3" width="11.3666666666667" style="59" customWidth="1"/>
    <col min="4" max="4" width="15.1833333333333" style="60" customWidth="1"/>
    <col min="5" max="5" width="7.81666666666667" style="59" customWidth="1"/>
    <col min="6" max="8" width="9.63333333333333" style="59" customWidth="1"/>
    <col min="9" max="9" width="17.275" style="59" customWidth="1"/>
    <col min="10" max="10" width="20" style="59" customWidth="1"/>
    <col min="11" max="16384" width="8.725" style="59"/>
  </cols>
  <sheetData>
    <row r="1" s="56" customFormat="1" ht="22" customHeight="1" spans="1:10">
      <c r="A1" s="61" t="s">
        <v>0</v>
      </c>
      <c r="B1" s="62"/>
      <c r="C1" s="63"/>
      <c r="D1" s="62"/>
      <c r="E1" s="63"/>
      <c r="F1" s="63"/>
      <c r="G1" s="63"/>
      <c r="H1" s="63"/>
      <c r="I1" s="64"/>
    </row>
    <row r="2" s="56" customFormat="1" ht="22" customHeight="1" spans="1:10">
      <c r="A2" s="65" t="s">
        <v>1</v>
      </c>
      <c r="B2" s="66"/>
      <c r="C2" s="67"/>
      <c r="D2" s="66"/>
      <c r="E2" s="67"/>
      <c r="F2" s="67"/>
      <c r="G2" s="67"/>
      <c r="H2" s="67"/>
      <c r="I2" s="67"/>
    </row>
    <row r="3" s="57" customFormat="1" ht="18.75" spans="1:10">
      <c r="A3" s="68" t="s">
        <v>2</v>
      </c>
      <c r="B3" s="68" t="s">
        <v>3</v>
      </c>
      <c r="C3" s="68" t="s">
        <v>4</v>
      </c>
      <c r="D3" s="68" t="s">
        <v>5</v>
      </c>
      <c r="E3" s="68" t="s">
        <v>6</v>
      </c>
      <c r="F3" s="68" t="s">
        <v>7</v>
      </c>
      <c r="G3" s="68" t="s">
        <v>8</v>
      </c>
      <c r="H3" s="68" t="s">
        <v>9</v>
      </c>
      <c r="I3" s="68" t="s">
        <v>10</v>
      </c>
    </row>
    <row r="4" spans="1:10">
      <c r="A4" s="69">
        <v>1</v>
      </c>
      <c r="B4" s="70" t="s">
        <v>11</v>
      </c>
      <c r="C4" s="69"/>
      <c r="D4" s="70"/>
      <c r="E4" s="69" t="s">
        <v>12</v>
      </c>
      <c r="F4" s="69">
        <v>4</v>
      </c>
      <c r="G4" s="69">
        <v>440</v>
      </c>
      <c r="H4" s="69">
        <f>F4*G4</f>
        <v>1760</v>
      </c>
      <c r="I4" s="71" t="s">
        <v>13</v>
      </c>
      <c r="J4" s="72"/>
    </row>
    <row r="5" spans="1:10">
      <c r="A5" s="69">
        <v>2</v>
      </c>
      <c r="B5" s="70" t="s">
        <v>14</v>
      </c>
      <c r="C5" s="69"/>
      <c r="D5" s="70"/>
      <c r="E5" s="69" t="s">
        <v>15</v>
      </c>
      <c r="F5" s="69">
        <v>300</v>
      </c>
      <c r="G5" s="69">
        <v>11.5</v>
      </c>
      <c r="H5" s="69">
        <f>F5*G5</f>
        <v>3450</v>
      </c>
      <c r="I5" s="71" t="s">
        <v>16</v>
      </c>
      <c r="J5" s="72"/>
    </row>
    <row r="6" spans="1:10">
      <c r="A6" s="69">
        <v>3</v>
      </c>
      <c r="B6" s="70" t="s">
        <v>17</v>
      </c>
      <c r="C6" s="69"/>
      <c r="D6" s="70"/>
      <c r="E6" s="69" t="s">
        <v>12</v>
      </c>
      <c r="F6" s="69">
        <v>1</v>
      </c>
      <c r="G6" s="69">
        <v>3650</v>
      </c>
      <c r="H6" s="69">
        <f>F6*G6</f>
        <v>3650</v>
      </c>
      <c r="I6" s="71" t="s">
        <v>18</v>
      </c>
      <c r="J6" s="72"/>
    </row>
    <row r="7" spans="1:10">
      <c r="A7" s="69">
        <v>4</v>
      </c>
      <c r="B7" s="70" t="s">
        <v>19</v>
      </c>
      <c r="C7" s="69"/>
      <c r="D7" s="70"/>
      <c r="E7" s="69" t="s">
        <v>20</v>
      </c>
      <c r="F7" s="69">
        <v>3</v>
      </c>
      <c r="G7" s="69">
        <v>950</v>
      </c>
      <c r="H7" s="69">
        <f>F7*G7</f>
        <v>2850</v>
      </c>
      <c r="I7" s="71" t="s">
        <v>18</v>
      </c>
      <c r="J7" s="72"/>
    </row>
    <row r="8" spans="1:10">
      <c r="A8" s="69">
        <v>5</v>
      </c>
      <c r="B8" s="73" t="s">
        <v>21</v>
      </c>
      <c r="C8" s="69" t="s">
        <v>22</v>
      </c>
      <c r="D8" s="70"/>
      <c r="E8" s="74" t="s">
        <v>12</v>
      </c>
      <c r="F8" s="74">
        <v>2</v>
      </c>
      <c r="G8" s="75">
        <v>860</v>
      </c>
      <c r="H8" s="69">
        <f t="shared" ref="H8:H39" si="0">F8*G8</f>
        <v>1720</v>
      </c>
      <c r="I8" s="71" t="s">
        <v>13</v>
      </c>
      <c r="J8" s="72"/>
    </row>
    <row r="9" spans="1:10">
      <c r="A9" s="69">
        <v>6</v>
      </c>
      <c r="B9" s="73" t="s">
        <v>23</v>
      </c>
      <c r="C9" s="69"/>
      <c r="D9" s="70" t="s">
        <v>24</v>
      </c>
      <c r="E9" s="74" t="s">
        <v>25</v>
      </c>
      <c r="F9" s="74">
        <v>122.8</v>
      </c>
      <c r="G9" s="75">
        <v>14</v>
      </c>
      <c r="H9" s="69">
        <f t="shared" si="0"/>
        <v>1719.2</v>
      </c>
      <c r="I9" s="69"/>
    </row>
    <row r="10" spans="1:10">
      <c r="A10" s="69">
        <v>7</v>
      </c>
      <c r="B10" s="73" t="s">
        <v>26</v>
      </c>
      <c r="C10" s="69"/>
      <c r="D10" s="70"/>
      <c r="E10" s="74" t="s">
        <v>27</v>
      </c>
      <c r="F10" s="74">
        <v>5</v>
      </c>
      <c r="G10" s="75">
        <v>9</v>
      </c>
      <c r="H10" s="69">
        <f t="shared" si="0"/>
        <v>45</v>
      </c>
      <c r="I10" s="69"/>
    </row>
    <row r="11" spans="1:10">
      <c r="A11" s="69">
        <v>8</v>
      </c>
      <c r="B11" s="73" t="s">
        <v>28</v>
      </c>
      <c r="C11" s="69"/>
      <c r="D11" s="70"/>
      <c r="E11" s="74" t="s">
        <v>29</v>
      </c>
      <c r="F11" s="74">
        <v>1</v>
      </c>
      <c r="G11" s="75">
        <v>65</v>
      </c>
      <c r="H11" s="69">
        <f t="shared" si="0"/>
        <v>65</v>
      </c>
      <c r="I11" s="69"/>
    </row>
    <row r="12" spans="1:10">
      <c r="A12" s="69">
        <v>9</v>
      </c>
      <c r="B12" s="73" t="s">
        <v>30</v>
      </c>
      <c r="C12" s="69"/>
      <c r="D12" s="70"/>
      <c r="E12" s="74" t="s">
        <v>31</v>
      </c>
      <c r="F12" s="74">
        <v>2</v>
      </c>
      <c r="G12" s="75">
        <v>36</v>
      </c>
      <c r="H12" s="69">
        <f t="shared" si="0"/>
        <v>72</v>
      </c>
      <c r="I12" s="69"/>
    </row>
    <row r="13" spans="1:10">
      <c r="A13" s="69">
        <v>10</v>
      </c>
      <c r="B13" s="73" t="s">
        <v>32</v>
      </c>
      <c r="C13" s="69"/>
      <c r="D13" s="70"/>
      <c r="E13" s="74" t="s">
        <v>33</v>
      </c>
      <c r="F13" s="74">
        <v>30</v>
      </c>
      <c r="G13" s="75">
        <v>15</v>
      </c>
      <c r="H13" s="69">
        <f t="shared" si="0"/>
        <v>450</v>
      </c>
      <c r="I13" s="69"/>
    </row>
    <row r="14" spans="1:10">
      <c r="A14" s="69">
        <v>11</v>
      </c>
      <c r="B14" s="73" t="s">
        <v>34</v>
      </c>
      <c r="C14" s="69"/>
      <c r="D14" s="70"/>
      <c r="E14" s="74" t="s">
        <v>29</v>
      </c>
      <c r="F14" s="74">
        <v>4</v>
      </c>
      <c r="G14" s="75">
        <v>13</v>
      </c>
      <c r="H14" s="69">
        <f t="shared" si="0"/>
        <v>52</v>
      </c>
      <c r="I14" s="69"/>
    </row>
    <row r="15" spans="1:10">
      <c r="A15" s="69">
        <v>12</v>
      </c>
      <c r="B15" s="73" t="s">
        <v>35</v>
      </c>
      <c r="C15" s="69"/>
      <c r="D15" s="70"/>
      <c r="E15" s="74" t="s">
        <v>29</v>
      </c>
      <c r="F15" s="74">
        <v>50</v>
      </c>
      <c r="G15" s="75">
        <v>8.2</v>
      </c>
      <c r="H15" s="69">
        <f t="shared" si="0"/>
        <v>410</v>
      </c>
      <c r="I15" s="69"/>
    </row>
    <row r="16" spans="1:10">
      <c r="A16" s="69">
        <v>13</v>
      </c>
      <c r="B16" s="73" t="s">
        <v>36</v>
      </c>
      <c r="C16" s="69"/>
      <c r="D16" s="70"/>
      <c r="E16" s="74" t="s">
        <v>29</v>
      </c>
      <c r="F16" s="74">
        <v>50</v>
      </c>
      <c r="G16" s="75">
        <v>5.7</v>
      </c>
      <c r="H16" s="69">
        <f t="shared" si="0"/>
        <v>285</v>
      </c>
      <c r="I16" s="69"/>
    </row>
    <row r="17" spans="1:9">
      <c r="A17" s="69">
        <v>14</v>
      </c>
      <c r="B17" s="73" t="s">
        <v>37</v>
      </c>
      <c r="C17" s="69"/>
      <c r="D17" s="70"/>
      <c r="E17" s="74" t="s">
        <v>29</v>
      </c>
      <c r="F17" s="74">
        <v>50</v>
      </c>
      <c r="G17" s="75">
        <v>4.5</v>
      </c>
      <c r="H17" s="69">
        <f t="shared" si="0"/>
        <v>225</v>
      </c>
      <c r="I17" s="69"/>
    </row>
    <row r="18" spans="1:9">
      <c r="A18" s="69">
        <v>15</v>
      </c>
      <c r="B18" s="73" t="s">
        <v>38</v>
      </c>
      <c r="C18" s="69"/>
      <c r="D18" s="70"/>
      <c r="E18" s="74" t="s">
        <v>29</v>
      </c>
      <c r="F18" s="74">
        <v>50</v>
      </c>
      <c r="G18" s="75">
        <v>3.5</v>
      </c>
      <c r="H18" s="69">
        <f t="shared" si="0"/>
        <v>175</v>
      </c>
      <c r="I18" s="69"/>
    </row>
    <row r="19" spans="1:9">
      <c r="A19" s="69">
        <v>16</v>
      </c>
      <c r="B19" s="73" t="s">
        <v>39</v>
      </c>
      <c r="C19" s="69"/>
      <c r="D19" s="70"/>
      <c r="E19" s="74" t="s">
        <v>29</v>
      </c>
      <c r="F19" s="74">
        <v>50</v>
      </c>
      <c r="G19" s="75">
        <v>3</v>
      </c>
      <c r="H19" s="69">
        <f t="shared" si="0"/>
        <v>150</v>
      </c>
      <c r="I19" s="69"/>
    </row>
    <row r="20" spans="1:9">
      <c r="A20" s="69">
        <v>17</v>
      </c>
      <c r="B20" s="73" t="s">
        <v>40</v>
      </c>
      <c r="C20" s="69"/>
      <c r="D20" s="70"/>
      <c r="E20" s="74" t="s">
        <v>29</v>
      </c>
      <c r="F20" s="74">
        <v>50</v>
      </c>
      <c r="G20" s="75">
        <v>2.5</v>
      </c>
      <c r="H20" s="69">
        <f t="shared" si="0"/>
        <v>125</v>
      </c>
      <c r="I20" s="69"/>
    </row>
    <row r="21" spans="1:9">
      <c r="A21" s="69">
        <v>18</v>
      </c>
      <c r="B21" s="73" t="s">
        <v>41</v>
      </c>
      <c r="C21" s="69"/>
      <c r="D21" s="70"/>
      <c r="E21" s="74" t="s">
        <v>29</v>
      </c>
      <c r="F21" s="74">
        <v>50</v>
      </c>
      <c r="G21" s="75">
        <v>2</v>
      </c>
      <c r="H21" s="69">
        <f t="shared" si="0"/>
        <v>100</v>
      </c>
      <c r="I21" s="69"/>
    </row>
    <row r="22" spans="1:9">
      <c r="A22" s="69">
        <v>19</v>
      </c>
      <c r="B22" s="73" t="s">
        <v>42</v>
      </c>
      <c r="C22" s="69"/>
      <c r="D22" s="70"/>
      <c r="E22" s="74" t="s">
        <v>43</v>
      </c>
      <c r="F22" s="74">
        <v>300</v>
      </c>
      <c r="G22" s="75">
        <v>19.5</v>
      </c>
      <c r="H22" s="69">
        <f t="shared" si="0"/>
        <v>5850</v>
      </c>
      <c r="I22" s="69"/>
    </row>
    <row r="23" spans="1:9">
      <c r="A23" s="69">
        <v>20</v>
      </c>
      <c r="B23" s="73" t="s">
        <v>44</v>
      </c>
      <c r="C23" s="69"/>
      <c r="D23" s="70"/>
      <c r="E23" s="74" t="s">
        <v>29</v>
      </c>
      <c r="F23" s="74">
        <v>40</v>
      </c>
      <c r="G23" s="75">
        <v>22</v>
      </c>
      <c r="H23" s="69">
        <f t="shared" si="0"/>
        <v>880</v>
      </c>
      <c r="I23" s="69"/>
    </row>
    <row r="24" spans="1:9">
      <c r="A24" s="69">
        <v>21</v>
      </c>
      <c r="B24" s="73" t="s">
        <v>45</v>
      </c>
      <c r="C24" s="69"/>
      <c r="D24" s="70"/>
      <c r="E24" s="74" t="s">
        <v>29</v>
      </c>
      <c r="F24" s="74">
        <v>30</v>
      </c>
      <c r="G24" s="75">
        <v>40</v>
      </c>
      <c r="H24" s="69">
        <f t="shared" si="0"/>
        <v>1200</v>
      </c>
      <c r="I24" s="69"/>
    </row>
    <row r="25" spans="1:9">
      <c r="A25" s="69">
        <v>22</v>
      </c>
      <c r="B25" s="73" t="s">
        <v>46</v>
      </c>
      <c r="C25" s="69"/>
      <c r="D25" s="70" t="s">
        <v>47</v>
      </c>
      <c r="E25" s="74" t="s">
        <v>43</v>
      </c>
      <c r="F25" s="74">
        <v>1220</v>
      </c>
      <c r="G25" s="75">
        <v>2.8</v>
      </c>
      <c r="H25" s="69">
        <f t="shared" si="0"/>
        <v>3416</v>
      </c>
      <c r="I25" s="69"/>
    </row>
    <row r="26" spans="1:9">
      <c r="A26" s="69">
        <v>23</v>
      </c>
      <c r="B26" s="76" t="s">
        <v>48</v>
      </c>
      <c r="C26" s="69"/>
      <c r="D26" s="70"/>
      <c r="E26" s="75" t="s">
        <v>29</v>
      </c>
      <c r="F26" s="75">
        <v>10</v>
      </c>
      <c r="G26" s="75">
        <v>640</v>
      </c>
      <c r="H26" s="69">
        <f t="shared" si="0"/>
        <v>6400</v>
      </c>
      <c r="I26" s="69"/>
    </row>
    <row r="27" spans="1:9">
      <c r="A27" s="69">
        <v>24</v>
      </c>
      <c r="B27" s="76" t="s">
        <v>49</v>
      </c>
      <c r="C27" s="69"/>
      <c r="D27" s="70"/>
      <c r="E27" s="75" t="s">
        <v>29</v>
      </c>
      <c r="F27" s="75">
        <v>50</v>
      </c>
      <c r="G27" s="75">
        <v>8.2</v>
      </c>
      <c r="H27" s="69">
        <f t="shared" si="0"/>
        <v>410</v>
      </c>
      <c r="I27" s="69"/>
    </row>
    <row r="28" spans="1:9">
      <c r="A28" s="69">
        <v>25</v>
      </c>
      <c r="B28" s="76" t="s">
        <v>50</v>
      </c>
      <c r="C28" s="69"/>
      <c r="D28" s="70"/>
      <c r="E28" s="75" t="s">
        <v>29</v>
      </c>
      <c r="F28" s="75">
        <v>30</v>
      </c>
      <c r="G28" s="75">
        <v>4.5</v>
      </c>
      <c r="H28" s="69">
        <f t="shared" si="0"/>
        <v>135</v>
      </c>
      <c r="I28" s="69"/>
    </row>
    <row r="29" spans="1:9">
      <c r="A29" s="69">
        <v>26</v>
      </c>
      <c r="B29" s="76" t="s">
        <v>51</v>
      </c>
      <c r="C29" s="69"/>
      <c r="D29" s="70"/>
      <c r="E29" s="75" t="s">
        <v>29</v>
      </c>
      <c r="F29" s="75">
        <v>30</v>
      </c>
      <c r="G29" s="75">
        <v>3.5</v>
      </c>
      <c r="H29" s="69">
        <f t="shared" si="0"/>
        <v>105</v>
      </c>
      <c r="I29" s="69"/>
    </row>
    <row r="30" spans="1:9">
      <c r="A30" s="69">
        <v>27</v>
      </c>
      <c r="B30" s="76" t="s">
        <v>52</v>
      </c>
      <c r="C30" s="69"/>
      <c r="D30" s="70"/>
      <c r="E30" s="75" t="s">
        <v>29</v>
      </c>
      <c r="F30" s="75">
        <v>30</v>
      </c>
      <c r="G30" s="75">
        <v>3</v>
      </c>
      <c r="H30" s="69">
        <f t="shared" si="0"/>
        <v>90</v>
      </c>
      <c r="I30" s="69"/>
    </row>
    <row r="31" spans="1:9">
      <c r="A31" s="69">
        <v>28</v>
      </c>
      <c r="B31" s="76" t="s">
        <v>53</v>
      </c>
      <c r="C31" s="69"/>
      <c r="D31" s="70"/>
      <c r="E31" s="75" t="s">
        <v>29</v>
      </c>
      <c r="F31" s="75">
        <v>30</v>
      </c>
      <c r="G31" s="75">
        <v>1.7</v>
      </c>
      <c r="H31" s="69">
        <f t="shared" si="0"/>
        <v>51</v>
      </c>
      <c r="I31" s="69"/>
    </row>
    <row r="32" spans="1:9">
      <c r="A32" s="69">
        <v>29</v>
      </c>
      <c r="B32" s="76" t="s">
        <v>54</v>
      </c>
      <c r="C32" s="69"/>
      <c r="D32" s="70"/>
      <c r="E32" s="75" t="s">
        <v>29</v>
      </c>
      <c r="F32" s="75">
        <v>30</v>
      </c>
      <c r="G32" s="75">
        <v>2.1</v>
      </c>
      <c r="H32" s="69">
        <f t="shared" si="0"/>
        <v>63</v>
      </c>
      <c r="I32" s="69"/>
    </row>
    <row r="33" spans="1:9">
      <c r="A33" s="69">
        <v>30</v>
      </c>
      <c r="B33" s="76" t="s">
        <v>55</v>
      </c>
      <c r="C33" s="69"/>
      <c r="D33" s="70"/>
      <c r="E33" s="75" t="s">
        <v>29</v>
      </c>
      <c r="F33" s="75">
        <v>10</v>
      </c>
      <c r="G33" s="75">
        <v>2.8</v>
      </c>
      <c r="H33" s="69">
        <f t="shared" si="0"/>
        <v>28</v>
      </c>
      <c r="I33" s="69"/>
    </row>
    <row r="34" spans="1:9">
      <c r="A34" s="69">
        <v>31</v>
      </c>
      <c r="B34" s="76" t="s">
        <v>56</v>
      </c>
      <c r="C34" s="69"/>
      <c r="D34" s="70"/>
      <c r="E34" s="75" t="s">
        <v>29</v>
      </c>
      <c r="F34" s="75">
        <v>10</v>
      </c>
      <c r="G34" s="75">
        <v>4.5</v>
      </c>
      <c r="H34" s="69">
        <f t="shared" si="0"/>
        <v>45</v>
      </c>
      <c r="I34" s="69"/>
    </row>
    <row r="35" spans="1:9">
      <c r="A35" s="69">
        <v>32</v>
      </c>
      <c r="B35" s="76" t="s">
        <v>57</v>
      </c>
      <c r="C35" s="69"/>
      <c r="D35" s="70"/>
      <c r="E35" s="75" t="s">
        <v>20</v>
      </c>
      <c r="F35" s="75">
        <v>10</v>
      </c>
      <c r="G35" s="75">
        <v>255</v>
      </c>
      <c r="H35" s="69">
        <f t="shared" si="0"/>
        <v>2550</v>
      </c>
      <c r="I35" s="69"/>
    </row>
    <row r="36" spans="1:9">
      <c r="A36" s="69">
        <v>33</v>
      </c>
      <c r="B36" s="76" t="s">
        <v>58</v>
      </c>
      <c r="C36" s="69"/>
      <c r="D36" s="70"/>
      <c r="E36" s="75" t="s">
        <v>20</v>
      </c>
      <c r="F36" s="75">
        <v>10</v>
      </c>
      <c r="G36" s="75">
        <v>145</v>
      </c>
      <c r="H36" s="69">
        <f t="shared" si="0"/>
        <v>1450</v>
      </c>
      <c r="I36" s="69"/>
    </row>
    <row r="37" spans="1:9">
      <c r="A37" s="69">
        <v>34</v>
      </c>
      <c r="B37" s="76" t="s">
        <v>59</v>
      </c>
      <c r="C37" s="69"/>
      <c r="D37" s="70"/>
      <c r="E37" s="75" t="s">
        <v>20</v>
      </c>
      <c r="F37" s="75">
        <v>10</v>
      </c>
      <c r="G37" s="75">
        <v>125</v>
      </c>
      <c r="H37" s="69">
        <f t="shared" si="0"/>
        <v>1250</v>
      </c>
      <c r="I37" s="69"/>
    </row>
    <row r="38" spans="1:9">
      <c r="A38" s="69">
        <v>35</v>
      </c>
      <c r="B38" s="76" t="s">
        <v>60</v>
      </c>
      <c r="C38" s="69"/>
      <c r="D38" s="70"/>
      <c r="E38" s="75" t="s">
        <v>20</v>
      </c>
      <c r="F38" s="75">
        <v>10</v>
      </c>
      <c r="G38" s="75">
        <v>205</v>
      </c>
      <c r="H38" s="69">
        <f t="shared" si="0"/>
        <v>2050</v>
      </c>
      <c r="I38" s="69"/>
    </row>
    <row r="39" spans="1:9">
      <c r="A39" s="69">
        <v>36</v>
      </c>
      <c r="B39" s="76" t="s">
        <v>61</v>
      </c>
      <c r="C39" s="69"/>
      <c r="D39" s="70"/>
      <c r="E39" s="75" t="s">
        <v>20</v>
      </c>
      <c r="F39" s="75">
        <v>10</v>
      </c>
      <c r="G39" s="75">
        <v>53</v>
      </c>
      <c r="H39" s="69">
        <f t="shared" si="0"/>
        <v>530</v>
      </c>
      <c r="I39" s="69"/>
    </row>
    <row r="40" spans="1:9">
      <c r="A40" s="69">
        <v>37</v>
      </c>
      <c r="B40" s="76" t="s">
        <v>62</v>
      </c>
      <c r="C40" s="69"/>
      <c r="D40" s="70"/>
      <c r="E40" s="75" t="s">
        <v>29</v>
      </c>
      <c r="F40" s="75">
        <v>5</v>
      </c>
      <c r="G40" s="75">
        <v>24</v>
      </c>
      <c r="H40" s="69">
        <f t="shared" ref="H40:H71" si="1">F40*G40</f>
        <v>120</v>
      </c>
      <c r="I40" s="69"/>
    </row>
    <row r="41" spans="1:9">
      <c r="A41" s="69">
        <v>38</v>
      </c>
      <c r="B41" s="76" t="s">
        <v>63</v>
      </c>
      <c r="C41" s="69"/>
      <c r="D41" s="70"/>
      <c r="E41" s="75" t="s">
        <v>29</v>
      </c>
      <c r="F41" s="75">
        <v>10</v>
      </c>
      <c r="G41" s="75">
        <v>580</v>
      </c>
      <c r="H41" s="69">
        <f t="shared" si="1"/>
        <v>5800</v>
      </c>
      <c r="I41" s="69"/>
    </row>
    <row r="42" spans="1:9">
      <c r="A42" s="69">
        <v>39</v>
      </c>
      <c r="B42" s="76" t="s">
        <v>64</v>
      </c>
      <c r="C42" s="69"/>
      <c r="D42" s="70"/>
      <c r="E42" s="75" t="s">
        <v>33</v>
      </c>
      <c r="F42" s="75">
        <v>20</v>
      </c>
      <c r="G42" s="75">
        <v>17</v>
      </c>
      <c r="H42" s="69">
        <f t="shared" si="1"/>
        <v>340</v>
      </c>
      <c r="I42" s="69"/>
    </row>
    <row r="43" spans="1:9">
      <c r="A43" s="69">
        <v>40</v>
      </c>
      <c r="B43" s="76" t="s">
        <v>65</v>
      </c>
      <c r="C43" s="69"/>
      <c r="D43" s="70"/>
      <c r="E43" s="75" t="s">
        <v>33</v>
      </c>
      <c r="F43" s="75">
        <v>20</v>
      </c>
      <c r="G43" s="75">
        <v>33</v>
      </c>
      <c r="H43" s="69">
        <f t="shared" si="1"/>
        <v>660</v>
      </c>
      <c r="I43" s="69"/>
    </row>
    <row r="44" spans="1:9">
      <c r="A44" s="69">
        <v>41</v>
      </c>
      <c r="B44" s="76" t="s">
        <v>66</v>
      </c>
      <c r="C44" s="69"/>
      <c r="D44" s="70"/>
      <c r="E44" s="75" t="s">
        <v>20</v>
      </c>
      <c r="F44" s="75">
        <v>300</v>
      </c>
      <c r="G44" s="75">
        <v>7</v>
      </c>
      <c r="H44" s="69">
        <f t="shared" si="1"/>
        <v>2100</v>
      </c>
      <c r="I44" s="69"/>
    </row>
    <row r="45" s="58" customFormat="1" spans="1:9">
      <c r="A45" s="77">
        <v>42</v>
      </c>
      <c r="B45" s="78" t="s">
        <v>67</v>
      </c>
      <c r="C45" s="77"/>
      <c r="D45" s="78"/>
      <c r="E45" s="77" t="s">
        <v>20</v>
      </c>
      <c r="F45" s="77">
        <v>100</v>
      </c>
      <c r="G45" s="77">
        <v>30</v>
      </c>
      <c r="H45" s="77">
        <f t="shared" si="1"/>
        <v>3000</v>
      </c>
      <c r="I45" s="77"/>
    </row>
    <row r="46" spans="1:9">
      <c r="A46" s="69">
        <v>43</v>
      </c>
      <c r="B46" s="76" t="s">
        <v>68</v>
      </c>
      <c r="C46" s="69"/>
      <c r="D46" s="70"/>
      <c r="E46" s="75" t="s">
        <v>27</v>
      </c>
      <c r="F46" s="75">
        <v>50</v>
      </c>
      <c r="G46" s="75">
        <v>4.5</v>
      </c>
      <c r="H46" s="69">
        <f t="shared" si="1"/>
        <v>225</v>
      </c>
      <c r="I46" s="69"/>
    </row>
    <row r="47" spans="1:9">
      <c r="A47" s="69">
        <v>44</v>
      </c>
      <c r="B47" s="76" t="s">
        <v>69</v>
      </c>
      <c r="C47" s="69"/>
      <c r="D47" s="70"/>
      <c r="E47" s="75" t="s">
        <v>33</v>
      </c>
      <c r="F47" s="75">
        <v>10</v>
      </c>
      <c r="G47" s="75">
        <v>12</v>
      </c>
      <c r="H47" s="69">
        <f t="shared" si="1"/>
        <v>120</v>
      </c>
      <c r="I47" s="69"/>
    </row>
    <row r="48" spans="1:9">
      <c r="A48" s="69">
        <v>45</v>
      </c>
      <c r="B48" s="76" t="s">
        <v>70</v>
      </c>
      <c r="C48" s="69"/>
      <c r="D48" s="70" t="s">
        <v>71</v>
      </c>
      <c r="E48" s="75" t="s">
        <v>72</v>
      </c>
      <c r="F48" s="75">
        <v>10</v>
      </c>
      <c r="G48" s="75">
        <v>85</v>
      </c>
      <c r="H48" s="69">
        <f t="shared" si="1"/>
        <v>850</v>
      </c>
      <c r="I48" s="69"/>
    </row>
    <row r="49" spans="1:9">
      <c r="A49" s="69">
        <v>46</v>
      </c>
      <c r="B49" s="76" t="s">
        <v>73</v>
      </c>
      <c r="C49" s="69"/>
      <c r="D49" s="70"/>
      <c r="E49" s="75" t="s">
        <v>74</v>
      </c>
      <c r="F49" s="75">
        <v>900</v>
      </c>
      <c r="G49" s="75">
        <v>1.3</v>
      </c>
      <c r="H49" s="69">
        <f t="shared" si="1"/>
        <v>1170</v>
      </c>
      <c r="I49" s="69"/>
    </row>
    <row r="50" spans="1:9">
      <c r="A50" s="69">
        <v>47</v>
      </c>
      <c r="B50" s="76" t="s">
        <v>75</v>
      </c>
      <c r="C50" s="69"/>
      <c r="D50" s="70"/>
      <c r="E50" s="75" t="s">
        <v>74</v>
      </c>
      <c r="F50" s="75">
        <v>1200</v>
      </c>
      <c r="G50" s="75">
        <v>1.3</v>
      </c>
      <c r="H50" s="69">
        <f t="shared" si="1"/>
        <v>1560</v>
      </c>
      <c r="I50" s="69"/>
    </row>
    <row r="51" spans="1:9">
      <c r="A51" s="69">
        <v>48</v>
      </c>
      <c r="B51" s="76" t="s">
        <v>76</v>
      </c>
      <c r="C51" s="69"/>
      <c r="D51" s="70"/>
      <c r="E51" s="75" t="s">
        <v>15</v>
      </c>
      <c r="F51" s="75">
        <v>8</v>
      </c>
      <c r="G51" s="75">
        <v>135</v>
      </c>
      <c r="H51" s="69">
        <f t="shared" si="1"/>
        <v>1080</v>
      </c>
      <c r="I51" s="69"/>
    </row>
    <row r="52" spans="1:9">
      <c r="A52" s="69">
        <v>49</v>
      </c>
      <c r="B52" s="76" t="s">
        <v>77</v>
      </c>
      <c r="C52" s="69"/>
      <c r="D52" s="70"/>
      <c r="E52" s="75" t="s">
        <v>29</v>
      </c>
      <c r="F52" s="75">
        <v>100</v>
      </c>
      <c r="G52" s="75">
        <v>8.5</v>
      </c>
      <c r="H52" s="69">
        <f t="shared" si="1"/>
        <v>850</v>
      </c>
      <c r="I52" s="69"/>
    </row>
    <row r="53" spans="1:9">
      <c r="A53" s="69">
        <v>50</v>
      </c>
      <c r="B53" s="76" t="s">
        <v>78</v>
      </c>
      <c r="C53" s="69"/>
      <c r="D53" s="70"/>
      <c r="E53" s="75" t="s">
        <v>29</v>
      </c>
      <c r="F53" s="75">
        <v>100</v>
      </c>
      <c r="G53" s="75">
        <v>12</v>
      </c>
      <c r="H53" s="69">
        <f t="shared" si="1"/>
        <v>1200</v>
      </c>
      <c r="I53" s="69"/>
    </row>
    <row r="54" spans="1:9">
      <c r="A54" s="69">
        <v>51</v>
      </c>
      <c r="B54" s="76" t="s">
        <v>79</v>
      </c>
      <c r="C54" s="69"/>
      <c r="D54" s="70"/>
      <c r="E54" s="75" t="s">
        <v>29</v>
      </c>
      <c r="F54" s="75">
        <v>50</v>
      </c>
      <c r="G54" s="75">
        <v>5</v>
      </c>
      <c r="H54" s="69">
        <f t="shared" si="1"/>
        <v>250</v>
      </c>
      <c r="I54" s="69"/>
    </row>
    <row r="55" spans="1:9">
      <c r="A55" s="69">
        <v>52</v>
      </c>
      <c r="B55" s="76" t="s">
        <v>80</v>
      </c>
      <c r="C55" s="69"/>
      <c r="D55" s="70"/>
      <c r="E55" s="75" t="s">
        <v>29</v>
      </c>
      <c r="F55" s="75">
        <v>100</v>
      </c>
      <c r="G55" s="75">
        <v>3.2</v>
      </c>
      <c r="H55" s="69">
        <f t="shared" si="1"/>
        <v>320</v>
      </c>
      <c r="I55" s="69"/>
    </row>
    <row r="56" spans="1:9">
      <c r="A56" s="69">
        <v>53</v>
      </c>
      <c r="B56" s="76" t="s">
        <v>81</v>
      </c>
      <c r="C56" s="69"/>
      <c r="D56" s="70"/>
      <c r="E56" s="75" t="s">
        <v>29</v>
      </c>
      <c r="F56" s="75">
        <v>300</v>
      </c>
      <c r="G56" s="75">
        <v>5</v>
      </c>
      <c r="H56" s="69">
        <f t="shared" si="1"/>
        <v>1500</v>
      </c>
      <c r="I56" s="69"/>
    </row>
    <row r="57" spans="1:9">
      <c r="A57" s="69">
        <v>54</v>
      </c>
      <c r="B57" s="76" t="s">
        <v>82</v>
      </c>
      <c r="C57" s="69"/>
      <c r="D57" s="70"/>
      <c r="E57" s="75" t="s">
        <v>29</v>
      </c>
      <c r="F57" s="75">
        <v>10</v>
      </c>
      <c r="G57" s="75">
        <v>18</v>
      </c>
      <c r="H57" s="69">
        <f t="shared" si="1"/>
        <v>180</v>
      </c>
      <c r="I57" s="69"/>
    </row>
    <row r="58" spans="1:9">
      <c r="A58" s="69">
        <v>55</v>
      </c>
      <c r="B58" s="76" t="s">
        <v>83</v>
      </c>
      <c r="C58" s="69"/>
      <c r="D58" s="70"/>
      <c r="E58" s="75" t="s">
        <v>15</v>
      </c>
      <c r="F58" s="75">
        <v>10</v>
      </c>
      <c r="G58" s="75">
        <v>10</v>
      </c>
      <c r="H58" s="69">
        <f t="shared" si="1"/>
        <v>100</v>
      </c>
      <c r="I58" s="69"/>
    </row>
    <row r="59" spans="1:9">
      <c r="A59" s="69">
        <v>56</v>
      </c>
      <c r="B59" s="76" t="s">
        <v>84</v>
      </c>
      <c r="C59" s="69"/>
      <c r="D59" s="70"/>
      <c r="E59" s="75" t="s">
        <v>33</v>
      </c>
      <c r="F59" s="75">
        <v>20</v>
      </c>
      <c r="G59" s="75">
        <v>5</v>
      </c>
      <c r="H59" s="69">
        <f t="shared" si="1"/>
        <v>100</v>
      </c>
      <c r="I59" s="69"/>
    </row>
    <row r="60" spans="1:9">
      <c r="A60" s="69">
        <v>57</v>
      </c>
      <c r="B60" s="76" t="s">
        <v>85</v>
      </c>
      <c r="C60" s="69"/>
      <c r="D60" s="70"/>
      <c r="E60" s="75" t="s">
        <v>33</v>
      </c>
      <c r="F60" s="75">
        <v>30</v>
      </c>
      <c r="G60" s="75">
        <v>5</v>
      </c>
      <c r="H60" s="69">
        <f t="shared" si="1"/>
        <v>150</v>
      </c>
      <c r="I60" s="69"/>
    </row>
    <row r="61" spans="1:9">
      <c r="A61" s="69">
        <v>58</v>
      </c>
      <c r="B61" s="76" t="s">
        <v>86</v>
      </c>
      <c r="C61" s="69"/>
      <c r="D61" s="70"/>
      <c r="E61" s="75" t="s">
        <v>33</v>
      </c>
      <c r="F61" s="75">
        <v>50</v>
      </c>
      <c r="G61" s="75">
        <v>9</v>
      </c>
      <c r="H61" s="69">
        <f t="shared" si="1"/>
        <v>450</v>
      </c>
      <c r="I61" s="69"/>
    </row>
    <row r="62" spans="1:9">
      <c r="A62" s="69">
        <v>59</v>
      </c>
      <c r="B62" s="76" t="s">
        <v>87</v>
      </c>
      <c r="C62" s="69"/>
      <c r="D62" s="70"/>
      <c r="E62" s="75" t="s">
        <v>33</v>
      </c>
      <c r="F62" s="75">
        <v>30</v>
      </c>
      <c r="G62" s="75">
        <v>16</v>
      </c>
      <c r="H62" s="69">
        <f t="shared" si="1"/>
        <v>480</v>
      </c>
      <c r="I62" s="69"/>
    </row>
    <row r="63" spans="1:9">
      <c r="A63" s="69">
        <v>60</v>
      </c>
      <c r="B63" s="76" t="s">
        <v>88</v>
      </c>
      <c r="C63" s="69"/>
      <c r="D63" s="70"/>
      <c r="E63" s="75" t="s">
        <v>89</v>
      </c>
      <c r="F63" s="75">
        <v>20</v>
      </c>
      <c r="G63" s="75">
        <v>90</v>
      </c>
      <c r="H63" s="69">
        <f t="shared" si="1"/>
        <v>1800</v>
      </c>
      <c r="I63" s="69"/>
    </row>
    <row r="64" spans="1:9">
      <c r="A64" s="69">
        <v>61</v>
      </c>
      <c r="B64" s="76" t="s">
        <v>90</v>
      </c>
      <c r="C64" s="69"/>
      <c r="D64" s="70"/>
      <c r="E64" s="75" t="s">
        <v>91</v>
      </c>
      <c r="F64" s="75">
        <v>500</v>
      </c>
      <c r="G64" s="75">
        <v>4.6</v>
      </c>
      <c r="H64" s="69">
        <f t="shared" si="1"/>
        <v>2300</v>
      </c>
      <c r="I64" s="69"/>
    </row>
    <row r="65" spans="1:9">
      <c r="A65" s="69">
        <v>62</v>
      </c>
      <c r="B65" s="76" t="s">
        <v>92</v>
      </c>
      <c r="C65" s="75"/>
      <c r="D65" s="76" t="s">
        <v>93</v>
      </c>
      <c r="E65" s="75" t="s">
        <v>29</v>
      </c>
      <c r="F65" s="75">
        <v>200</v>
      </c>
      <c r="G65" s="75">
        <v>110</v>
      </c>
      <c r="H65" s="69">
        <f t="shared" si="1"/>
        <v>22000</v>
      </c>
      <c r="I65" s="69"/>
    </row>
    <row r="66" spans="1:9">
      <c r="A66" s="69">
        <v>63</v>
      </c>
      <c r="B66" s="76" t="s">
        <v>94</v>
      </c>
      <c r="C66" s="75" t="s">
        <v>22</v>
      </c>
      <c r="D66" s="76"/>
      <c r="E66" s="75" t="s">
        <v>12</v>
      </c>
      <c r="F66" s="75">
        <v>2</v>
      </c>
      <c r="G66" s="75">
        <v>860</v>
      </c>
      <c r="H66" s="69">
        <f t="shared" si="1"/>
        <v>1720</v>
      </c>
      <c r="I66" s="69"/>
    </row>
    <row r="67" spans="1:9">
      <c r="A67" s="69">
        <v>64</v>
      </c>
      <c r="B67" s="76" t="s">
        <v>95</v>
      </c>
      <c r="C67" s="75"/>
      <c r="D67" s="76" t="s">
        <v>96</v>
      </c>
      <c r="E67" s="75" t="s">
        <v>15</v>
      </c>
      <c r="F67" s="75">
        <v>5</v>
      </c>
      <c r="G67" s="75">
        <v>15</v>
      </c>
      <c r="H67" s="69">
        <f t="shared" si="1"/>
        <v>75</v>
      </c>
      <c r="I67" s="69"/>
    </row>
    <row r="68" spans="1:9">
      <c r="A68" s="69">
        <v>65</v>
      </c>
      <c r="B68" s="76" t="s">
        <v>97</v>
      </c>
      <c r="C68" s="69"/>
      <c r="D68" s="70"/>
      <c r="E68" s="75" t="s">
        <v>33</v>
      </c>
      <c r="F68" s="75">
        <v>3</v>
      </c>
      <c r="G68" s="75">
        <v>40</v>
      </c>
      <c r="H68" s="69">
        <f t="shared" si="1"/>
        <v>120</v>
      </c>
      <c r="I68" s="69"/>
    </row>
    <row r="69" spans="1:9">
      <c r="A69" s="69">
        <v>66</v>
      </c>
      <c r="B69" s="76" t="s">
        <v>98</v>
      </c>
      <c r="C69" s="69"/>
      <c r="D69" s="70"/>
      <c r="E69" s="75" t="s">
        <v>29</v>
      </c>
      <c r="F69" s="75">
        <v>5</v>
      </c>
      <c r="G69" s="75">
        <v>4</v>
      </c>
      <c r="H69" s="69">
        <f t="shared" si="1"/>
        <v>20</v>
      </c>
      <c r="I69" s="69"/>
    </row>
    <row r="70" spans="1:9">
      <c r="A70" s="69">
        <v>67</v>
      </c>
      <c r="B70" s="76" t="s">
        <v>98</v>
      </c>
      <c r="C70" s="69"/>
      <c r="D70" s="70"/>
      <c r="E70" s="75" t="s">
        <v>29</v>
      </c>
      <c r="F70" s="75">
        <v>5</v>
      </c>
      <c r="G70" s="75">
        <v>2.5</v>
      </c>
      <c r="H70" s="69">
        <f t="shared" si="1"/>
        <v>12.5</v>
      </c>
      <c r="I70" s="69"/>
    </row>
    <row r="71" spans="1:9">
      <c r="A71" s="69">
        <v>68</v>
      </c>
      <c r="B71" s="76" t="s">
        <v>99</v>
      </c>
      <c r="C71" s="69"/>
      <c r="D71" s="70"/>
      <c r="E71" s="75" t="s">
        <v>15</v>
      </c>
      <c r="F71" s="75">
        <v>2</v>
      </c>
      <c r="G71" s="75">
        <v>240</v>
      </c>
      <c r="H71" s="69">
        <f t="shared" si="1"/>
        <v>480</v>
      </c>
      <c r="I71" s="69"/>
    </row>
    <row r="72" spans="1:9">
      <c r="A72" s="69">
        <v>69</v>
      </c>
      <c r="B72" s="76" t="s">
        <v>100</v>
      </c>
      <c r="C72" s="69"/>
      <c r="D72" s="70"/>
      <c r="E72" s="75" t="s">
        <v>29</v>
      </c>
      <c r="F72" s="75">
        <v>2</v>
      </c>
      <c r="G72" s="75">
        <v>340</v>
      </c>
      <c r="H72" s="69">
        <f t="shared" ref="H72:H100" si="2">F72*G72</f>
        <v>680</v>
      </c>
      <c r="I72" s="69"/>
    </row>
    <row r="73" spans="1:9">
      <c r="A73" s="69">
        <v>70</v>
      </c>
      <c r="B73" s="76" t="s">
        <v>101</v>
      </c>
      <c r="C73" s="69"/>
      <c r="D73" s="70"/>
      <c r="E73" s="75" t="s">
        <v>91</v>
      </c>
      <c r="F73" s="75">
        <v>1080</v>
      </c>
      <c r="G73" s="75">
        <v>3.9</v>
      </c>
      <c r="H73" s="69">
        <f t="shared" si="2"/>
        <v>4212</v>
      </c>
      <c r="I73" s="69"/>
    </row>
    <row r="74" spans="1:9">
      <c r="A74" s="69">
        <v>71</v>
      </c>
      <c r="B74" s="76" t="s">
        <v>102</v>
      </c>
      <c r="C74" s="69"/>
      <c r="D74" s="70"/>
      <c r="E74" s="75" t="s">
        <v>29</v>
      </c>
      <c r="F74" s="75">
        <v>100</v>
      </c>
      <c r="G74" s="75">
        <v>30.8</v>
      </c>
      <c r="H74" s="69">
        <f t="shared" si="2"/>
        <v>3080</v>
      </c>
      <c r="I74" s="69"/>
    </row>
    <row r="75" spans="1:9">
      <c r="A75" s="69">
        <v>72</v>
      </c>
      <c r="B75" s="76" t="s">
        <v>103</v>
      </c>
      <c r="C75" s="69"/>
      <c r="D75" s="70"/>
      <c r="E75" s="75" t="s">
        <v>33</v>
      </c>
      <c r="F75" s="75">
        <v>200</v>
      </c>
      <c r="G75" s="75">
        <v>10.7</v>
      </c>
      <c r="H75" s="69">
        <f t="shared" si="2"/>
        <v>2140</v>
      </c>
      <c r="I75" s="69"/>
    </row>
    <row r="76" spans="1:9">
      <c r="A76" s="69">
        <v>73</v>
      </c>
      <c r="B76" s="76" t="s">
        <v>104</v>
      </c>
      <c r="C76" s="69" t="s">
        <v>105</v>
      </c>
      <c r="D76" s="70" t="s">
        <v>106</v>
      </c>
      <c r="E76" s="69" t="s">
        <v>107</v>
      </c>
      <c r="F76" s="69">
        <v>200</v>
      </c>
      <c r="G76" s="75">
        <v>73.7</v>
      </c>
      <c r="H76" s="69">
        <f t="shared" si="2"/>
        <v>14740</v>
      </c>
      <c r="I76" s="69"/>
    </row>
    <row r="77" spans="1:9">
      <c r="A77" s="69">
        <v>74</v>
      </c>
      <c r="B77" s="76" t="s">
        <v>104</v>
      </c>
      <c r="C77" s="69" t="s">
        <v>105</v>
      </c>
      <c r="D77" s="70" t="s">
        <v>108</v>
      </c>
      <c r="E77" s="69" t="s">
        <v>107</v>
      </c>
      <c r="F77" s="69">
        <v>100</v>
      </c>
      <c r="G77" s="75">
        <v>75.9</v>
      </c>
      <c r="H77" s="69">
        <f t="shared" si="2"/>
        <v>7590</v>
      </c>
      <c r="I77" s="69"/>
    </row>
    <row r="78" spans="1:9">
      <c r="A78" s="69">
        <v>75</v>
      </c>
      <c r="B78" s="70" t="s">
        <v>109</v>
      </c>
      <c r="C78" s="69"/>
      <c r="D78" s="70" t="s">
        <v>110</v>
      </c>
      <c r="E78" s="69" t="s">
        <v>111</v>
      </c>
      <c r="F78" s="69">
        <v>5</v>
      </c>
      <c r="G78" s="69">
        <v>5200</v>
      </c>
      <c r="H78" s="69">
        <f t="shared" si="2"/>
        <v>26000</v>
      </c>
      <c r="I78" s="69"/>
    </row>
    <row r="79" ht="175.5" spans="1:9">
      <c r="A79" s="69">
        <v>76</v>
      </c>
      <c r="B79" s="70" t="s">
        <v>112</v>
      </c>
      <c r="C79" s="69" t="s">
        <v>113</v>
      </c>
      <c r="D79" s="79" t="s">
        <v>114</v>
      </c>
      <c r="E79" s="69" t="s">
        <v>12</v>
      </c>
      <c r="F79" s="69">
        <v>1</v>
      </c>
      <c r="G79" s="69">
        <v>62000</v>
      </c>
      <c r="H79" s="69">
        <f t="shared" si="2"/>
        <v>62000</v>
      </c>
      <c r="I79" s="69"/>
    </row>
    <row r="80" ht="94.5" spans="1:9">
      <c r="A80" s="69">
        <v>77</v>
      </c>
      <c r="B80" s="70" t="s">
        <v>115</v>
      </c>
      <c r="C80" s="69"/>
      <c r="D80" s="79" t="s">
        <v>116</v>
      </c>
      <c r="E80" s="69" t="s">
        <v>12</v>
      </c>
      <c r="F80" s="69">
        <v>1</v>
      </c>
      <c r="G80" s="69">
        <v>115000</v>
      </c>
      <c r="H80" s="69">
        <f t="shared" si="2"/>
        <v>115000</v>
      </c>
      <c r="I80" s="69"/>
    </row>
    <row r="81" spans="1:9">
      <c r="A81" s="69">
        <v>78</v>
      </c>
      <c r="B81" s="80" t="s">
        <v>117</v>
      </c>
      <c r="C81" s="81"/>
      <c r="D81" s="80" t="s">
        <v>118</v>
      </c>
      <c r="E81" s="81" t="s">
        <v>15</v>
      </c>
      <c r="F81" s="81">
        <v>6</v>
      </c>
      <c r="G81" s="82">
        <v>2250</v>
      </c>
      <c r="H81" s="69">
        <f t="shared" si="2"/>
        <v>13500</v>
      </c>
      <c r="I81" s="69"/>
    </row>
    <row r="82" ht="27" spans="1:9">
      <c r="A82" s="69">
        <v>79</v>
      </c>
      <c r="B82" s="80" t="s">
        <v>119</v>
      </c>
      <c r="C82" s="81" t="s">
        <v>120</v>
      </c>
      <c r="D82" s="80" t="s">
        <v>121</v>
      </c>
      <c r="E82" s="81" t="s">
        <v>43</v>
      </c>
      <c r="F82" s="81">
        <v>500</v>
      </c>
      <c r="G82" s="82">
        <v>33.6</v>
      </c>
      <c r="H82" s="69">
        <f t="shared" ref="H82:H96" si="3">F82*G82</f>
        <v>16800</v>
      </c>
      <c r="I82" s="69"/>
    </row>
    <row r="83" ht="27" spans="1:9">
      <c r="A83" s="69">
        <v>80</v>
      </c>
      <c r="B83" s="80" t="s">
        <v>119</v>
      </c>
      <c r="C83" s="81" t="s">
        <v>120</v>
      </c>
      <c r="D83" s="80" t="s">
        <v>122</v>
      </c>
      <c r="E83" s="81" t="s">
        <v>43</v>
      </c>
      <c r="F83" s="81">
        <v>500</v>
      </c>
      <c r="G83" s="82">
        <v>52</v>
      </c>
      <c r="H83" s="69">
        <f t="shared" si="3"/>
        <v>26000</v>
      </c>
      <c r="I83" s="69"/>
    </row>
    <row r="84" ht="27" spans="1:9">
      <c r="A84" s="69">
        <v>81</v>
      </c>
      <c r="B84" s="80" t="s">
        <v>123</v>
      </c>
      <c r="C84" s="81" t="s">
        <v>120</v>
      </c>
      <c r="D84" s="80" t="s">
        <v>124</v>
      </c>
      <c r="E84" s="81" t="s">
        <v>43</v>
      </c>
      <c r="F84" s="81">
        <v>900</v>
      </c>
      <c r="G84" s="82">
        <v>21.5</v>
      </c>
      <c r="H84" s="69">
        <f t="shared" si="3"/>
        <v>19350</v>
      </c>
      <c r="I84" s="69"/>
    </row>
    <row r="85" ht="27" spans="1:9">
      <c r="A85" s="69">
        <v>82</v>
      </c>
      <c r="B85" s="80" t="s">
        <v>119</v>
      </c>
      <c r="C85" s="81" t="s">
        <v>120</v>
      </c>
      <c r="D85" s="80" t="s">
        <v>125</v>
      </c>
      <c r="E85" s="81" t="s">
        <v>43</v>
      </c>
      <c r="F85" s="81">
        <v>500</v>
      </c>
      <c r="G85" s="82">
        <v>111</v>
      </c>
      <c r="H85" s="69">
        <f t="shared" si="3"/>
        <v>55500</v>
      </c>
      <c r="I85" s="69"/>
    </row>
    <row r="86" ht="27" spans="1:9">
      <c r="A86" s="69">
        <v>83</v>
      </c>
      <c r="B86" s="80" t="s">
        <v>119</v>
      </c>
      <c r="C86" s="81" t="s">
        <v>120</v>
      </c>
      <c r="D86" s="80" t="s">
        <v>126</v>
      </c>
      <c r="E86" s="81" t="s">
        <v>43</v>
      </c>
      <c r="F86" s="81">
        <v>500</v>
      </c>
      <c r="G86" s="82">
        <v>18.5</v>
      </c>
      <c r="H86" s="69">
        <f t="shared" si="3"/>
        <v>9250</v>
      </c>
      <c r="I86" s="69"/>
    </row>
    <row r="87" ht="27" spans="1:9">
      <c r="A87" s="69">
        <v>84</v>
      </c>
      <c r="B87" s="80" t="s">
        <v>127</v>
      </c>
      <c r="C87" s="81" t="s">
        <v>120</v>
      </c>
      <c r="D87" s="80" t="s">
        <v>128</v>
      </c>
      <c r="E87" s="81" t="s">
        <v>43</v>
      </c>
      <c r="F87" s="81">
        <v>500</v>
      </c>
      <c r="G87" s="82">
        <v>22</v>
      </c>
      <c r="H87" s="69">
        <f t="shared" si="3"/>
        <v>11000</v>
      </c>
      <c r="I87" s="69"/>
    </row>
    <row r="88" ht="27" spans="1:9">
      <c r="A88" s="69">
        <v>85</v>
      </c>
      <c r="B88" s="80" t="s">
        <v>127</v>
      </c>
      <c r="C88" s="81" t="s">
        <v>120</v>
      </c>
      <c r="D88" s="80" t="s">
        <v>129</v>
      </c>
      <c r="E88" s="81" t="s">
        <v>43</v>
      </c>
      <c r="F88" s="81">
        <v>300</v>
      </c>
      <c r="G88" s="82">
        <v>29</v>
      </c>
      <c r="H88" s="69">
        <f t="shared" si="3"/>
        <v>8700</v>
      </c>
      <c r="I88" s="69"/>
    </row>
    <row r="89" spans="1:9">
      <c r="A89" s="69">
        <v>86</v>
      </c>
      <c r="B89" s="83" t="s">
        <v>130</v>
      </c>
      <c r="C89" s="69"/>
      <c r="D89" s="83"/>
      <c r="E89" s="84" t="s">
        <v>27</v>
      </c>
      <c r="F89" s="84">
        <v>10</v>
      </c>
      <c r="G89" s="85">
        <v>680</v>
      </c>
      <c r="H89" s="69">
        <f t="shared" si="3"/>
        <v>6800</v>
      </c>
      <c r="I89" s="69"/>
    </row>
    <row r="90" spans="1:9">
      <c r="A90" s="69">
        <v>87</v>
      </c>
      <c r="B90" s="83" t="s">
        <v>131</v>
      </c>
      <c r="C90" s="69"/>
      <c r="D90" s="86" t="s">
        <v>132</v>
      </c>
      <c r="E90" s="84" t="s">
        <v>29</v>
      </c>
      <c r="F90" s="84">
        <v>100</v>
      </c>
      <c r="G90" s="75">
        <v>13.8</v>
      </c>
      <c r="H90" s="69">
        <f t="shared" ref="H90:H113" si="4">F90*G90</f>
        <v>1380</v>
      </c>
      <c r="I90" s="69"/>
    </row>
    <row r="91" spans="1:9">
      <c r="A91" s="69">
        <v>88</v>
      </c>
      <c r="B91" s="83" t="s">
        <v>133</v>
      </c>
      <c r="C91" s="69"/>
      <c r="D91" s="86" t="s">
        <v>134</v>
      </c>
      <c r="E91" s="84" t="s">
        <v>29</v>
      </c>
      <c r="F91" s="84">
        <v>100</v>
      </c>
      <c r="G91" s="75">
        <v>4.6</v>
      </c>
      <c r="H91" s="69">
        <f t="shared" si="4"/>
        <v>460</v>
      </c>
      <c r="I91" s="69"/>
    </row>
    <row r="92" spans="1:9">
      <c r="A92" s="69">
        <v>89</v>
      </c>
      <c r="B92" s="83" t="s">
        <v>135</v>
      </c>
      <c r="C92" s="69"/>
      <c r="D92" s="83" t="s">
        <v>136</v>
      </c>
      <c r="E92" s="84" t="s">
        <v>29</v>
      </c>
      <c r="F92" s="84">
        <v>50</v>
      </c>
      <c r="G92" s="75">
        <v>7.36</v>
      </c>
      <c r="H92" s="69">
        <f t="shared" si="4"/>
        <v>368</v>
      </c>
      <c r="I92" s="69"/>
    </row>
    <row r="93" spans="1:9">
      <c r="A93" s="69">
        <v>90</v>
      </c>
      <c r="B93" s="83" t="s">
        <v>137</v>
      </c>
      <c r="C93" s="69"/>
      <c r="D93" s="86" t="s">
        <v>138</v>
      </c>
      <c r="E93" s="84" t="s">
        <v>29</v>
      </c>
      <c r="F93" s="84">
        <v>40</v>
      </c>
      <c r="G93" s="75">
        <v>59.8</v>
      </c>
      <c r="H93" s="69">
        <f t="shared" si="4"/>
        <v>2392</v>
      </c>
      <c r="I93" s="69"/>
    </row>
    <row r="94" spans="1:9">
      <c r="A94" s="69">
        <v>91</v>
      </c>
      <c r="B94" s="83" t="s">
        <v>139</v>
      </c>
      <c r="C94" s="69"/>
      <c r="D94" s="83" t="s">
        <v>140</v>
      </c>
      <c r="E94" s="84" t="s">
        <v>29</v>
      </c>
      <c r="F94" s="84">
        <v>40</v>
      </c>
      <c r="G94" s="75">
        <v>25.76</v>
      </c>
      <c r="H94" s="69">
        <f t="shared" si="4"/>
        <v>1030.4</v>
      </c>
      <c r="I94" s="69"/>
    </row>
    <row r="95" spans="1:9">
      <c r="A95" s="69">
        <v>92</v>
      </c>
      <c r="B95" s="83" t="s">
        <v>141</v>
      </c>
      <c r="C95" s="69"/>
      <c r="D95" s="83" t="s">
        <v>142</v>
      </c>
      <c r="E95" s="84" t="s">
        <v>29</v>
      </c>
      <c r="F95" s="84">
        <v>50</v>
      </c>
      <c r="G95" s="75">
        <v>2.3</v>
      </c>
      <c r="H95" s="69">
        <f t="shared" si="4"/>
        <v>115</v>
      </c>
      <c r="I95" s="69"/>
    </row>
    <row r="96" spans="1:9">
      <c r="A96" s="69">
        <v>93</v>
      </c>
      <c r="B96" s="83" t="s">
        <v>143</v>
      </c>
      <c r="C96" s="69"/>
      <c r="D96" s="83"/>
      <c r="E96" s="84" t="s">
        <v>144</v>
      </c>
      <c r="F96" s="84">
        <v>100</v>
      </c>
      <c r="G96" s="75">
        <v>2.3</v>
      </c>
      <c r="H96" s="69">
        <f t="shared" si="4"/>
        <v>230</v>
      </c>
      <c r="I96" s="69"/>
    </row>
    <row r="97" spans="1:9">
      <c r="A97" s="69">
        <v>94</v>
      </c>
      <c r="B97" s="83" t="s">
        <v>145</v>
      </c>
      <c r="C97" s="69"/>
      <c r="D97" s="86" t="s">
        <v>146</v>
      </c>
      <c r="E97" s="84" t="s">
        <v>29</v>
      </c>
      <c r="F97" s="84">
        <v>100</v>
      </c>
      <c r="G97" s="75">
        <v>0.92</v>
      </c>
      <c r="H97" s="69">
        <f t="shared" si="4"/>
        <v>92</v>
      </c>
      <c r="I97" s="69"/>
    </row>
    <row r="98" spans="1:9">
      <c r="A98" s="69">
        <v>95</v>
      </c>
      <c r="B98" s="83" t="s">
        <v>147</v>
      </c>
      <c r="C98" s="69"/>
      <c r="D98" s="86" t="s">
        <v>148</v>
      </c>
      <c r="E98" s="84" t="s">
        <v>29</v>
      </c>
      <c r="F98" s="84">
        <v>100</v>
      </c>
      <c r="G98" s="75">
        <v>0.83</v>
      </c>
      <c r="H98" s="69">
        <f t="shared" si="4"/>
        <v>83</v>
      </c>
      <c r="I98" s="69"/>
    </row>
    <row r="99" spans="1:9">
      <c r="A99" s="69">
        <v>96</v>
      </c>
      <c r="B99" s="76" t="s">
        <v>149</v>
      </c>
      <c r="C99" s="69"/>
      <c r="D99" s="76" t="s">
        <v>150</v>
      </c>
      <c r="E99" s="75" t="s">
        <v>27</v>
      </c>
      <c r="F99" s="75">
        <v>10</v>
      </c>
      <c r="G99" s="75">
        <v>160</v>
      </c>
      <c r="H99" s="69">
        <f t="shared" si="4"/>
        <v>1600</v>
      </c>
      <c r="I99" s="69"/>
    </row>
    <row r="100" spans="1:9">
      <c r="A100" s="69">
        <v>97</v>
      </c>
      <c r="B100" s="83" t="s">
        <v>151</v>
      </c>
      <c r="C100" s="69"/>
      <c r="D100" s="83" t="s">
        <v>150</v>
      </c>
      <c r="E100" s="84" t="s">
        <v>29</v>
      </c>
      <c r="F100" s="84">
        <v>30</v>
      </c>
      <c r="G100" s="75">
        <v>13.8</v>
      </c>
      <c r="H100" s="69">
        <f t="shared" si="4"/>
        <v>414</v>
      </c>
      <c r="I100" s="69"/>
    </row>
    <row r="101" spans="1:9">
      <c r="A101" s="69">
        <v>98</v>
      </c>
      <c r="B101" s="83" t="s">
        <v>152</v>
      </c>
      <c r="C101" s="69"/>
      <c r="D101" s="83" t="s">
        <v>150</v>
      </c>
      <c r="E101" s="84" t="s">
        <v>27</v>
      </c>
      <c r="F101" s="84">
        <v>10</v>
      </c>
      <c r="G101" s="75">
        <v>15</v>
      </c>
      <c r="H101" s="69">
        <f t="shared" si="4"/>
        <v>150</v>
      </c>
      <c r="I101" s="69"/>
    </row>
    <row r="102" spans="1:9">
      <c r="A102" s="69">
        <v>99</v>
      </c>
      <c r="B102" s="83" t="s">
        <v>153</v>
      </c>
      <c r="C102" s="69"/>
      <c r="D102" s="86" t="s">
        <v>154</v>
      </c>
      <c r="E102" s="84" t="s">
        <v>29</v>
      </c>
      <c r="F102" s="84">
        <v>60</v>
      </c>
      <c r="G102" s="75">
        <v>7.36</v>
      </c>
      <c r="H102" s="69">
        <f t="shared" si="4"/>
        <v>441.6</v>
      </c>
      <c r="I102" s="69"/>
    </row>
    <row r="103" spans="1:9">
      <c r="A103" s="69">
        <v>100</v>
      </c>
      <c r="B103" s="83" t="s">
        <v>155</v>
      </c>
      <c r="C103" s="69"/>
      <c r="D103" s="83" t="s">
        <v>150</v>
      </c>
      <c r="E103" s="84" t="s">
        <v>29</v>
      </c>
      <c r="F103" s="84">
        <v>20</v>
      </c>
      <c r="G103" s="75">
        <v>7.43</v>
      </c>
      <c r="H103" s="69">
        <f t="shared" si="4"/>
        <v>148.6</v>
      </c>
      <c r="I103" s="69"/>
    </row>
    <row r="104" spans="1:9">
      <c r="A104" s="69">
        <v>101</v>
      </c>
      <c r="B104" s="83" t="s">
        <v>156</v>
      </c>
      <c r="C104" s="69"/>
      <c r="D104" s="83" t="s">
        <v>150</v>
      </c>
      <c r="E104" s="84" t="s">
        <v>29</v>
      </c>
      <c r="F104" s="84">
        <v>20</v>
      </c>
      <c r="G104" s="75">
        <v>1.5</v>
      </c>
      <c r="H104" s="69">
        <f t="shared" si="4"/>
        <v>30</v>
      </c>
      <c r="I104" s="69"/>
    </row>
    <row r="105" spans="1:9">
      <c r="A105" s="69">
        <v>102</v>
      </c>
      <c r="B105" s="83" t="s">
        <v>157</v>
      </c>
      <c r="C105" s="69"/>
      <c r="D105" s="86" t="s">
        <v>158</v>
      </c>
      <c r="E105" s="84" t="s">
        <v>29</v>
      </c>
      <c r="F105" s="84">
        <v>20</v>
      </c>
      <c r="G105" s="75">
        <v>16.56</v>
      </c>
      <c r="H105" s="69">
        <f t="shared" si="4"/>
        <v>331.2</v>
      </c>
      <c r="I105" s="69"/>
    </row>
    <row r="106" spans="1:9">
      <c r="A106" s="69">
        <v>103</v>
      </c>
      <c r="B106" s="83" t="s">
        <v>159</v>
      </c>
      <c r="C106" s="69"/>
      <c r="D106" s="86" t="s">
        <v>160</v>
      </c>
      <c r="E106" s="84" t="s">
        <v>29</v>
      </c>
      <c r="F106" s="84">
        <v>30</v>
      </c>
      <c r="G106" s="75">
        <v>2.3</v>
      </c>
      <c r="H106" s="69">
        <f t="shared" si="4"/>
        <v>69</v>
      </c>
      <c r="I106" s="69"/>
    </row>
    <row r="107" spans="1:9">
      <c r="A107" s="69">
        <v>104</v>
      </c>
      <c r="B107" s="83" t="s">
        <v>161</v>
      </c>
      <c r="C107" s="69"/>
      <c r="D107" s="83" t="s">
        <v>162</v>
      </c>
      <c r="E107" s="84" t="s">
        <v>29</v>
      </c>
      <c r="F107" s="84">
        <v>50</v>
      </c>
      <c r="G107" s="75">
        <v>0.92</v>
      </c>
      <c r="H107" s="69">
        <f t="shared" si="4"/>
        <v>46</v>
      </c>
      <c r="I107" s="69"/>
    </row>
    <row r="108" spans="1:9">
      <c r="A108" s="69">
        <v>105</v>
      </c>
      <c r="B108" s="76" t="s">
        <v>163</v>
      </c>
      <c r="C108" s="69"/>
      <c r="D108" s="76" t="s">
        <v>150</v>
      </c>
      <c r="E108" s="75" t="s">
        <v>29</v>
      </c>
      <c r="F108" s="75">
        <v>30</v>
      </c>
      <c r="G108" s="75">
        <v>12</v>
      </c>
      <c r="H108" s="69">
        <f t="shared" si="4"/>
        <v>360</v>
      </c>
      <c r="I108" s="69"/>
    </row>
    <row r="109" s="58" customFormat="1" spans="1:9">
      <c r="A109" s="69">
        <v>106</v>
      </c>
      <c r="B109" s="78" t="s">
        <v>164</v>
      </c>
      <c r="C109" s="77"/>
      <c r="D109" s="78" t="s">
        <v>150</v>
      </c>
      <c r="E109" s="77" t="s">
        <v>29</v>
      </c>
      <c r="F109" s="77">
        <v>10</v>
      </c>
      <c r="G109" s="77">
        <v>130</v>
      </c>
      <c r="H109" s="77">
        <f t="shared" si="4"/>
        <v>1300</v>
      </c>
      <c r="I109" s="77"/>
    </row>
    <row r="110" spans="1:9">
      <c r="A110" s="69">
        <v>107</v>
      </c>
      <c r="B110" s="76" t="s">
        <v>165</v>
      </c>
      <c r="C110" s="69"/>
      <c r="D110" s="76" t="s">
        <v>150</v>
      </c>
      <c r="E110" s="75" t="s">
        <v>29</v>
      </c>
      <c r="F110" s="75">
        <v>10</v>
      </c>
      <c r="G110" s="75">
        <v>15</v>
      </c>
      <c r="H110" s="69">
        <f t="shared" si="4"/>
        <v>150</v>
      </c>
      <c r="I110" s="69"/>
    </row>
    <row r="111" spans="1:9">
      <c r="A111" s="69">
        <v>108</v>
      </c>
      <c r="B111" s="83" t="s">
        <v>166</v>
      </c>
      <c r="C111" s="69"/>
      <c r="D111" s="86" t="s">
        <v>167</v>
      </c>
      <c r="E111" s="84" t="s">
        <v>29</v>
      </c>
      <c r="F111" s="84">
        <v>20</v>
      </c>
      <c r="G111" s="75">
        <v>13.8</v>
      </c>
      <c r="H111" s="69">
        <f t="shared" si="4"/>
        <v>276</v>
      </c>
      <c r="I111" s="69"/>
    </row>
    <row r="112" spans="1:9">
      <c r="A112" s="69">
        <v>109</v>
      </c>
      <c r="B112" s="83" t="s">
        <v>168</v>
      </c>
      <c r="C112" s="69"/>
      <c r="D112" s="86" t="s">
        <v>169</v>
      </c>
      <c r="E112" s="84" t="s">
        <v>29</v>
      </c>
      <c r="F112" s="84">
        <v>30</v>
      </c>
      <c r="G112" s="75">
        <v>5.06</v>
      </c>
      <c r="H112" s="69">
        <f t="shared" si="4"/>
        <v>151.8</v>
      </c>
      <c r="I112" s="69"/>
    </row>
    <row r="113" spans="1:9">
      <c r="A113" s="69">
        <v>110</v>
      </c>
      <c r="B113" s="70" t="s">
        <v>170</v>
      </c>
      <c r="C113" s="69" t="s">
        <v>171</v>
      </c>
      <c r="D113" s="70"/>
      <c r="E113" s="69" t="s">
        <v>12</v>
      </c>
      <c r="F113" s="69">
        <v>2</v>
      </c>
      <c r="G113" s="69">
        <v>1180</v>
      </c>
      <c r="H113" s="69">
        <f t="shared" si="4"/>
        <v>2360</v>
      </c>
      <c r="I113" s="69"/>
    </row>
    <row r="114" spans="1:9">
      <c r="A114" s="69">
        <v>111</v>
      </c>
      <c r="B114" s="70" t="s">
        <v>172</v>
      </c>
      <c r="C114" s="69" t="s">
        <v>173</v>
      </c>
      <c r="D114" s="70"/>
      <c r="E114" s="84" t="s">
        <v>29</v>
      </c>
      <c r="F114" s="69">
        <v>2</v>
      </c>
      <c r="G114" s="69">
        <v>400</v>
      </c>
      <c r="H114" s="69">
        <f t="shared" ref="H114:H119" si="5">F114*G114</f>
        <v>800</v>
      </c>
      <c r="I114" s="69"/>
    </row>
    <row r="115" spans="1:9">
      <c r="A115" s="69">
        <v>112</v>
      </c>
      <c r="B115" s="70" t="s">
        <v>174</v>
      </c>
      <c r="C115" s="69" t="s">
        <v>173</v>
      </c>
      <c r="D115" s="70"/>
      <c r="E115" s="69" t="s">
        <v>12</v>
      </c>
      <c r="F115" s="69">
        <v>2</v>
      </c>
      <c r="G115" s="69">
        <v>1800</v>
      </c>
      <c r="H115" s="69">
        <f t="shared" si="5"/>
        <v>3600</v>
      </c>
      <c r="I115" s="69"/>
    </row>
    <row r="116" spans="1:9">
      <c r="A116" s="69">
        <v>113</v>
      </c>
      <c r="B116" s="70" t="s">
        <v>175</v>
      </c>
      <c r="C116" s="69" t="s">
        <v>173</v>
      </c>
      <c r="D116" s="70"/>
      <c r="E116" s="84" t="s">
        <v>29</v>
      </c>
      <c r="F116" s="69">
        <v>2</v>
      </c>
      <c r="G116" s="69">
        <v>400</v>
      </c>
      <c r="H116" s="69">
        <f t="shared" si="5"/>
        <v>800</v>
      </c>
      <c r="I116" s="69"/>
    </row>
    <row r="117" spans="1:9">
      <c r="A117" s="69">
        <v>114</v>
      </c>
      <c r="B117" s="70" t="s">
        <v>176</v>
      </c>
      <c r="C117" s="69" t="s">
        <v>173</v>
      </c>
      <c r="D117" s="70"/>
      <c r="E117" s="84" t="s">
        <v>29</v>
      </c>
      <c r="F117" s="69">
        <v>40</v>
      </c>
      <c r="G117" s="69">
        <v>12</v>
      </c>
      <c r="H117" s="69">
        <f t="shared" si="5"/>
        <v>480</v>
      </c>
      <c r="I117" s="69"/>
    </row>
    <row r="118" s="58" customFormat="1" spans="1:9">
      <c r="A118" s="69">
        <v>115</v>
      </c>
      <c r="B118" s="78" t="s">
        <v>177</v>
      </c>
      <c r="C118" s="77"/>
      <c r="D118" s="78"/>
      <c r="E118" s="77" t="s">
        <v>29</v>
      </c>
      <c r="F118" s="77">
        <v>24</v>
      </c>
      <c r="G118" s="77">
        <v>135</v>
      </c>
      <c r="H118" s="69">
        <f t="shared" ref="H118:H131" si="6">F118*G118</f>
        <v>3240</v>
      </c>
      <c r="I118" s="77"/>
    </row>
    <row r="119" s="58" customFormat="1" spans="1:9">
      <c r="A119" s="69">
        <v>116</v>
      </c>
      <c r="B119" s="78" t="s">
        <v>178</v>
      </c>
      <c r="C119" s="77"/>
      <c r="D119" s="78" t="s">
        <v>179</v>
      </c>
      <c r="E119" s="77" t="s">
        <v>29</v>
      </c>
      <c r="F119" s="77">
        <v>4</v>
      </c>
      <c r="G119" s="77">
        <v>180</v>
      </c>
      <c r="H119" s="69">
        <f t="shared" si="6"/>
        <v>720</v>
      </c>
      <c r="I119" s="77"/>
    </row>
    <row r="120" s="58" customFormat="1" spans="1:9">
      <c r="A120" s="69">
        <v>117</v>
      </c>
      <c r="B120" s="78" t="s">
        <v>178</v>
      </c>
      <c r="C120" s="77"/>
      <c r="D120" s="78" t="s">
        <v>180</v>
      </c>
      <c r="E120" s="77" t="s">
        <v>29</v>
      </c>
      <c r="F120" s="77">
        <v>4</v>
      </c>
      <c r="G120" s="77">
        <v>180</v>
      </c>
      <c r="H120" s="69">
        <f t="shared" si="6"/>
        <v>720</v>
      </c>
      <c r="I120" s="77"/>
    </row>
    <row r="121" s="58" customFormat="1" spans="1:9">
      <c r="A121" s="69">
        <v>118</v>
      </c>
      <c r="B121" s="78" t="s">
        <v>181</v>
      </c>
      <c r="C121" s="77"/>
      <c r="D121" s="78"/>
      <c r="E121" s="77" t="s">
        <v>15</v>
      </c>
      <c r="F121" s="77">
        <v>72</v>
      </c>
      <c r="G121" s="77">
        <v>4</v>
      </c>
      <c r="H121" s="69">
        <f t="shared" si="6"/>
        <v>288</v>
      </c>
      <c r="I121" s="77"/>
    </row>
    <row r="122" s="58" customFormat="1" spans="1:9">
      <c r="A122" s="69">
        <v>119</v>
      </c>
      <c r="B122" s="78" t="s">
        <v>182</v>
      </c>
      <c r="C122" s="77"/>
      <c r="D122" s="78"/>
      <c r="E122" s="77" t="s">
        <v>31</v>
      </c>
      <c r="F122" s="77">
        <v>50</v>
      </c>
      <c r="G122" s="77">
        <v>85</v>
      </c>
      <c r="H122" s="69">
        <f t="shared" si="6"/>
        <v>4250</v>
      </c>
      <c r="I122" s="77"/>
    </row>
    <row r="123" s="58" customFormat="1" spans="1:9">
      <c r="A123" s="69">
        <v>120</v>
      </c>
      <c r="B123" s="78" t="s">
        <v>183</v>
      </c>
      <c r="C123" s="77"/>
      <c r="D123" s="78"/>
      <c r="E123" s="77" t="s">
        <v>15</v>
      </c>
      <c r="F123" s="77">
        <v>62</v>
      </c>
      <c r="G123" s="77">
        <v>4</v>
      </c>
      <c r="H123" s="69">
        <f t="shared" si="6"/>
        <v>248</v>
      </c>
      <c r="I123" s="77"/>
    </row>
    <row r="124" s="58" customFormat="1" spans="1:9">
      <c r="A124" s="69">
        <v>121</v>
      </c>
      <c r="B124" s="78" t="s">
        <v>184</v>
      </c>
      <c r="C124" s="77"/>
      <c r="D124" s="78" t="s">
        <v>185</v>
      </c>
      <c r="E124" s="77" t="s">
        <v>31</v>
      </c>
      <c r="F124" s="77">
        <v>6</v>
      </c>
      <c r="G124" s="77">
        <v>150</v>
      </c>
      <c r="H124" s="69">
        <f t="shared" si="6"/>
        <v>900</v>
      </c>
      <c r="I124" s="77"/>
    </row>
    <row r="125" s="58" customFormat="1" spans="1:9">
      <c r="A125" s="69">
        <v>122</v>
      </c>
      <c r="B125" s="78" t="s">
        <v>184</v>
      </c>
      <c r="C125" s="77"/>
      <c r="D125" s="78" t="s">
        <v>186</v>
      </c>
      <c r="E125" s="77" t="s">
        <v>31</v>
      </c>
      <c r="F125" s="77">
        <v>6</v>
      </c>
      <c r="G125" s="77">
        <v>150</v>
      </c>
      <c r="H125" s="69">
        <f t="shared" si="6"/>
        <v>900</v>
      </c>
      <c r="I125" s="77"/>
    </row>
    <row r="126" s="58" customFormat="1" spans="1:9">
      <c r="A126" s="69">
        <v>123</v>
      </c>
      <c r="B126" s="78" t="s">
        <v>187</v>
      </c>
      <c r="C126" s="77"/>
      <c r="D126" s="78" t="s">
        <v>188</v>
      </c>
      <c r="E126" s="77" t="s">
        <v>29</v>
      </c>
      <c r="F126" s="77">
        <v>24</v>
      </c>
      <c r="G126" s="77">
        <v>135</v>
      </c>
      <c r="H126" s="69">
        <f t="shared" si="6"/>
        <v>3240</v>
      </c>
      <c r="I126" s="77"/>
    </row>
    <row r="127" s="58" customFormat="1" spans="1:9">
      <c r="A127" s="69">
        <v>124</v>
      </c>
      <c r="B127" s="78" t="s">
        <v>189</v>
      </c>
      <c r="C127" s="77"/>
      <c r="D127" s="78" t="s">
        <v>190</v>
      </c>
      <c r="E127" s="77" t="s">
        <v>31</v>
      </c>
      <c r="F127" s="77">
        <v>4</v>
      </c>
      <c r="G127" s="77">
        <v>180</v>
      </c>
      <c r="H127" s="69">
        <f t="shared" si="6"/>
        <v>720</v>
      </c>
      <c r="I127" s="77"/>
    </row>
    <row r="128" s="58" customFormat="1" spans="1:9">
      <c r="A128" s="69">
        <v>125</v>
      </c>
      <c r="B128" s="78" t="s">
        <v>189</v>
      </c>
      <c r="C128" s="77"/>
      <c r="D128" s="78" t="s">
        <v>191</v>
      </c>
      <c r="E128" s="77" t="s">
        <v>31</v>
      </c>
      <c r="F128" s="77">
        <v>4</v>
      </c>
      <c r="G128" s="77">
        <v>180</v>
      </c>
      <c r="H128" s="69">
        <f t="shared" si="6"/>
        <v>720</v>
      </c>
      <c r="I128" s="77"/>
    </row>
    <row r="129" s="58" customFormat="1" spans="1:9">
      <c r="A129" s="69">
        <v>126</v>
      </c>
      <c r="B129" s="78" t="s">
        <v>192</v>
      </c>
      <c r="C129" s="77"/>
      <c r="D129" s="78"/>
      <c r="E129" s="77" t="s">
        <v>15</v>
      </c>
      <c r="F129" s="77">
        <v>72</v>
      </c>
      <c r="G129" s="77">
        <v>4</v>
      </c>
      <c r="H129" s="69">
        <f t="shared" si="6"/>
        <v>288</v>
      </c>
      <c r="I129" s="77"/>
    </row>
    <row r="130" s="58" customFormat="1" spans="1:9">
      <c r="A130" s="69">
        <v>127</v>
      </c>
      <c r="B130" s="78" t="s">
        <v>193</v>
      </c>
      <c r="C130" s="77"/>
      <c r="D130" s="78"/>
      <c r="E130" s="77" t="s">
        <v>15</v>
      </c>
      <c r="F130" s="77">
        <v>8</v>
      </c>
      <c r="G130" s="77">
        <v>15</v>
      </c>
      <c r="H130" s="69">
        <f t="shared" si="6"/>
        <v>120</v>
      </c>
      <c r="I130" s="77"/>
    </row>
    <row r="131" s="58" customFormat="1" spans="1:9">
      <c r="A131" s="69">
        <v>128</v>
      </c>
      <c r="B131" s="78" t="s">
        <v>194</v>
      </c>
      <c r="C131" s="77"/>
      <c r="D131" s="78"/>
      <c r="E131" s="77" t="s">
        <v>15</v>
      </c>
      <c r="F131" s="77">
        <v>8</v>
      </c>
      <c r="G131" s="77">
        <v>17</v>
      </c>
      <c r="H131" s="69">
        <f t="shared" si="6"/>
        <v>136</v>
      </c>
      <c r="I131" s="77"/>
    </row>
    <row r="132" s="58" customFormat="1" spans="1:9">
      <c r="A132" s="69">
        <v>129</v>
      </c>
      <c r="B132" s="78" t="s">
        <v>195</v>
      </c>
      <c r="C132" s="77" t="s">
        <v>196</v>
      </c>
      <c r="D132" s="78" t="s">
        <v>197</v>
      </c>
      <c r="E132" s="77" t="s">
        <v>12</v>
      </c>
      <c r="F132" s="77">
        <v>20</v>
      </c>
      <c r="G132" s="77">
        <v>2050</v>
      </c>
      <c r="H132" s="77">
        <f t="shared" ref="H132:H165" si="7">F132*G132</f>
        <v>41000</v>
      </c>
      <c r="I132" s="77"/>
    </row>
    <row r="133" spans="1:9">
      <c r="A133" s="69">
        <v>130</v>
      </c>
      <c r="B133" s="70" t="s">
        <v>198</v>
      </c>
      <c r="C133" s="77" t="s">
        <v>196</v>
      </c>
      <c r="D133" s="78" t="s">
        <v>199</v>
      </c>
      <c r="E133" s="69" t="s">
        <v>12</v>
      </c>
      <c r="F133" s="69">
        <v>3</v>
      </c>
      <c r="G133" s="69">
        <v>2550</v>
      </c>
      <c r="H133" s="77">
        <f t="shared" si="7"/>
        <v>7650</v>
      </c>
      <c r="I133" s="69"/>
    </row>
    <row r="134" spans="1:9">
      <c r="A134" s="69">
        <v>131</v>
      </c>
      <c r="B134" s="70" t="s">
        <v>200</v>
      </c>
      <c r="C134" s="69"/>
      <c r="D134" s="70" t="s">
        <v>201</v>
      </c>
      <c r="E134" s="69" t="s">
        <v>29</v>
      </c>
      <c r="F134" s="69">
        <v>3</v>
      </c>
      <c r="G134" s="69">
        <v>55</v>
      </c>
      <c r="H134" s="77">
        <f t="shared" si="7"/>
        <v>165</v>
      </c>
      <c r="I134" s="69"/>
    </row>
    <row r="135" spans="1:9">
      <c r="A135" s="69">
        <v>132</v>
      </c>
      <c r="B135" s="70" t="s">
        <v>200</v>
      </c>
      <c r="C135" s="69"/>
      <c r="D135" s="70" t="s">
        <v>202</v>
      </c>
      <c r="E135" s="69" t="s">
        <v>29</v>
      </c>
      <c r="F135" s="69">
        <v>20</v>
      </c>
      <c r="G135" s="69">
        <v>100</v>
      </c>
      <c r="H135" s="77">
        <f t="shared" si="7"/>
        <v>2000</v>
      </c>
      <c r="I135" s="69"/>
    </row>
    <row r="136" spans="1:9">
      <c r="A136" s="69">
        <v>133</v>
      </c>
      <c r="B136" s="78" t="s">
        <v>203</v>
      </c>
      <c r="C136" s="69"/>
      <c r="D136" s="70"/>
      <c r="E136" s="77" t="s">
        <v>27</v>
      </c>
      <c r="F136" s="69">
        <v>1</v>
      </c>
      <c r="G136" s="77">
        <v>100</v>
      </c>
      <c r="H136" s="77">
        <f t="shared" si="7"/>
        <v>100</v>
      </c>
      <c r="I136" s="69"/>
    </row>
    <row r="137" spans="1:9">
      <c r="A137" s="69">
        <v>134</v>
      </c>
      <c r="B137" s="78" t="s">
        <v>204</v>
      </c>
      <c r="C137" s="69"/>
      <c r="D137" s="70"/>
      <c r="E137" s="77" t="s">
        <v>27</v>
      </c>
      <c r="F137" s="69">
        <v>1</v>
      </c>
      <c r="G137" s="77">
        <v>120</v>
      </c>
      <c r="H137" s="77">
        <f t="shared" si="7"/>
        <v>120</v>
      </c>
      <c r="I137" s="69"/>
    </row>
    <row r="138" spans="1:9">
      <c r="A138" s="69">
        <v>135</v>
      </c>
      <c r="B138" s="78" t="s">
        <v>205</v>
      </c>
      <c r="C138" s="69"/>
      <c r="D138" s="70"/>
      <c r="E138" s="77" t="s">
        <v>27</v>
      </c>
      <c r="F138" s="69">
        <v>1</v>
      </c>
      <c r="G138" s="77">
        <v>59</v>
      </c>
      <c r="H138" s="77">
        <f t="shared" si="7"/>
        <v>59</v>
      </c>
      <c r="I138" s="69"/>
    </row>
    <row r="139" spans="1:9">
      <c r="A139" s="69">
        <v>136</v>
      </c>
      <c r="B139" s="78" t="s">
        <v>206</v>
      </c>
      <c r="C139" s="69"/>
      <c r="D139" s="70"/>
      <c r="E139" s="77" t="s">
        <v>27</v>
      </c>
      <c r="F139" s="77">
        <v>2</v>
      </c>
      <c r="G139" s="77">
        <v>45</v>
      </c>
      <c r="H139" s="77">
        <f t="shared" si="7"/>
        <v>90</v>
      </c>
      <c r="I139" s="69"/>
    </row>
    <row r="140" spans="1:9">
      <c r="A140" s="69">
        <v>137</v>
      </c>
      <c r="B140" s="78" t="s">
        <v>207</v>
      </c>
      <c r="C140" s="69"/>
      <c r="D140" s="70"/>
      <c r="E140" s="77" t="s">
        <v>27</v>
      </c>
      <c r="F140" s="77">
        <v>2</v>
      </c>
      <c r="G140" s="77">
        <v>75</v>
      </c>
      <c r="H140" s="77">
        <f t="shared" si="7"/>
        <v>150</v>
      </c>
      <c r="I140" s="69"/>
    </row>
    <row r="141" spans="1:9">
      <c r="A141" s="69">
        <v>138</v>
      </c>
      <c r="B141" s="78" t="s">
        <v>208</v>
      </c>
      <c r="C141" s="69"/>
      <c r="D141" s="70"/>
      <c r="E141" s="77" t="s">
        <v>27</v>
      </c>
      <c r="F141" s="77">
        <v>2</v>
      </c>
      <c r="G141" s="77">
        <v>110</v>
      </c>
      <c r="H141" s="77">
        <f t="shared" si="7"/>
        <v>220</v>
      </c>
      <c r="I141" s="69"/>
    </row>
    <row r="142" spans="1:9">
      <c r="A142" s="69">
        <v>139</v>
      </c>
      <c r="B142" s="78" t="s">
        <v>209</v>
      </c>
      <c r="C142" s="69"/>
      <c r="D142" s="70"/>
      <c r="E142" s="77" t="s">
        <v>27</v>
      </c>
      <c r="F142" s="77">
        <v>2</v>
      </c>
      <c r="G142" s="77">
        <v>180</v>
      </c>
      <c r="H142" s="77">
        <f t="shared" si="7"/>
        <v>360</v>
      </c>
      <c r="I142" s="69"/>
    </row>
    <row r="143" spans="1:9">
      <c r="A143" s="69">
        <v>140</v>
      </c>
      <c r="B143" s="78" t="s">
        <v>210</v>
      </c>
      <c r="C143" s="69"/>
      <c r="D143" s="70"/>
      <c r="E143" s="77" t="s">
        <v>27</v>
      </c>
      <c r="F143" s="77">
        <v>2</v>
      </c>
      <c r="G143" s="77">
        <v>255</v>
      </c>
      <c r="H143" s="77">
        <f t="shared" si="7"/>
        <v>510</v>
      </c>
      <c r="I143" s="69"/>
    </row>
    <row r="144" spans="1:9">
      <c r="A144" s="69">
        <v>141</v>
      </c>
      <c r="B144" s="78" t="s">
        <v>211</v>
      </c>
      <c r="C144" s="69"/>
      <c r="D144" s="70"/>
      <c r="E144" s="77" t="s">
        <v>27</v>
      </c>
      <c r="F144" s="77">
        <v>2</v>
      </c>
      <c r="G144" s="77">
        <v>450</v>
      </c>
      <c r="H144" s="77">
        <f t="shared" si="7"/>
        <v>900</v>
      </c>
      <c r="I144" s="69"/>
    </row>
    <row r="145" spans="1:9">
      <c r="A145" s="69">
        <v>142</v>
      </c>
      <c r="B145" s="78" t="s">
        <v>212</v>
      </c>
      <c r="C145" s="69"/>
      <c r="D145" s="78" t="s">
        <v>213</v>
      </c>
      <c r="E145" s="77" t="s">
        <v>29</v>
      </c>
      <c r="F145" s="77">
        <v>4</v>
      </c>
      <c r="G145" s="77">
        <v>50</v>
      </c>
      <c r="H145" s="77">
        <f t="shared" si="7"/>
        <v>200</v>
      </c>
      <c r="I145" s="69"/>
    </row>
    <row r="146" spans="1:9">
      <c r="A146" s="69">
        <v>143</v>
      </c>
      <c r="B146" s="78" t="s">
        <v>214</v>
      </c>
      <c r="C146" s="69"/>
      <c r="D146" s="78" t="s">
        <v>215</v>
      </c>
      <c r="E146" s="77" t="s">
        <v>29</v>
      </c>
      <c r="F146" s="77">
        <v>2</v>
      </c>
      <c r="G146" s="77">
        <v>115</v>
      </c>
      <c r="H146" s="77">
        <f t="shared" si="7"/>
        <v>230</v>
      </c>
      <c r="I146" s="69"/>
    </row>
    <row r="147" spans="1:9">
      <c r="A147" s="69">
        <v>144</v>
      </c>
      <c r="B147" s="78" t="s">
        <v>216</v>
      </c>
      <c r="C147" s="69"/>
      <c r="D147" s="78" t="s">
        <v>217</v>
      </c>
      <c r="E147" s="77" t="s">
        <v>29</v>
      </c>
      <c r="F147" s="77">
        <v>2</v>
      </c>
      <c r="G147" s="77">
        <v>80</v>
      </c>
      <c r="H147" s="77">
        <f t="shared" si="7"/>
        <v>160</v>
      </c>
      <c r="I147" s="69"/>
    </row>
    <row r="148" spans="1:9">
      <c r="A148" s="69">
        <v>145</v>
      </c>
      <c r="B148" s="78" t="s">
        <v>218</v>
      </c>
      <c r="C148" s="69"/>
      <c r="D148" s="78" t="s">
        <v>219</v>
      </c>
      <c r="E148" s="77" t="s">
        <v>29</v>
      </c>
      <c r="F148" s="77">
        <v>60</v>
      </c>
      <c r="G148" s="77">
        <v>1</v>
      </c>
      <c r="H148" s="77">
        <f t="shared" si="7"/>
        <v>60</v>
      </c>
      <c r="I148" s="69"/>
    </row>
    <row r="149" spans="1:9">
      <c r="A149" s="69">
        <v>146</v>
      </c>
      <c r="B149" s="78" t="s">
        <v>220</v>
      </c>
      <c r="C149" s="69"/>
      <c r="D149" s="78" t="s">
        <v>221</v>
      </c>
      <c r="E149" s="77" t="s">
        <v>29</v>
      </c>
      <c r="F149" s="77">
        <v>70</v>
      </c>
      <c r="G149" s="77">
        <v>1.5</v>
      </c>
      <c r="H149" s="77">
        <f t="shared" si="7"/>
        <v>105</v>
      </c>
      <c r="I149" s="69"/>
    </row>
    <row r="150" spans="1:9">
      <c r="A150" s="69">
        <v>147</v>
      </c>
      <c r="B150" s="78" t="s">
        <v>222</v>
      </c>
      <c r="C150" s="69"/>
      <c r="D150" s="78"/>
      <c r="E150" s="69" t="s">
        <v>223</v>
      </c>
      <c r="F150" s="77">
        <v>1</v>
      </c>
      <c r="G150" s="77">
        <v>15500</v>
      </c>
      <c r="H150" s="77">
        <f t="shared" si="7"/>
        <v>15500</v>
      </c>
      <c r="I150" s="69"/>
    </row>
    <row r="151" spans="1:9">
      <c r="A151" s="69"/>
      <c r="B151" s="78" t="s">
        <v>224</v>
      </c>
      <c r="C151" s="69"/>
      <c r="D151" s="78"/>
      <c r="E151" s="69" t="s">
        <v>225</v>
      </c>
      <c r="F151" s="77">
        <v>1</v>
      </c>
      <c r="G151" s="77">
        <v>2000</v>
      </c>
      <c r="H151" s="77">
        <f t="shared" si="7"/>
        <v>2000</v>
      </c>
      <c r="I151" s="69"/>
    </row>
    <row r="152" spans="1:9">
      <c r="A152" s="69">
        <v>148</v>
      </c>
      <c r="B152" s="70" t="s">
        <v>226</v>
      </c>
      <c r="C152" s="69"/>
      <c r="D152" s="70"/>
      <c r="E152" s="69" t="s">
        <v>225</v>
      </c>
      <c r="F152" s="69">
        <v>1</v>
      </c>
      <c r="G152" s="69">
        <v>1470</v>
      </c>
      <c r="H152" s="77">
        <f t="shared" ref="H152:H159" si="8">F152*G152</f>
        <v>1470</v>
      </c>
      <c r="I152" s="69"/>
    </row>
    <row r="153" spans="1:9">
      <c r="A153" s="69">
        <v>149</v>
      </c>
      <c r="B153" s="70" t="s">
        <v>227</v>
      </c>
      <c r="C153" s="69"/>
      <c r="D153" s="70"/>
      <c r="E153" s="69" t="s">
        <v>225</v>
      </c>
      <c r="F153" s="69">
        <v>1</v>
      </c>
      <c r="G153" s="69">
        <v>4800</v>
      </c>
      <c r="H153" s="77">
        <f t="shared" si="8"/>
        <v>4800</v>
      </c>
      <c r="I153" s="69"/>
    </row>
    <row r="154" ht="27" spans="1:9">
      <c r="A154" s="69">
        <v>150</v>
      </c>
      <c r="B154" s="79" t="s">
        <v>228</v>
      </c>
      <c r="C154" s="69"/>
      <c r="D154" s="70"/>
      <c r="E154" s="69" t="s">
        <v>225</v>
      </c>
      <c r="F154" s="69">
        <v>1</v>
      </c>
      <c r="G154" s="69">
        <v>80</v>
      </c>
      <c r="H154" s="77">
        <f t="shared" si="8"/>
        <v>80</v>
      </c>
      <c r="I154" s="69"/>
    </row>
    <row r="155" spans="1:9">
      <c r="A155" s="69">
        <v>151</v>
      </c>
      <c r="B155" s="70" t="s">
        <v>229</v>
      </c>
      <c r="C155" s="69"/>
      <c r="D155" s="70"/>
      <c r="E155" s="69" t="s">
        <v>223</v>
      </c>
      <c r="F155" s="69">
        <v>1</v>
      </c>
      <c r="G155" s="69">
        <v>1000</v>
      </c>
      <c r="H155" s="77">
        <f t="shared" si="8"/>
        <v>1000</v>
      </c>
      <c r="I155" s="69"/>
    </row>
    <row r="156" spans="1:9">
      <c r="A156" s="69">
        <v>152</v>
      </c>
      <c r="B156" s="70" t="s">
        <v>230</v>
      </c>
      <c r="C156" s="69"/>
      <c r="D156" s="70"/>
      <c r="E156" s="69" t="s">
        <v>223</v>
      </c>
      <c r="F156" s="69">
        <v>1</v>
      </c>
      <c r="G156" s="69">
        <v>1500</v>
      </c>
      <c r="H156" s="77">
        <f t="shared" si="8"/>
        <v>1500</v>
      </c>
      <c r="I156" s="69"/>
    </row>
    <row r="157" spans="1:9">
      <c r="A157" s="69">
        <v>153</v>
      </c>
      <c r="B157" s="70" t="s">
        <v>231</v>
      </c>
      <c r="C157" s="69"/>
      <c r="D157" s="70"/>
      <c r="E157" s="69" t="s">
        <v>232</v>
      </c>
      <c r="F157" s="69">
        <v>7</v>
      </c>
      <c r="G157" s="69">
        <v>25</v>
      </c>
      <c r="H157" s="77">
        <f t="shared" si="8"/>
        <v>175</v>
      </c>
      <c r="I157" s="69"/>
    </row>
    <row r="158" spans="1:9">
      <c r="A158" s="69">
        <v>154</v>
      </c>
      <c r="B158" s="70" t="s">
        <v>233</v>
      </c>
      <c r="C158" s="69"/>
      <c r="D158" s="70"/>
      <c r="E158" s="69" t="s">
        <v>223</v>
      </c>
      <c r="F158" s="69">
        <v>1</v>
      </c>
      <c r="G158" s="69">
        <v>30</v>
      </c>
      <c r="H158" s="77">
        <f t="shared" si="8"/>
        <v>30</v>
      </c>
      <c r="I158" s="69"/>
    </row>
    <row r="159" spans="1:9">
      <c r="A159" s="69">
        <v>155</v>
      </c>
      <c r="B159" s="70" t="s">
        <v>234</v>
      </c>
      <c r="C159" s="69"/>
      <c r="D159" s="70"/>
      <c r="E159" s="69" t="s">
        <v>223</v>
      </c>
      <c r="F159" s="69">
        <v>1</v>
      </c>
      <c r="G159" s="69">
        <v>41169</v>
      </c>
      <c r="H159" s="77">
        <f t="shared" si="8"/>
        <v>41169</v>
      </c>
      <c r="I159" s="69"/>
    </row>
    <row r="160" ht="23" customHeight="1" spans="1:9">
      <c r="B160" s="60" t="s">
        <v>235</v>
      </c>
      <c r="H160" s="59">
        <f>SUM(H4:H159)</f>
        <v>655232.3</v>
      </c>
    </row>
  </sheetData>
  <mergeCells count="2">
    <mergeCell ref="A1:I1"/>
    <mergeCell ref="A2:I2"/>
  </mergeCells>
  <pageMargins left="0.314583333333333" right="0.156944444444444" top="0.393055555555556" bottom="0.196527777777778" header="0.314583333333333" footer="0.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HL45"/>
  <sheetViews>
    <sheetView workbookViewId="0">
      <selection activeCell="N10" sqref="N10"/>
    </sheetView>
  </sheetViews>
  <sheetFormatPr defaultColWidth="8.18333333333333" defaultRowHeight="18.4" customHeight="1"/>
  <cols>
    <col min="1" max="1" width="9.73333333333333" style="6" customWidth="1"/>
    <col min="2" max="2" width="11.5583333333333" style="6" customWidth="1"/>
    <col min="3" max="3" width="7.53333333333333" style="6" customWidth="1"/>
    <col min="4" max="4" width="13.375" style="6" customWidth="1"/>
    <col min="5" max="7" width="9.73333333333333" style="6" customWidth="1"/>
    <col min="8" max="8" width="24.2833333333333" style="6" customWidth="1"/>
    <col min="9" max="9" width="1.81666666666667" style="6" customWidth="1"/>
    <col min="10" max="220" width="8.30833333333333" style="6"/>
    <col min="221" max="221" width="8.30833333333333" style="1"/>
    <col min="222" max="16384" width="8.18333333333333" style="1"/>
  </cols>
  <sheetData>
    <row r="1" s="1" customFormat="1" ht="17.1" customHeight="1" spans="1:220">
      <c r="A1" s="7" t="s">
        <v>236</v>
      </c>
      <c r="B1" s="7"/>
      <c r="C1" s="7"/>
      <c r="D1" s="7"/>
      <c r="E1" s="7"/>
      <c r="F1" s="7"/>
      <c r="G1" s="7"/>
      <c r="H1" s="7"/>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row>
    <row r="2" s="1" customFormat="1" ht="54.95" customHeight="1" spans="1:220">
      <c r="A2" s="8" t="s">
        <v>237</v>
      </c>
      <c r="B2" s="9"/>
      <c r="C2" s="9"/>
      <c r="D2" s="9"/>
      <c r="E2" s="9"/>
      <c r="F2" s="9"/>
      <c r="G2" s="9"/>
      <c r="H2" s="9"/>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row>
    <row r="3" s="1" customFormat="1" ht="17.1" customHeight="1" spans="1:220">
      <c r="A3" s="10"/>
      <c r="B3" s="11"/>
      <c r="C3" s="11"/>
      <c r="D3" s="11"/>
      <c r="E3" s="11"/>
      <c r="F3" s="11"/>
      <c r="G3" s="11"/>
      <c r="H3" s="11"/>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row>
    <row r="4" s="2" customFormat="1" ht="33.95" customHeight="1" spans="1:220">
      <c r="A4" s="8" t="s">
        <v>238</v>
      </c>
      <c r="B4" s="9"/>
      <c r="C4" s="9"/>
      <c r="D4" s="9"/>
      <c r="E4" s="9"/>
      <c r="F4" s="9"/>
      <c r="G4" s="9"/>
      <c r="H4" s="9"/>
    </row>
    <row r="5" s="1" customFormat="1" ht="15" customHeight="1" spans="1:220">
      <c r="A5" s="12" t="s">
        <v>239</v>
      </c>
      <c r="B5" s="13"/>
      <c r="C5" s="12"/>
      <c r="D5" s="12"/>
      <c r="E5" s="12"/>
      <c r="F5" s="12"/>
      <c r="G5" s="12"/>
      <c r="H5" s="12"/>
      <c r="I5" s="14"/>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row>
    <row r="6" s="3" customFormat="1" ht="17.1" customHeight="1" spans="1:220">
      <c r="A6" s="12" t="s">
        <v>240</v>
      </c>
      <c r="B6" s="12"/>
      <c r="C6" s="12"/>
      <c r="D6" s="12" t="s">
        <v>241</v>
      </c>
      <c r="E6" s="12"/>
      <c r="F6" s="12"/>
      <c r="G6" s="12" t="s">
        <v>242</v>
      </c>
      <c r="H6" s="12"/>
      <c r="I6" s="14"/>
    </row>
    <row r="7" s="3" customFormat="1" ht="17.1" customHeight="1" spans="1:220">
      <c r="A7" s="12"/>
      <c r="B7" s="12"/>
      <c r="C7" s="12"/>
      <c r="D7" s="12"/>
      <c r="E7" s="12"/>
      <c r="F7" s="12"/>
      <c r="G7" s="12" t="s">
        <v>243</v>
      </c>
      <c r="H7" s="12"/>
      <c r="I7" s="14"/>
    </row>
    <row r="8" s="3" customFormat="1" ht="13.5" spans="1:220">
      <c r="A8" s="15"/>
      <c r="B8" s="15"/>
      <c r="C8" s="15"/>
      <c r="D8" s="15"/>
      <c r="E8" s="15"/>
      <c r="F8" s="15"/>
      <c r="G8" s="15"/>
      <c r="H8" s="15"/>
    </row>
    <row r="9" s="4" customFormat="1" customHeight="1" spans="1:220">
      <c r="A9" s="16" t="s">
        <v>244</v>
      </c>
      <c r="B9" s="17" t="s">
        <v>245</v>
      </c>
      <c r="C9" s="17"/>
      <c r="D9" s="16" t="s">
        <v>246</v>
      </c>
      <c r="E9" s="18" t="s">
        <v>247</v>
      </c>
      <c r="F9" s="17"/>
      <c r="G9" s="16" t="s">
        <v>248</v>
      </c>
      <c r="H9" s="16" t="str">
        <f>"2026.07.04"</f>
        <v>2026.07.04</v>
      </c>
    </row>
    <row r="10" s="4" customFormat="1" customHeight="1" spans="1:220">
      <c r="A10" s="16" t="s">
        <v>249</v>
      </c>
      <c r="B10" s="18" t="s">
        <v>250</v>
      </c>
      <c r="C10" s="19"/>
      <c r="D10" s="16" t="s">
        <v>251</v>
      </c>
      <c r="E10" s="20" t="s">
        <v>252</v>
      </c>
      <c r="F10" s="21"/>
      <c r="G10" s="16" t="s">
        <v>253</v>
      </c>
      <c r="H10" s="16" t="s">
        <v>254</v>
      </c>
    </row>
    <row r="11" s="4" customFormat="1" customHeight="1" spans="1:220">
      <c r="A11" s="16" t="s">
        <v>255</v>
      </c>
      <c r="B11" s="19" t="s">
        <v>256</v>
      </c>
      <c r="C11" s="19"/>
      <c r="D11" s="16" t="s">
        <v>257</v>
      </c>
      <c r="E11" s="22" t="s">
        <v>258</v>
      </c>
      <c r="F11" s="22"/>
      <c r="G11" s="16" t="s">
        <v>259</v>
      </c>
      <c r="H11" s="16" t="s">
        <v>260</v>
      </c>
    </row>
    <row r="12" s="4" customFormat="1" customHeight="1" spans="1:220">
      <c r="A12" s="23" t="s">
        <v>261</v>
      </c>
      <c r="B12" s="24" t="s">
        <v>262</v>
      </c>
      <c r="C12" s="25"/>
      <c r="D12" s="23" t="s">
        <v>263</v>
      </c>
      <c r="E12" s="24" t="s">
        <v>236</v>
      </c>
      <c r="F12" s="26"/>
      <c r="G12" s="23" t="s">
        <v>264</v>
      </c>
      <c r="H12" s="23" t="s">
        <v>236</v>
      </c>
    </row>
    <row r="13" s="3" customFormat="1" ht="17.1" customHeight="1" spans="1:220">
      <c r="A13" s="27"/>
      <c r="B13" s="25"/>
      <c r="C13" s="25"/>
      <c r="D13" s="25"/>
      <c r="E13" s="25"/>
      <c r="F13" s="25"/>
      <c r="G13" s="28"/>
      <c r="H13" s="29"/>
    </row>
    <row r="14" s="3" customFormat="1" customHeight="1" spans="1:220">
      <c r="A14" s="30" t="s">
        <v>265</v>
      </c>
      <c r="B14" s="31"/>
      <c r="C14" s="31" t="s">
        <v>266</v>
      </c>
      <c r="D14" s="31" t="s">
        <v>8</v>
      </c>
      <c r="E14" s="31" t="s">
        <v>7</v>
      </c>
      <c r="F14" s="31" t="s">
        <v>9</v>
      </c>
      <c r="G14" s="31"/>
      <c r="H14" s="32" t="s">
        <v>10</v>
      </c>
    </row>
    <row r="15" s="3" customFormat="1" customHeight="1" spans="1:220">
      <c r="A15" s="33" t="s">
        <v>267</v>
      </c>
      <c r="B15" s="34"/>
      <c r="C15" s="35" t="s">
        <v>268</v>
      </c>
      <c r="D15" s="36">
        <v>150</v>
      </c>
      <c r="E15" s="37">
        <v>1</v>
      </c>
      <c r="F15" s="38">
        <v>150</v>
      </c>
      <c r="G15" s="38"/>
      <c r="H15" s="39" t="s">
        <v>236</v>
      </c>
      <c r="I15" s="3" t="s">
        <v>269</v>
      </c>
    </row>
    <row r="16" s="3" customFormat="1" customHeight="1" spans="1:220">
      <c r="A16" s="33" t="s">
        <v>270</v>
      </c>
      <c r="B16" s="34"/>
      <c r="C16" s="35" t="s">
        <v>268</v>
      </c>
      <c r="D16" s="36">
        <v>3785</v>
      </c>
      <c r="E16" s="37">
        <v>1</v>
      </c>
      <c r="F16" s="38">
        <v>3785</v>
      </c>
      <c r="G16" s="38"/>
      <c r="H16" s="39" t="s">
        <v>236</v>
      </c>
      <c r="I16" s="3" t="s">
        <v>269</v>
      </c>
    </row>
    <row r="17" s="3" customFormat="1" customHeight="1" spans="1:220">
      <c r="A17" s="33" t="s">
        <v>234</v>
      </c>
      <c r="B17" s="34"/>
      <c r="C17" s="35" t="s">
        <v>268</v>
      </c>
      <c r="D17" s="36">
        <v>5450</v>
      </c>
      <c r="E17" s="37">
        <v>6.82</v>
      </c>
      <c r="F17" s="38">
        <v>37169</v>
      </c>
      <c r="G17" s="38"/>
      <c r="H17" s="39" t="s">
        <v>236</v>
      </c>
      <c r="I17" s="3" t="s">
        <v>269</v>
      </c>
    </row>
    <row r="18" s="3" customFormat="1" customHeight="1" spans="1:220">
      <c r="A18" s="33" t="s">
        <v>271</v>
      </c>
      <c r="B18" s="34"/>
      <c r="C18" s="35" t="s">
        <v>268</v>
      </c>
      <c r="D18" s="36">
        <v>65</v>
      </c>
      <c r="E18" s="37">
        <v>1</v>
      </c>
      <c r="F18" s="38">
        <v>65</v>
      </c>
      <c r="G18" s="38"/>
      <c r="H18" s="39" t="s">
        <v>236</v>
      </c>
      <c r="I18" s="3" t="s">
        <v>269</v>
      </c>
    </row>
    <row r="19" s="3" customFormat="1" customHeight="1" spans="1:220">
      <c r="A19" s="33"/>
      <c r="B19" s="34"/>
      <c r="C19" s="35"/>
      <c r="D19" s="36"/>
      <c r="E19" s="37"/>
      <c r="F19" s="38"/>
      <c r="G19" s="38"/>
      <c r="H19" s="39"/>
      <c r="I19" s="3" t="s">
        <v>269</v>
      </c>
    </row>
    <row r="20" s="3" customFormat="1" customHeight="1" spans="1:220">
      <c r="A20" s="33" t="s">
        <v>272</v>
      </c>
      <c r="B20" s="34"/>
      <c r="C20" s="35" t="s">
        <v>268</v>
      </c>
      <c r="D20" s="36"/>
      <c r="E20" s="37"/>
      <c r="F20" s="38">
        <v>41169</v>
      </c>
      <c r="G20" s="38"/>
      <c r="H20" s="39"/>
      <c r="I20" s="3" t="s">
        <v>269</v>
      </c>
    </row>
    <row r="21" s="3" customFormat="1" customHeight="1" spans="1:220">
      <c r="A21" s="33"/>
      <c r="B21" s="34"/>
      <c r="C21" s="35"/>
      <c r="D21" s="40"/>
      <c r="E21" s="37"/>
      <c r="F21" s="41"/>
      <c r="G21" s="38"/>
      <c r="H21" s="39"/>
    </row>
    <row r="22" s="5" customFormat="1" ht="17.1" customHeight="1" spans="1:220">
      <c r="A22" s="42"/>
      <c r="B22" s="43"/>
      <c r="C22" s="44"/>
      <c r="D22" s="45"/>
      <c r="E22" s="46"/>
      <c r="F22" s="47"/>
      <c r="G22" s="48"/>
      <c r="H22" s="49"/>
    </row>
    <row r="23" s="3" customFormat="1" ht="17.1" customHeight="1" spans="1:220">
      <c r="A23" s="15" t="s">
        <v>273</v>
      </c>
      <c r="B23" s="15"/>
      <c r="C23" s="15"/>
      <c r="D23" s="15"/>
      <c r="E23" s="22"/>
      <c r="F23" s="22"/>
      <c r="G23" s="22"/>
      <c r="H23" s="15"/>
    </row>
    <row r="24" s="3" customFormat="1" ht="17.1" customHeight="1" spans="1:220">
      <c r="A24" s="50" t="s">
        <v>274</v>
      </c>
      <c r="B24" s="50"/>
      <c r="C24" s="50"/>
      <c r="D24" s="50"/>
      <c r="E24" s="50"/>
      <c r="F24" s="50"/>
      <c r="G24" s="50"/>
      <c r="H24" s="50"/>
    </row>
    <row r="25" s="3" customFormat="1" ht="17.1" customHeight="1" spans="1:220">
      <c r="A25" s="50"/>
      <c r="B25" s="50"/>
      <c r="C25" s="50"/>
      <c r="D25" s="50"/>
      <c r="E25" s="50"/>
      <c r="F25" s="50"/>
      <c r="G25" s="50"/>
      <c r="H25" s="50"/>
      <c r="I25" s="51"/>
    </row>
    <row r="26" s="3" customFormat="1" ht="17.1" customHeight="1" spans="1:220">
      <c r="A26" s="50"/>
      <c r="B26" s="50"/>
      <c r="C26" s="50"/>
      <c r="D26" s="50"/>
      <c r="E26" s="50"/>
      <c r="F26" s="50"/>
      <c r="G26" s="50"/>
      <c r="H26" s="50"/>
      <c r="I26" s="51"/>
    </row>
    <row r="27" s="3" customFormat="1" ht="17.1" customHeight="1" spans="1:220">
      <c r="A27" s="50"/>
      <c r="B27" s="50"/>
      <c r="C27" s="50"/>
      <c r="D27" s="50"/>
      <c r="E27" s="50"/>
      <c r="F27" s="50"/>
      <c r="G27" s="50"/>
      <c r="H27" s="50"/>
      <c r="I27" s="51"/>
    </row>
    <row r="28" s="3" customFormat="1" ht="17.1" customHeight="1" spans="1:220">
      <c r="A28" s="50"/>
      <c r="B28" s="50"/>
      <c r="C28" s="50"/>
      <c r="D28" s="50"/>
      <c r="E28" s="50"/>
      <c r="F28" s="50"/>
      <c r="G28" s="50"/>
      <c r="H28" s="50"/>
      <c r="I28" s="51"/>
    </row>
    <row r="29" s="3" customFormat="1" ht="17.1" customHeight="1" spans="1:220">
      <c r="A29" s="50"/>
      <c r="B29" s="50"/>
      <c r="C29" s="50"/>
      <c r="D29" s="50"/>
      <c r="E29" s="50"/>
      <c r="F29" s="50"/>
      <c r="G29" s="50"/>
      <c r="H29" s="50"/>
    </row>
    <row r="30" s="3" customFormat="1" ht="13.5" spans="1:220">
      <c r="A30" s="52" t="s">
        <v>275</v>
      </c>
      <c r="B30" s="53"/>
      <c r="C30" s="53"/>
      <c r="D30" s="53"/>
      <c r="E30" s="52"/>
      <c r="F30" s="52"/>
      <c r="G30" s="52"/>
      <c r="H30" s="52"/>
      <c r="I30" s="54"/>
    </row>
    <row r="31" s="3" customFormat="1" ht="17.1" customHeight="1" spans="1:220">
      <c r="A31" s="15" t="s">
        <v>276</v>
      </c>
      <c r="B31" s="22"/>
      <c r="C31" s="22"/>
      <c r="D31" s="22"/>
      <c r="E31" s="15"/>
      <c r="F31" s="15"/>
      <c r="G31" s="15"/>
      <c r="H31" s="15"/>
    </row>
    <row r="32" s="1" customFormat="1" ht="17.1" customHeight="1" spans="1:220">
      <c r="A32" s="15" t="s">
        <v>277</v>
      </c>
      <c r="B32" s="15"/>
      <c r="C32" s="15"/>
      <c r="D32" s="15"/>
      <c r="E32" s="15"/>
      <c r="F32" s="15"/>
      <c r="G32" s="15"/>
      <c r="H32" s="15"/>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row>
    <row r="33" s="1" customFormat="1" ht="17.1" customHeight="1" spans="1:220">
      <c r="A33" s="15" t="s">
        <v>278</v>
      </c>
      <c r="B33" s="15"/>
      <c r="C33" s="15"/>
      <c r="D33" s="15"/>
      <c r="E33" s="15"/>
      <c r="F33" s="15"/>
      <c r="G33" s="15"/>
      <c r="H33" s="15"/>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row>
    <row r="34" s="1" customFormat="1" ht="17.1" customHeight="1" spans="1:220">
      <c r="A34" s="7" t="s">
        <v>279</v>
      </c>
      <c r="B34" s="7"/>
      <c r="C34" s="7"/>
      <c r="D34" s="7"/>
      <c r="E34" s="7"/>
      <c r="F34" s="7"/>
      <c r="G34" s="7"/>
      <c r="H34" s="7"/>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row>
    <row r="35" s="1" customFormat="1" ht="17.1" customHeight="1" spans="1:220">
      <c r="A35" s="7" t="s">
        <v>280</v>
      </c>
      <c r="B35" s="7"/>
      <c r="C35" s="7"/>
      <c r="D35" s="7"/>
      <c r="E35" s="7"/>
      <c r="F35" s="7"/>
      <c r="G35" s="7"/>
      <c r="H35" s="7"/>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row>
    <row r="36" s="1" customFormat="1" ht="17.1" customHeight="1" spans="1:220">
      <c r="A36" s="7" t="s">
        <v>281</v>
      </c>
      <c r="B36" s="7"/>
      <c r="C36" s="7"/>
      <c r="D36" s="7"/>
      <c r="E36" s="7"/>
      <c r="F36" s="7"/>
      <c r="G36" s="7"/>
      <c r="H36" s="7"/>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row>
    <row r="37" s="1" customFormat="1" ht="15.75" customHeight="1" spans="1:220">
      <c r="A37" s="7" t="s">
        <v>282</v>
      </c>
      <c r="B37" s="7"/>
      <c r="C37" s="7"/>
      <c r="D37" s="7"/>
      <c r="E37" s="7"/>
      <c r="F37" s="7"/>
      <c r="G37" s="7"/>
      <c r="H37" s="7"/>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row>
    <row r="38" s="1" customFormat="1" customHeight="1" spans="1:220">
      <c r="A38" s="4" t="s">
        <v>283</v>
      </c>
      <c r="B38" s="3"/>
      <c r="C38" s="3"/>
      <c r="D38" s="3"/>
      <c r="E38" s="3"/>
      <c r="F38" s="3"/>
      <c r="G38" s="3"/>
      <c r="H38" s="3"/>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row>
    <row r="39" s="1" customFormat="1" customHeight="1" spans="1:220">
      <c r="A39" s="3" t="s">
        <v>284</v>
      </c>
      <c r="B39" s="3"/>
      <c r="C39" s="3"/>
      <c r="D39" s="3"/>
      <c r="E39" s="3"/>
      <c r="F39" s="3"/>
      <c r="G39" s="3"/>
      <c r="H39" s="3"/>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row>
    <row r="40" s="1" customFormat="1" ht="29" customHeight="1" spans="1:220">
      <c r="A40" s="55" t="s">
        <v>285</v>
      </c>
      <c r="B40" s="55"/>
      <c r="C40" s="55"/>
      <c r="D40" s="55"/>
      <c r="E40" s="55"/>
      <c r="F40" s="55"/>
      <c r="G40" s="55"/>
      <c r="H40" s="55"/>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row>
    <row r="41" s="1" customFormat="1" customHeight="1" spans="1:220">
      <c r="A41" s="3" t="s">
        <v>286</v>
      </c>
      <c r="B41" s="3"/>
      <c r="C41" s="3"/>
      <c r="D41" s="3"/>
      <c r="E41" s="3"/>
      <c r="F41" s="3"/>
      <c r="G41" s="3"/>
      <c r="H41" s="3"/>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row>
    <row r="42" s="1" customFormat="1" customHeight="1" spans="1:220">
      <c r="A42" s="3" t="s">
        <v>287</v>
      </c>
      <c r="B42" s="3"/>
      <c r="C42" s="3"/>
      <c r="D42" s="3"/>
      <c r="E42" s="3"/>
      <c r="F42" s="3"/>
      <c r="G42" s="3"/>
      <c r="H42" s="3"/>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row>
    <row r="43" s="1" customFormat="1" customHeight="1" spans="1:220">
      <c r="A43" s="3" t="s">
        <v>288</v>
      </c>
      <c r="B43" s="3"/>
      <c r="C43" s="3"/>
      <c r="D43" s="3"/>
      <c r="E43" s="3"/>
      <c r="F43" s="3"/>
      <c r="G43" s="3"/>
      <c r="H43" s="3"/>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row>
    <row r="44" s="1" customFormat="1" customHeight="1" spans="1:220">
      <c r="A44" s="3" t="s">
        <v>289</v>
      </c>
      <c r="B44" s="3"/>
      <c r="C44" s="3"/>
      <c r="D44" s="3"/>
      <c r="E44" s="3"/>
      <c r="F44" s="3"/>
      <c r="G44" s="3"/>
      <c r="H44" s="3"/>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row>
    <row r="45" s="1" customFormat="1" customHeight="1" spans="1:220">
      <c r="A45" s="3"/>
      <c r="B45" s="3"/>
      <c r="C45" s="3"/>
      <c r="D45" s="3"/>
      <c r="E45" s="3"/>
      <c r="F45" s="3"/>
      <c r="G45" s="3"/>
      <c r="H45" s="3"/>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row>
  </sheetData>
  <mergeCells count="10">
    <mergeCell ref="A14:B14"/>
    <mergeCell ref="F14:G14"/>
    <mergeCell ref="F15:G15"/>
    <mergeCell ref="F16:G16"/>
    <mergeCell ref="F17:G17"/>
    <mergeCell ref="F18:G18"/>
    <mergeCell ref="F19:G19"/>
    <mergeCell ref="F20:G20"/>
    <mergeCell ref="A40:H40"/>
    <mergeCell ref="A24:H29"/>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明细表</vt:lpstr>
      <vt:lpstr>海运费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X</cp:lastModifiedBy>
  <dcterms:created xsi:type="dcterms:W3CDTF">2026-03-21T13:55:00Z</dcterms:created>
  <dcterms:modified xsi:type="dcterms:W3CDTF">2026-09-16T15:47:50Z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BCB6EA281C9343F8A2CB05E7B30D5D5F_13</vt:lpwstr>
  </property>
  <property fmtid="{D5CDD505-2E9C-101B-9397-08002B2CF9AE}" pid="3" name="KSOProductBuildVer">
    <vt:lpwstr>2052-12.1.0.28505</vt:lpwstr>
  </property>
  <property fmtid="{D5CDD505-2E9C-101B-9397-08002B2CF9AE}" pid="4" name="CalculationRule">
    <vt:i4>1</vt:i4>
  </property>
</Properties>
</file>